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-files-pom\partage\ADA\METIER\SUIVI CDES IMPORT\2026\"/>
    </mc:Choice>
  </mc:AlternateContent>
  <xr:revisionPtr revIDLastSave="0" documentId="13_ncr:1_{9C6B63CC-53FF-4C64-BA00-BB3FE71F38D5}" xr6:coauthVersionLast="47" xr6:coauthVersionMax="47" xr10:uidLastSave="{00000000-0000-0000-0000-000000000000}"/>
  <bookViews>
    <workbookView xWindow="-120" yWindow="-120" windowWidth="29040" windowHeight="15720" xr2:uid="{3742E7E4-BF87-4599-BFDA-7480D77A436B}"/>
  </bookViews>
  <sheets>
    <sheet name="IMPORT 2025" sheetId="1" r:id="rId1"/>
    <sheet name="POINT MIF" sheetId="3" r:id="rId2"/>
    <sheet name="STOP REF CARREFOUR" sheetId="5" r:id="rId3"/>
  </sheets>
  <externalReferences>
    <externalReference r:id="rId4"/>
    <externalReference r:id="rId5"/>
    <externalReference r:id="rId6"/>
  </externalReferences>
  <definedNames>
    <definedName name="_xlnm._FilterDatabase" localSheetId="0" hidden="1">'IMPORT 2025'!$A$4:$AU$748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" i="1" l="1"/>
  <c r="X681" i="1"/>
  <c r="W681" i="1"/>
  <c r="P681" i="1"/>
  <c r="Q455" i="1" l="1"/>
  <c r="Q449" i="1"/>
  <c r="AR448" i="1"/>
  <c r="AM448" i="1"/>
  <c r="M448" i="1" s="1"/>
  <c r="AL448" i="1"/>
  <c r="AK448" i="1"/>
  <c r="X448" i="1"/>
  <c r="W448" i="1"/>
  <c r="S448" i="1"/>
  <c r="P448" i="1"/>
  <c r="AR454" i="1"/>
  <c r="AM454" i="1"/>
  <c r="M454" i="1" s="1"/>
  <c r="AL454" i="1"/>
  <c r="AK454" i="1"/>
  <c r="X454" i="1"/>
  <c r="W454" i="1"/>
  <c r="S454" i="1"/>
  <c r="P454" i="1"/>
  <c r="AR688" i="1"/>
  <c r="AM688" i="1"/>
  <c r="M688" i="1" s="1"/>
  <c r="AL688" i="1"/>
  <c r="AK688" i="1"/>
  <c r="X688" i="1"/>
  <c r="W688" i="1"/>
  <c r="S688" i="1"/>
  <c r="P688" i="1"/>
  <c r="AR687" i="1"/>
  <c r="AM687" i="1"/>
  <c r="M687" i="1" s="1"/>
  <c r="AL687" i="1"/>
  <c r="AK687" i="1"/>
  <c r="X687" i="1"/>
  <c r="W687" i="1"/>
  <c r="S687" i="1"/>
  <c r="P687" i="1"/>
  <c r="AR686" i="1"/>
  <c r="AM686" i="1"/>
  <c r="M686" i="1" s="1"/>
  <c r="AL686" i="1"/>
  <c r="AK686" i="1"/>
  <c r="X686" i="1"/>
  <c r="W686" i="1"/>
  <c r="S686" i="1"/>
  <c r="P686" i="1"/>
  <c r="AR685" i="1"/>
  <c r="AM685" i="1"/>
  <c r="M685" i="1" s="1"/>
  <c r="AL685" i="1"/>
  <c r="AK685" i="1"/>
  <c r="X685" i="1"/>
  <c r="W685" i="1"/>
  <c r="S685" i="1"/>
  <c r="P685" i="1"/>
  <c r="AR684" i="1"/>
  <c r="AM684" i="1"/>
  <c r="M684" i="1" s="1"/>
  <c r="AL684" i="1"/>
  <c r="AK684" i="1"/>
  <c r="X684" i="1"/>
  <c r="W684" i="1"/>
  <c r="S684" i="1"/>
  <c r="P684" i="1"/>
  <c r="AR683" i="1"/>
  <c r="AM683" i="1"/>
  <c r="M683" i="1" s="1"/>
  <c r="AL683" i="1"/>
  <c r="AK683" i="1"/>
  <c r="X683" i="1"/>
  <c r="W683" i="1"/>
  <c r="S683" i="1"/>
  <c r="P683" i="1"/>
  <c r="AR682" i="1"/>
  <c r="AM682" i="1"/>
  <c r="M682" i="1" s="1"/>
  <c r="AL682" i="1"/>
  <c r="AK682" i="1"/>
  <c r="X682" i="1"/>
  <c r="W682" i="1"/>
  <c r="S682" i="1"/>
  <c r="P682" i="1"/>
  <c r="AR681" i="1"/>
  <c r="AM681" i="1"/>
  <c r="M681" i="1" s="1"/>
  <c r="AL681" i="1"/>
  <c r="AK681" i="1"/>
  <c r="S681" i="1"/>
  <c r="T681" i="1" s="1"/>
  <c r="V681" i="1" s="1"/>
  <c r="AR680" i="1"/>
  <c r="AM680" i="1"/>
  <c r="M680" i="1" s="1"/>
  <c r="AL680" i="1"/>
  <c r="AK680" i="1"/>
  <c r="X680" i="1"/>
  <c r="W680" i="1"/>
  <c r="S680" i="1"/>
  <c r="T680" i="1" s="1"/>
  <c r="V680" i="1" s="1"/>
  <c r="P680" i="1"/>
  <c r="AR679" i="1"/>
  <c r="AM679" i="1"/>
  <c r="M679" i="1" s="1"/>
  <c r="AL679" i="1"/>
  <c r="AK679" i="1"/>
  <c r="X679" i="1"/>
  <c r="W679" i="1"/>
  <c r="S679" i="1"/>
  <c r="P679" i="1"/>
  <c r="AR678" i="1"/>
  <c r="AM678" i="1"/>
  <c r="M678" i="1" s="1"/>
  <c r="AL678" i="1"/>
  <c r="AK678" i="1"/>
  <c r="X678" i="1"/>
  <c r="W678" i="1"/>
  <c r="S678" i="1"/>
  <c r="P678" i="1"/>
  <c r="AR677" i="1"/>
  <c r="AM677" i="1"/>
  <c r="M677" i="1" s="1"/>
  <c r="AL677" i="1"/>
  <c r="AK677" i="1"/>
  <c r="X677" i="1"/>
  <c r="W677" i="1"/>
  <c r="S677" i="1"/>
  <c r="T677" i="1" s="1"/>
  <c r="V677" i="1" s="1"/>
  <c r="P677" i="1"/>
  <c r="AR700" i="1"/>
  <c r="AM700" i="1"/>
  <c r="M700" i="1" s="1"/>
  <c r="AL700" i="1"/>
  <c r="AK700" i="1"/>
  <c r="X700" i="1"/>
  <c r="W700" i="1"/>
  <c r="S700" i="1"/>
  <c r="P700" i="1"/>
  <c r="AR699" i="1"/>
  <c r="AM699" i="1"/>
  <c r="M699" i="1" s="1"/>
  <c r="AL699" i="1"/>
  <c r="AK699" i="1"/>
  <c r="X699" i="1"/>
  <c r="W699" i="1"/>
  <c r="S699" i="1"/>
  <c r="P699" i="1"/>
  <c r="AR698" i="1"/>
  <c r="AM698" i="1"/>
  <c r="M698" i="1" s="1"/>
  <c r="AL698" i="1"/>
  <c r="AK698" i="1"/>
  <c r="X698" i="1"/>
  <c r="W698" i="1"/>
  <c r="S698" i="1"/>
  <c r="P698" i="1"/>
  <c r="AR697" i="1"/>
  <c r="AM697" i="1"/>
  <c r="M697" i="1" s="1"/>
  <c r="AL697" i="1"/>
  <c r="AK697" i="1"/>
  <c r="X697" i="1"/>
  <c r="W697" i="1"/>
  <c r="S697" i="1"/>
  <c r="P697" i="1"/>
  <c r="AR696" i="1"/>
  <c r="AM696" i="1"/>
  <c r="M696" i="1" s="1"/>
  <c r="AL696" i="1"/>
  <c r="AK696" i="1"/>
  <c r="X696" i="1"/>
  <c r="W696" i="1"/>
  <c r="S696" i="1"/>
  <c r="P696" i="1"/>
  <c r="AR695" i="1"/>
  <c r="AM695" i="1"/>
  <c r="M695" i="1" s="1"/>
  <c r="AL695" i="1"/>
  <c r="AK695" i="1"/>
  <c r="X695" i="1"/>
  <c r="W695" i="1"/>
  <c r="S695" i="1"/>
  <c r="P695" i="1"/>
  <c r="AR694" i="1"/>
  <c r="AM694" i="1"/>
  <c r="M694" i="1" s="1"/>
  <c r="AL694" i="1"/>
  <c r="AK694" i="1"/>
  <c r="X694" i="1"/>
  <c r="W694" i="1"/>
  <c r="S694" i="1"/>
  <c r="P694" i="1"/>
  <c r="AR693" i="1"/>
  <c r="AM693" i="1"/>
  <c r="M693" i="1" s="1"/>
  <c r="AL693" i="1"/>
  <c r="AK693" i="1"/>
  <c r="X693" i="1"/>
  <c r="W693" i="1"/>
  <c r="S693" i="1"/>
  <c r="P693" i="1"/>
  <c r="AR692" i="1"/>
  <c r="AM692" i="1"/>
  <c r="M692" i="1" s="1"/>
  <c r="AL692" i="1"/>
  <c r="AK692" i="1"/>
  <c r="X692" i="1"/>
  <c r="W692" i="1"/>
  <c r="S692" i="1"/>
  <c r="P692" i="1"/>
  <c r="AR691" i="1"/>
  <c r="AM691" i="1"/>
  <c r="M691" i="1" s="1"/>
  <c r="AL691" i="1"/>
  <c r="AK691" i="1"/>
  <c r="X691" i="1"/>
  <c r="W691" i="1"/>
  <c r="S691" i="1"/>
  <c r="P691" i="1"/>
  <c r="AR690" i="1"/>
  <c r="AM690" i="1"/>
  <c r="M690" i="1" s="1"/>
  <c r="AL690" i="1"/>
  <c r="AK690" i="1"/>
  <c r="X690" i="1"/>
  <c r="W690" i="1"/>
  <c r="S690" i="1"/>
  <c r="P690" i="1"/>
  <c r="AR689" i="1"/>
  <c r="AM689" i="1"/>
  <c r="M689" i="1" s="1"/>
  <c r="AL689" i="1"/>
  <c r="AK689" i="1"/>
  <c r="X689" i="1"/>
  <c r="W689" i="1"/>
  <c r="S689" i="1"/>
  <c r="P689" i="1"/>
  <c r="AR712" i="1"/>
  <c r="AM712" i="1"/>
  <c r="M712" i="1" s="1"/>
  <c r="AL712" i="1"/>
  <c r="AK712" i="1"/>
  <c r="X712" i="1"/>
  <c r="W712" i="1"/>
  <c r="S712" i="1"/>
  <c r="P712" i="1"/>
  <c r="AR711" i="1"/>
  <c r="AM711" i="1"/>
  <c r="M711" i="1" s="1"/>
  <c r="AL711" i="1"/>
  <c r="AK711" i="1"/>
  <c r="X711" i="1"/>
  <c r="W711" i="1"/>
  <c r="S711" i="1"/>
  <c r="P711" i="1"/>
  <c r="AR710" i="1"/>
  <c r="AM710" i="1"/>
  <c r="M710" i="1" s="1"/>
  <c r="AL710" i="1"/>
  <c r="AK710" i="1"/>
  <c r="X710" i="1"/>
  <c r="W710" i="1"/>
  <c r="S710" i="1"/>
  <c r="P710" i="1"/>
  <c r="AR709" i="1"/>
  <c r="AM709" i="1"/>
  <c r="M709" i="1" s="1"/>
  <c r="AL709" i="1"/>
  <c r="AK709" i="1"/>
  <c r="X709" i="1"/>
  <c r="W709" i="1"/>
  <c r="S709" i="1"/>
  <c r="P709" i="1"/>
  <c r="AR708" i="1"/>
  <c r="AM708" i="1"/>
  <c r="M708" i="1" s="1"/>
  <c r="AL708" i="1"/>
  <c r="AK708" i="1"/>
  <c r="X708" i="1"/>
  <c r="W708" i="1"/>
  <c r="S708" i="1"/>
  <c r="P708" i="1"/>
  <c r="AR707" i="1"/>
  <c r="AM707" i="1"/>
  <c r="M707" i="1" s="1"/>
  <c r="AL707" i="1"/>
  <c r="AK707" i="1"/>
  <c r="X707" i="1"/>
  <c r="W707" i="1"/>
  <c r="S707" i="1"/>
  <c r="P707" i="1"/>
  <c r="AR706" i="1"/>
  <c r="AM706" i="1"/>
  <c r="M706" i="1" s="1"/>
  <c r="AL706" i="1"/>
  <c r="AK706" i="1"/>
  <c r="X706" i="1"/>
  <c r="W706" i="1"/>
  <c r="S706" i="1"/>
  <c r="P706" i="1"/>
  <c r="AR705" i="1"/>
  <c r="AM705" i="1"/>
  <c r="M705" i="1" s="1"/>
  <c r="AL705" i="1"/>
  <c r="AK705" i="1"/>
  <c r="X705" i="1"/>
  <c r="W705" i="1"/>
  <c r="S705" i="1"/>
  <c r="P705" i="1"/>
  <c r="AR704" i="1"/>
  <c r="AM704" i="1"/>
  <c r="M704" i="1" s="1"/>
  <c r="AL704" i="1"/>
  <c r="AK704" i="1"/>
  <c r="X704" i="1"/>
  <c r="W704" i="1"/>
  <c r="S704" i="1"/>
  <c r="P704" i="1"/>
  <c r="AR703" i="1"/>
  <c r="AM703" i="1"/>
  <c r="M703" i="1" s="1"/>
  <c r="AL703" i="1"/>
  <c r="AK703" i="1"/>
  <c r="X703" i="1"/>
  <c r="W703" i="1"/>
  <c r="S703" i="1"/>
  <c r="P703" i="1"/>
  <c r="AR702" i="1"/>
  <c r="AM702" i="1"/>
  <c r="M702" i="1" s="1"/>
  <c r="AL702" i="1"/>
  <c r="AK702" i="1"/>
  <c r="X702" i="1"/>
  <c r="W702" i="1"/>
  <c r="S702" i="1"/>
  <c r="P702" i="1"/>
  <c r="AR701" i="1"/>
  <c r="AM701" i="1"/>
  <c r="M701" i="1" s="1"/>
  <c r="AL701" i="1"/>
  <c r="AK701" i="1"/>
  <c r="X701" i="1"/>
  <c r="W701" i="1"/>
  <c r="S701" i="1"/>
  <c r="P701" i="1"/>
  <c r="AR724" i="1"/>
  <c r="AM724" i="1"/>
  <c r="M724" i="1" s="1"/>
  <c r="AL724" i="1"/>
  <c r="AK724" i="1"/>
  <c r="X724" i="1"/>
  <c r="W724" i="1"/>
  <c r="S724" i="1"/>
  <c r="P724" i="1"/>
  <c r="AR723" i="1"/>
  <c r="AM723" i="1"/>
  <c r="M723" i="1" s="1"/>
  <c r="AL723" i="1"/>
  <c r="AK723" i="1"/>
  <c r="X723" i="1"/>
  <c r="W723" i="1"/>
  <c r="S723" i="1"/>
  <c r="P723" i="1"/>
  <c r="AR722" i="1"/>
  <c r="AM722" i="1"/>
  <c r="M722" i="1" s="1"/>
  <c r="AL722" i="1"/>
  <c r="AK722" i="1"/>
  <c r="X722" i="1"/>
  <c r="W722" i="1"/>
  <c r="S722" i="1"/>
  <c r="P722" i="1"/>
  <c r="AR721" i="1"/>
  <c r="AM721" i="1"/>
  <c r="M721" i="1" s="1"/>
  <c r="AL721" i="1"/>
  <c r="AK721" i="1"/>
  <c r="X721" i="1"/>
  <c r="W721" i="1"/>
  <c r="S721" i="1"/>
  <c r="P721" i="1"/>
  <c r="AR720" i="1"/>
  <c r="AM720" i="1"/>
  <c r="M720" i="1" s="1"/>
  <c r="AL720" i="1"/>
  <c r="AK720" i="1"/>
  <c r="X720" i="1"/>
  <c r="W720" i="1"/>
  <c r="S720" i="1"/>
  <c r="P720" i="1"/>
  <c r="AR719" i="1"/>
  <c r="AM719" i="1"/>
  <c r="M719" i="1" s="1"/>
  <c r="AL719" i="1"/>
  <c r="AK719" i="1"/>
  <c r="X719" i="1"/>
  <c r="W719" i="1"/>
  <c r="S719" i="1"/>
  <c r="P719" i="1"/>
  <c r="AR718" i="1"/>
  <c r="AM718" i="1"/>
  <c r="M718" i="1" s="1"/>
  <c r="AL718" i="1"/>
  <c r="AK718" i="1"/>
  <c r="X718" i="1"/>
  <c r="W718" i="1"/>
  <c r="S718" i="1"/>
  <c r="P718" i="1"/>
  <c r="AR717" i="1"/>
  <c r="AM717" i="1"/>
  <c r="M717" i="1" s="1"/>
  <c r="AL717" i="1"/>
  <c r="AK717" i="1"/>
  <c r="X717" i="1"/>
  <c r="W717" i="1"/>
  <c r="S717" i="1"/>
  <c r="P717" i="1"/>
  <c r="AR716" i="1"/>
  <c r="AM716" i="1"/>
  <c r="M716" i="1" s="1"/>
  <c r="AL716" i="1"/>
  <c r="AK716" i="1"/>
  <c r="X716" i="1"/>
  <c r="W716" i="1"/>
  <c r="S716" i="1"/>
  <c r="P716" i="1"/>
  <c r="AR715" i="1"/>
  <c r="AM715" i="1"/>
  <c r="M715" i="1" s="1"/>
  <c r="AL715" i="1"/>
  <c r="AK715" i="1"/>
  <c r="X715" i="1"/>
  <c r="W715" i="1"/>
  <c r="S715" i="1"/>
  <c r="P715" i="1"/>
  <c r="AR714" i="1"/>
  <c r="AM714" i="1"/>
  <c r="M714" i="1" s="1"/>
  <c r="AL714" i="1"/>
  <c r="AK714" i="1"/>
  <c r="X714" i="1"/>
  <c r="W714" i="1"/>
  <c r="S714" i="1"/>
  <c r="P714" i="1"/>
  <c r="AR713" i="1"/>
  <c r="AM713" i="1"/>
  <c r="M713" i="1" s="1"/>
  <c r="AL713" i="1"/>
  <c r="AK713" i="1"/>
  <c r="X713" i="1"/>
  <c r="W713" i="1"/>
  <c r="S713" i="1"/>
  <c r="P713" i="1"/>
  <c r="AR736" i="1"/>
  <c r="AM736" i="1"/>
  <c r="M736" i="1" s="1"/>
  <c r="AL736" i="1"/>
  <c r="AK736" i="1"/>
  <c r="Z736" i="1"/>
  <c r="X736" i="1"/>
  <c r="W736" i="1"/>
  <c r="T736" i="1"/>
  <c r="V736" i="1" s="1"/>
  <c r="S736" i="1"/>
  <c r="P736" i="1"/>
  <c r="AR735" i="1"/>
  <c r="AM735" i="1"/>
  <c r="M735" i="1" s="1"/>
  <c r="AL735" i="1"/>
  <c r="AK735" i="1"/>
  <c r="Z735" i="1"/>
  <c r="X735" i="1"/>
  <c r="W735" i="1"/>
  <c r="T735" i="1"/>
  <c r="V735" i="1" s="1"/>
  <c r="S735" i="1"/>
  <c r="P735" i="1"/>
  <c r="AR734" i="1"/>
  <c r="AM734" i="1"/>
  <c r="M734" i="1" s="1"/>
  <c r="AL734" i="1"/>
  <c r="AK734" i="1"/>
  <c r="Z734" i="1"/>
  <c r="X734" i="1"/>
  <c r="W734" i="1"/>
  <c r="T734" i="1"/>
  <c r="V734" i="1" s="1"/>
  <c r="S734" i="1"/>
  <c r="P734" i="1"/>
  <c r="AR733" i="1"/>
  <c r="AM733" i="1"/>
  <c r="M733" i="1" s="1"/>
  <c r="AL733" i="1"/>
  <c r="AK733" i="1"/>
  <c r="Z733" i="1"/>
  <c r="X733" i="1"/>
  <c r="W733" i="1"/>
  <c r="T733" i="1"/>
  <c r="V733" i="1" s="1"/>
  <c r="S733" i="1"/>
  <c r="P733" i="1"/>
  <c r="AR732" i="1"/>
  <c r="AM732" i="1"/>
  <c r="M732" i="1" s="1"/>
  <c r="AL732" i="1"/>
  <c r="AK732" i="1"/>
  <c r="Z732" i="1"/>
  <c r="X732" i="1"/>
  <c r="W732" i="1"/>
  <c r="T732" i="1"/>
  <c r="V732" i="1" s="1"/>
  <c r="S732" i="1"/>
  <c r="P732" i="1"/>
  <c r="AR731" i="1"/>
  <c r="AM731" i="1"/>
  <c r="M731" i="1" s="1"/>
  <c r="AL731" i="1"/>
  <c r="AK731" i="1"/>
  <c r="Z731" i="1"/>
  <c r="X731" i="1"/>
  <c r="W731" i="1"/>
  <c r="T731" i="1"/>
  <c r="V731" i="1" s="1"/>
  <c r="S731" i="1"/>
  <c r="P731" i="1"/>
  <c r="AR730" i="1"/>
  <c r="AM730" i="1"/>
  <c r="M730" i="1" s="1"/>
  <c r="AL730" i="1"/>
  <c r="AK730" i="1"/>
  <c r="Z730" i="1"/>
  <c r="X730" i="1"/>
  <c r="W730" i="1"/>
  <c r="T730" i="1"/>
  <c r="V730" i="1" s="1"/>
  <c r="S730" i="1"/>
  <c r="P730" i="1"/>
  <c r="AR729" i="1"/>
  <c r="AM729" i="1"/>
  <c r="M729" i="1" s="1"/>
  <c r="AL729" i="1"/>
  <c r="AK729" i="1"/>
  <c r="Z729" i="1"/>
  <c r="X729" i="1"/>
  <c r="W729" i="1"/>
  <c r="T729" i="1"/>
  <c r="V729" i="1" s="1"/>
  <c r="S729" i="1"/>
  <c r="P729" i="1"/>
  <c r="AR728" i="1"/>
  <c r="AM728" i="1"/>
  <c r="M728" i="1" s="1"/>
  <c r="AL728" i="1"/>
  <c r="AK728" i="1"/>
  <c r="Z728" i="1"/>
  <c r="X728" i="1"/>
  <c r="W728" i="1"/>
  <c r="T728" i="1"/>
  <c r="V728" i="1" s="1"/>
  <c r="S728" i="1"/>
  <c r="P728" i="1"/>
  <c r="AR727" i="1"/>
  <c r="AM727" i="1"/>
  <c r="M727" i="1" s="1"/>
  <c r="AL727" i="1"/>
  <c r="AK727" i="1"/>
  <c r="Z727" i="1"/>
  <c r="X727" i="1"/>
  <c r="W727" i="1"/>
  <c r="T727" i="1"/>
  <c r="V727" i="1" s="1"/>
  <c r="S727" i="1"/>
  <c r="P727" i="1"/>
  <c r="AR726" i="1"/>
  <c r="AM726" i="1"/>
  <c r="M726" i="1" s="1"/>
  <c r="AL726" i="1"/>
  <c r="AK726" i="1"/>
  <c r="Z726" i="1"/>
  <c r="X726" i="1"/>
  <c r="W726" i="1"/>
  <c r="T726" i="1"/>
  <c r="V726" i="1" s="1"/>
  <c r="S726" i="1"/>
  <c r="P726" i="1"/>
  <c r="AR725" i="1"/>
  <c r="AM725" i="1"/>
  <c r="M725" i="1" s="1"/>
  <c r="AL725" i="1"/>
  <c r="AK725" i="1"/>
  <c r="Z725" i="1"/>
  <c r="X725" i="1"/>
  <c r="W725" i="1"/>
  <c r="T725" i="1"/>
  <c r="V725" i="1" s="1"/>
  <c r="S725" i="1"/>
  <c r="P725" i="1"/>
  <c r="AR744" i="1"/>
  <c r="AM744" i="1"/>
  <c r="M744" i="1" s="1"/>
  <c r="AL744" i="1"/>
  <c r="AK744" i="1"/>
  <c r="Z744" i="1"/>
  <c r="X744" i="1"/>
  <c r="W744" i="1"/>
  <c r="T744" i="1"/>
  <c r="V744" i="1" s="1"/>
  <c r="S744" i="1"/>
  <c r="P744" i="1"/>
  <c r="AR743" i="1"/>
  <c r="AM743" i="1"/>
  <c r="M743" i="1" s="1"/>
  <c r="AL743" i="1"/>
  <c r="AK743" i="1"/>
  <c r="Z743" i="1"/>
  <c r="X743" i="1"/>
  <c r="W743" i="1"/>
  <c r="T743" i="1"/>
  <c r="V743" i="1" s="1"/>
  <c r="S743" i="1"/>
  <c r="P743" i="1"/>
  <c r="AR742" i="1"/>
  <c r="AM742" i="1"/>
  <c r="M742" i="1" s="1"/>
  <c r="AL742" i="1"/>
  <c r="AK742" i="1"/>
  <c r="Z742" i="1"/>
  <c r="X742" i="1"/>
  <c r="W742" i="1"/>
  <c r="T742" i="1"/>
  <c r="V742" i="1" s="1"/>
  <c r="S742" i="1"/>
  <c r="P742" i="1"/>
  <c r="AR741" i="1"/>
  <c r="AM741" i="1"/>
  <c r="M741" i="1" s="1"/>
  <c r="AL741" i="1"/>
  <c r="AK741" i="1"/>
  <c r="Z741" i="1"/>
  <c r="X741" i="1"/>
  <c r="W741" i="1"/>
  <c r="T741" i="1"/>
  <c r="V741" i="1" s="1"/>
  <c r="S741" i="1"/>
  <c r="P741" i="1"/>
  <c r="AR740" i="1"/>
  <c r="AM740" i="1"/>
  <c r="M740" i="1" s="1"/>
  <c r="AL740" i="1"/>
  <c r="AK740" i="1"/>
  <c r="Z740" i="1"/>
  <c r="X740" i="1"/>
  <c r="W740" i="1"/>
  <c r="T740" i="1"/>
  <c r="V740" i="1" s="1"/>
  <c r="S740" i="1"/>
  <c r="P740" i="1"/>
  <c r="AR739" i="1"/>
  <c r="AM739" i="1"/>
  <c r="M739" i="1" s="1"/>
  <c r="AL739" i="1"/>
  <c r="AK739" i="1"/>
  <c r="Z739" i="1"/>
  <c r="X739" i="1"/>
  <c r="W739" i="1"/>
  <c r="T739" i="1"/>
  <c r="V739" i="1" s="1"/>
  <c r="S739" i="1"/>
  <c r="P739" i="1"/>
  <c r="AR738" i="1"/>
  <c r="AM738" i="1"/>
  <c r="M738" i="1" s="1"/>
  <c r="AL738" i="1"/>
  <c r="AK738" i="1"/>
  <c r="Z738" i="1"/>
  <c r="X738" i="1"/>
  <c r="W738" i="1"/>
  <c r="T738" i="1"/>
  <c r="V738" i="1" s="1"/>
  <c r="S738" i="1"/>
  <c r="P738" i="1"/>
  <c r="AR737" i="1"/>
  <c r="AM737" i="1"/>
  <c r="M737" i="1" s="1"/>
  <c r="AL737" i="1"/>
  <c r="AK737" i="1"/>
  <c r="Z737" i="1"/>
  <c r="X737" i="1"/>
  <c r="W737" i="1"/>
  <c r="T737" i="1"/>
  <c r="V737" i="1" s="1"/>
  <c r="S737" i="1"/>
  <c r="P737" i="1"/>
  <c r="Q431" i="1"/>
  <c r="AR430" i="1"/>
  <c r="AM430" i="1"/>
  <c r="M430" i="1" s="1"/>
  <c r="AL430" i="1"/>
  <c r="AK430" i="1"/>
  <c r="X430" i="1"/>
  <c r="W430" i="1"/>
  <c r="P430" i="1"/>
  <c r="AJ23" i="1"/>
  <c r="AJ22" i="1"/>
  <c r="P456" i="1"/>
  <c r="T704" i="1" l="1"/>
  <c r="V704" i="1" s="1"/>
  <c r="T712" i="1"/>
  <c r="V712" i="1" s="1"/>
  <c r="T711" i="1"/>
  <c r="V711" i="1" s="1"/>
  <c r="T705" i="1"/>
  <c r="V705" i="1" s="1"/>
  <c r="T697" i="1"/>
  <c r="V697" i="1" s="1"/>
  <c r="T688" i="1"/>
  <c r="V688" i="1" s="1"/>
  <c r="T683" i="1"/>
  <c r="V683" i="1" s="1"/>
  <c r="T714" i="1"/>
  <c r="V714" i="1" s="1"/>
  <c r="T722" i="1"/>
  <c r="V722" i="1" s="1"/>
  <c r="T706" i="1"/>
  <c r="V706" i="1" s="1"/>
  <c r="T690" i="1"/>
  <c r="V690" i="1" s="1"/>
  <c r="T698" i="1"/>
  <c r="V698" i="1" s="1"/>
  <c r="T715" i="1"/>
  <c r="V715" i="1" s="1"/>
  <c r="T723" i="1"/>
  <c r="V723" i="1" s="1"/>
  <c r="T707" i="1"/>
  <c r="V707" i="1" s="1"/>
  <c r="T691" i="1"/>
  <c r="V691" i="1" s="1"/>
  <c r="T699" i="1"/>
  <c r="V699" i="1" s="1"/>
  <c r="T682" i="1"/>
  <c r="V682" i="1" s="1"/>
  <c r="T716" i="1"/>
  <c r="V716" i="1" s="1"/>
  <c r="T724" i="1"/>
  <c r="V724" i="1" s="1"/>
  <c r="T708" i="1"/>
  <c r="V708" i="1" s="1"/>
  <c r="T692" i="1"/>
  <c r="V692" i="1" s="1"/>
  <c r="T700" i="1"/>
  <c r="V700" i="1" s="1"/>
  <c r="T717" i="1"/>
  <c r="V717" i="1" s="1"/>
  <c r="T701" i="1"/>
  <c r="V701" i="1" s="1"/>
  <c r="T709" i="1"/>
  <c r="V709" i="1" s="1"/>
  <c r="T693" i="1"/>
  <c r="V693" i="1" s="1"/>
  <c r="T684" i="1"/>
  <c r="V684" i="1" s="1"/>
  <c r="T718" i="1"/>
  <c r="V718" i="1" s="1"/>
  <c r="T702" i="1"/>
  <c r="V702" i="1" s="1"/>
  <c r="T710" i="1"/>
  <c r="V710" i="1" s="1"/>
  <c r="T694" i="1"/>
  <c r="V694" i="1" s="1"/>
  <c r="T685" i="1"/>
  <c r="V685" i="1" s="1"/>
  <c r="T719" i="1"/>
  <c r="V719" i="1" s="1"/>
  <c r="T703" i="1"/>
  <c r="V703" i="1" s="1"/>
  <c r="T695" i="1"/>
  <c r="V695" i="1" s="1"/>
  <c r="T686" i="1"/>
  <c r="V686" i="1" s="1"/>
  <c r="T720" i="1"/>
  <c r="V720" i="1" s="1"/>
  <c r="T696" i="1"/>
  <c r="V696" i="1" s="1"/>
  <c r="T687" i="1"/>
  <c r="V687" i="1" s="1"/>
  <c r="T713" i="1"/>
  <c r="V713" i="1" s="1"/>
  <c r="T721" i="1"/>
  <c r="V721" i="1" s="1"/>
  <c r="T689" i="1"/>
  <c r="V689" i="1" s="1"/>
  <c r="Y454" i="1"/>
  <c r="Y448" i="1"/>
  <c r="T678" i="1"/>
  <c r="V678" i="1" s="1"/>
  <c r="Y681" i="1"/>
  <c r="Z681" i="1" s="1"/>
  <c r="Y687" i="1"/>
  <c r="Y682" i="1"/>
  <c r="Y684" i="1"/>
  <c r="Y702" i="1"/>
  <c r="Y678" i="1"/>
  <c r="Y719" i="1"/>
  <c r="Y698" i="1"/>
  <c r="Y680" i="1"/>
  <c r="Z680" i="1" s="1"/>
  <c r="Y689" i="1"/>
  <c r="Y679" i="1"/>
  <c r="Y696" i="1"/>
  <c r="Y705" i="1"/>
  <c r="Y688" i="1"/>
  <c r="Y695" i="1"/>
  <c r="Y686" i="1"/>
  <c r="Y715" i="1"/>
  <c r="Y710" i="1"/>
  <c r="Y685" i="1"/>
  <c r="Y693" i="1"/>
  <c r="Y677" i="1"/>
  <c r="Z677" i="1" s="1"/>
  <c r="Y720" i="1"/>
  <c r="Y700" i="1"/>
  <c r="Y683" i="1"/>
  <c r="Y713" i="1"/>
  <c r="Y691" i="1"/>
  <c r="T679" i="1"/>
  <c r="V679" i="1" s="1"/>
  <c r="Y727" i="1"/>
  <c r="Y707" i="1"/>
  <c r="Y692" i="1"/>
  <c r="Y690" i="1"/>
  <c r="Y714" i="1"/>
  <c r="Y712" i="1"/>
  <c r="Y703" i="1"/>
  <c r="Y699" i="1"/>
  <c r="Y736" i="1"/>
  <c r="Y701" i="1"/>
  <c r="Y697" i="1"/>
  <c r="Y724" i="1"/>
  <c r="Y708" i="1"/>
  <c r="Y694" i="1"/>
  <c r="Y704" i="1"/>
  <c r="Y717" i="1"/>
  <c r="Y732" i="1"/>
  <c r="Y744" i="1"/>
  <c r="Y722" i="1"/>
  <c r="Y711" i="1"/>
  <c r="Y709" i="1"/>
  <c r="Y706" i="1"/>
  <c r="Y430" i="1"/>
  <c r="Y716" i="1"/>
  <c r="Y729" i="1"/>
  <c r="Y740" i="1"/>
  <c r="Y734" i="1"/>
  <c r="Y723" i="1"/>
  <c r="Y725" i="1"/>
  <c r="Y721" i="1"/>
  <c r="Y731" i="1"/>
  <c r="Y718" i="1"/>
  <c r="Y728" i="1"/>
  <c r="Y726" i="1"/>
  <c r="Y742" i="1"/>
  <c r="Y735" i="1"/>
  <c r="Y733" i="1"/>
  <c r="Y739" i="1"/>
  <c r="Y730" i="1"/>
  <c r="Y737" i="1"/>
  <c r="Y743" i="1"/>
  <c r="Y741" i="1"/>
  <c r="Y738" i="1"/>
  <c r="S430" i="1"/>
  <c r="P28" i="1"/>
  <c r="Z678" i="1" l="1"/>
  <c r="Z679" i="1"/>
  <c r="Z687" i="1"/>
  <c r="Z683" i="1"/>
  <c r="Z697" i="1"/>
  <c r="Z693" i="1"/>
  <c r="Z689" i="1"/>
  <c r="Z686" i="1"/>
  <c r="Z682" i="1"/>
  <c r="Z700" i="1"/>
  <c r="Z696" i="1"/>
  <c r="Z692" i="1"/>
  <c r="Z712" i="1"/>
  <c r="Z708" i="1"/>
  <c r="Z704" i="1"/>
  <c r="Z724" i="1"/>
  <c r="Z720" i="1"/>
  <c r="Z716" i="1"/>
  <c r="Z710" i="1"/>
  <c r="Z706" i="1"/>
  <c r="Z702" i="1"/>
  <c r="Z722" i="1"/>
  <c r="Z709" i="1"/>
  <c r="Z705" i="1"/>
  <c r="Z701" i="1"/>
  <c r="Z721" i="1"/>
  <c r="Z717" i="1"/>
  <c r="Z713" i="1"/>
  <c r="Z685" i="1"/>
  <c r="Z699" i="1"/>
  <c r="Z695" i="1"/>
  <c r="Z691" i="1"/>
  <c r="Z711" i="1"/>
  <c r="Z707" i="1"/>
  <c r="Z703" i="1"/>
  <c r="Z723" i="1"/>
  <c r="Z719" i="1"/>
  <c r="Z715" i="1"/>
  <c r="Z718" i="1"/>
  <c r="Z714" i="1"/>
  <c r="Z688" i="1"/>
  <c r="Z684" i="1"/>
  <c r="Z698" i="1"/>
  <c r="Z694" i="1"/>
  <c r="Z690" i="1"/>
  <c r="P33" i="1"/>
  <c r="P32" i="1"/>
  <c r="P31" i="1"/>
  <c r="P30" i="1"/>
  <c r="P29" i="1"/>
  <c r="P320" i="1" l="1"/>
  <c r="P660" i="1"/>
  <c r="P659" i="1"/>
  <c r="P658" i="1"/>
  <c r="P657" i="1"/>
  <c r="P648" i="1"/>
  <c r="AR570" i="1" l="1"/>
  <c r="AR569" i="1"/>
  <c r="AR568" i="1"/>
  <c r="AR567" i="1"/>
  <c r="AR558" i="1"/>
  <c r="AR557" i="1"/>
  <c r="AR556" i="1"/>
  <c r="AR555" i="1"/>
  <c r="AR554" i="1"/>
  <c r="AR553" i="1"/>
  <c r="AR548" i="1"/>
  <c r="AR547" i="1"/>
  <c r="P656" i="1"/>
  <c r="AR522" i="1" l="1"/>
  <c r="AR521" i="1"/>
  <c r="AR520" i="1"/>
  <c r="AR519" i="1"/>
  <c r="AR518" i="1"/>
  <c r="AR517" i="1"/>
  <c r="AR512" i="1"/>
  <c r="AR511" i="1"/>
  <c r="AR510" i="1"/>
  <c r="AR509" i="1"/>
  <c r="AR508" i="1"/>
  <c r="AR507" i="1"/>
  <c r="AR506" i="1"/>
  <c r="AR505" i="1"/>
  <c r="AR504" i="1"/>
  <c r="AR503" i="1"/>
  <c r="AR502" i="1"/>
  <c r="AR501" i="1"/>
  <c r="AR500" i="1"/>
  <c r="AR499" i="1"/>
  <c r="AR498" i="1"/>
  <c r="AR497" i="1"/>
  <c r="AR496" i="1"/>
  <c r="AR495" i="1"/>
  <c r="AR493" i="1"/>
  <c r="AR492" i="1"/>
  <c r="AR491" i="1"/>
  <c r="AR490" i="1"/>
  <c r="AR489" i="1"/>
  <c r="AR488" i="1"/>
  <c r="AR487" i="1"/>
  <c r="AR486" i="1"/>
  <c r="P485" i="1"/>
  <c r="AJ471" i="1"/>
  <c r="AJ470" i="1"/>
  <c r="AJ469" i="1"/>
  <c r="AJ458" i="1"/>
  <c r="AJ457" i="1"/>
  <c r="AJ462" i="1"/>
  <c r="AJ461" i="1"/>
  <c r="AJ460" i="1"/>
  <c r="AJ468" i="1"/>
  <c r="AJ467" i="1"/>
  <c r="AJ459" i="1"/>
  <c r="AR24" i="1"/>
  <c r="AM24" i="1"/>
  <c r="M24" i="1" s="1"/>
  <c r="AL24" i="1"/>
  <c r="AK24" i="1"/>
  <c r="AJ24" i="1" s="1"/>
  <c r="X24" i="1"/>
  <c r="W24" i="1"/>
  <c r="S24" i="1"/>
  <c r="P24" i="1"/>
  <c r="Y24" i="1" l="1"/>
  <c r="Q538" i="1" l="1"/>
  <c r="AR541" i="1"/>
  <c r="AM541" i="1"/>
  <c r="M541" i="1" s="1"/>
  <c r="AL541" i="1"/>
  <c r="AK541" i="1"/>
  <c r="W541" i="1"/>
  <c r="S541" i="1"/>
  <c r="P541" i="1"/>
  <c r="Q536" i="1"/>
  <c r="AR539" i="1"/>
  <c r="AM539" i="1"/>
  <c r="M539" i="1" s="1"/>
  <c r="AL539" i="1"/>
  <c r="AK539" i="1"/>
  <c r="W539" i="1"/>
  <c r="S539" i="1"/>
  <c r="P539" i="1"/>
  <c r="AL8" i="1"/>
  <c r="P522" i="1"/>
  <c r="P521" i="1"/>
  <c r="Q540" i="1"/>
  <c r="AR537" i="1"/>
  <c r="AM537" i="1"/>
  <c r="M537" i="1" s="1"/>
  <c r="AL537" i="1"/>
  <c r="AK537" i="1"/>
  <c r="W537" i="1"/>
  <c r="S537" i="1"/>
  <c r="P537" i="1"/>
  <c r="AM8" i="1" l="1"/>
  <c r="M9" i="1" l="1"/>
  <c r="M10" i="1"/>
  <c r="M11" i="1"/>
  <c r="M12" i="1"/>
  <c r="M21" i="1"/>
  <c r="M68" i="1"/>
  <c r="M50" i="1"/>
  <c r="M74" i="1"/>
  <c r="M75" i="1"/>
  <c r="M76" i="1"/>
  <c r="M77" i="1"/>
  <c r="M78" i="1"/>
  <c r="M85" i="1"/>
  <c r="M86" i="1"/>
  <c r="M96" i="1"/>
  <c r="M104" i="1"/>
  <c r="M107" i="1"/>
  <c r="M127" i="1"/>
  <c r="M137" i="1"/>
  <c r="M139" i="1"/>
  <c r="M92" i="1"/>
  <c r="M93" i="1"/>
  <c r="M126" i="1"/>
  <c r="M129" i="1"/>
  <c r="M130" i="1"/>
  <c r="M131" i="1"/>
  <c r="M135" i="1"/>
  <c r="M136" i="1"/>
  <c r="M193" i="1"/>
  <c r="M214" i="1"/>
  <c r="M273" i="1"/>
  <c r="M379" i="1"/>
  <c r="M380" i="1"/>
  <c r="M381" i="1"/>
  <c r="M382" i="1"/>
  <c r="M459" i="1"/>
  <c r="M467" i="1"/>
  <c r="M468" i="1"/>
  <c r="M457" i="1"/>
  <c r="M458" i="1"/>
  <c r="M469" i="1"/>
  <c r="M470" i="1"/>
  <c r="M471" i="1"/>
  <c r="Q573" i="1"/>
  <c r="AR572" i="1"/>
  <c r="AM572" i="1"/>
  <c r="M572" i="1" s="1"/>
  <c r="AL572" i="1"/>
  <c r="AK572" i="1"/>
  <c r="W572" i="1"/>
  <c r="S572" i="1"/>
  <c r="P572" i="1"/>
  <c r="P25" i="1"/>
  <c r="AM25" i="1" l="1"/>
  <c r="M25" i="1" s="1"/>
  <c r="AR453" i="1" l="1"/>
  <c r="AM453" i="1"/>
  <c r="M453" i="1" s="1"/>
  <c r="AL453" i="1"/>
  <c r="AK453" i="1"/>
  <c r="AJ453" i="1" s="1"/>
  <c r="W453" i="1"/>
  <c r="S453" i="1"/>
  <c r="P453" i="1"/>
  <c r="AR447" i="1"/>
  <c r="AM447" i="1"/>
  <c r="M447" i="1" s="1"/>
  <c r="AL447" i="1"/>
  <c r="AK447" i="1"/>
  <c r="AJ447" i="1" s="1"/>
  <c r="W447" i="1"/>
  <c r="S447" i="1"/>
  <c r="P447" i="1"/>
  <c r="AR451" i="1"/>
  <c r="Q452" i="1"/>
  <c r="Q446" i="1"/>
  <c r="AM451" i="1"/>
  <c r="M451" i="1" s="1"/>
  <c r="AL451" i="1"/>
  <c r="AK451" i="1"/>
  <c r="AJ451" i="1" s="1"/>
  <c r="W451" i="1"/>
  <c r="S451" i="1"/>
  <c r="P451" i="1"/>
  <c r="AR445" i="1"/>
  <c r="AM445" i="1"/>
  <c r="M445" i="1" s="1"/>
  <c r="AL445" i="1"/>
  <c r="AK445" i="1"/>
  <c r="AJ445" i="1" s="1"/>
  <c r="W445" i="1"/>
  <c r="S445" i="1"/>
  <c r="P445" i="1"/>
  <c r="AR429" i="1"/>
  <c r="AM429" i="1"/>
  <c r="M429" i="1" s="1"/>
  <c r="AL429" i="1"/>
  <c r="AK429" i="1"/>
  <c r="W429" i="1"/>
  <c r="S429" i="1"/>
  <c r="P429" i="1"/>
  <c r="AR417" i="1"/>
  <c r="AM417" i="1"/>
  <c r="M417" i="1" s="1"/>
  <c r="AL417" i="1"/>
  <c r="AK417" i="1"/>
  <c r="AJ417" i="1" s="1"/>
  <c r="W417" i="1"/>
  <c r="S417" i="1"/>
  <c r="P417" i="1"/>
  <c r="AR308" i="1"/>
  <c r="AR147" i="1"/>
  <c r="AR146" i="1"/>
  <c r="AR332" i="1"/>
  <c r="AR419" i="1"/>
  <c r="Q421" i="1"/>
  <c r="S421" i="1" s="1"/>
  <c r="AR421" i="1"/>
  <c r="AM421" i="1"/>
  <c r="M421" i="1" s="1"/>
  <c r="AL421" i="1"/>
  <c r="AK421" i="1"/>
  <c r="AJ421" i="1" s="1"/>
  <c r="W421" i="1"/>
  <c r="P421" i="1"/>
  <c r="AR413" i="1"/>
  <c r="AR399" i="1"/>
  <c r="AR404" i="1"/>
  <c r="AR406" i="1"/>
  <c r="AR407" i="1"/>
  <c r="AR408" i="1"/>
  <c r="AR411" i="1"/>
  <c r="AR412" i="1"/>
  <c r="AR409" i="1"/>
  <c r="AR410" i="1"/>
  <c r="AR405" i="1"/>
  <c r="AR397" i="1"/>
  <c r="AR396" i="1"/>
  <c r="AR398" i="1"/>
  <c r="AJ9" i="1"/>
  <c r="AJ10" i="1"/>
  <c r="AJ11" i="1"/>
  <c r="AJ12" i="1"/>
  <c r="AM330" i="1"/>
  <c r="M330" i="1" s="1"/>
  <c r="AL330" i="1"/>
  <c r="AK330" i="1"/>
  <c r="AM319" i="1"/>
  <c r="M319" i="1" s="1"/>
  <c r="AL319" i="1"/>
  <c r="AK319" i="1"/>
  <c r="AM318" i="1"/>
  <c r="M318" i="1" s="1"/>
  <c r="AL318" i="1"/>
  <c r="AK318" i="1"/>
  <c r="AM317" i="1"/>
  <c r="M317" i="1" s="1"/>
  <c r="AL317" i="1"/>
  <c r="AK317" i="1"/>
  <c r="AM316" i="1"/>
  <c r="M316" i="1" s="1"/>
  <c r="AL316" i="1"/>
  <c r="AK316" i="1"/>
  <c r="AM315" i="1"/>
  <c r="M315" i="1" s="1"/>
  <c r="AL315" i="1"/>
  <c r="AK315" i="1"/>
  <c r="AM311" i="1"/>
  <c r="M311" i="1" s="1"/>
  <c r="AL311" i="1"/>
  <c r="AK311" i="1"/>
  <c r="AM310" i="1"/>
  <c r="M310" i="1" s="1"/>
  <c r="AL310" i="1"/>
  <c r="AK310" i="1"/>
  <c r="AM309" i="1"/>
  <c r="M309" i="1" s="1"/>
  <c r="AL309" i="1"/>
  <c r="AK309" i="1"/>
  <c r="AM322" i="1"/>
  <c r="M322" i="1" s="1"/>
  <c r="AL322" i="1"/>
  <c r="AK322" i="1"/>
  <c r="AM321" i="1"/>
  <c r="M321" i="1" s="1"/>
  <c r="AL321" i="1"/>
  <c r="AK321" i="1"/>
  <c r="AM320" i="1"/>
  <c r="M320" i="1" s="1"/>
  <c r="AL320" i="1"/>
  <c r="AK320" i="1"/>
  <c r="AM314" i="1"/>
  <c r="M314" i="1" s="1"/>
  <c r="AL314" i="1"/>
  <c r="AK314" i="1"/>
  <c r="AM313" i="1"/>
  <c r="M313" i="1" s="1"/>
  <c r="AL313" i="1"/>
  <c r="AK313" i="1"/>
  <c r="AM312" i="1"/>
  <c r="M312" i="1" s="1"/>
  <c r="AL312" i="1"/>
  <c r="AK312" i="1"/>
  <c r="AM327" i="1"/>
  <c r="M327" i="1" s="1"/>
  <c r="AL327" i="1"/>
  <c r="AK327" i="1"/>
  <c r="AM300" i="1"/>
  <c r="M300" i="1" s="1"/>
  <c r="AL300" i="1"/>
  <c r="AK300" i="1"/>
  <c r="AM292" i="1"/>
  <c r="M292" i="1" s="1"/>
  <c r="AL292" i="1"/>
  <c r="AK292" i="1"/>
  <c r="AM290" i="1"/>
  <c r="M290" i="1" s="1"/>
  <c r="AL290" i="1"/>
  <c r="AK290" i="1"/>
  <c r="AM298" i="1"/>
  <c r="M298" i="1" s="1"/>
  <c r="AL298" i="1"/>
  <c r="AK298" i="1"/>
  <c r="AM294" i="1"/>
  <c r="M294" i="1" s="1"/>
  <c r="AL294" i="1"/>
  <c r="AK294" i="1"/>
  <c r="AM291" i="1"/>
  <c r="M291" i="1" s="1"/>
  <c r="AL291" i="1"/>
  <c r="AK291" i="1"/>
  <c r="AM302" i="1"/>
  <c r="M302" i="1" s="1"/>
  <c r="AL302" i="1"/>
  <c r="AK302" i="1"/>
  <c r="AM255" i="1"/>
  <c r="M255" i="1" s="1"/>
  <c r="AL255" i="1"/>
  <c r="AK255" i="1"/>
  <c r="AM272" i="1"/>
  <c r="M272" i="1" s="1"/>
  <c r="AL272" i="1"/>
  <c r="AK272" i="1"/>
  <c r="AM267" i="1"/>
  <c r="M267" i="1" s="1"/>
  <c r="AL267" i="1"/>
  <c r="AK267" i="1"/>
  <c r="AM271" i="1"/>
  <c r="M271" i="1" s="1"/>
  <c r="AL271" i="1"/>
  <c r="AK271" i="1"/>
  <c r="AM263" i="1"/>
  <c r="M263" i="1" s="1"/>
  <c r="AL263" i="1"/>
  <c r="AK263" i="1"/>
  <c r="AM258" i="1"/>
  <c r="M258" i="1" s="1"/>
  <c r="AL258" i="1"/>
  <c r="AK258" i="1"/>
  <c r="AM256" i="1"/>
  <c r="M256" i="1" s="1"/>
  <c r="AL256" i="1"/>
  <c r="AK256" i="1"/>
  <c r="AM262" i="1"/>
  <c r="M262" i="1" s="1"/>
  <c r="AL262" i="1"/>
  <c r="AK262" i="1"/>
  <c r="AM261" i="1"/>
  <c r="M261" i="1" s="1"/>
  <c r="AL261" i="1"/>
  <c r="AK261" i="1"/>
  <c r="AM259" i="1"/>
  <c r="M259" i="1" s="1"/>
  <c r="AL259" i="1"/>
  <c r="AK259" i="1"/>
  <c r="AM252" i="1"/>
  <c r="M252" i="1" s="1"/>
  <c r="AL252" i="1"/>
  <c r="AK252" i="1"/>
  <c r="AM251" i="1"/>
  <c r="M251" i="1" s="1"/>
  <c r="AL251" i="1"/>
  <c r="AK251" i="1"/>
  <c r="AM250" i="1"/>
  <c r="M250" i="1" s="1"/>
  <c r="AL250" i="1"/>
  <c r="AK250" i="1"/>
  <c r="AM249" i="1"/>
  <c r="M249" i="1" s="1"/>
  <c r="AL249" i="1"/>
  <c r="AK249" i="1"/>
  <c r="AM248" i="1"/>
  <c r="M248" i="1" s="1"/>
  <c r="AL248" i="1"/>
  <c r="AK248" i="1"/>
  <c r="AM247" i="1"/>
  <c r="M247" i="1" s="1"/>
  <c r="AL247" i="1"/>
  <c r="AK247" i="1"/>
  <c r="AM246" i="1"/>
  <c r="M246" i="1" s="1"/>
  <c r="AL246" i="1"/>
  <c r="AK246" i="1"/>
  <c r="AM245" i="1"/>
  <c r="M245" i="1" s="1"/>
  <c r="AL245" i="1"/>
  <c r="AK245" i="1"/>
  <c r="AM244" i="1"/>
  <c r="M244" i="1" s="1"/>
  <c r="AL244" i="1"/>
  <c r="AK244" i="1"/>
  <c r="AM243" i="1"/>
  <c r="M243" i="1" s="1"/>
  <c r="AL243" i="1"/>
  <c r="AK243" i="1"/>
  <c r="AM242" i="1"/>
  <c r="M242" i="1" s="1"/>
  <c r="AL242" i="1"/>
  <c r="AK242" i="1"/>
  <c r="AM241" i="1"/>
  <c r="M241" i="1" s="1"/>
  <c r="AL241" i="1"/>
  <c r="AK241" i="1"/>
  <c r="AM240" i="1"/>
  <c r="M240" i="1" s="1"/>
  <c r="AL240" i="1"/>
  <c r="AK240" i="1"/>
  <c r="AM239" i="1"/>
  <c r="M239" i="1" s="1"/>
  <c r="AL239" i="1"/>
  <c r="AK239" i="1"/>
  <c r="AM238" i="1"/>
  <c r="M238" i="1" s="1"/>
  <c r="AL238" i="1"/>
  <c r="AK238" i="1"/>
  <c r="AM237" i="1"/>
  <c r="M237" i="1" s="1"/>
  <c r="AL237" i="1"/>
  <c r="AK237" i="1"/>
  <c r="AM236" i="1"/>
  <c r="M236" i="1" s="1"/>
  <c r="AL236" i="1"/>
  <c r="AK236" i="1"/>
  <c r="AM231" i="1"/>
  <c r="M231" i="1" s="1"/>
  <c r="AL231" i="1"/>
  <c r="AK231" i="1"/>
  <c r="AM230" i="1"/>
  <c r="M230" i="1" s="1"/>
  <c r="AL230" i="1"/>
  <c r="AK230" i="1"/>
  <c r="AM229" i="1"/>
  <c r="M229" i="1" s="1"/>
  <c r="AL229" i="1"/>
  <c r="AK229" i="1"/>
  <c r="AM228" i="1"/>
  <c r="M228" i="1" s="1"/>
  <c r="AL228" i="1"/>
  <c r="AK228" i="1"/>
  <c r="AM220" i="1"/>
  <c r="M220" i="1" s="1"/>
  <c r="AL220" i="1"/>
  <c r="AK220" i="1"/>
  <c r="AM212" i="1"/>
  <c r="M212" i="1" s="1"/>
  <c r="AL212" i="1"/>
  <c r="AK212" i="1"/>
  <c r="AM210" i="1"/>
  <c r="M210" i="1" s="1"/>
  <c r="AL210" i="1"/>
  <c r="AK210" i="1"/>
  <c r="AM209" i="1"/>
  <c r="M209" i="1" s="1"/>
  <c r="AL209" i="1"/>
  <c r="AK209" i="1"/>
  <c r="AM208" i="1"/>
  <c r="M208" i="1" s="1"/>
  <c r="AL208" i="1"/>
  <c r="AK208" i="1"/>
  <c r="AM207" i="1"/>
  <c r="M207" i="1" s="1"/>
  <c r="AL207" i="1"/>
  <c r="AK207" i="1"/>
  <c r="AM205" i="1"/>
  <c r="M205" i="1" s="1"/>
  <c r="AL205" i="1"/>
  <c r="AK205" i="1"/>
  <c r="AM203" i="1"/>
  <c r="M203" i="1" s="1"/>
  <c r="AL203" i="1"/>
  <c r="AK203" i="1"/>
  <c r="AM198" i="1"/>
  <c r="M198" i="1" s="1"/>
  <c r="AL198" i="1"/>
  <c r="AK198" i="1"/>
  <c r="AM222" i="1"/>
  <c r="M222" i="1" s="1"/>
  <c r="AL222" i="1"/>
  <c r="AK222" i="1"/>
  <c r="AM221" i="1"/>
  <c r="M221" i="1" s="1"/>
  <c r="AL221" i="1"/>
  <c r="AK221" i="1"/>
  <c r="AM219" i="1"/>
  <c r="M219" i="1" s="1"/>
  <c r="AL219" i="1"/>
  <c r="AK219" i="1"/>
  <c r="AM216" i="1"/>
  <c r="M216" i="1" s="1"/>
  <c r="AL216" i="1"/>
  <c r="AK216" i="1"/>
  <c r="AM200" i="1"/>
  <c r="M200" i="1" s="1"/>
  <c r="AL200" i="1"/>
  <c r="AK200" i="1"/>
  <c r="AM194" i="1"/>
  <c r="M194" i="1" s="1"/>
  <c r="AL194" i="1"/>
  <c r="AK194" i="1"/>
  <c r="AK224" i="1"/>
  <c r="AL224" i="1"/>
  <c r="AM224" i="1"/>
  <c r="M224" i="1" s="1"/>
  <c r="AK225" i="1"/>
  <c r="AL225" i="1"/>
  <c r="AM225" i="1"/>
  <c r="M225" i="1" s="1"/>
  <c r="AK226" i="1"/>
  <c r="AL226" i="1"/>
  <c r="AM226" i="1"/>
  <c r="M226" i="1" s="1"/>
  <c r="AM197" i="1"/>
  <c r="M197" i="1" s="1"/>
  <c r="AL197" i="1"/>
  <c r="AK197" i="1"/>
  <c r="AK149" i="1"/>
  <c r="AL149" i="1"/>
  <c r="AM149" i="1"/>
  <c r="M149" i="1" s="1"/>
  <c r="AK150" i="1"/>
  <c r="AL150" i="1"/>
  <c r="AM150" i="1"/>
  <c r="M150" i="1" s="1"/>
  <c r="AK151" i="1"/>
  <c r="AL151" i="1"/>
  <c r="AM151" i="1"/>
  <c r="M151" i="1" s="1"/>
  <c r="AK152" i="1"/>
  <c r="AL152" i="1"/>
  <c r="AM152" i="1"/>
  <c r="M152" i="1" s="1"/>
  <c r="AK153" i="1"/>
  <c r="AL153" i="1"/>
  <c r="AM153" i="1"/>
  <c r="M153" i="1" s="1"/>
  <c r="AK154" i="1"/>
  <c r="AL154" i="1"/>
  <c r="AM154" i="1"/>
  <c r="M154" i="1" s="1"/>
  <c r="AK155" i="1"/>
  <c r="AL155" i="1"/>
  <c r="AM155" i="1"/>
  <c r="M155" i="1" s="1"/>
  <c r="AK156" i="1"/>
  <c r="AL156" i="1"/>
  <c r="AM156" i="1"/>
  <c r="M156" i="1" s="1"/>
  <c r="AK157" i="1"/>
  <c r="AL157" i="1"/>
  <c r="AM157" i="1"/>
  <c r="M157" i="1" s="1"/>
  <c r="AK158" i="1"/>
  <c r="AL158" i="1"/>
  <c r="AM158" i="1"/>
  <c r="M158" i="1" s="1"/>
  <c r="AK159" i="1"/>
  <c r="AL159" i="1"/>
  <c r="AM159" i="1"/>
  <c r="M159" i="1" s="1"/>
  <c r="AK160" i="1"/>
  <c r="AL160" i="1"/>
  <c r="AM160" i="1"/>
  <c r="M160" i="1" s="1"/>
  <c r="AK161" i="1"/>
  <c r="AL161" i="1"/>
  <c r="AM161" i="1"/>
  <c r="M161" i="1" s="1"/>
  <c r="AK162" i="1"/>
  <c r="AL162" i="1"/>
  <c r="AM162" i="1"/>
  <c r="M162" i="1" s="1"/>
  <c r="AK163" i="1"/>
  <c r="AL163" i="1"/>
  <c r="AM163" i="1"/>
  <c r="M163" i="1" s="1"/>
  <c r="AK164" i="1"/>
  <c r="AL164" i="1"/>
  <c r="AM164" i="1"/>
  <c r="M164" i="1" s="1"/>
  <c r="AK165" i="1"/>
  <c r="AL165" i="1"/>
  <c r="AM165" i="1"/>
  <c r="M165" i="1" s="1"/>
  <c r="AK166" i="1"/>
  <c r="AL166" i="1"/>
  <c r="AM166" i="1"/>
  <c r="M166" i="1" s="1"/>
  <c r="AK167" i="1"/>
  <c r="AL167" i="1"/>
  <c r="AM167" i="1"/>
  <c r="M167" i="1" s="1"/>
  <c r="AK168" i="1"/>
  <c r="AL168" i="1"/>
  <c r="AM168" i="1"/>
  <c r="M168" i="1" s="1"/>
  <c r="AK169" i="1"/>
  <c r="AL169" i="1"/>
  <c r="AM169" i="1"/>
  <c r="M169" i="1" s="1"/>
  <c r="AK170" i="1"/>
  <c r="AL170" i="1"/>
  <c r="AM170" i="1"/>
  <c r="M170" i="1" s="1"/>
  <c r="AK171" i="1"/>
  <c r="AL171" i="1"/>
  <c r="AM171" i="1"/>
  <c r="M171" i="1" s="1"/>
  <c r="AK172" i="1"/>
  <c r="AL172" i="1"/>
  <c r="AM172" i="1"/>
  <c r="M172" i="1" s="1"/>
  <c r="AK173" i="1"/>
  <c r="AL173" i="1"/>
  <c r="AM173" i="1"/>
  <c r="M173" i="1" s="1"/>
  <c r="AK174" i="1"/>
  <c r="AL174" i="1"/>
  <c r="AM174" i="1"/>
  <c r="M174" i="1" s="1"/>
  <c r="AK175" i="1"/>
  <c r="AL175" i="1"/>
  <c r="AM175" i="1"/>
  <c r="M175" i="1" s="1"/>
  <c r="AK176" i="1"/>
  <c r="AL176" i="1"/>
  <c r="AM176" i="1"/>
  <c r="M176" i="1" s="1"/>
  <c r="AK177" i="1"/>
  <c r="AL177" i="1"/>
  <c r="AM177" i="1"/>
  <c r="M177" i="1" s="1"/>
  <c r="AK178" i="1"/>
  <c r="AL178" i="1"/>
  <c r="AM178" i="1"/>
  <c r="M178" i="1" s="1"/>
  <c r="AK179" i="1"/>
  <c r="AL179" i="1"/>
  <c r="AM179" i="1"/>
  <c r="M179" i="1" s="1"/>
  <c r="AK180" i="1"/>
  <c r="AL180" i="1"/>
  <c r="AM180" i="1"/>
  <c r="M180" i="1" s="1"/>
  <c r="AK181" i="1"/>
  <c r="AL181" i="1"/>
  <c r="AM181" i="1"/>
  <c r="M181" i="1" s="1"/>
  <c r="AK182" i="1"/>
  <c r="AL182" i="1"/>
  <c r="AM182" i="1"/>
  <c r="M182" i="1" s="1"/>
  <c r="AK183" i="1"/>
  <c r="AL183" i="1"/>
  <c r="AM183" i="1"/>
  <c r="M183" i="1" s="1"/>
  <c r="AK184" i="1"/>
  <c r="AL184" i="1"/>
  <c r="AM184" i="1"/>
  <c r="M184" i="1" s="1"/>
  <c r="AK185" i="1"/>
  <c r="AL185" i="1"/>
  <c r="AM185" i="1"/>
  <c r="M185" i="1" s="1"/>
  <c r="AK186" i="1"/>
  <c r="AL186" i="1"/>
  <c r="AM186" i="1"/>
  <c r="M186" i="1" s="1"/>
  <c r="AK187" i="1"/>
  <c r="AL187" i="1"/>
  <c r="AM187" i="1"/>
  <c r="M187" i="1" s="1"/>
  <c r="AK188" i="1"/>
  <c r="AL188" i="1"/>
  <c r="AM188" i="1"/>
  <c r="M188" i="1" s="1"/>
  <c r="AK189" i="1"/>
  <c r="AL189" i="1"/>
  <c r="AM189" i="1"/>
  <c r="M189" i="1" s="1"/>
  <c r="AM148" i="1"/>
  <c r="M148" i="1" s="1"/>
  <c r="AL148" i="1"/>
  <c r="AK148" i="1"/>
  <c r="AM144" i="1"/>
  <c r="M144" i="1" s="1"/>
  <c r="AL144" i="1"/>
  <c r="AK144" i="1"/>
  <c r="AM143" i="1"/>
  <c r="M143" i="1" s="1"/>
  <c r="AL143" i="1"/>
  <c r="AK143" i="1"/>
  <c r="AM142" i="1"/>
  <c r="M142" i="1" s="1"/>
  <c r="AL142" i="1"/>
  <c r="AK142" i="1"/>
  <c r="AM123" i="1"/>
  <c r="M123" i="1" s="1"/>
  <c r="AL123" i="1"/>
  <c r="AK123" i="1"/>
  <c r="AM141" i="1"/>
  <c r="M141" i="1" s="1"/>
  <c r="AL141" i="1"/>
  <c r="AK141" i="1"/>
  <c r="AM98" i="1"/>
  <c r="M98" i="1" s="1"/>
  <c r="AL98" i="1"/>
  <c r="AK98" i="1"/>
  <c r="AM89" i="1"/>
  <c r="M89" i="1" s="1"/>
  <c r="AL89" i="1"/>
  <c r="AK89" i="1"/>
  <c r="AM140" i="1"/>
  <c r="M140" i="1" s="1"/>
  <c r="AL140" i="1"/>
  <c r="AK140" i="1"/>
  <c r="AM128" i="1"/>
  <c r="M128" i="1" s="1"/>
  <c r="AL128" i="1"/>
  <c r="AK128" i="1"/>
  <c r="AM115" i="1"/>
  <c r="M115" i="1" s="1"/>
  <c r="AL115" i="1"/>
  <c r="AK115" i="1"/>
  <c r="AM109" i="1"/>
  <c r="M109" i="1" s="1"/>
  <c r="AL109" i="1"/>
  <c r="AK109" i="1"/>
  <c r="AM108" i="1"/>
  <c r="M108" i="1" s="1"/>
  <c r="AL108" i="1"/>
  <c r="AK108" i="1"/>
  <c r="AM105" i="1"/>
  <c r="M105" i="1" s="1"/>
  <c r="AL105" i="1"/>
  <c r="AK105" i="1"/>
  <c r="AM103" i="1"/>
  <c r="M103" i="1" s="1"/>
  <c r="AL103" i="1"/>
  <c r="AK103" i="1"/>
  <c r="AM97" i="1"/>
  <c r="M97" i="1" s="1"/>
  <c r="AL97" i="1"/>
  <c r="AK97" i="1"/>
  <c r="AM95" i="1"/>
  <c r="M95" i="1" s="1"/>
  <c r="AL95" i="1"/>
  <c r="AK95" i="1"/>
  <c r="AM122" i="1"/>
  <c r="M122" i="1" s="1"/>
  <c r="AL122" i="1"/>
  <c r="AK122" i="1"/>
  <c r="AM119" i="1"/>
  <c r="M119" i="1" s="1"/>
  <c r="AL119" i="1"/>
  <c r="AK119" i="1"/>
  <c r="AM134" i="1"/>
  <c r="M134" i="1" s="1"/>
  <c r="AL134" i="1"/>
  <c r="AK134" i="1"/>
  <c r="AM133" i="1"/>
  <c r="M133" i="1" s="1"/>
  <c r="AL133" i="1"/>
  <c r="AK133" i="1"/>
  <c r="AM132" i="1"/>
  <c r="M132" i="1" s="1"/>
  <c r="AL132" i="1"/>
  <c r="AK132" i="1"/>
  <c r="AM125" i="1"/>
  <c r="M125" i="1" s="1"/>
  <c r="AL125" i="1"/>
  <c r="AK125" i="1"/>
  <c r="AM124" i="1"/>
  <c r="M124" i="1" s="1"/>
  <c r="AL124" i="1"/>
  <c r="AK124" i="1"/>
  <c r="AM121" i="1"/>
  <c r="M121" i="1" s="1"/>
  <c r="AL121" i="1"/>
  <c r="AK121" i="1"/>
  <c r="AM120" i="1"/>
  <c r="M120" i="1" s="1"/>
  <c r="AL120" i="1"/>
  <c r="AK120" i="1"/>
  <c r="AM117" i="1"/>
  <c r="M117" i="1" s="1"/>
  <c r="AL117" i="1"/>
  <c r="AK117" i="1"/>
  <c r="AM116" i="1"/>
  <c r="M116" i="1" s="1"/>
  <c r="AL116" i="1"/>
  <c r="AK116" i="1"/>
  <c r="AM113" i="1"/>
  <c r="M113" i="1" s="1"/>
  <c r="AL113" i="1"/>
  <c r="AK113" i="1"/>
  <c r="AM111" i="1"/>
  <c r="M111" i="1" s="1"/>
  <c r="AL111" i="1"/>
  <c r="AK111" i="1"/>
  <c r="AM94" i="1"/>
  <c r="M94" i="1" s="1"/>
  <c r="AL94" i="1"/>
  <c r="AK94" i="1"/>
  <c r="AM114" i="1"/>
  <c r="M114" i="1" s="1"/>
  <c r="AL114" i="1"/>
  <c r="AK114" i="1"/>
  <c r="AM101" i="1"/>
  <c r="M101" i="1" s="1"/>
  <c r="AL101" i="1"/>
  <c r="AK101" i="1"/>
  <c r="AM118" i="1"/>
  <c r="M118" i="1" s="1"/>
  <c r="AL118" i="1"/>
  <c r="AK118" i="1"/>
  <c r="AM110" i="1"/>
  <c r="M110" i="1" s="1"/>
  <c r="AL110" i="1"/>
  <c r="AK110" i="1"/>
  <c r="AM106" i="1"/>
  <c r="M106" i="1" s="1"/>
  <c r="AL106" i="1"/>
  <c r="AK106" i="1"/>
  <c r="AM102" i="1"/>
  <c r="M102" i="1" s="1"/>
  <c r="AL102" i="1"/>
  <c r="AK102" i="1"/>
  <c r="AM90" i="1"/>
  <c r="M90" i="1" s="1"/>
  <c r="AL90" i="1"/>
  <c r="AK90" i="1"/>
  <c r="AM88" i="1"/>
  <c r="M88" i="1" s="1"/>
  <c r="AL88" i="1"/>
  <c r="AK88" i="1"/>
  <c r="AM70" i="1"/>
  <c r="M70" i="1" s="1"/>
  <c r="AL70" i="1"/>
  <c r="AK70" i="1"/>
  <c r="AM69" i="1"/>
  <c r="M69" i="1" s="1"/>
  <c r="AL69" i="1"/>
  <c r="AK69" i="1"/>
  <c r="AM80" i="1"/>
  <c r="M80" i="1" s="1"/>
  <c r="AL80" i="1"/>
  <c r="AK80" i="1"/>
  <c r="AM79" i="1"/>
  <c r="M79" i="1" s="1"/>
  <c r="AL79" i="1"/>
  <c r="AK79" i="1"/>
  <c r="AM58" i="1"/>
  <c r="M58" i="1" s="1"/>
  <c r="AL58" i="1"/>
  <c r="AK58" i="1"/>
  <c r="AM56" i="1"/>
  <c r="M56" i="1" s="1"/>
  <c r="AL56" i="1"/>
  <c r="AK56" i="1"/>
  <c r="AM36" i="1"/>
  <c r="M36" i="1" s="1"/>
  <c r="AL36" i="1"/>
  <c r="AK36" i="1"/>
  <c r="AM51" i="1"/>
  <c r="M51" i="1" s="1"/>
  <c r="AL51" i="1"/>
  <c r="AK51" i="1"/>
  <c r="AM87" i="1"/>
  <c r="M87" i="1" s="1"/>
  <c r="AL87" i="1"/>
  <c r="AK87" i="1"/>
  <c r="AM62" i="1"/>
  <c r="M62" i="1" s="1"/>
  <c r="AL62" i="1"/>
  <c r="AK62" i="1"/>
  <c r="AM57" i="1"/>
  <c r="M57" i="1" s="1"/>
  <c r="AL57" i="1"/>
  <c r="AK57" i="1"/>
  <c r="AM55" i="1"/>
  <c r="M55" i="1" s="1"/>
  <c r="AL55" i="1"/>
  <c r="AK55" i="1"/>
  <c r="AM54" i="1"/>
  <c r="M54" i="1" s="1"/>
  <c r="AL54" i="1"/>
  <c r="AK54" i="1"/>
  <c r="AM48" i="1"/>
  <c r="M48" i="1" s="1"/>
  <c r="AL48" i="1"/>
  <c r="AK48" i="1"/>
  <c r="AM47" i="1"/>
  <c r="M47" i="1" s="1"/>
  <c r="AL47" i="1"/>
  <c r="AK47" i="1"/>
  <c r="AM46" i="1"/>
  <c r="M46" i="1" s="1"/>
  <c r="AL46" i="1"/>
  <c r="AK46" i="1"/>
  <c r="AM44" i="1"/>
  <c r="M44" i="1" s="1"/>
  <c r="AL44" i="1"/>
  <c r="AK44" i="1"/>
  <c r="AM43" i="1"/>
  <c r="M43" i="1" s="1"/>
  <c r="AL43" i="1"/>
  <c r="AK43" i="1"/>
  <c r="AM42" i="1"/>
  <c r="M42" i="1" s="1"/>
  <c r="AL42" i="1"/>
  <c r="AK42" i="1"/>
  <c r="AM84" i="1"/>
  <c r="M84" i="1" s="1"/>
  <c r="AL84" i="1"/>
  <c r="AK84" i="1"/>
  <c r="AM83" i="1"/>
  <c r="M83" i="1" s="1"/>
  <c r="AL83" i="1"/>
  <c r="AK83" i="1"/>
  <c r="AM82" i="1"/>
  <c r="M82" i="1" s="1"/>
  <c r="AL82" i="1"/>
  <c r="AK82" i="1"/>
  <c r="AM67" i="1"/>
  <c r="M67" i="1" s="1"/>
  <c r="AL67" i="1"/>
  <c r="AK67" i="1"/>
  <c r="AM65" i="1"/>
  <c r="M65" i="1" s="1"/>
  <c r="AL65" i="1"/>
  <c r="AK65" i="1"/>
  <c r="AM64" i="1"/>
  <c r="M64" i="1" s="1"/>
  <c r="AL64" i="1"/>
  <c r="AK64" i="1"/>
  <c r="AM63" i="1"/>
  <c r="M63" i="1" s="1"/>
  <c r="AL63" i="1"/>
  <c r="AK63" i="1"/>
  <c r="AM49" i="1"/>
  <c r="M49" i="1" s="1"/>
  <c r="AL49" i="1"/>
  <c r="AK49" i="1"/>
  <c r="AM45" i="1"/>
  <c r="M45" i="1" s="1"/>
  <c r="AL45" i="1"/>
  <c r="AK45" i="1"/>
  <c r="AR282" i="1"/>
  <c r="AR283" i="1"/>
  <c r="AR284" i="1"/>
  <c r="AR281" i="1"/>
  <c r="AM282" i="1"/>
  <c r="M282" i="1" s="1"/>
  <c r="AM283" i="1"/>
  <c r="M283" i="1" s="1"/>
  <c r="AM284" i="1"/>
  <c r="M284" i="1" s="1"/>
  <c r="AM281" i="1"/>
  <c r="M281" i="1" s="1"/>
  <c r="AL282" i="1"/>
  <c r="AL283" i="1"/>
  <c r="AL284" i="1"/>
  <c r="AL281" i="1"/>
  <c r="AK282" i="1"/>
  <c r="AK283" i="1"/>
  <c r="AK284" i="1"/>
  <c r="AK281" i="1"/>
  <c r="AR280" i="1"/>
  <c r="AR401" i="1"/>
  <c r="AR403" i="1"/>
  <c r="AR402" i="1"/>
  <c r="AM100" i="1"/>
  <c r="M100" i="1" s="1"/>
  <c r="AR748" i="1"/>
  <c r="AM748" i="1"/>
  <c r="M748" i="1" s="1"/>
  <c r="AL748" i="1"/>
  <c r="AK748" i="1"/>
  <c r="AR747" i="1"/>
  <c r="AM747" i="1"/>
  <c r="M747" i="1" s="1"/>
  <c r="AL747" i="1"/>
  <c r="AK747" i="1"/>
  <c r="AR746" i="1"/>
  <c r="AM746" i="1"/>
  <c r="M746" i="1" s="1"/>
  <c r="AL746" i="1"/>
  <c r="AK746" i="1"/>
  <c r="AR745" i="1"/>
  <c r="AM745" i="1"/>
  <c r="M745" i="1" s="1"/>
  <c r="AL745" i="1"/>
  <c r="AK745" i="1"/>
  <c r="AR676" i="1"/>
  <c r="AM676" i="1"/>
  <c r="AL676" i="1"/>
  <c r="AK676" i="1"/>
  <c r="AR675" i="1"/>
  <c r="AM675" i="1"/>
  <c r="AL675" i="1"/>
  <c r="AK675" i="1"/>
  <c r="AR674" i="1"/>
  <c r="AM674" i="1"/>
  <c r="AL674" i="1"/>
  <c r="AK674" i="1"/>
  <c r="AR673" i="1"/>
  <c r="AM673" i="1"/>
  <c r="AL673" i="1"/>
  <c r="AK673" i="1"/>
  <c r="AR672" i="1"/>
  <c r="AM672" i="1"/>
  <c r="M672" i="1" s="1"/>
  <c r="AL672" i="1"/>
  <c r="AK672" i="1"/>
  <c r="AR671" i="1"/>
  <c r="AM671" i="1"/>
  <c r="M671" i="1" s="1"/>
  <c r="AL671" i="1"/>
  <c r="AK671" i="1"/>
  <c r="AR670" i="1"/>
  <c r="AM670" i="1"/>
  <c r="M670" i="1" s="1"/>
  <c r="AL670" i="1"/>
  <c r="AK670" i="1"/>
  <c r="AR669" i="1"/>
  <c r="AM669" i="1"/>
  <c r="M669" i="1" s="1"/>
  <c r="AL669" i="1"/>
  <c r="AK669" i="1"/>
  <c r="AR668" i="1"/>
  <c r="AM668" i="1"/>
  <c r="M668" i="1" s="1"/>
  <c r="AL668" i="1"/>
  <c r="AK668" i="1"/>
  <c r="AR667" i="1"/>
  <c r="AM667" i="1"/>
  <c r="M667" i="1" s="1"/>
  <c r="AL667" i="1"/>
  <c r="AK667" i="1"/>
  <c r="AR666" i="1"/>
  <c r="AM666" i="1"/>
  <c r="M666" i="1" s="1"/>
  <c r="AL666" i="1"/>
  <c r="AK666" i="1"/>
  <c r="AR665" i="1"/>
  <c r="AM665" i="1"/>
  <c r="M665" i="1" s="1"/>
  <c r="AL665" i="1"/>
  <c r="AK665" i="1"/>
  <c r="AR664" i="1"/>
  <c r="AM664" i="1"/>
  <c r="M664" i="1" s="1"/>
  <c r="AL664" i="1"/>
  <c r="AK664" i="1"/>
  <c r="AR663" i="1"/>
  <c r="AM663" i="1"/>
  <c r="M663" i="1" s="1"/>
  <c r="AL663" i="1"/>
  <c r="AK663" i="1"/>
  <c r="AR662" i="1"/>
  <c r="AM662" i="1"/>
  <c r="M662" i="1" s="1"/>
  <c r="AL662" i="1"/>
  <c r="AK662" i="1"/>
  <c r="AR661" i="1"/>
  <c r="AM661" i="1"/>
  <c r="M661" i="1" s="1"/>
  <c r="AL661" i="1"/>
  <c r="AK661" i="1"/>
  <c r="AR35" i="1"/>
  <c r="AM35" i="1"/>
  <c r="M35" i="1" s="1"/>
  <c r="AL35" i="1"/>
  <c r="AK35" i="1"/>
  <c r="AR34" i="1"/>
  <c r="AM34" i="1"/>
  <c r="M34" i="1" s="1"/>
  <c r="AL34" i="1"/>
  <c r="AK34" i="1"/>
  <c r="AR32" i="1"/>
  <c r="AM32" i="1"/>
  <c r="M32" i="1" s="1"/>
  <c r="AL32" i="1"/>
  <c r="AK32" i="1"/>
  <c r="AR33" i="1"/>
  <c r="AM33" i="1"/>
  <c r="M33" i="1" s="1"/>
  <c r="AL33" i="1"/>
  <c r="AK33" i="1"/>
  <c r="M31" i="1"/>
  <c r="AR660" i="1"/>
  <c r="AM660" i="1"/>
  <c r="M660" i="1" s="1"/>
  <c r="AL660" i="1"/>
  <c r="AK660" i="1"/>
  <c r="AR659" i="1"/>
  <c r="AM659" i="1"/>
  <c r="M659" i="1" s="1"/>
  <c r="AL659" i="1"/>
  <c r="AK659" i="1"/>
  <c r="AR658" i="1"/>
  <c r="AM658" i="1"/>
  <c r="M658" i="1" s="1"/>
  <c r="AL658" i="1"/>
  <c r="AK658" i="1"/>
  <c r="AR657" i="1"/>
  <c r="AM657" i="1"/>
  <c r="M657" i="1" s="1"/>
  <c r="AL657" i="1"/>
  <c r="AK657" i="1"/>
  <c r="AR29" i="1"/>
  <c r="AM29" i="1"/>
  <c r="M29" i="1" s="1"/>
  <c r="AL29" i="1"/>
  <c r="AK29" i="1"/>
  <c r="AR642" i="1"/>
  <c r="AM642" i="1"/>
  <c r="M642" i="1" s="1"/>
  <c r="AL642" i="1"/>
  <c r="AK642" i="1"/>
  <c r="AR641" i="1"/>
  <c r="AM641" i="1"/>
  <c r="M641" i="1" s="1"/>
  <c r="AL641" i="1"/>
  <c r="AK641" i="1"/>
  <c r="AR640" i="1"/>
  <c r="AM640" i="1"/>
  <c r="M640" i="1" s="1"/>
  <c r="AL640" i="1"/>
  <c r="AK640" i="1"/>
  <c r="AR639" i="1"/>
  <c r="AM639" i="1"/>
  <c r="M639" i="1" s="1"/>
  <c r="AL639" i="1"/>
  <c r="AK639" i="1"/>
  <c r="AR638" i="1"/>
  <c r="AM638" i="1"/>
  <c r="M638" i="1" s="1"/>
  <c r="AL638" i="1"/>
  <c r="AK638" i="1"/>
  <c r="AR637" i="1"/>
  <c r="AM637" i="1"/>
  <c r="M637" i="1" s="1"/>
  <c r="AL637" i="1"/>
  <c r="AK637" i="1"/>
  <c r="AR636" i="1"/>
  <c r="AM636" i="1"/>
  <c r="M636" i="1" s="1"/>
  <c r="AL636" i="1"/>
  <c r="AK636" i="1"/>
  <c r="AR635" i="1"/>
  <c r="AM635" i="1"/>
  <c r="M635" i="1" s="1"/>
  <c r="AL635" i="1"/>
  <c r="AK635" i="1"/>
  <c r="AR634" i="1"/>
  <c r="AM634" i="1"/>
  <c r="M634" i="1" s="1"/>
  <c r="AL634" i="1"/>
  <c r="AK634" i="1"/>
  <c r="AR633" i="1"/>
  <c r="AM633" i="1"/>
  <c r="M633" i="1" s="1"/>
  <c r="AL633" i="1"/>
  <c r="AK633" i="1"/>
  <c r="AR632" i="1"/>
  <c r="AM632" i="1"/>
  <c r="M632" i="1" s="1"/>
  <c r="AL632" i="1"/>
  <c r="AK632" i="1"/>
  <c r="AR631" i="1"/>
  <c r="AM631" i="1"/>
  <c r="M631" i="1" s="1"/>
  <c r="AL631" i="1"/>
  <c r="AK631" i="1"/>
  <c r="AR630" i="1"/>
  <c r="AM630" i="1"/>
  <c r="M630" i="1" s="1"/>
  <c r="AL630" i="1"/>
  <c r="AK630" i="1"/>
  <c r="AR629" i="1"/>
  <c r="AM629" i="1"/>
  <c r="M629" i="1" s="1"/>
  <c r="AL629" i="1"/>
  <c r="AK629" i="1"/>
  <c r="AR628" i="1"/>
  <c r="AM628" i="1"/>
  <c r="M628" i="1" s="1"/>
  <c r="AL628" i="1"/>
  <c r="AK628" i="1"/>
  <c r="AR627" i="1"/>
  <c r="AM627" i="1"/>
  <c r="M627" i="1" s="1"/>
  <c r="AL627" i="1"/>
  <c r="AK627" i="1"/>
  <c r="AR626" i="1"/>
  <c r="AM626" i="1"/>
  <c r="M626" i="1" s="1"/>
  <c r="AL626" i="1"/>
  <c r="AK626" i="1"/>
  <c r="AR625" i="1"/>
  <c r="AM625" i="1"/>
  <c r="M625" i="1" s="1"/>
  <c r="AL625" i="1"/>
  <c r="AK625" i="1"/>
  <c r="AR624" i="1"/>
  <c r="AM624" i="1"/>
  <c r="M624" i="1" s="1"/>
  <c r="AL624" i="1"/>
  <c r="AK624" i="1"/>
  <c r="AR623" i="1"/>
  <c r="AM623" i="1"/>
  <c r="M623" i="1" s="1"/>
  <c r="AL623" i="1"/>
  <c r="AK623" i="1"/>
  <c r="AR622" i="1"/>
  <c r="AM622" i="1"/>
  <c r="M622" i="1" s="1"/>
  <c r="AL622" i="1"/>
  <c r="AK622" i="1"/>
  <c r="AR621" i="1"/>
  <c r="AM621" i="1"/>
  <c r="M621" i="1" s="1"/>
  <c r="AL621" i="1"/>
  <c r="AK621" i="1"/>
  <c r="AR620" i="1"/>
  <c r="AM620" i="1"/>
  <c r="M620" i="1" s="1"/>
  <c r="AL620" i="1"/>
  <c r="AK620" i="1"/>
  <c r="AR619" i="1"/>
  <c r="AM619" i="1"/>
  <c r="M619" i="1" s="1"/>
  <c r="AL619" i="1"/>
  <c r="AK619" i="1"/>
  <c r="AR618" i="1"/>
  <c r="AM618" i="1"/>
  <c r="M618" i="1" s="1"/>
  <c r="AL618" i="1"/>
  <c r="AK618" i="1"/>
  <c r="AR617" i="1"/>
  <c r="AM617" i="1"/>
  <c r="M617" i="1" s="1"/>
  <c r="AL617" i="1"/>
  <c r="AK617" i="1"/>
  <c r="AR616" i="1"/>
  <c r="AM616" i="1"/>
  <c r="M616" i="1" s="1"/>
  <c r="AL616" i="1"/>
  <c r="AK616" i="1"/>
  <c r="AR615" i="1"/>
  <c r="AM615" i="1"/>
  <c r="M615" i="1" s="1"/>
  <c r="AL615" i="1"/>
  <c r="AK615" i="1"/>
  <c r="AR614" i="1"/>
  <c r="AM614" i="1"/>
  <c r="M614" i="1" s="1"/>
  <c r="AL614" i="1"/>
  <c r="AK614" i="1"/>
  <c r="AR613" i="1"/>
  <c r="AM613" i="1"/>
  <c r="M613" i="1" s="1"/>
  <c r="AL613" i="1"/>
  <c r="AK613" i="1"/>
  <c r="AR612" i="1"/>
  <c r="AM612" i="1"/>
  <c r="M612" i="1" s="1"/>
  <c r="AL612" i="1"/>
  <c r="AK612" i="1"/>
  <c r="AR611" i="1"/>
  <c r="AM611" i="1"/>
  <c r="M611" i="1" s="1"/>
  <c r="AL611" i="1"/>
  <c r="AK611" i="1"/>
  <c r="AR610" i="1"/>
  <c r="AM610" i="1"/>
  <c r="M610" i="1" s="1"/>
  <c r="AL610" i="1"/>
  <c r="AK610" i="1"/>
  <c r="AR609" i="1"/>
  <c r="AM609" i="1"/>
  <c r="M609" i="1" s="1"/>
  <c r="AL609" i="1"/>
  <c r="AK609" i="1"/>
  <c r="AR608" i="1"/>
  <c r="AM608" i="1"/>
  <c r="M608" i="1" s="1"/>
  <c r="AL608" i="1"/>
  <c r="AK608" i="1"/>
  <c r="AR607" i="1"/>
  <c r="AM607" i="1"/>
  <c r="M607" i="1" s="1"/>
  <c r="AL607" i="1"/>
  <c r="AK607" i="1"/>
  <c r="AR606" i="1"/>
  <c r="AM606" i="1"/>
  <c r="M606" i="1" s="1"/>
  <c r="AL606" i="1"/>
  <c r="AK606" i="1"/>
  <c r="AR605" i="1"/>
  <c r="AM605" i="1"/>
  <c r="M605" i="1" s="1"/>
  <c r="AL605" i="1"/>
  <c r="AK605" i="1"/>
  <c r="AR604" i="1"/>
  <c r="AM604" i="1"/>
  <c r="M604" i="1" s="1"/>
  <c r="AL604" i="1"/>
  <c r="AK604" i="1"/>
  <c r="AR603" i="1"/>
  <c r="AM603" i="1"/>
  <c r="M603" i="1" s="1"/>
  <c r="AL603" i="1"/>
  <c r="AK603" i="1"/>
  <c r="AR602" i="1"/>
  <c r="AM602" i="1"/>
  <c r="M602" i="1" s="1"/>
  <c r="AL602" i="1"/>
  <c r="AK602" i="1"/>
  <c r="AR601" i="1"/>
  <c r="AM601" i="1"/>
  <c r="M601" i="1" s="1"/>
  <c r="AL601" i="1"/>
  <c r="AK601" i="1"/>
  <c r="AR600" i="1"/>
  <c r="AM600" i="1"/>
  <c r="M600" i="1" s="1"/>
  <c r="AL600" i="1"/>
  <c r="AK600" i="1"/>
  <c r="AR654" i="1"/>
  <c r="AM654" i="1"/>
  <c r="M654" i="1" s="1"/>
  <c r="AL654" i="1"/>
  <c r="AK654" i="1"/>
  <c r="AR653" i="1"/>
  <c r="AM653" i="1"/>
  <c r="M653" i="1" s="1"/>
  <c r="AL653" i="1"/>
  <c r="AK653" i="1"/>
  <c r="AR647" i="1"/>
  <c r="AM647" i="1"/>
  <c r="M647" i="1" s="1"/>
  <c r="AL647" i="1"/>
  <c r="AK647" i="1"/>
  <c r="AR646" i="1"/>
  <c r="AM646" i="1"/>
  <c r="M646" i="1" s="1"/>
  <c r="AL646" i="1"/>
  <c r="AK646" i="1"/>
  <c r="AR652" i="1"/>
  <c r="AM652" i="1"/>
  <c r="M652" i="1" s="1"/>
  <c r="AL652" i="1"/>
  <c r="AK652" i="1"/>
  <c r="AR650" i="1"/>
  <c r="AM650" i="1"/>
  <c r="M650" i="1" s="1"/>
  <c r="AL650" i="1"/>
  <c r="AK650" i="1"/>
  <c r="AR649" i="1"/>
  <c r="AM649" i="1"/>
  <c r="M649" i="1" s="1"/>
  <c r="AL649" i="1"/>
  <c r="AK649" i="1"/>
  <c r="AR651" i="1"/>
  <c r="AM651" i="1"/>
  <c r="M651" i="1" s="1"/>
  <c r="AL651" i="1"/>
  <c r="AK651" i="1"/>
  <c r="AR656" i="1"/>
  <c r="AM656" i="1"/>
  <c r="M656" i="1" s="1"/>
  <c r="AL656" i="1"/>
  <c r="AK656" i="1"/>
  <c r="AR655" i="1"/>
  <c r="AM655" i="1"/>
  <c r="M655" i="1" s="1"/>
  <c r="AL655" i="1"/>
  <c r="AK655" i="1"/>
  <c r="AR28" i="1"/>
  <c r="AM28" i="1"/>
  <c r="M28" i="1" s="1"/>
  <c r="AL28" i="1"/>
  <c r="AK28" i="1"/>
  <c r="AR645" i="1"/>
  <c r="AM645" i="1"/>
  <c r="M645" i="1" s="1"/>
  <c r="AL645" i="1"/>
  <c r="AK645" i="1"/>
  <c r="AR644" i="1"/>
  <c r="AM644" i="1"/>
  <c r="M644" i="1" s="1"/>
  <c r="AL644" i="1"/>
  <c r="AK644" i="1"/>
  <c r="AR643" i="1"/>
  <c r="AM643" i="1"/>
  <c r="M643" i="1" s="1"/>
  <c r="AL643" i="1"/>
  <c r="AK643" i="1"/>
  <c r="AR594" i="1"/>
  <c r="AM594" i="1"/>
  <c r="M594" i="1" s="1"/>
  <c r="AL594" i="1"/>
  <c r="AK594" i="1"/>
  <c r="AR593" i="1"/>
  <c r="AM593" i="1"/>
  <c r="M593" i="1" s="1"/>
  <c r="AL593" i="1"/>
  <c r="AK593" i="1"/>
  <c r="AR592" i="1"/>
  <c r="AM592" i="1"/>
  <c r="M592" i="1" s="1"/>
  <c r="AL592" i="1"/>
  <c r="AK592" i="1"/>
  <c r="AR591" i="1"/>
  <c r="AM591" i="1"/>
  <c r="M591" i="1" s="1"/>
  <c r="AL591" i="1"/>
  <c r="AK591" i="1"/>
  <c r="AR599" i="1"/>
  <c r="AM599" i="1"/>
  <c r="M599" i="1" s="1"/>
  <c r="AL599" i="1"/>
  <c r="AK599" i="1"/>
  <c r="AR598" i="1"/>
  <c r="AM598" i="1"/>
  <c r="M598" i="1" s="1"/>
  <c r="AL598" i="1"/>
  <c r="AK598" i="1"/>
  <c r="AR597" i="1"/>
  <c r="AM597" i="1"/>
  <c r="M597" i="1" s="1"/>
  <c r="AL597" i="1"/>
  <c r="AK597" i="1"/>
  <c r="AR596" i="1"/>
  <c r="AM596" i="1"/>
  <c r="M596" i="1" s="1"/>
  <c r="AL596" i="1"/>
  <c r="AK596" i="1"/>
  <c r="AR595" i="1"/>
  <c r="AM595" i="1"/>
  <c r="M595" i="1" s="1"/>
  <c r="AL595" i="1"/>
  <c r="AK595" i="1"/>
  <c r="AR648" i="1"/>
  <c r="AM648" i="1"/>
  <c r="M648" i="1" s="1"/>
  <c r="AL648" i="1"/>
  <c r="AK648" i="1"/>
  <c r="AR590" i="1"/>
  <c r="AM590" i="1"/>
  <c r="M590" i="1" s="1"/>
  <c r="AL590" i="1"/>
  <c r="AK590" i="1"/>
  <c r="AR589" i="1"/>
  <c r="AM589" i="1"/>
  <c r="M589" i="1" s="1"/>
  <c r="AL589" i="1"/>
  <c r="AK589" i="1"/>
  <c r="AR588" i="1"/>
  <c r="AM588" i="1"/>
  <c r="M588" i="1" s="1"/>
  <c r="AL588" i="1"/>
  <c r="AK588" i="1"/>
  <c r="AR587" i="1"/>
  <c r="AM587" i="1"/>
  <c r="M587" i="1" s="1"/>
  <c r="AL587" i="1"/>
  <c r="AK587" i="1"/>
  <c r="AR546" i="1"/>
  <c r="AM546" i="1"/>
  <c r="M546" i="1" s="1"/>
  <c r="AL546" i="1"/>
  <c r="AK546" i="1"/>
  <c r="AR545" i="1"/>
  <c r="AM545" i="1"/>
  <c r="M545" i="1" s="1"/>
  <c r="AL545" i="1"/>
  <c r="AK545" i="1"/>
  <c r="AR586" i="1"/>
  <c r="AM586" i="1"/>
  <c r="M586" i="1" s="1"/>
  <c r="AL586" i="1"/>
  <c r="AK586" i="1"/>
  <c r="AR585" i="1"/>
  <c r="AM585" i="1"/>
  <c r="M585" i="1" s="1"/>
  <c r="AL585" i="1"/>
  <c r="AK585" i="1"/>
  <c r="AR584" i="1"/>
  <c r="AM584" i="1"/>
  <c r="M584" i="1" s="1"/>
  <c r="AL584" i="1"/>
  <c r="AK584" i="1"/>
  <c r="AR583" i="1"/>
  <c r="AM583" i="1"/>
  <c r="M583" i="1" s="1"/>
  <c r="AL583" i="1"/>
  <c r="AK583" i="1"/>
  <c r="AR582" i="1"/>
  <c r="AM582" i="1"/>
  <c r="M582" i="1" s="1"/>
  <c r="AL582" i="1"/>
  <c r="AK582" i="1"/>
  <c r="AR581" i="1"/>
  <c r="AM581" i="1"/>
  <c r="M581" i="1" s="1"/>
  <c r="AL581" i="1"/>
  <c r="AK581" i="1"/>
  <c r="AR580" i="1"/>
  <c r="AM580" i="1"/>
  <c r="M580" i="1" s="1"/>
  <c r="AL580" i="1"/>
  <c r="AK580" i="1"/>
  <c r="AR579" i="1"/>
  <c r="AM579" i="1"/>
  <c r="M579" i="1" s="1"/>
  <c r="AL579" i="1"/>
  <c r="AK579" i="1"/>
  <c r="AR578" i="1"/>
  <c r="AM578" i="1"/>
  <c r="M578" i="1" s="1"/>
  <c r="AL578" i="1"/>
  <c r="AK578" i="1"/>
  <c r="AR577" i="1"/>
  <c r="AM577" i="1"/>
  <c r="M577" i="1" s="1"/>
  <c r="AL577" i="1"/>
  <c r="AK577" i="1"/>
  <c r="AR576" i="1"/>
  <c r="AM576" i="1"/>
  <c r="M576" i="1" s="1"/>
  <c r="AL576" i="1"/>
  <c r="AK576" i="1"/>
  <c r="AR575" i="1"/>
  <c r="AM575" i="1"/>
  <c r="M575" i="1" s="1"/>
  <c r="AL575" i="1"/>
  <c r="AK575" i="1"/>
  <c r="AR574" i="1"/>
  <c r="AM574" i="1"/>
  <c r="M574" i="1" s="1"/>
  <c r="AL574" i="1"/>
  <c r="AK574" i="1"/>
  <c r="AR573" i="1"/>
  <c r="AM573" i="1"/>
  <c r="M573" i="1" s="1"/>
  <c r="AL573" i="1"/>
  <c r="AK573" i="1"/>
  <c r="AR571" i="1"/>
  <c r="AM571" i="1"/>
  <c r="M571" i="1" s="1"/>
  <c r="AL571" i="1"/>
  <c r="AK571" i="1"/>
  <c r="AM570" i="1"/>
  <c r="M570" i="1" s="1"/>
  <c r="AL570" i="1"/>
  <c r="AK570" i="1"/>
  <c r="AM569" i="1"/>
  <c r="M569" i="1" s="1"/>
  <c r="AL569" i="1"/>
  <c r="AK569" i="1"/>
  <c r="AM568" i="1"/>
  <c r="M568" i="1" s="1"/>
  <c r="AL568" i="1"/>
  <c r="AK568" i="1"/>
  <c r="AM567" i="1"/>
  <c r="M567" i="1" s="1"/>
  <c r="AL567" i="1"/>
  <c r="AK567" i="1"/>
  <c r="AR566" i="1"/>
  <c r="AM566" i="1"/>
  <c r="M566" i="1" s="1"/>
  <c r="AL566" i="1"/>
  <c r="AK566" i="1"/>
  <c r="AR565" i="1"/>
  <c r="AM565" i="1"/>
  <c r="M565" i="1" s="1"/>
  <c r="AL565" i="1"/>
  <c r="AK565" i="1"/>
  <c r="AR564" i="1"/>
  <c r="AM564" i="1"/>
  <c r="M564" i="1" s="1"/>
  <c r="AL564" i="1"/>
  <c r="AK564" i="1"/>
  <c r="AR563" i="1"/>
  <c r="AM563" i="1"/>
  <c r="M563" i="1" s="1"/>
  <c r="AL563" i="1"/>
  <c r="AK563" i="1"/>
  <c r="AR562" i="1"/>
  <c r="AM562" i="1"/>
  <c r="M562" i="1" s="1"/>
  <c r="AL562" i="1"/>
  <c r="AK562" i="1"/>
  <c r="AR561" i="1"/>
  <c r="AM561" i="1"/>
  <c r="M561" i="1" s="1"/>
  <c r="AL561" i="1"/>
  <c r="AK561" i="1"/>
  <c r="AR560" i="1"/>
  <c r="AM560" i="1"/>
  <c r="M560" i="1" s="1"/>
  <c r="AL560" i="1"/>
  <c r="AK560" i="1"/>
  <c r="AR559" i="1"/>
  <c r="AM559" i="1"/>
  <c r="M559" i="1" s="1"/>
  <c r="AL559" i="1"/>
  <c r="AK559" i="1"/>
  <c r="AM558" i="1"/>
  <c r="M558" i="1" s="1"/>
  <c r="AL558" i="1"/>
  <c r="AK558" i="1"/>
  <c r="AM557" i="1"/>
  <c r="M557" i="1" s="1"/>
  <c r="AL557" i="1"/>
  <c r="AK557" i="1"/>
  <c r="AM556" i="1"/>
  <c r="M556" i="1" s="1"/>
  <c r="AL556" i="1"/>
  <c r="AK556" i="1"/>
  <c r="AM555" i="1"/>
  <c r="M555" i="1" s="1"/>
  <c r="AL555" i="1"/>
  <c r="AK555" i="1"/>
  <c r="AM554" i="1"/>
  <c r="M554" i="1" s="1"/>
  <c r="AL554" i="1"/>
  <c r="AK554" i="1"/>
  <c r="AM553" i="1"/>
  <c r="M553" i="1" s="1"/>
  <c r="AL553" i="1"/>
  <c r="AK553" i="1"/>
  <c r="AR552" i="1"/>
  <c r="AM552" i="1"/>
  <c r="M552" i="1" s="1"/>
  <c r="AL552" i="1"/>
  <c r="AK552" i="1"/>
  <c r="AR551" i="1"/>
  <c r="AM551" i="1"/>
  <c r="M551" i="1" s="1"/>
  <c r="AL551" i="1"/>
  <c r="AK551" i="1"/>
  <c r="AR550" i="1"/>
  <c r="AM550" i="1"/>
  <c r="M550" i="1" s="1"/>
  <c r="AL550" i="1"/>
  <c r="AK550" i="1"/>
  <c r="AR549" i="1"/>
  <c r="AM549" i="1"/>
  <c r="M549" i="1" s="1"/>
  <c r="AL549" i="1"/>
  <c r="AK549" i="1"/>
  <c r="AM548" i="1"/>
  <c r="M548" i="1" s="1"/>
  <c r="AL548" i="1"/>
  <c r="AK548" i="1"/>
  <c r="AM547" i="1"/>
  <c r="M547" i="1" s="1"/>
  <c r="AL547" i="1"/>
  <c r="AK547" i="1"/>
  <c r="AR544" i="1"/>
  <c r="AM544" i="1"/>
  <c r="M544" i="1" s="1"/>
  <c r="AL544" i="1"/>
  <c r="AK544" i="1"/>
  <c r="AR543" i="1"/>
  <c r="AM543" i="1"/>
  <c r="M543" i="1" s="1"/>
  <c r="AL543" i="1"/>
  <c r="AK543" i="1"/>
  <c r="AR542" i="1"/>
  <c r="AM542" i="1"/>
  <c r="M542" i="1" s="1"/>
  <c r="AL542" i="1"/>
  <c r="AK542" i="1"/>
  <c r="AR538" i="1"/>
  <c r="AM538" i="1"/>
  <c r="M538" i="1" s="1"/>
  <c r="AL538" i="1"/>
  <c r="AK538" i="1"/>
  <c r="AR540" i="1"/>
  <c r="AM540" i="1"/>
  <c r="M540" i="1" s="1"/>
  <c r="AL540" i="1"/>
  <c r="AK540" i="1"/>
  <c r="AR536" i="1"/>
  <c r="AM536" i="1"/>
  <c r="M536" i="1" s="1"/>
  <c r="AL536" i="1"/>
  <c r="AK536" i="1"/>
  <c r="AR535" i="1"/>
  <c r="AM535" i="1"/>
  <c r="M535" i="1" s="1"/>
  <c r="AL535" i="1"/>
  <c r="AK535" i="1"/>
  <c r="AR534" i="1"/>
  <c r="AM534" i="1"/>
  <c r="M534" i="1" s="1"/>
  <c r="AL534" i="1"/>
  <c r="AK534" i="1"/>
  <c r="AR533" i="1"/>
  <c r="AM533" i="1"/>
  <c r="M533" i="1" s="1"/>
  <c r="AL533" i="1"/>
  <c r="AK533" i="1"/>
  <c r="AR532" i="1"/>
  <c r="AM532" i="1"/>
  <c r="M532" i="1" s="1"/>
  <c r="AL532" i="1"/>
  <c r="AK532" i="1"/>
  <c r="AR531" i="1"/>
  <c r="AM531" i="1"/>
  <c r="M531" i="1" s="1"/>
  <c r="AL531" i="1"/>
  <c r="AK531" i="1"/>
  <c r="AR530" i="1"/>
  <c r="AM530" i="1"/>
  <c r="M530" i="1" s="1"/>
  <c r="AL530" i="1"/>
  <c r="AK530" i="1"/>
  <c r="AR529" i="1"/>
  <c r="AM529" i="1"/>
  <c r="M529" i="1" s="1"/>
  <c r="AL529" i="1"/>
  <c r="AK529" i="1"/>
  <c r="AR528" i="1"/>
  <c r="AM528" i="1"/>
  <c r="M528" i="1" s="1"/>
  <c r="AL528" i="1"/>
  <c r="AK528" i="1"/>
  <c r="AR527" i="1"/>
  <c r="AM527" i="1"/>
  <c r="M527" i="1" s="1"/>
  <c r="AL527" i="1"/>
  <c r="AK527" i="1"/>
  <c r="AR526" i="1"/>
  <c r="AM526" i="1"/>
  <c r="M526" i="1" s="1"/>
  <c r="AL526" i="1"/>
  <c r="AK526" i="1"/>
  <c r="AR525" i="1"/>
  <c r="AM525" i="1"/>
  <c r="M525" i="1" s="1"/>
  <c r="AL525" i="1"/>
  <c r="AK525" i="1"/>
  <c r="AR524" i="1"/>
  <c r="AM524" i="1"/>
  <c r="M524" i="1" s="1"/>
  <c r="AL524" i="1"/>
  <c r="AK524" i="1"/>
  <c r="AR523" i="1"/>
  <c r="AM523" i="1"/>
  <c r="M523" i="1" s="1"/>
  <c r="AL523" i="1"/>
  <c r="AK523" i="1"/>
  <c r="AM522" i="1"/>
  <c r="M522" i="1" s="1"/>
  <c r="AL522" i="1"/>
  <c r="AK522" i="1"/>
  <c r="AM521" i="1"/>
  <c r="M521" i="1" s="1"/>
  <c r="AL521" i="1"/>
  <c r="AK521" i="1"/>
  <c r="AM520" i="1"/>
  <c r="M520" i="1" s="1"/>
  <c r="AL520" i="1"/>
  <c r="AK520" i="1"/>
  <c r="AM519" i="1"/>
  <c r="M519" i="1" s="1"/>
  <c r="AL519" i="1"/>
  <c r="AK519" i="1"/>
  <c r="AM518" i="1"/>
  <c r="M518" i="1" s="1"/>
  <c r="AL518" i="1"/>
  <c r="AK518" i="1"/>
  <c r="AM517" i="1"/>
  <c r="M517" i="1" s="1"/>
  <c r="AL517" i="1"/>
  <c r="AK517" i="1"/>
  <c r="AR516" i="1"/>
  <c r="AM516" i="1"/>
  <c r="M516" i="1" s="1"/>
  <c r="AL516" i="1"/>
  <c r="AK516" i="1"/>
  <c r="AR515" i="1"/>
  <c r="AM515" i="1"/>
  <c r="M515" i="1" s="1"/>
  <c r="AL515" i="1"/>
  <c r="AK515" i="1"/>
  <c r="M514" i="1"/>
  <c r="M513" i="1"/>
  <c r="AM512" i="1"/>
  <c r="M512" i="1" s="1"/>
  <c r="AL512" i="1"/>
  <c r="AK512" i="1"/>
  <c r="AJ512" i="1" s="1"/>
  <c r="AM511" i="1"/>
  <c r="M511" i="1" s="1"/>
  <c r="AL511" i="1"/>
  <c r="AK511" i="1"/>
  <c r="AJ511" i="1" s="1"/>
  <c r="AM510" i="1"/>
  <c r="M510" i="1" s="1"/>
  <c r="AL510" i="1"/>
  <c r="AK510" i="1"/>
  <c r="AJ510" i="1" s="1"/>
  <c r="AM509" i="1"/>
  <c r="M509" i="1" s="1"/>
  <c r="AL509" i="1"/>
  <c r="AK509" i="1"/>
  <c r="AJ509" i="1" s="1"/>
  <c r="AM508" i="1"/>
  <c r="M508" i="1" s="1"/>
  <c r="AL508" i="1"/>
  <c r="AK508" i="1"/>
  <c r="AJ508" i="1" s="1"/>
  <c r="AM507" i="1"/>
  <c r="M507" i="1" s="1"/>
  <c r="AL507" i="1"/>
  <c r="AK507" i="1"/>
  <c r="AJ507" i="1" s="1"/>
  <c r="AM506" i="1"/>
  <c r="M506" i="1" s="1"/>
  <c r="AL506" i="1"/>
  <c r="AK506" i="1"/>
  <c r="AJ506" i="1" s="1"/>
  <c r="AM505" i="1"/>
  <c r="M505" i="1" s="1"/>
  <c r="AL505" i="1"/>
  <c r="AK505" i="1"/>
  <c r="AJ505" i="1" s="1"/>
  <c r="AM504" i="1"/>
  <c r="M504" i="1" s="1"/>
  <c r="AL504" i="1"/>
  <c r="AK504" i="1"/>
  <c r="AJ504" i="1" s="1"/>
  <c r="AM503" i="1"/>
  <c r="M503" i="1" s="1"/>
  <c r="AL503" i="1"/>
  <c r="AK503" i="1"/>
  <c r="AJ503" i="1" s="1"/>
  <c r="AM502" i="1"/>
  <c r="M502" i="1" s="1"/>
  <c r="AL502" i="1"/>
  <c r="AK502" i="1"/>
  <c r="AJ502" i="1" s="1"/>
  <c r="AM501" i="1"/>
  <c r="M501" i="1" s="1"/>
  <c r="AL501" i="1"/>
  <c r="AK501" i="1"/>
  <c r="AJ501" i="1" s="1"/>
  <c r="AM500" i="1"/>
  <c r="M500" i="1" s="1"/>
  <c r="AL500" i="1"/>
  <c r="AK500" i="1"/>
  <c r="AJ500" i="1" s="1"/>
  <c r="AM499" i="1"/>
  <c r="M499" i="1" s="1"/>
  <c r="AL499" i="1"/>
  <c r="AK499" i="1"/>
  <c r="AJ499" i="1" s="1"/>
  <c r="AM498" i="1"/>
  <c r="M498" i="1" s="1"/>
  <c r="AL498" i="1"/>
  <c r="AK498" i="1"/>
  <c r="AJ498" i="1" s="1"/>
  <c r="AM497" i="1"/>
  <c r="M497" i="1" s="1"/>
  <c r="AL497" i="1"/>
  <c r="AK497" i="1"/>
  <c r="AJ497" i="1" s="1"/>
  <c r="AM496" i="1"/>
  <c r="M496" i="1" s="1"/>
  <c r="AL496" i="1"/>
  <c r="AK496" i="1"/>
  <c r="AJ496" i="1" s="1"/>
  <c r="AM495" i="1"/>
  <c r="M495" i="1" s="1"/>
  <c r="AL495" i="1"/>
  <c r="AK495" i="1"/>
  <c r="AJ495" i="1" s="1"/>
  <c r="AR494" i="1"/>
  <c r="AM494" i="1"/>
  <c r="M494" i="1" s="1"/>
  <c r="AL494" i="1"/>
  <c r="AK494" i="1"/>
  <c r="AJ494" i="1" s="1"/>
  <c r="AM493" i="1"/>
  <c r="M493" i="1" s="1"/>
  <c r="AL493" i="1"/>
  <c r="AK493" i="1"/>
  <c r="AJ493" i="1" s="1"/>
  <c r="AM492" i="1"/>
  <c r="M492" i="1" s="1"/>
  <c r="AL492" i="1"/>
  <c r="AK492" i="1"/>
  <c r="AJ492" i="1" s="1"/>
  <c r="AM491" i="1"/>
  <c r="M491" i="1" s="1"/>
  <c r="AL491" i="1"/>
  <c r="AK491" i="1"/>
  <c r="AJ491" i="1" s="1"/>
  <c r="AM490" i="1"/>
  <c r="M490" i="1" s="1"/>
  <c r="AL490" i="1"/>
  <c r="AK490" i="1"/>
  <c r="AJ490" i="1" s="1"/>
  <c r="AM489" i="1"/>
  <c r="M489" i="1" s="1"/>
  <c r="AL489" i="1"/>
  <c r="AK489" i="1"/>
  <c r="AJ489" i="1" s="1"/>
  <c r="AM488" i="1"/>
  <c r="M488" i="1" s="1"/>
  <c r="AL488" i="1"/>
  <c r="AK488" i="1"/>
  <c r="AJ488" i="1" s="1"/>
  <c r="AM487" i="1"/>
  <c r="M487" i="1" s="1"/>
  <c r="AL487" i="1"/>
  <c r="AK487" i="1"/>
  <c r="AJ487" i="1" s="1"/>
  <c r="AM486" i="1"/>
  <c r="M486" i="1" s="1"/>
  <c r="AL486" i="1"/>
  <c r="AK486" i="1"/>
  <c r="AJ486" i="1" s="1"/>
  <c r="AR485" i="1"/>
  <c r="AM485" i="1"/>
  <c r="M485" i="1" s="1"/>
  <c r="AL485" i="1"/>
  <c r="AK485" i="1"/>
  <c r="AJ485" i="1" s="1"/>
  <c r="AR484" i="1"/>
  <c r="AM484" i="1"/>
  <c r="M484" i="1" s="1"/>
  <c r="AL484" i="1"/>
  <c r="AK484" i="1"/>
  <c r="AJ484" i="1" s="1"/>
  <c r="AR483" i="1"/>
  <c r="AM483" i="1"/>
  <c r="M483" i="1" s="1"/>
  <c r="AL483" i="1"/>
  <c r="AK483" i="1"/>
  <c r="AJ483" i="1" s="1"/>
  <c r="AR482" i="1"/>
  <c r="AM482" i="1"/>
  <c r="M482" i="1" s="1"/>
  <c r="AL482" i="1"/>
  <c r="AK482" i="1"/>
  <c r="AJ482" i="1" s="1"/>
  <c r="AR481" i="1"/>
  <c r="AM481" i="1"/>
  <c r="M481" i="1" s="1"/>
  <c r="AL481" i="1"/>
  <c r="AK481" i="1"/>
  <c r="AJ481" i="1" s="1"/>
  <c r="AR480" i="1"/>
  <c r="AM480" i="1"/>
  <c r="M480" i="1" s="1"/>
  <c r="AL480" i="1"/>
  <c r="AK480" i="1"/>
  <c r="AJ480" i="1" s="1"/>
  <c r="AR479" i="1"/>
  <c r="AM479" i="1"/>
  <c r="M479" i="1" s="1"/>
  <c r="AL479" i="1"/>
  <c r="AK479" i="1"/>
  <c r="AJ479" i="1" s="1"/>
  <c r="AR478" i="1"/>
  <c r="AM478" i="1"/>
  <c r="M478" i="1" s="1"/>
  <c r="AL478" i="1"/>
  <c r="AK478" i="1"/>
  <c r="AJ478" i="1" s="1"/>
  <c r="AR477" i="1"/>
  <c r="AM477" i="1"/>
  <c r="M477" i="1" s="1"/>
  <c r="AL477" i="1"/>
  <c r="AK477" i="1"/>
  <c r="AJ477" i="1" s="1"/>
  <c r="AR476" i="1"/>
  <c r="AM476" i="1"/>
  <c r="M476" i="1" s="1"/>
  <c r="AL476" i="1"/>
  <c r="AK476" i="1"/>
  <c r="AJ476" i="1" s="1"/>
  <c r="AR475" i="1"/>
  <c r="AM475" i="1"/>
  <c r="M475" i="1" s="1"/>
  <c r="AL475" i="1"/>
  <c r="AK475" i="1"/>
  <c r="AJ475" i="1" s="1"/>
  <c r="AR474" i="1"/>
  <c r="AM474" i="1"/>
  <c r="M474" i="1" s="1"/>
  <c r="AL474" i="1"/>
  <c r="AK474" i="1"/>
  <c r="AJ474" i="1" s="1"/>
  <c r="AR473" i="1"/>
  <c r="AM473" i="1"/>
  <c r="M473" i="1" s="1"/>
  <c r="AL473" i="1"/>
  <c r="AK473" i="1"/>
  <c r="AJ473" i="1" s="1"/>
  <c r="AR472" i="1"/>
  <c r="AM472" i="1"/>
  <c r="M472" i="1" s="1"/>
  <c r="AL472" i="1"/>
  <c r="AK472" i="1"/>
  <c r="AJ472" i="1" s="1"/>
  <c r="AR466" i="1"/>
  <c r="AM466" i="1"/>
  <c r="M466" i="1" s="1"/>
  <c r="AL466" i="1"/>
  <c r="AK466" i="1"/>
  <c r="AR465" i="1"/>
  <c r="AM465" i="1"/>
  <c r="M465" i="1" s="1"/>
  <c r="AL465" i="1"/>
  <c r="AK465" i="1"/>
  <c r="AR464" i="1"/>
  <c r="AM464" i="1"/>
  <c r="M464" i="1" s="1"/>
  <c r="AL464" i="1"/>
  <c r="AK464" i="1"/>
  <c r="AR463" i="1"/>
  <c r="AM463" i="1"/>
  <c r="M463" i="1" s="1"/>
  <c r="AL463" i="1"/>
  <c r="AK463" i="1"/>
  <c r="M462" i="1"/>
  <c r="M461" i="1"/>
  <c r="M460" i="1"/>
  <c r="AR456" i="1"/>
  <c r="AM456" i="1"/>
  <c r="M456" i="1" s="1"/>
  <c r="AL456" i="1"/>
  <c r="AK456" i="1"/>
  <c r="AR455" i="1"/>
  <c r="AM455" i="1"/>
  <c r="M455" i="1" s="1"/>
  <c r="AL455" i="1"/>
  <c r="AK455" i="1"/>
  <c r="AR452" i="1"/>
  <c r="AM452" i="1"/>
  <c r="M452" i="1" s="1"/>
  <c r="AL452" i="1"/>
  <c r="AK452" i="1"/>
  <c r="AR450" i="1"/>
  <c r="AM450" i="1"/>
  <c r="M450" i="1" s="1"/>
  <c r="AL450" i="1"/>
  <c r="AK450" i="1"/>
  <c r="AR449" i="1"/>
  <c r="AM449" i="1"/>
  <c r="M449" i="1" s="1"/>
  <c r="AL449" i="1"/>
  <c r="AK449" i="1"/>
  <c r="AR446" i="1"/>
  <c r="AM446" i="1"/>
  <c r="M446" i="1" s="1"/>
  <c r="AL446" i="1"/>
  <c r="AK446" i="1"/>
  <c r="AR444" i="1"/>
  <c r="AM444" i="1"/>
  <c r="M444" i="1" s="1"/>
  <c r="AL444" i="1"/>
  <c r="AK444" i="1"/>
  <c r="AJ444" i="1" s="1"/>
  <c r="AR443" i="1"/>
  <c r="AM443" i="1"/>
  <c r="M443" i="1" s="1"/>
  <c r="AL443" i="1"/>
  <c r="AK443" i="1"/>
  <c r="AJ443" i="1" s="1"/>
  <c r="AR442" i="1"/>
  <c r="AM442" i="1"/>
  <c r="M442" i="1" s="1"/>
  <c r="AL442" i="1"/>
  <c r="AK442" i="1"/>
  <c r="AJ442" i="1" s="1"/>
  <c r="AR441" i="1"/>
  <c r="AM441" i="1"/>
  <c r="M441" i="1" s="1"/>
  <c r="AL441" i="1"/>
  <c r="AK441" i="1"/>
  <c r="AJ441" i="1" s="1"/>
  <c r="AR440" i="1"/>
  <c r="AM440" i="1"/>
  <c r="M440" i="1" s="1"/>
  <c r="AL440" i="1"/>
  <c r="AK440" i="1"/>
  <c r="AJ440" i="1" s="1"/>
  <c r="AR439" i="1"/>
  <c r="AM439" i="1"/>
  <c r="M439" i="1" s="1"/>
  <c r="AL439" i="1"/>
  <c r="AK439" i="1"/>
  <c r="AJ439" i="1" s="1"/>
  <c r="AR438" i="1"/>
  <c r="AM438" i="1"/>
  <c r="M438" i="1" s="1"/>
  <c r="AL438" i="1"/>
  <c r="AK438" i="1"/>
  <c r="AJ438" i="1" s="1"/>
  <c r="AR437" i="1"/>
  <c r="AM437" i="1"/>
  <c r="M437" i="1" s="1"/>
  <c r="AL437" i="1"/>
  <c r="AK437" i="1"/>
  <c r="AJ437" i="1" s="1"/>
  <c r="AR436" i="1"/>
  <c r="AM436" i="1"/>
  <c r="M436" i="1" s="1"/>
  <c r="AL436" i="1"/>
  <c r="AK436" i="1"/>
  <c r="AJ436" i="1" s="1"/>
  <c r="AR435" i="1"/>
  <c r="AM435" i="1"/>
  <c r="M435" i="1" s="1"/>
  <c r="AL435" i="1"/>
  <c r="AK435" i="1"/>
  <c r="AJ435" i="1" s="1"/>
  <c r="AR434" i="1"/>
  <c r="AM434" i="1"/>
  <c r="M434" i="1" s="1"/>
  <c r="AL434" i="1"/>
  <c r="AK434" i="1"/>
  <c r="AJ434" i="1" s="1"/>
  <c r="AR433" i="1"/>
  <c r="AM433" i="1"/>
  <c r="M433" i="1" s="1"/>
  <c r="AL433" i="1"/>
  <c r="AK433" i="1"/>
  <c r="AJ433" i="1" s="1"/>
  <c r="AR432" i="1"/>
  <c r="AM432" i="1"/>
  <c r="M432" i="1" s="1"/>
  <c r="AL432" i="1"/>
  <c r="AK432" i="1"/>
  <c r="AJ432" i="1" s="1"/>
  <c r="AR431" i="1"/>
  <c r="AM431" i="1"/>
  <c r="M431" i="1" s="1"/>
  <c r="AL431" i="1"/>
  <c r="AK431" i="1"/>
  <c r="AR428" i="1"/>
  <c r="AM428" i="1"/>
  <c r="M428" i="1" s="1"/>
  <c r="AL428" i="1"/>
  <c r="AK428" i="1"/>
  <c r="AR426" i="1"/>
  <c r="AM426" i="1"/>
  <c r="M426" i="1" s="1"/>
  <c r="AL426" i="1"/>
  <c r="AK426" i="1"/>
  <c r="AJ426" i="1" s="1"/>
  <c r="AR427" i="1"/>
  <c r="AM427" i="1"/>
  <c r="M427" i="1" s="1"/>
  <c r="AL427" i="1"/>
  <c r="AK427" i="1"/>
  <c r="AJ427" i="1" s="1"/>
  <c r="AR425" i="1"/>
  <c r="AM425" i="1"/>
  <c r="M425" i="1" s="1"/>
  <c r="AL425" i="1"/>
  <c r="AK425" i="1"/>
  <c r="AJ425" i="1" s="1"/>
  <c r="AR424" i="1"/>
  <c r="AM424" i="1"/>
  <c r="M424" i="1" s="1"/>
  <c r="AL424" i="1"/>
  <c r="AK424" i="1"/>
  <c r="AR423" i="1"/>
  <c r="AM423" i="1"/>
  <c r="M423" i="1" s="1"/>
  <c r="AL423" i="1"/>
  <c r="AK423" i="1"/>
  <c r="AR420" i="1"/>
  <c r="AM420" i="1"/>
  <c r="M420" i="1" s="1"/>
  <c r="AL420" i="1"/>
  <c r="AK420" i="1"/>
  <c r="AJ420" i="1" s="1"/>
  <c r="AM419" i="1"/>
  <c r="M419" i="1" s="1"/>
  <c r="AL419" i="1"/>
  <c r="AK419" i="1"/>
  <c r="AJ419" i="1" s="1"/>
  <c r="AR422" i="1"/>
  <c r="AM422" i="1"/>
  <c r="M422" i="1" s="1"/>
  <c r="AL422" i="1"/>
  <c r="AK422" i="1"/>
  <c r="AJ422" i="1" s="1"/>
  <c r="AR418" i="1"/>
  <c r="AM418" i="1"/>
  <c r="M418" i="1" s="1"/>
  <c r="AL418" i="1"/>
  <c r="AK418" i="1"/>
  <c r="AJ418" i="1" s="1"/>
  <c r="AR416" i="1"/>
  <c r="AM416" i="1"/>
  <c r="M416" i="1" s="1"/>
  <c r="AL416" i="1"/>
  <c r="AK416" i="1"/>
  <c r="AJ416" i="1" s="1"/>
  <c r="AR415" i="1"/>
  <c r="AM415" i="1"/>
  <c r="M415" i="1" s="1"/>
  <c r="AL415" i="1"/>
  <c r="AK415" i="1"/>
  <c r="AJ415" i="1" s="1"/>
  <c r="AR414" i="1"/>
  <c r="AM414" i="1"/>
  <c r="M414" i="1" s="1"/>
  <c r="AL414" i="1"/>
  <c r="AK414" i="1"/>
  <c r="AJ414" i="1" s="1"/>
  <c r="AM413" i="1"/>
  <c r="M413" i="1" s="1"/>
  <c r="AL413" i="1"/>
  <c r="AK413" i="1"/>
  <c r="AJ413" i="1" s="1"/>
  <c r="AM412" i="1"/>
  <c r="M412" i="1" s="1"/>
  <c r="AL412" i="1"/>
  <c r="AK412" i="1"/>
  <c r="AJ412" i="1" s="1"/>
  <c r="AM411" i="1"/>
  <c r="M411" i="1" s="1"/>
  <c r="AL411" i="1"/>
  <c r="AK411" i="1"/>
  <c r="AJ411" i="1" s="1"/>
  <c r="AM410" i="1"/>
  <c r="M410" i="1" s="1"/>
  <c r="AL410" i="1"/>
  <c r="AK410" i="1"/>
  <c r="AJ410" i="1" s="1"/>
  <c r="AM409" i="1"/>
  <c r="M409" i="1" s="1"/>
  <c r="AL409" i="1"/>
  <c r="AK409" i="1"/>
  <c r="AJ409" i="1" s="1"/>
  <c r="AM408" i="1"/>
  <c r="M408" i="1" s="1"/>
  <c r="AL408" i="1"/>
  <c r="AK408" i="1"/>
  <c r="AJ408" i="1" s="1"/>
  <c r="AM407" i="1"/>
  <c r="M407" i="1" s="1"/>
  <c r="AL407" i="1"/>
  <c r="AK407" i="1"/>
  <c r="AJ407" i="1" s="1"/>
  <c r="AM406" i="1"/>
  <c r="M406" i="1" s="1"/>
  <c r="AL406" i="1"/>
  <c r="AK406" i="1"/>
  <c r="AJ406" i="1" s="1"/>
  <c r="AM405" i="1"/>
  <c r="M405" i="1" s="1"/>
  <c r="AL405" i="1"/>
  <c r="AK405" i="1"/>
  <c r="AJ405" i="1" s="1"/>
  <c r="AM404" i="1"/>
  <c r="M404" i="1" s="1"/>
  <c r="AL404" i="1"/>
  <c r="AK404" i="1"/>
  <c r="AJ404" i="1" s="1"/>
  <c r="AM399" i="1"/>
  <c r="M399" i="1" s="1"/>
  <c r="AL399" i="1"/>
  <c r="AK399" i="1"/>
  <c r="AJ399" i="1" s="1"/>
  <c r="AM398" i="1"/>
  <c r="M398" i="1" s="1"/>
  <c r="AL398" i="1"/>
  <c r="AK398" i="1"/>
  <c r="AJ398" i="1" s="1"/>
  <c r="AM403" i="1"/>
  <c r="M403" i="1" s="1"/>
  <c r="AL403" i="1"/>
  <c r="AK403" i="1"/>
  <c r="AJ403" i="1" s="1"/>
  <c r="AM397" i="1"/>
  <c r="M397" i="1" s="1"/>
  <c r="AL397" i="1"/>
  <c r="AK397" i="1"/>
  <c r="AJ397" i="1" s="1"/>
  <c r="AM396" i="1"/>
  <c r="M396" i="1" s="1"/>
  <c r="AL396" i="1"/>
  <c r="AK396" i="1"/>
  <c r="AJ396" i="1" s="1"/>
  <c r="AM402" i="1"/>
  <c r="M402" i="1" s="1"/>
  <c r="AL402" i="1"/>
  <c r="AK402" i="1"/>
  <c r="AJ402" i="1" s="1"/>
  <c r="AM401" i="1"/>
  <c r="M401" i="1" s="1"/>
  <c r="AL401" i="1"/>
  <c r="AK401" i="1"/>
  <c r="AJ401" i="1" s="1"/>
  <c r="AR395" i="1"/>
  <c r="AM395" i="1"/>
  <c r="M395" i="1" s="1"/>
  <c r="AL395" i="1"/>
  <c r="AK395" i="1"/>
  <c r="AJ395" i="1" s="1"/>
  <c r="AR400" i="1"/>
  <c r="AM400" i="1"/>
  <c r="M400" i="1" s="1"/>
  <c r="AL400" i="1"/>
  <c r="AK400" i="1"/>
  <c r="AJ400" i="1" s="1"/>
  <c r="AR394" i="1"/>
  <c r="AM394" i="1"/>
  <c r="M394" i="1" s="1"/>
  <c r="AL394" i="1"/>
  <c r="AK394" i="1"/>
  <c r="AR393" i="1"/>
  <c r="AM393" i="1"/>
  <c r="M393" i="1" s="1"/>
  <c r="AL393" i="1"/>
  <c r="AK393" i="1"/>
  <c r="AJ393" i="1" s="1"/>
  <c r="AR392" i="1"/>
  <c r="AM392" i="1"/>
  <c r="M392" i="1" s="1"/>
  <c r="AL392" i="1"/>
  <c r="AK392" i="1"/>
  <c r="AJ392" i="1" s="1"/>
  <c r="AR391" i="1"/>
  <c r="AM391" i="1"/>
  <c r="M391" i="1" s="1"/>
  <c r="AL391" i="1"/>
  <c r="AK391" i="1"/>
  <c r="AR390" i="1"/>
  <c r="AM390" i="1"/>
  <c r="M390" i="1" s="1"/>
  <c r="AL390" i="1"/>
  <c r="AK390" i="1"/>
  <c r="AR389" i="1"/>
  <c r="AM389" i="1"/>
  <c r="M389" i="1" s="1"/>
  <c r="AL389" i="1"/>
  <c r="AK389" i="1"/>
  <c r="AR387" i="1"/>
  <c r="AM387" i="1"/>
  <c r="M387" i="1" s="1"/>
  <c r="AL387" i="1"/>
  <c r="AK387" i="1"/>
  <c r="AR386" i="1"/>
  <c r="AM386" i="1"/>
  <c r="M386" i="1" s="1"/>
  <c r="AL386" i="1"/>
  <c r="AK386" i="1"/>
  <c r="AR385" i="1"/>
  <c r="AM385" i="1"/>
  <c r="M385" i="1" s="1"/>
  <c r="AL385" i="1"/>
  <c r="AK385" i="1"/>
  <c r="AR384" i="1"/>
  <c r="AM384" i="1"/>
  <c r="M384" i="1" s="1"/>
  <c r="AL384" i="1"/>
  <c r="AK384" i="1"/>
  <c r="AR388" i="1"/>
  <c r="AM388" i="1"/>
  <c r="M388" i="1" s="1"/>
  <c r="AL388" i="1"/>
  <c r="AK388" i="1"/>
  <c r="M383" i="1"/>
  <c r="AR376" i="1"/>
  <c r="AM376" i="1"/>
  <c r="M376" i="1" s="1"/>
  <c r="AL376" i="1"/>
  <c r="AK376" i="1"/>
  <c r="AR375" i="1"/>
  <c r="AM375" i="1"/>
  <c r="M375" i="1" s="1"/>
  <c r="AL375" i="1"/>
  <c r="AK375" i="1"/>
  <c r="AR374" i="1"/>
  <c r="AM374" i="1"/>
  <c r="M374" i="1" s="1"/>
  <c r="AL374" i="1"/>
  <c r="AK374" i="1"/>
  <c r="AR373" i="1"/>
  <c r="AM373" i="1"/>
  <c r="M373" i="1" s="1"/>
  <c r="AL373" i="1"/>
  <c r="AK373" i="1"/>
  <c r="AR372" i="1"/>
  <c r="AM372" i="1"/>
  <c r="M372" i="1" s="1"/>
  <c r="AL372" i="1"/>
  <c r="AK372" i="1"/>
  <c r="AR371" i="1"/>
  <c r="AM371" i="1"/>
  <c r="M371" i="1" s="1"/>
  <c r="AL371" i="1"/>
  <c r="AK371" i="1"/>
  <c r="AR370" i="1"/>
  <c r="AM370" i="1"/>
  <c r="M370" i="1" s="1"/>
  <c r="AL370" i="1"/>
  <c r="AK370" i="1"/>
  <c r="AR369" i="1"/>
  <c r="AM369" i="1"/>
  <c r="M369" i="1" s="1"/>
  <c r="AL369" i="1"/>
  <c r="AK369" i="1"/>
  <c r="AR368" i="1"/>
  <c r="AM368" i="1"/>
  <c r="M368" i="1" s="1"/>
  <c r="AL368" i="1"/>
  <c r="AK368" i="1"/>
  <c r="AR367" i="1"/>
  <c r="AM367" i="1"/>
  <c r="M367" i="1" s="1"/>
  <c r="AL367" i="1"/>
  <c r="AK367" i="1"/>
  <c r="AR366" i="1"/>
  <c r="AM366" i="1"/>
  <c r="M366" i="1" s="1"/>
  <c r="AL366" i="1"/>
  <c r="AK366" i="1"/>
  <c r="AR365" i="1"/>
  <c r="AM365" i="1"/>
  <c r="M365" i="1" s="1"/>
  <c r="AL365" i="1"/>
  <c r="AK365" i="1"/>
  <c r="AR364" i="1"/>
  <c r="AM364" i="1"/>
  <c r="M364" i="1" s="1"/>
  <c r="AL364" i="1"/>
  <c r="AK364" i="1"/>
  <c r="AR363" i="1"/>
  <c r="AM363" i="1"/>
  <c r="M363" i="1" s="1"/>
  <c r="AL363" i="1"/>
  <c r="AK363" i="1"/>
  <c r="AR362" i="1"/>
  <c r="AM362" i="1"/>
  <c r="M362" i="1" s="1"/>
  <c r="AL362" i="1"/>
  <c r="AK362" i="1"/>
  <c r="AR361" i="1"/>
  <c r="AM361" i="1"/>
  <c r="M361" i="1" s="1"/>
  <c r="AL361" i="1"/>
  <c r="AK361" i="1"/>
  <c r="AR360" i="1"/>
  <c r="AM360" i="1"/>
  <c r="M360" i="1" s="1"/>
  <c r="AL360" i="1"/>
  <c r="AK360" i="1"/>
  <c r="AR378" i="1"/>
  <c r="AM378" i="1"/>
  <c r="M378" i="1" s="1"/>
  <c r="AL378" i="1"/>
  <c r="AK378" i="1"/>
  <c r="AR377" i="1"/>
  <c r="AM377" i="1"/>
  <c r="M377" i="1" s="1"/>
  <c r="AL377" i="1"/>
  <c r="AK377" i="1"/>
  <c r="AJ383" i="1" s="1"/>
  <c r="AR359" i="1"/>
  <c r="AM359" i="1"/>
  <c r="M359" i="1" s="1"/>
  <c r="AL359" i="1"/>
  <c r="AK359" i="1"/>
  <c r="AJ359" i="1" s="1"/>
  <c r="AR357" i="1"/>
  <c r="AM357" i="1"/>
  <c r="M357" i="1" s="1"/>
  <c r="AL357" i="1"/>
  <c r="AK357" i="1"/>
  <c r="AJ357" i="1" s="1"/>
  <c r="AR356" i="1"/>
  <c r="AM356" i="1"/>
  <c r="M356" i="1" s="1"/>
  <c r="AL356" i="1"/>
  <c r="AK356" i="1"/>
  <c r="AJ356" i="1" s="1"/>
  <c r="AR358" i="1"/>
  <c r="AM358" i="1"/>
  <c r="M358" i="1" s="1"/>
  <c r="AL358" i="1"/>
  <c r="AK358" i="1"/>
  <c r="AJ358" i="1" s="1"/>
  <c r="AR355" i="1"/>
  <c r="AM355" i="1"/>
  <c r="M355" i="1" s="1"/>
  <c r="AL355" i="1"/>
  <c r="AK355" i="1"/>
  <c r="AR351" i="1"/>
  <c r="AM351" i="1"/>
  <c r="M351" i="1" s="1"/>
  <c r="AL351" i="1"/>
  <c r="AK351" i="1"/>
  <c r="AR354" i="1"/>
  <c r="AM354" i="1"/>
  <c r="M354" i="1" s="1"/>
  <c r="AL354" i="1"/>
  <c r="AK354" i="1"/>
  <c r="AJ354" i="1" s="1"/>
  <c r="AR353" i="1"/>
  <c r="AM353" i="1"/>
  <c r="M353" i="1" s="1"/>
  <c r="AL353" i="1"/>
  <c r="AK353" i="1"/>
  <c r="AJ353" i="1" s="1"/>
  <c r="AR352" i="1"/>
  <c r="AM352" i="1"/>
  <c r="M352" i="1" s="1"/>
  <c r="AL352" i="1"/>
  <c r="AK352" i="1"/>
  <c r="AJ352" i="1" s="1"/>
  <c r="AR350" i="1"/>
  <c r="AM350" i="1"/>
  <c r="M350" i="1" s="1"/>
  <c r="AL350" i="1"/>
  <c r="AK350" i="1"/>
  <c r="AR349" i="1"/>
  <c r="AM349" i="1"/>
  <c r="M349" i="1" s="1"/>
  <c r="AL349" i="1"/>
  <c r="AK349" i="1"/>
  <c r="AR348" i="1"/>
  <c r="AM348" i="1"/>
  <c r="M348" i="1" s="1"/>
  <c r="AL348" i="1"/>
  <c r="AK348" i="1"/>
  <c r="AR347" i="1"/>
  <c r="AM347" i="1"/>
  <c r="M347" i="1" s="1"/>
  <c r="AL347" i="1"/>
  <c r="AK347" i="1"/>
  <c r="AR344" i="1"/>
  <c r="AM344" i="1"/>
  <c r="M344" i="1" s="1"/>
  <c r="AL344" i="1"/>
  <c r="AK344" i="1"/>
  <c r="AR343" i="1"/>
  <c r="AM343" i="1"/>
  <c r="M343" i="1" s="1"/>
  <c r="AL343" i="1"/>
  <c r="AK343" i="1"/>
  <c r="AR346" i="1"/>
  <c r="AM346" i="1"/>
  <c r="M346" i="1" s="1"/>
  <c r="AL346" i="1"/>
  <c r="AK346" i="1"/>
  <c r="AR345" i="1"/>
  <c r="AM345" i="1"/>
  <c r="M345" i="1" s="1"/>
  <c r="AL345" i="1"/>
  <c r="AK345" i="1"/>
  <c r="AR342" i="1"/>
  <c r="AM342" i="1"/>
  <c r="M342" i="1" s="1"/>
  <c r="AL342" i="1"/>
  <c r="AK342" i="1"/>
  <c r="AJ342" i="1" s="1"/>
  <c r="AR341" i="1"/>
  <c r="AM341" i="1"/>
  <c r="M341" i="1" s="1"/>
  <c r="AL341" i="1"/>
  <c r="AK341" i="1"/>
  <c r="AR340" i="1"/>
  <c r="AM340" i="1"/>
  <c r="M340" i="1" s="1"/>
  <c r="AL340" i="1"/>
  <c r="AK340" i="1"/>
  <c r="AR339" i="1"/>
  <c r="AM339" i="1"/>
  <c r="M339" i="1" s="1"/>
  <c r="AL339" i="1"/>
  <c r="AK339" i="1"/>
  <c r="AR338" i="1"/>
  <c r="AM338" i="1"/>
  <c r="M338" i="1" s="1"/>
  <c r="AL338" i="1"/>
  <c r="AK338" i="1"/>
  <c r="AM332" i="1"/>
  <c r="M332" i="1" s="1"/>
  <c r="AL332" i="1"/>
  <c r="AK332" i="1"/>
  <c r="AR335" i="1"/>
  <c r="AM335" i="1"/>
  <c r="M335" i="1" s="1"/>
  <c r="AL335" i="1"/>
  <c r="AK335" i="1"/>
  <c r="AR333" i="1"/>
  <c r="AM333" i="1"/>
  <c r="M333" i="1" s="1"/>
  <c r="AL333" i="1"/>
  <c r="AK333" i="1"/>
  <c r="AJ333" i="1" s="1"/>
  <c r="AR334" i="1"/>
  <c r="AM334" i="1"/>
  <c r="M334" i="1" s="1"/>
  <c r="AL334" i="1"/>
  <c r="AK334" i="1"/>
  <c r="AR337" i="1"/>
  <c r="AM337" i="1"/>
  <c r="M337" i="1" s="1"/>
  <c r="AL337" i="1"/>
  <c r="AK337" i="1"/>
  <c r="AR336" i="1"/>
  <c r="AM336" i="1"/>
  <c r="M336" i="1" s="1"/>
  <c r="AL336" i="1"/>
  <c r="AK336" i="1"/>
  <c r="AR330" i="1"/>
  <c r="AR331" i="1"/>
  <c r="AM331" i="1"/>
  <c r="M331" i="1" s="1"/>
  <c r="AL331" i="1"/>
  <c r="AK331" i="1"/>
  <c r="AR329" i="1"/>
  <c r="AM329" i="1"/>
  <c r="M329" i="1" s="1"/>
  <c r="AL329" i="1"/>
  <c r="AK329" i="1"/>
  <c r="AR328" i="1"/>
  <c r="AM328" i="1"/>
  <c r="M328" i="1" s="1"/>
  <c r="AL328" i="1"/>
  <c r="AK328" i="1"/>
  <c r="AR326" i="1"/>
  <c r="AM326" i="1"/>
  <c r="M326" i="1" s="1"/>
  <c r="AL326" i="1"/>
  <c r="AK326" i="1"/>
  <c r="AR325" i="1"/>
  <c r="AM325" i="1"/>
  <c r="M325" i="1" s="1"/>
  <c r="AL325" i="1"/>
  <c r="AK325" i="1"/>
  <c r="AR323" i="1"/>
  <c r="AM323" i="1"/>
  <c r="M323" i="1" s="1"/>
  <c r="AL323" i="1"/>
  <c r="AK323" i="1"/>
  <c r="AR319" i="1"/>
  <c r="AR318" i="1"/>
  <c r="AR317" i="1"/>
  <c r="AR316" i="1"/>
  <c r="AR315" i="1"/>
  <c r="AR311" i="1"/>
  <c r="AR310" i="1"/>
  <c r="AR309" i="1"/>
  <c r="AR322" i="1"/>
  <c r="AR321" i="1"/>
  <c r="AR320" i="1"/>
  <c r="AR314" i="1"/>
  <c r="AR313" i="1"/>
  <c r="AR312" i="1"/>
  <c r="AR327" i="1"/>
  <c r="AR324" i="1"/>
  <c r="AM324" i="1"/>
  <c r="M324" i="1" s="1"/>
  <c r="AL324" i="1"/>
  <c r="AK324" i="1"/>
  <c r="AM308" i="1"/>
  <c r="M308" i="1" s="1"/>
  <c r="AL308" i="1"/>
  <c r="AK308" i="1"/>
  <c r="AJ308" i="1" s="1"/>
  <c r="AR307" i="1"/>
  <c r="AM307" i="1"/>
  <c r="M307" i="1" s="1"/>
  <c r="AL307" i="1"/>
  <c r="AK307" i="1"/>
  <c r="AJ307" i="1" s="1"/>
  <c r="AR299" i="1"/>
  <c r="AM299" i="1"/>
  <c r="M299" i="1" s="1"/>
  <c r="AL299" i="1"/>
  <c r="AK299" i="1"/>
  <c r="AJ299" i="1" s="1"/>
  <c r="AR297" i="1"/>
  <c r="AM297" i="1"/>
  <c r="M297" i="1" s="1"/>
  <c r="AL297" i="1"/>
  <c r="AK297" i="1"/>
  <c r="AJ297" i="1" s="1"/>
  <c r="AR296" i="1"/>
  <c r="AM296" i="1"/>
  <c r="M296" i="1" s="1"/>
  <c r="AL296" i="1"/>
  <c r="AK296" i="1"/>
  <c r="AJ296" i="1" s="1"/>
  <c r="AR289" i="1"/>
  <c r="AM289" i="1"/>
  <c r="M289" i="1" s="1"/>
  <c r="AL289" i="1"/>
  <c r="AK289" i="1"/>
  <c r="AR287" i="1"/>
  <c r="AM287" i="1"/>
  <c r="M287" i="1" s="1"/>
  <c r="AL287" i="1"/>
  <c r="AK287" i="1"/>
  <c r="AR300" i="1"/>
  <c r="AR292" i="1"/>
  <c r="AR290" i="1"/>
  <c r="AR298" i="1"/>
  <c r="AR294" i="1"/>
  <c r="AR291" i="1"/>
  <c r="AR306" i="1"/>
  <c r="AM306" i="1"/>
  <c r="M306" i="1" s="1"/>
  <c r="AL306" i="1"/>
  <c r="AK306" i="1"/>
  <c r="AR303" i="1"/>
  <c r="AM303" i="1"/>
  <c r="M303" i="1" s="1"/>
  <c r="AL303" i="1"/>
  <c r="AK303" i="1"/>
  <c r="AR302" i="1"/>
  <c r="AR301" i="1"/>
  <c r="AM301" i="1"/>
  <c r="M301" i="1" s="1"/>
  <c r="AL301" i="1"/>
  <c r="AK301" i="1"/>
  <c r="AR286" i="1"/>
  <c r="AM286" i="1"/>
  <c r="M286" i="1" s="1"/>
  <c r="AL286" i="1"/>
  <c r="AK286" i="1"/>
  <c r="AR295" i="1"/>
  <c r="AM295" i="1"/>
  <c r="M295" i="1" s="1"/>
  <c r="AL295" i="1"/>
  <c r="AK295" i="1"/>
  <c r="AR288" i="1"/>
  <c r="AM288" i="1"/>
  <c r="M288" i="1" s="1"/>
  <c r="AL288" i="1"/>
  <c r="AK288" i="1"/>
  <c r="AR305" i="1"/>
  <c r="AM305" i="1"/>
  <c r="M305" i="1" s="1"/>
  <c r="AL305" i="1"/>
  <c r="AK305" i="1"/>
  <c r="AR293" i="1"/>
  <c r="AM293" i="1"/>
  <c r="M293" i="1" s="1"/>
  <c r="AL293" i="1"/>
  <c r="AK293" i="1"/>
  <c r="AR304" i="1"/>
  <c r="AM304" i="1"/>
  <c r="M304" i="1" s="1"/>
  <c r="AL304" i="1"/>
  <c r="AK304" i="1"/>
  <c r="AR285" i="1"/>
  <c r="AM285" i="1"/>
  <c r="M285" i="1" s="1"/>
  <c r="AL285" i="1"/>
  <c r="AK285" i="1"/>
  <c r="AJ285" i="1" s="1"/>
  <c r="AM280" i="1"/>
  <c r="M280" i="1" s="1"/>
  <c r="AL280" i="1"/>
  <c r="AK280" i="1"/>
  <c r="AJ280" i="1" s="1"/>
  <c r="AR279" i="1"/>
  <c r="AM279" i="1"/>
  <c r="M279" i="1" s="1"/>
  <c r="AL279" i="1"/>
  <c r="AK279" i="1"/>
  <c r="AR278" i="1"/>
  <c r="AM278" i="1"/>
  <c r="M278" i="1" s="1"/>
  <c r="AL278" i="1"/>
  <c r="AK278" i="1"/>
  <c r="AR277" i="1"/>
  <c r="AM277" i="1"/>
  <c r="M277" i="1" s="1"/>
  <c r="AL277" i="1"/>
  <c r="AK277" i="1"/>
  <c r="AR276" i="1"/>
  <c r="AM276" i="1"/>
  <c r="M276" i="1" s="1"/>
  <c r="AL276" i="1"/>
  <c r="AK276" i="1"/>
  <c r="AR275" i="1"/>
  <c r="AM275" i="1"/>
  <c r="M275" i="1" s="1"/>
  <c r="AL275" i="1"/>
  <c r="AK275" i="1"/>
  <c r="AR274" i="1"/>
  <c r="AM274" i="1"/>
  <c r="M274" i="1" s="1"/>
  <c r="AL274" i="1"/>
  <c r="AK274" i="1"/>
  <c r="AR266" i="1"/>
  <c r="AM266" i="1"/>
  <c r="M266" i="1" s="1"/>
  <c r="AL266" i="1"/>
  <c r="AK266" i="1"/>
  <c r="AJ266" i="1" s="1"/>
  <c r="AR255" i="1"/>
  <c r="AR272" i="1"/>
  <c r="AR267" i="1"/>
  <c r="AR271" i="1"/>
  <c r="AR263" i="1"/>
  <c r="AR258" i="1"/>
  <c r="AR256" i="1"/>
  <c r="AR270" i="1"/>
  <c r="AM270" i="1"/>
  <c r="M270" i="1" s="1"/>
  <c r="AL270" i="1"/>
  <c r="AK270" i="1"/>
  <c r="AR269" i="1"/>
  <c r="AM269" i="1"/>
  <c r="M269" i="1" s="1"/>
  <c r="AL269" i="1"/>
  <c r="AK269" i="1"/>
  <c r="AR265" i="1"/>
  <c r="AM265" i="1"/>
  <c r="M265" i="1" s="1"/>
  <c r="AL265" i="1"/>
  <c r="AK265" i="1"/>
  <c r="AR264" i="1"/>
  <c r="AM264" i="1"/>
  <c r="M264" i="1" s="1"/>
  <c r="AL264" i="1"/>
  <c r="AK264" i="1"/>
  <c r="AR260" i="1"/>
  <c r="AM260" i="1"/>
  <c r="M260" i="1" s="1"/>
  <c r="AL260" i="1"/>
  <c r="AK260" i="1"/>
  <c r="AR257" i="1"/>
  <c r="AM257" i="1"/>
  <c r="M257" i="1" s="1"/>
  <c r="AL257" i="1"/>
  <c r="AK257" i="1"/>
  <c r="AR268" i="1"/>
  <c r="AM268" i="1"/>
  <c r="M268" i="1" s="1"/>
  <c r="AL268" i="1"/>
  <c r="AK268" i="1"/>
  <c r="AR262" i="1"/>
  <c r="AR261" i="1"/>
  <c r="AR259" i="1"/>
  <c r="AR235" i="1"/>
  <c r="AM235" i="1"/>
  <c r="M235" i="1" s="1"/>
  <c r="AL235" i="1"/>
  <c r="AK235" i="1"/>
  <c r="AR252" i="1"/>
  <c r="AR251" i="1"/>
  <c r="AR250" i="1"/>
  <c r="AR249" i="1"/>
  <c r="AR248" i="1"/>
  <c r="AR247" i="1"/>
  <c r="AR246" i="1"/>
  <c r="AR245" i="1"/>
  <c r="AR244" i="1"/>
  <c r="AR243" i="1"/>
  <c r="AR242" i="1"/>
  <c r="AR241" i="1"/>
  <c r="AR240" i="1"/>
  <c r="AR239" i="1"/>
  <c r="AR238" i="1"/>
  <c r="AR237" i="1"/>
  <c r="AR236" i="1"/>
  <c r="AR254" i="1"/>
  <c r="AM254" i="1"/>
  <c r="M254" i="1" s="1"/>
  <c r="AL254" i="1"/>
  <c r="AK254" i="1"/>
  <c r="AR253" i="1"/>
  <c r="AM253" i="1"/>
  <c r="M253" i="1" s="1"/>
  <c r="AL253" i="1"/>
  <c r="AK253" i="1"/>
  <c r="AR234" i="1"/>
  <c r="AM234" i="1"/>
  <c r="M234" i="1" s="1"/>
  <c r="AL234" i="1"/>
  <c r="AK234" i="1"/>
  <c r="AJ234" i="1" s="1"/>
  <c r="AR231" i="1"/>
  <c r="AR230" i="1"/>
  <c r="AR233" i="1"/>
  <c r="AM233" i="1"/>
  <c r="M233" i="1" s="1"/>
  <c r="AL233" i="1"/>
  <c r="AK233" i="1"/>
  <c r="AR232" i="1"/>
  <c r="AM232" i="1"/>
  <c r="M232" i="1" s="1"/>
  <c r="AL232" i="1"/>
  <c r="AK232" i="1"/>
  <c r="AR229" i="1"/>
  <c r="AR228" i="1"/>
  <c r="AR227" i="1"/>
  <c r="AM227" i="1"/>
  <c r="M227" i="1" s="1"/>
  <c r="AL227" i="1"/>
  <c r="AK227" i="1"/>
  <c r="AR195" i="1"/>
  <c r="AM195" i="1"/>
  <c r="M195" i="1" s="1"/>
  <c r="AL195" i="1"/>
  <c r="AK195" i="1"/>
  <c r="AR218" i="1"/>
  <c r="AM218" i="1"/>
  <c r="M218" i="1" s="1"/>
  <c r="AL218" i="1"/>
  <c r="AK218" i="1"/>
  <c r="AJ218" i="1" s="1"/>
  <c r="AR220" i="1"/>
  <c r="AR212" i="1"/>
  <c r="AR210" i="1"/>
  <c r="AR209" i="1"/>
  <c r="AR208" i="1"/>
  <c r="AR207" i="1"/>
  <c r="AR205" i="1"/>
  <c r="AR203" i="1"/>
  <c r="AR198" i="1"/>
  <c r="AR222" i="1"/>
  <c r="AR221" i="1"/>
  <c r="AR219" i="1"/>
  <c r="AR216" i="1"/>
  <c r="AR200" i="1"/>
  <c r="AR194" i="1"/>
  <c r="AR217" i="1"/>
  <c r="AM217" i="1"/>
  <c r="M217" i="1" s="1"/>
  <c r="AL217" i="1"/>
  <c r="AK217" i="1"/>
  <c r="AR215" i="1"/>
  <c r="AM215" i="1"/>
  <c r="M215" i="1" s="1"/>
  <c r="AL215" i="1"/>
  <c r="AK215" i="1"/>
  <c r="AR199" i="1"/>
  <c r="AM199" i="1"/>
  <c r="M199" i="1" s="1"/>
  <c r="AL199" i="1"/>
  <c r="AK199" i="1"/>
  <c r="AR196" i="1"/>
  <c r="AM196" i="1"/>
  <c r="M196" i="1" s="1"/>
  <c r="AL196" i="1"/>
  <c r="AK196" i="1"/>
  <c r="AR192" i="1"/>
  <c r="AM192" i="1"/>
  <c r="M192" i="1" s="1"/>
  <c r="AL192" i="1"/>
  <c r="AK192" i="1"/>
  <c r="AR223" i="1"/>
  <c r="AM223" i="1"/>
  <c r="M223" i="1" s="1"/>
  <c r="AL223" i="1"/>
  <c r="AK223" i="1"/>
  <c r="AR213" i="1"/>
  <c r="AM213" i="1"/>
  <c r="M213" i="1" s="1"/>
  <c r="AL213" i="1"/>
  <c r="AK213" i="1"/>
  <c r="AR211" i="1"/>
  <c r="AM211" i="1"/>
  <c r="M211" i="1" s="1"/>
  <c r="AL211" i="1"/>
  <c r="AK211" i="1"/>
  <c r="AR206" i="1"/>
  <c r="AM206" i="1"/>
  <c r="M206" i="1" s="1"/>
  <c r="AL206" i="1"/>
  <c r="AK206" i="1"/>
  <c r="AR204" i="1"/>
  <c r="AM204" i="1"/>
  <c r="M204" i="1" s="1"/>
  <c r="AL204" i="1"/>
  <c r="AK204" i="1"/>
  <c r="AR202" i="1"/>
  <c r="AM202" i="1"/>
  <c r="M202" i="1" s="1"/>
  <c r="AL202" i="1"/>
  <c r="AK202" i="1"/>
  <c r="AR201" i="1"/>
  <c r="AM201" i="1"/>
  <c r="M201" i="1" s="1"/>
  <c r="AL201" i="1"/>
  <c r="AK201" i="1"/>
  <c r="AR226" i="1"/>
  <c r="AR225" i="1"/>
  <c r="AR224" i="1"/>
  <c r="AR197" i="1"/>
  <c r="AR189" i="1"/>
  <c r="AR188" i="1"/>
  <c r="AR187" i="1"/>
  <c r="AR186" i="1"/>
  <c r="AR185" i="1"/>
  <c r="AR184" i="1"/>
  <c r="AR183" i="1"/>
  <c r="AR182" i="1"/>
  <c r="AR181" i="1"/>
  <c r="AR180" i="1"/>
  <c r="AR179" i="1"/>
  <c r="AR178" i="1"/>
  <c r="AR177" i="1"/>
  <c r="AR176" i="1"/>
  <c r="AR175" i="1"/>
  <c r="AR174" i="1"/>
  <c r="AR173" i="1"/>
  <c r="AR172" i="1"/>
  <c r="AR171" i="1"/>
  <c r="AR170" i="1"/>
  <c r="AR169" i="1"/>
  <c r="AR168" i="1"/>
  <c r="AR167" i="1"/>
  <c r="AR166" i="1"/>
  <c r="AR165" i="1"/>
  <c r="AR164" i="1"/>
  <c r="AR163" i="1"/>
  <c r="AR162" i="1"/>
  <c r="AR161" i="1"/>
  <c r="AR160" i="1"/>
  <c r="AR159" i="1"/>
  <c r="AR158" i="1"/>
  <c r="AR157" i="1"/>
  <c r="AR156" i="1"/>
  <c r="AR155" i="1"/>
  <c r="AR154" i="1"/>
  <c r="AR153" i="1"/>
  <c r="AR152" i="1"/>
  <c r="AR151" i="1"/>
  <c r="AR150" i="1"/>
  <c r="AR149" i="1"/>
  <c r="AR148" i="1"/>
  <c r="AM147" i="1"/>
  <c r="M147" i="1" s="1"/>
  <c r="AL147" i="1"/>
  <c r="AK147" i="1"/>
  <c r="AJ147" i="1" s="1"/>
  <c r="AM146" i="1"/>
  <c r="M146" i="1" s="1"/>
  <c r="AL146" i="1"/>
  <c r="AK146" i="1"/>
  <c r="AJ146" i="1" s="1"/>
  <c r="AR145" i="1"/>
  <c r="AM145" i="1"/>
  <c r="M145" i="1" s="1"/>
  <c r="AL145" i="1"/>
  <c r="AK145" i="1"/>
  <c r="AJ145" i="1" s="1"/>
  <c r="AR191" i="1"/>
  <c r="AM191" i="1"/>
  <c r="M191" i="1" s="1"/>
  <c r="AL191" i="1"/>
  <c r="AK191" i="1"/>
  <c r="AR190" i="1"/>
  <c r="AM190" i="1"/>
  <c r="M190" i="1" s="1"/>
  <c r="AL190" i="1"/>
  <c r="AK190" i="1"/>
  <c r="AR144" i="1"/>
  <c r="AR143" i="1"/>
  <c r="AR91" i="1"/>
  <c r="AM91" i="1"/>
  <c r="M91" i="1" s="1"/>
  <c r="AL91" i="1"/>
  <c r="AK91" i="1"/>
  <c r="AR142" i="1"/>
  <c r="AR123" i="1"/>
  <c r="AR141" i="1"/>
  <c r="AR98" i="1"/>
  <c r="AR89" i="1"/>
  <c r="AR140" i="1"/>
  <c r="AR128" i="1"/>
  <c r="AR115" i="1"/>
  <c r="AR109" i="1"/>
  <c r="AR108" i="1"/>
  <c r="AR105" i="1"/>
  <c r="AR103" i="1"/>
  <c r="AR97" i="1"/>
  <c r="AR95" i="1"/>
  <c r="AR122" i="1"/>
  <c r="AR119" i="1"/>
  <c r="AR134" i="1"/>
  <c r="AR133" i="1"/>
  <c r="AR132" i="1"/>
  <c r="AR125" i="1"/>
  <c r="AR124" i="1"/>
  <c r="AR121" i="1"/>
  <c r="AR120" i="1"/>
  <c r="AR117" i="1"/>
  <c r="AR116" i="1"/>
  <c r="AR113" i="1"/>
  <c r="AR111" i="1"/>
  <c r="AR94" i="1"/>
  <c r="AR114" i="1"/>
  <c r="AR101" i="1"/>
  <c r="AR138" i="1"/>
  <c r="AM138" i="1"/>
  <c r="M138" i="1" s="1"/>
  <c r="AL138" i="1"/>
  <c r="AK138" i="1"/>
  <c r="AR112" i="1"/>
  <c r="AM112" i="1"/>
  <c r="M112" i="1" s="1"/>
  <c r="AL112" i="1"/>
  <c r="AK112" i="1"/>
  <c r="AR100" i="1"/>
  <c r="AL100" i="1"/>
  <c r="AK100" i="1"/>
  <c r="AR99" i="1"/>
  <c r="AM99" i="1"/>
  <c r="M99" i="1" s="1"/>
  <c r="AL99" i="1"/>
  <c r="AK99" i="1"/>
  <c r="AR136" i="1"/>
  <c r="AR135" i="1"/>
  <c r="AR131" i="1"/>
  <c r="AR130" i="1"/>
  <c r="AR129" i="1"/>
  <c r="AR126" i="1"/>
  <c r="AR93" i="1"/>
  <c r="AR92" i="1"/>
  <c r="AR118" i="1"/>
  <c r="AR110" i="1"/>
  <c r="AR106" i="1"/>
  <c r="AR102" i="1"/>
  <c r="AR90" i="1"/>
  <c r="AR88" i="1"/>
  <c r="AR71" i="1"/>
  <c r="AM71" i="1"/>
  <c r="M71" i="1" s="1"/>
  <c r="AL71" i="1"/>
  <c r="AK71" i="1"/>
  <c r="AR66" i="1"/>
  <c r="AM66" i="1"/>
  <c r="M66" i="1" s="1"/>
  <c r="AL66" i="1"/>
  <c r="AK66" i="1"/>
  <c r="AR61" i="1"/>
  <c r="AM61" i="1"/>
  <c r="M61" i="1" s="1"/>
  <c r="AL61" i="1"/>
  <c r="AK61" i="1"/>
  <c r="AR60" i="1"/>
  <c r="AM60" i="1"/>
  <c r="M60" i="1" s="1"/>
  <c r="AL60" i="1"/>
  <c r="AK60" i="1"/>
  <c r="AR59" i="1"/>
  <c r="AM59" i="1"/>
  <c r="M59" i="1" s="1"/>
  <c r="AL59" i="1"/>
  <c r="AK59" i="1"/>
  <c r="AR53" i="1"/>
  <c r="AM53" i="1"/>
  <c r="M53" i="1" s="1"/>
  <c r="AL53" i="1"/>
  <c r="AK53" i="1"/>
  <c r="AR52" i="1"/>
  <c r="AM52" i="1"/>
  <c r="M52" i="1" s="1"/>
  <c r="AL52" i="1"/>
  <c r="AK52" i="1"/>
  <c r="AR41" i="1"/>
  <c r="AM41" i="1"/>
  <c r="M41" i="1" s="1"/>
  <c r="AL41" i="1"/>
  <c r="AK41" i="1"/>
  <c r="AR40" i="1"/>
  <c r="AM40" i="1"/>
  <c r="M40" i="1" s="1"/>
  <c r="AL40" i="1"/>
  <c r="AK40" i="1"/>
  <c r="AR39" i="1"/>
  <c r="AM39" i="1"/>
  <c r="M39" i="1" s="1"/>
  <c r="AL39" i="1"/>
  <c r="AK39" i="1"/>
  <c r="AR38" i="1"/>
  <c r="AM38" i="1"/>
  <c r="M38" i="1" s="1"/>
  <c r="AL38" i="1"/>
  <c r="AK38" i="1"/>
  <c r="AR37" i="1"/>
  <c r="AM37" i="1"/>
  <c r="M37" i="1" s="1"/>
  <c r="AL37" i="1"/>
  <c r="AK37" i="1"/>
  <c r="AR70" i="1"/>
  <c r="AR69" i="1"/>
  <c r="AR80" i="1"/>
  <c r="AR79" i="1"/>
  <c r="AR58" i="1"/>
  <c r="AR56" i="1"/>
  <c r="AR36" i="1"/>
  <c r="AR51" i="1"/>
  <c r="AR87" i="1"/>
  <c r="AR62" i="1"/>
  <c r="AR57" i="1"/>
  <c r="AR55" i="1"/>
  <c r="AR54" i="1"/>
  <c r="AR48" i="1"/>
  <c r="AR47" i="1"/>
  <c r="AR46" i="1"/>
  <c r="AR44" i="1"/>
  <c r="AR43" i="1"/>
  <c r="AR42" i="1"/>
  <c r="AR84" i="1"/>
  <c r="AR83" i="1"/>
  <c r="AR82" i="1"/>
  <c r="AR67" i="1"/>
  <c r="AR65" i="1"/>
  <c r="AR64" i="1"/>
  <c r="AR63" i="1"/>
  <c r="AR49" i="1"/>
  <c r="AR45" i="1"/>
  <c r="AR81" i="1"/>
  <c r="AM81" i="1"/>
  <c r="M81" i="1" s="1"/>
  <c r="AL81" i="1"/>
  <c r="AK81" i="1"/>
  <c r="AR73" i="1"/>
  <c r="AM73" i="1"/>
  <c r="M73" i="1" s="1"/>
  <c r="AL73" i="1"/>
  <c r="AK73" i="1"/>
  <c r="AR72" i="1"/>
  <c r="AM72" i="1"/>
  <c r="M72" i="1" s="1"/>
  <c r="AL72" i="1"/>
  <c r="AK72" i="1"/>
  <c r="AR27" i="1"/>
  <c r="AM27" i="1"/>
  <c r="M27" i="1" s="1"/>
  <c r="AL27" i="1"/>
  <c r="AK27" i="1"/>
  <c r="AR26" i="1"/>
  <c r="AM26" i="1"/>
  <c r="M26" i="1" s="1"/>
  <c r="AL26" i="1"/>
  <c r="AK26" i="1"/>
  <c r="AJ26" i="1" s="1"/>
  <c r="AR25" i="1"/>
  <c r="AL25" i="1"/>
  <c r="AK25" i="1"/>
  <c r="AJ25" i="1" s="1"/>
  <c r="M23" i="1"/>
  <c r="M22" i="1"/>
  <c r="AR20" i="1"/>
  <c r="AM20" i="1"/>
  <c r="M20" i="1" s="1"/>
  <c r="AL20" i="1"/>
  <c r="AK20" i="1"/>
  <c r="AJ20" i="1" s="1"/>
  <c r="AR19" i="1"/>
  <c r="AM19" i="1"/>
  <c r="M19" i="1" s="1"/>
  <c r="AL19" i="1"/>
  <c r="AK19" i="1"/>
  <c r="AJ19" i="1" s="1"/>
  <c r="AR18" i="1"/>
  <c r="AM18" i="1"/>
  <c r="M18" i="1" s="1"/>
  <c r="AL18" i="1"/>
  <c r="AK18" i="1"/>
  <c r="AJ18" i="1" s="1"/>
  <c r="AR17" i="1"/>
  <c r="AM17" i="1"/>
  <c r="M17" i="1" s="1"/>
  <c r="AL17" i="1"/>
  <c r="AK17" i="1"/>
  <c r="AJ17" i="1" s="1"/>
  <c r="AR16" i="1"/>
  <c r="AM16" i="1"/>
  <c r="M16" i="1" s="1"/>
  <c r="AL16" i="1"/>
  <c r="AK16" i="1"/>
  <c r="AJ16" i="1" s="1"/>
  <c r="AR15" i="1"/>
  <c r="AM15" i="1"/>
  <c r="M15" i="1" s="1"/>
  <c r="AL15" i="1"/>
  <c r="AK15" i="1"/>
  <c r="AJ15" i="1" s="1"/>
  <c r="AR14" i="1"/>
  <c r="AM14" i="1"/>
  <c r="M14" i="1" s="1"/>
  <c r="AL14" i="1"/>
  <c r="AK14" i="1"/>
  <c r="AJ14" i="1" s="1"/>
  <c r="AR13" i="1"/>
  <c r="AM13" i="1"/>
  <c r="M13" i="1" s="1"/>
  <c r="AL13" i="1"/>
  <c r="AK13" i="1"/>
  <c r="AJ13" i="1" s="1"/>
  <c r="AR8" i="1"/>
  <c r="M8" i="1"/>
  <c r="AK8" i="1"/>
  <c r="AJ8" i="1" s="1"/>
  <c r="AJ28" i="1" l="1"/>
  <c r="AJ464" i="1"/>
  <c r="AJ466" i="1"/>
  <c r="AJ463" i="1"/>
  <c r="AJ465" i="1"/>
  <c r="AJ381" i="1"/>
  <c r="AJ379" i="1"/>
  <c r="AJ380" i="1"/>
  <c r="AJ335" i="1"/>
  <c r="AJ332" i="1"/>
  <c r="AJ334" i="1"/>
  <c r="AJ428" i="1"/>
  <c r="AJ355" i="1"/>
  <c r="Q13" i="1"/>
  <c r="W9" i="1"/>
  <c r="S9" i="1"/>
  <c r="P9" i="1"/>
  <c r="Q19" i="1"/>
  <c r="W12" i="1"/>
  <c r="S12" i="1"/>
  <c r="P12" i="1"/>
  <c r="Q14" i="1"/>
  <c r="W10" i="1"/>
  <c r="S10" i="1"/>
  <c r="P10" i="1"/>
  <c r="Q15" i="1"/>
  <c r="W11" i="1"/>
  <c r="S11" i="1"/>
  <c r="P11" i="1"/>
  <c r="AJ284" i="1"/>
  <c r="Q426" i="1"/>
  <c r="W427" i="1"/>
  <c r="S427" i="1"/>
  <c r="P427" i="1"/>
  <c r="W284" i="1"/>
  <c r="S284" i="1"/>
  <c r="P284" i="1"/>
  <c r="Q381" i="1"/>
  <c r="W380" i="1"/>
  <c r="S380" i="1"/>
  <c r="P380" i="1"/>
  <c r="P435" i="1" l="1"/>
  <c r="P436" i="1"/>
  <c r="P437" i="1"/>
  <c r="P438" i="1"/>
  <c r="P439" i="1"/>
  <c r="P440" i="1"/>
  <c r="P441" i="1"/>
  <c r="Q332" i="1" l="1"/>
  <c r="Q333" i="1"/>
  <c r="W335" i="1"/>
  <c r="S335" i="1"/>
  <c r="P335" i="1"/>
  <c r="W334" i="1"/>
  <c r="S334" i="1"/>
  <c r="P334" i="1"/>
  <c r="Q308" i="1"/>
  <c r="W297" i="1"/>
  <c r="S297" i="1"/>
  <c r="P297" i="1"/>
  <c r="Q307" i="1"/>
  <c r="W296" i="1"/>
  <c r="S296" i="1"/>
  <c r="P296" i="1"/>
  <c r="AJ382" i="1"/>
  <c r="Q354" i="1"/>
  <c r="AJ351" i="1"/>
  <c r="W351" i="1"/>
  <c r="S351" i="1"/>
  <c r="P351" i="1"/>
  <c r="AJ182" i="1"/>
  <c r="W182" i="1"/>
  <c r="S182" i="1"/>
  <c r="P182" i="1"/>
  <c r="W146" i="1"/>
  <c r="S146" i="1"/>
  <c r="P146" i="1"/>
  <c r="W145" i="1"/>
  <c r="S145" i="1"/>
  <c r="P145" i="1"/>
  <c r="W588" i="1"/>
  <c r="S588" i="1"/>
  <c r="T588" i="1" s="1"/>
  <c r="V588" i="1" s="1"/>
  <c r="P588" i="1"/>
  <c r="W545" i="1"/>
  <c r="S545" i="1"/>
  <c r="P545" i="1"/>
  <c r="W586" i="1"/>
  <c r="S586" i="1"/>
  <c r="P586" i="1"/>
  <c r="W585" i="1"/>
  <c r="S585" i="1"/>
  <c r="P585" i="1"/>
  <c r="W584" i="1"/>
  <c r="S584" i="1"/>
  <c r="P584" i="1"/>
  <c r="W583" i="1"/>
  <c r="S583" i="1"/>
  <c r="P583" i="1"/>
  <c r="W582" i="1"/>
  <c r="S582" i="1"/>
  <c r="P582" i="1"/>
  <c r="W581" i="1"/>
  <c r="S581" i="1"/>
  <c r="P581" i="1"/>
  <c r="W580" i="1"/>
  <c r="S580" i="1"/>
  <c r="P580" i="1"/>
  <c r="W579" i="1"/>
  <c r="S579" i="1"/>
  <c r="P579" i="1"/>
  <c r="W578" i="1"/>
  <c r="S578" i="1"/>
  <c r="P578" i="1"/>
  <c r="W577" i="1"/>
  <c r="S577" i="1"/>
  <c r="P577" i="1"/>
  <c r="W576" i="1"/>
  <c r="S576" i="1"/>
  <c r="P576" i="1"/>
  <c r="W575" i="1"/>
  <c r="S575" i="1"/>
  <c r="P575" i="1"/>
  <c r="W574" i="1"/>
  <c r="S574" i="1"/>
  <c r="P574" i="1"/>
  <c r="W573" i="1"/>
  <c r="S573" i="1"/>
  <c r="P573" i="1"/>
  <c r="W571" i="1"/>
  <c r="S571" i="1"/>
  <c r="P571" i="1"/>
  <c r="W570" i="1"/>
  <c r="S570" i="1"/>
  <c r="P570" i="1"/>
  <c r="W569" i="1"/>
  <c r="S569" i="1"/>
  <c r="P569" i="1"/>
  <c r="W568" i="1"/>
  <c r="S568" i="1"/>
  <c r="P568" i="1"/>
  <c r="W567" i="1"/>
  <c r="S567" i="1"/>
  <c r="P567" i="1"/>
  <c r="W566" i="1"/>
  <c r="S566" i="1"/>
  <c r="P566" i="1"/>
  <c r="W565" i="1"/>
  <c r="S565" i="1"/>
  <c r="P565" i="1"/>
  <c r="W564" i="1"/>
  <c r="S564" i="1"/>
  <c r="P564" i="1"/>
  <c r="W563" i="1"/>
  <c r="S563" i="1"/>
  <c r="P563" i="1"/>
  <c r="W652" i="1"/>
  <c r="S652" i="1"/>
  <c r="T652" i="1" s="1"/>
  <c r="V652" i="1" s="1"/>
  <c r="P652" i="1"/>
  <c r="W650" i="1"/>
  <c r="S650" i="1"/>
  <c r="P650" i="1"/>
  <c r="W649" i="1"/>
  <c r="S649" i="1"/>
  <c r="P649" i="1"/>
  <c r="W651" i="1"/>
  <c r="S651" i="1"/>
  <c r="T651" i="1" s="1"/>
  <c r="V651" i="1" s="1"/>
  <c r="P651" i="1"/>
  <c r="W656" i="1"/>
  <c r="S656" i="1"/>
  <c r="W655" i="1"/>
  <c r="S655" i="1"/>
  <c r="P655" i="1"/>
  <c r="W28" i="1"/>
  <c r="S28" i="1"/>
  <c r="T28" i="1" s="1"/>
  <c r="V28" i="1" s="1"/>
  <c r="W645" i="1"/>
  <c r="S645" i="1"/>
  <c r="P645" i="1"/>
  <c r="W644" i="1"/>
  <c r="S644" i="1"/>
  <c r="P644" i="1"/>
  <c r="W643" i="1"/>
  <c r="S643" i="1"/>
  <c r="T643" i="1" s="1"/>
  <c r="V643" i="1" s="1"/>
  <c r="P643" i="1"/>
  <c r="W594" i="1"/>
  <c r="S594" i="1"/>
  <c r="P594" i="1"/>
  <c r="W593" i="1"/>
  <c r="S593" i="1"/>
  <c r="P593" i="1"/>
  <c r="W592" i="1"/>
  <c r="S592" i="1"/>
  <c r="P592" i="1"/>
  <c r="W591" i="1"/>
  <c r="S591" i="1"/>
  <c r="P591" i="1"/>
  <c r="W599" i="1"/>
  <c r="S599" i="1"/>
  <c r="P599" i="1"/>
  <c r="W598" i="1"/>
  <c r="S598" i="1"/>
  <c r="P598" i="1"/>
  <c r="W597" i="1"/>
  <c r="S597" i="1"/>
  <c r="P597" i="1"/>
  <c r="W596" i="1"/>
  <c r="S596" i="1"/>
  <c r="P596" i="1"/>
  <c r="W595" i="1"/>
  <c r="S595" i="1"/>
  <c r="P595" i="1"/>
  <c r="W648" i="1"/>
  <c r="S648" i="1"/>
  <c r="T648" i="1" s="1"/>
  <c r="V648" i="1" s="1"/>
  <c r="W590" i="1"/>
  <c r="S590" i="1"/>
  <c r="P590" i="1"/>
  <c r="W589" i="1"/>
  <c r="S589" i="1"/>
  <c r="P589" i="1"/>
  <c r="W535" i="1"/>
  <c r="S535" i="1"/>
  <c r="P535" i="1"/>
  <c r="W534" i="1"/>
  <c r="S534" i="1"/>
  <c r="P534" i="1"/>
  <c r="W546" i="1"/>
  <c r="S546" i="1"/>
  <c r="P546" i="1"/>
  <c r="W620" i="1"/>
  <c r="S620" i="1"/>
  <c r="P620" i="1"/>
  <c r="W619" i="1"/>
  <c r="S619" i="1"/>
  <c r="P619" i="1"/>
  <c r="W618" i="1"/>
  <c r="S618" i="1"/>
  <c r="P618" i="1"/>
  <c r="W617" i="1"/>
  <c r="S617" i="1"/>
  <c r="P617" i="1"/>
  <c r="W616" i="1"/>
  <c r="S616" i="1"/>
  <c r="P616" i="1"/>
  <c r="W615" i="1"/>
  <c r="S615" i="1"/>
  <c r="P615" i="1"/>
  <c r="W614" i="1"/>
  <c r="S614" i="1"/>
  <c r="P614" i="1"/>
  <c r="W613" i="1"/>
  <c r="S613" i="1"/>
  <c r="P613" i="1"/>
  <c r="W612" i="1"/>
  <c r="S612" i="1"/>
  <c r="P612" i="1"/>
  <c r="W611" i="1"/>
  <c r="S611" i="1"/>
  <c r="P611" i="1"/>
  <c r="W610" i="1"/>
  <c r="S610" i="1"/>
  <c r="P610" i="1"/>
  <c r="W609" i="1"/>
  <c r="S609" i="1"/>
  <c r="P609" i="1"/>
  <c r="W608" i="1"/>
  <c r="S608" i="1"/>
  <c r="P608" i="1"/>
  <c r="W607" i="1"/>
  <c r="S607" i="1"/>
  <c r="P607" i="1"/>
  <c r="W606" i="1"/>
  <c r="S606" i="1"/>
  <c r="P606" i="1"/>
  <c r="W605" i="1"/>
  <c r="S605" i="1"/>
  <c r="P605" i="1"/>
  <c r="W604" i="1"/>
  <c r="S604" i="1"/>
  <c r="P604" i="1"/>
  <c r="W603" i="1"/>
  <c r="S603" i="1"/>
  <c r="P603" i="1"/>
  <c r="W602" i="1"/>
  <c r="S602" i="1"/>
  <c r="P602" i="1"/>
  <c r="W601" i="1"/>
  <c r="S601" i="1"/>
  <c r="P601" i="1"/>
  <c r="W600" i="1"/>
  <c r="S600" i="1"/>
  <c r="P600" i="1"/>
  <c r="W654" i="1"/>
  <c r="S654" i="1"/>
  <c r="P654" i="1"/>
  <c r="W653" i="1"/>
  <c r="S653" i="1"/>
  <c r="P653" i="1"/>
  <c r="W647" i="1"/>
  <c r="S647" i="1"/>
  <c r="P647" i="1"/>
  <c r="W646" i="1"/>
  <c r="S646" i="1"/>
  <c r="P646" i="1"/>
  <c r="W658" i="1"/>
  <c r="S658" i="1"/>
  <c r="W657" i="1"/>
  <c r="S657" i="1"/>
  <c r="W29" i="1"/>
  <c r="S29" i="1"/>
  <c r="T29" i="1" s="1"/>
  <c r="V29" i="1" s="1"/>
  <c r="W642" i="1"/>
  <c r="S642" i="1"/>
  <c r="P642" i="1"/>
  <c r="W641" i="1"/>
  <c r="S641" i="1"/>
  <c r="P641" i="1"/>
  <c r="W640" i="1"/>
  <c r="S640" i="1"/>
  <c r="P640" i="1"/>
  <c r="W639" i="1"/>
  <c r="S639" i="1"/>
  <c r="P639" i="1"/>
  <c r="W638" i="1"/>
  <c r="S638" i="1"/>
  <c r="P638" i="1"/>
  <c r="W637" i="1"/>
  <c r="S637" i="1"/>
  <c r="P637" i="1"/>
  <c r="W636" i="1"/>
  <c r="S636" i="1"/>
  <c r="P636" i="1"/>
  <c r="W635" i="1"/>
  <c r="S635" i="1"/>
  <c r="P635" i="1"/>
  <c r="W634" i="1"/>
  <c r="S634" i="1"/>
  <c r="P634" i="1"/>
  <c r="W633" i="1"/>
  <c r="S633" i="1"/>
  <c r="P633" i="1"/>
  <c r="W632" i="1"/>
  <c r="S632" i="1"/>
  <c r="P632" i="1"/>
  <c r="W631" i="1"/>
  <c r="S631" i="1"/>
  <c r="P631" i="1"/>
  <c r="W630" i="1"/>
  <c r="S630" i="1"/>
  <c r="P630" i="1"/>
  <c r="W629" i="1"/>
  <c r="S629" i="1"/>
  <c r="P629" i="1"/>
  <c r="W628" i="1"/>
  <c r="S628" i="1"/>
  <c r="P628" i="1"/>
  <c r="W627" i="1"/>
  <c r="S627" i="1"/>
  <c r="P627" i="1"/>
  <c r="W626" i="1"/>
  <c r="S626" i="1"/>
  <c r="P626" i="1"/>
  <c r="W625" i="1"/>
  <c r="S625" i="1"/>
  <c r="P625" i="1"/>
  <c r="W624" i="1"/>
  <c r="S624" i="1"/>
  <c r="P624" i="1"/>
  <c r="W623" i="1"/>
  <c r="S623" i="1"/>
  <c r="P623" i="1"/>
  <c r="W622" i="1"/>
  <c r="S622" i="1"/>
  <c r="P622" i="1"/>
  <c r="W621" i="1"/>
  <c r="S621" i="1"/>
  <c r="P621" i="1"/>
  <c r="T600" i="1" l="1"/>
  <c r="V600" i="1" s="1"/>
  <c r="T649" i="1"/>
  <c r="V649" i="1" s="1"/>
  <c r="T609" i="1"/>
  <c r="V609" i="1" s="1"/>
  <c r="T624" i="1"/>
  <c r="V624" i="1" s="1"/>
  <c r="T630" i="1"/>
  <c r="V630" i="1" s="1"/>
  <c r="T650" i="1"/>
  <c r="V650" i="1" s="1"/>
  <c r="T640" i="1"/>
  <c r="V640" i="1" s="1"/>
  <c r="T632" i="1"/>
  <c r="V632" i="1" s="1"/>
  <c r="T627" i="1"/>
  <c r="V627" i="1" s="1"/>
  <c r="T625" i="1"/>
  <c r="V625" i="1" s="1"/>
  <c r="T604" i="1"/>
  <c r="V604" i="1" s="1"/>
  <c r="T623" i="1"/>
  <c r="V623" i="1" s="1"/>
  <c r="T636" i="1"/>
  <c r="V636" i="1" s="1"/>
  <c r="T628" i="1"/>
  <c r="V628" i="1" s="1"/>
  <c r="T607" i="1"/>
  <c r="V607" i="1" s="1"/>
  <c r="T616" i="1"/>
  <c r="V616" i="1" s="1"/>
  <c r="T621" i="1"/>
  <c r="V621" i="1" s="1"/>
  <c r="T642" i="1"/>
  <c r="V642" i="1" s="1"/>
  <c r="T629" i="1"/>
  <c r="V629" i="1" s="1"/>
  <c r="T637" i="1"/>
  <c r="V637" i="1" s="1"/>
  <c r="T613" i="1"/>
  <c r="V613" i="1" s="1"/>
  <c r="T611" i="1"/>
  <c r="V611" i="1" s="1"/>
  <c r="T639" i="1"/>
  <c r="V639" i="1" s="1"/>
  <c r="T606" i="1"/>
  <c r="V606" i="1" s="1"/>
  <c r="T618" i="1"/>
  <c r="V618" i="1" s="1"/>
  <c r="T635" i="1"/>
  <c r="V635" i="1" s="1"/>
  <c r="T602" i="1"/>
  <c r="V602" i="1" s="1"/>
  <c r="T614" i="1"/>
  <c r="V614" i="1" s="1"/>
  <c r="T619" i="1"/>
  <c r="V619" i="1" s="1"/>
  <c r="T612" i="1"/>
  <c r="V612" i="1" s="1"/>
  <c r="T633" i="1"/>
  <c r="V633" i="1" s="1"/>
  <c r="T638" i="1"/>
  <c r="V638" i="1" s="1"/>
  <c r="T605" i="1"/>
  <c r="V605" i="1" s="1"/>
  <c r="T617" i="1"/>
  <c r="V617" i="1" s="1"/>
  <c r="T626" i="1"/>
  <c r="V626" i="1" s="1"/>
  <c r="T631" i="1"/>
  <c r="V631" i="1" s="1"/>
  <c r="T610" i="1"/>
  <c r="V610" i="1" s="1"/>
  <c r="T603" i="1"/>
  <c r="V603" i="1" s="1"/>
  <c r="T615" i="1"/>
  <c r="V615" i="1" s="1"/>
  <c r="T608" i="1"/>
  <c r="V608" i="1" s="1"/>
  <c r="T620" i="1"/>
  <c r="V620" i="1" s="1"/>
  <c r="T641" i="1"/>
  <c r="V641" i="1" s="1"/>
  <c r="T622" i="1"/>
  <c r="V622" i="1" s="1"/>
  <c r="T634" i="1"/>
  <c r="V634" i="1" s="1"/>
  <c r="T601" i="1"/>
  <c r="V601" i="1" s="1"/>
  <c r="T653" i="1"/>
  <c r="V653" i="1" s="1"/>
  <c r="T656" i="1"/>
  <c r="V656" i="1" s="1"/>
  <c r="T654" i="1"/>
  <c r="V654" i="1" s="1"/>
  <c r="T646" i="1"/>
  <c r="V646" i="1" s="1"/>
  <c r="T647" i="1"/>
  <c r="V647" i="1" s="1"/>
  <c r="T645" i="1"/>
  <c r="V645" i="1" s="1"/>
  <c r="T655" i="1"/>
  <c r="V655" i="1" s="1"/>
  <c r="T644" i="1"/>
  <c r="V644" i="1" s="1"/>
  <c r="T592" i="1"/>
  <c r="V592" i="1" s="1"/>
  <c r="T594" i="1"/>
  <c r="V594" i="1" s="1"/>
  <c r="T591" i="1"/>
  <c r="V591" i="1" s="1"/>
  <c r="T593" i="1"/>
  <c r="V593" i="1" s="1"/>
  <c r="T596" i="1"/>
  <c r="V596" i="1" s="1"/>
  <c r="T598" i="1"/>
  <c r="V598" i="1" s="1"/>
  <c r="T597" i="1"/>
  <c r="V597" i="1" s="1"/>
  <c r="T599" i="1"/>
  <c r="V599" i="1" s="1"/>
  <c r="T595" i="1"/>
  <c r="V595" i="1" s="1"/>
  <c r="T589" i="1"/>
  <c r="V589" i="1" s="1"/>
  <c r="T590" i="1"/>
  <c r="V590" i="1" s="1"/>
  <c r="Q157" i="1"/>
  <c r="AJ150" i="1"/>
  <c r="W150" i="1"/>
  <c r="P150" i="1"/>
  <c r="S150" i="1" l="1"/>
  <c r="Q279" i="1" l="1"/>
  <c r="AJ278" i="1"/>
  <c r="W278" i="1"/>
  <c r="S278" i="1"/>
  <c r="P278" i="1"/>
  <c r="Q266" i="1"/>
  <c r="AJ265" i="1"/>
  <c r="W265" i="1"/>
  <c r="S265" i="1"/>
  <c r="P265" i="1"/>
  <c r="Q234" i="1"/>
  <c r="AJ233" i="1"/>
  <c r="W233" i="1"/>
  <c r="S233" i="1"/>
  <c r="P233" i="1"/>
  <c r="Q218" i="1"/>
  <c r="AJ217" i="1"/>
  <c r="W217" i="1"/>
  <c r="S217" i="1"/>
  <c r="P217" i="1"/>
  <c r="Q295" i="1" l="1"/>
  <c r="W27" i="1"/>
  <c r="Q324" i="1" l="1"/>
  <c r="AJ323" i="1"/>
  <c r="W323" i="1"/>
  <c r="S323" i="1"/>
  <c r="P323" i="1"/>
  <c r="S27" i="1"/>
  <c r="T27" i="1" s="1"/>
  <c r="V27" i="1" s="1"/>
  <c r="AJ254" i="1" l="1"/>
  <c r="W254" i="1"/>
  <c r="S254" i="1"/>
  <c r="P254" i="1"/>
  <c r="AJ253" i="1"/>
  <c r="W253" i="1"/>
  <c r="S253" i="1"/>
  <c r="P253" i="1"/>
  <c r="AJ191" i="1"/>
  <c r="W191" i="1"/>
  <c r="S191" i="1"/>
  <c r="P191" i="1"/>
  <c r="AJ190" i="1"/>
  <c r="W190" i="1"/>
  <c r="S190" i="1"/>
  <c r="P190" i="1"/>
  <c r="Q346" i="1"/>
  <c r="AJ344" i="1"/>
  <c r="W344" i="1"/>
  <c r="S344" i="1"/>
  <c r="P344" i="1"/>
  <c r="Q345" i="1"/>
  <c r="AJ343" i="1"/>
  <c r="W343" i="1"/>
  <c r="S343" i="1"/>
  <c r="P343" i="1"/>
  <c r="D9" i="5" l="1"/>
  <c r="AJ273" i="1" l="1"/>
  <c r="W460" i="1" l="1"/>
  <c r="S460" i="1"/>
  <c r="P460" i="1"/>
  <c r="W461" i="1"/>
  <c r="S461" i="1"/>
  <c r="P461" i="1"/>
  <c r="W462" i="1"/>
  <c r="S462" i="1"/>
  <c r="P462" i="1"/>
  <c r="W459" i="1"/>
  <c r="S459" i="1"/>
  <c r="P459" i="1"/>
  <c r="W467" i="1"/>
  <c r="S467" i="1"/>
  <c r="P467" i="1"/>
  <c r="W468" i="1"/>
  <c r="S468" i="1"/>
  <c r="P468" i="1"/>
  <c r="W458" i="1"/>
  <c r="S458" i="1"/>
  <c r="P458" i="1"/>
  <c r="W457" i="1"/>
  <c r="S457" i="1"/>
  <c r="P457" i="1"/>
  <c r="W470" i="1"/>
  <c r="S470" i="1"/>
  <c r="P470" i="1"/>
  <c r="W469" i="1"/>
  <c r="S469" i="1"/>
  <c r="P469" i="1"/>
  <c r="W471" i="1"/>
  <c r="S471" i="1"/>
  <c r="T471" i="1" s="1"/>
  <c r="V471" i="1" s="1"/>
  <c r="P471" i="1"/>
  <c r="W466" i="1"/>
  <c r="S466" i="1"/>
  <c r="P466" i="1"/>
  <c r="W465" i="1"/>
  <c r="S465" i="1"/>
  <c r="P465" i="1"/>
  <c r="W464" i="1"/>
  <c r="S464" i="1"/>
  <c r="P464" i="1"/>
  <c r="W405" i="1"/>
  <c r="S405" i="1"/>
  <c r="P405" i="1"/>
  <c r="W397" i="1"/>
  <c r="S397" i="1"/>
  <c r="P397" i="1"/>
  <c r="W396" i="1"/>
  <c r="S396" i="1"/>
  <c r="P396" i="1"/>
  <c r="W398" i="1"/>
  <c r="S398" i="1"/>
  <c r="P398" i="1"/>
  <c r="W395" i="1"/>
  <c r="S395" i="1"/>
  <c r="P395" i="1"/>
  <c r="W401" i="1"/>
  <c r="S401" i="1"/>
  <c r="P401" i="1"/>
  <c r="W403" i="1"/>
  <c r="S403" i="1"/>
  <c r="P403" i="1"/>
  <c r="W402" i="1"/>
  <c r="S402" i="1"/>
  <c r="P402" i="1"/>
  <c r="W400" i="1"/>
  <c r="S400" i="1"/>
  <c r="P400" i="1"/>
  <c r="W413" i="1"/>
  <c r="S413" i="1"/>
  <c r="P413" i="1"/>
  <c r="W426" i="1"/>
  <c r="S426" i="1"/>
  <c r="P426" i="1"/>
  <c r="W473" i="1"/>
  <c r="S473" i="1"/>
  <c r="P473" i="1"/>
  <c r="W472" i="1"/>
  <c r="S472" i="1"/>
  <c r="P472" i="1"/>
  <c r="W476" i="1"/>
  <c r="S476" i="1"/>
  <c r="P476" i="1"/>
  <c r="W475" i="1"/>
  <c r="S475" i="1"/>
  <c r="P475" i="1"/>
  <c r="W474" i="1"/>
  <c r="S474" i="1"/>
  <c r="P474" i="1"/>
  <c r="W484" i="1"/>
  <c r="S484" i="1"/>
  <c r="T484" i="1" s="1"/>
  <c r="V484" i="1" s="1"/>
  <c r="P484" i="1"/>
  <c r="W399" i="1"/>
  <c r="S399" i="1"/>
  <c r="P399" i="1"/>
  <c r="W404" i="1"/>
  <c r="S404" i="1"/>
  <c r="P404" i="1"/>
  <c r="W414" i="1"/>
  <c r="S414" i="1"/>
  <c r="P414" i="1"/>
  <c r="W406" i="1"/>
  <c r="S406" i="1"/>
  <c r="P406" i="1"/>
  <c r="W407" i="1"/>
  <c r="S407" i="1"/>
  <c r="P407" i="1"/>
  <c r="W408" i="1"/>
  <c r="S408" i="1"/>
  <c r="P408" i="1"/>
  <c r="W411" i="1"/>
  <c r="S411" i="1"/>
  <c r="P411" i="1"/>
  <c r="W412" i="1"/>
  <c r="S412" i="1"/>
  <c r="P412" i="1"/>
  <c r="W409" i="1"/>
  <c r="S409" i="1"/>
  <c r="P409" i="1"/>
  <c r="W410" i="1"/>
  <c r="S410" i="1"/>
  <c r="P410" i="1"/>
  <c r="W491" i="1"/>
  <c r="S491" i="1"/>
  <c r="P491" i="1"/>
  <c r="W490" i="1"/>
  <c r="S490" i="1"/>
  <c r="P490" i="1"/>
  <c r="W489" i="1"/>
  <c r="S489" i="1"/>
  <c r="P489" i="1"/>
  <c r="W488" i="1"/>
  <c r="S488" i="1"/>
  <c r="P488" i="1"/>
  <c r="W487" i="1"/>
  <c r="S487" i="1"/>
  <c r="P487" i="1"/>
  <c r="W486" i="1"/>
  <c r="S486" i="1"/>
  <c r="P486" i="1"/>
  <c r="W485" i="1"/>
  <c r="S485" i="1"/>
  <c r="W483" i="1"/>
  <c r="S483" i="1"/>
  <c r="P483" i="1"/>
  <c r="W482" i="1"/>
  <c r="S482" i="1"/>
  <c r="P482" i="1"/>
  <c r="W481" i="1"/>
  <c r="S481" i="1"/>
  <c r="P481" i="1"/>
  <c r="W480" i="1"/>
  <c r="S480" i="1"/>
  <c r="P480" i="1"/>
  <c r="W479" i="1"/>
  <c r="S479" i="1"/>
  <c r="P479" i="1"/>
  <c r="W478" i="1"/>
  <c r="S478" i="1"/>
  <c r="P478" i="1"/>
  <c r="W477" i="1"/>
  <c r="S477" i="1"/>
  <c r="P477" i="1"/>
  <c r="W505" i="1"/>
  <c r="S505" i="1"/>
  <c r="P505" i="1"/>
  <c r="W504" i="1"/>
  <c r="S504" i="1"/>
  <c r="P504" i="1"/>
  <c r="W503" i="1"/>
  <c r="S503" i="1"/>
  <c r="P503" i="1"/>
  <c r="W502" i="1"/>
  <c r="S502" i="1"/>
  <c r="P502" i="1"/>
  <c r="W501" i="1"/>
  <c r="S501" i="1"/>
  <c r="P501" i="1"/>
  <c r="W500" i="1"/>
  <c r="S500" i="1"/>
  <c r="P500" i="1"/>
  <c r="W499" i="1"/>
  <c r="S499" i="1"/>
  <c r="P499" i="1"/>
  <c r="W498" i="1"/>
  <c r="S498" i="1"/>
  <c r="P498" i="1"/>
  <c r="W497" i="1"/>
  <c r="S497" i="1"/>
  <c r="P497" i="1"/>
  <c r="W496" i="1"/>
  <c r="S496" i="1"/>
  <c r="P496" i="1"/>
  <c r="W495" i="1"/>
  <c r="S495" i="1"/>
  <c r="P495" i="1"/>
  <c r="W494" i="1"/>
  <c r="S494" i="1"/>
  <c r="P494" i="1"/>
  <c r="W493" i="1"/>
  <c r="S493" i="1"/>
  <c r="P493" i="1"/>
  <c r="W492" i="1"/>
  <c r="S492" i="1"/>
  <c r="P492" i="1"/>
  <c r="W521" i="1"/>
  <c r="S521" i="1"/>
  <c r="W520" i="1"/>
  <c r="S520" i="1"/>
  <c r="P520" i="1"/>
  <c r="W519" i="1"/>
  <c r="S519" i="1"/>
  <c r="P519" i="1"/>
  <c r="W518" i="1"/>
  <c r="S518" i="1"/>
  <c r="P518" i="1"/>
  <c r="W517" i="1"/>
  <c r="S517" i="1"/>
  <c r="P517" i="1"/>
  <c r="W516" i="1"/>
  <c r="S516" i="1"/>
  <c r="P516" i="1"/>
  <c r="W515" i="1"/>
  <c r="S515" i="1"/>
  <c r="T515" i="1" s="1"/>
  <c r="V515" i="1" s="1"/>
  <c r="P515" i="1"/>
  <c r="W512" i="1"/>
  <c r="S512" i="1"/>
  <c r="P512" i="1"/>
  <c r="W511" i="1"/>
  <c r="S511" i="1"/>
  <c r="P511" i="1"/>
  <c r="W510" i="1"/>
  <c r="S510" i="1"/>
  <c r="P510" i="1"/>
  <c r="W509" i="1"/>
  <c r="S509" i="1"/>
  <c r="P509" i="1"/>
  <c r="W508" i="1"/>
  <c r="S508" i="1"/>
  <c r="P508" i="1"/>
  <c r="W507" i="1"/>
  <c r="S507" i="1"/>
  <c r="P507" i="1"/>
  <c r="W506" i="1"/>
  <c r="S506" i="1"/>
  <c r="P506" i="1"/>
  <c r="W532" i="1"/>
  <c r="S532" i="1"/>
  <c r="P532" i="1"/>
  <c r="W531" i="1"/>
  <c r="S531" i="1"/>
  <c r="P531" i="1"/>
  <c r="W530" i="1"/>
  <c r="S530" i="1"/>
  <c r="P530" i="1"/>
  <c r="W529" i="1"/>
  <c r="S529" i="1"/>
  <c r="P529" i="1"/>
  <c r="W528" i="1"/>
  <c r="S528" i="1"/>
  <c r="P528" i="1"/>
  <c r="W527" i="1"/>
  <c r="S527" i="1"/>
  <c r="P527" i="1"/>
  <c r="W526" i="1"/>
  <c r="S526" i="1"/>
  <c r="P526" i="1"/>
  <c r="W525" i="1"/>
  <c r="S525" i="1"/>
  <c r="P525" i="1"/>
  <c r="W524" i="1"/>
  <c r="S524" i="1"/>
  <c r="P524" i="1"/>
  <c r="W523" i="1"/>
  <c r="S523" i="1"/>
  <c r="P523" i="1"/>
  <c r="W514" i="1"/>
  <c r="S514" i="1"/>
  <c r="P514" i="1"/>
  <c r="W513" i="1"/>
  <c r="S513" i="1"/>
  <c r="P513" i="1"/>
  <c r="W522" i="1"/>
  <c r="S522" i="1"/>
  <c r="T468" i="1" l="1"/>
  <c r="V468" i="1" s="1"/>
  <c r="T426" i="1"/>
  <c r="V426" i="1" s="1"/>
  <c r="T427" i="1"/>
  <c r="V427" i="1" s="1"/>
  <c r="T457" i="1"/>
  <c r="V457" i="1" s="1"/>
  <c r="T525" i="1"/>
  <c r="V525" i="1" s="1"/>
  <c r="T524" i="1"/>
  <c r="V524" i="1" s="1"/>
  <c r="T527" i="1"/>
  <c r="V527" i="1" s="1"/>
  <c r="T526" i="1"/>
  <c r="V526" i="1" s="1"/>
  <c r="T523" i="1"/>
  <c r="V523" i="1" s="1"/>
  <c r="T522" i="1"/>
  <c r="V522" i="1" s="1"/>
  <c r="T514" i="1"/>
  <c r="V514" i="1" s="1"/>
  <c r="T516" i="1"/>
  <c r="V516" i="1" s="1"/>
  <c r="T519" i="1"/>
  <c r="V519" i="1" s="1"/>
  <c r="T517" i="1"/>
  <c r="V517" i="1" s="1"/>
  <c r="T520" i="1"/>
  <c r="V520" i="1" s="1"/>
  <c r="T518" i="1"/>
  <c r="V518" i="1" s="1"/>
  <c r="T521" i="1"/>
  <c r="V521" i="1" s="1"/>
  <c r="T513" i="1"/>
  <c r="V513" i="1" s="1"/>
  <c r="T472" i="1"/>
  <c r="V472" i="1" s="1"/>
  <c r="T469" i="1"/>
  <c r="V469" i="1" s="1"/>
  <c r="T462" i="1"/>
  <c r="V462" i="1" s="1"/>
  <c r="T490" i="1"/>
  <c r="V490" i="1" s="1"/>
  <c r="T498" i="1"/>
  <c r="V498" i="1" s="1"/>
  <c r="T507" i="1"/>
  <c r="V507" i="1" s="1"/>
  <c r="T509" i="1"/>
  <c r="V509" i="1" s="1"/>
  <c r="T511" i="1"/>
  <c r="V511" i="1" s="1"/>
  <c r="T495" i="1"/>
  <c r="V495" i="1" s="1"/>
  <c r="T497" i="1"/>
  <c r="V497" i="1" s="1"/>
  <c r="T499" i="1"/>
  <c r="V499" i="1" s="1"/>
  <c r="T501" i="1"/>
  <c r="V501" i="1" s="1"/>
  <c r="T503" i="1"/>
  <c r="V503" i="1" s="1"/>
  <c r="T505" i="1"/>
  <c r="V505" i="1" s="1"/>
  <c r="T508" i="1"/>
  <c r="V508" i="1" s="1"/>
  <c r="T510" i="1"/>
  <c r="V510" i="1" s="1"/>
  <c r="T496" i="1"/>
  <c r="V496" i="1" s="1"/>
  <c r="T500" i="1"/>
  <c r="V500" i="1" s="1"/>
  <c r="T502" i="1"/>
  <c r="V502" i="1" s="1"/>
  <c r="T504" i="1"/>
  <c r="V504" i="1" s="1"/>
  <c r="T506" i="1"/>
  <c r="V506" i="1" s="1"/>
  <c r="T512" i="1"/>
  <c r="V512" i="1" s="1"/>
  <c r="T494" i="1"/>
  <c r="V494" i="1" s="1"/>
  <c r="T403" i="1"/>
  <c r="V403" i="1" s="1"/>
  <c r="T492" i="1"/>
  <c r="V492" i="1" s="1"/>
  <c r="T491" i="1"/>
  <c r="V491" i="1" s="1"/>
  <c r="T486" i="1"/>
  <c r="V486" i="1" s="1"/>
  <c r="T488" i="1"/>
  <c r="V488" i="1" s="1"/>
  <c r="T493" i="1"/>
  <c r="V493" i="1" s="1"/>
  <c r="T487" i="1"/>
  <c r="V487" i="1" s="1"/>
  <c r="T489" i="1"/>
  <c r="V489" i="1" s="1"/>
  <c r="T485" i="1"/>
  <c r="V485" i="1" s="1"/>
  <c r="T476" i="1"/>
  <c r="V476" i="1" s="1"/>
  <c r="T480" i="1"/>
  <c r="V480" i="1" s="1"/>
  <c r="T475" i="1"/>
  <c r="V475" i="1" s="1"/>
  <c r="T477" i="1"/>
  <c r="V477" i="1" s="1"/>
  <c r="T481" i="1"/>
  <c r="V481" i="1" s="1"/>
  <c r="T478" i="1"/>
  <c r="V478" i="1" s="1"/>
  <c r="T482" i="1"/>
  <c r="V482" i="1" s="1"/>
  <c r="T479" i="1"/>
  <c r="V479" i="1" s="1"/>
  <c r="T483" i="1"/>
  <c r="V483" i="1" s="1"/>
  <c r="T474" i="1"/>
  <c r="V474" i="1" s="1"/>
  <c r="T404" i="1"/>
  <c r="V404" i="1" s="1"/>
  <c r="T412" i="1"/>
  <c r="V412" i="1" s="1"/>
  <c r="T406" i="1"/>
  <c r="V406" i="1" s="1"/>
  <c r="T396" i="1"/>
  <c r="V396" i="1" s="1"/>
  <c r="T410" i="1"/>
  <c r="V410" i="1" s="1"/>
  <c r="T408" i="1"/>
  <c r="V408" i="1" s="1"/>
  <c r="T409" i="1"/>
  <c r="V409" i="1" s="1"/>
  <c r="T407" i="1"/>
  <c r="V407" i="1" s="1"/>
  <c r="T399" i="1"/>
  <c r="V399" i="1" s="1"/>
  <c r="T413" i="1"/>
  <c r="V413" i="1" s="1"/>
  <c r="T401" i="1"/>
  <c r="V401" i="1" s="1"/>
  <c r="T397" i="1"/>
  <c r="V397" i="1" s="1"/>
  <c r="T400" i="1"/>
  <c r="V400" i="1" s="1"/>
  <c r="T395" i="1"/>
  <c r="V395" i="1" s="1"/>
  <c r="T405" i="1"/>
  <c r="V405" i="1" s="1"/>
  <c r="T411" i="1"/>
  <c r="V411" i="1" s="1"/>
  <c r="T414" i="1"/>
  <c r="V414" i="1" s="1"/>
  <c r="T402" i="1"/>
  <c r="V402" i="1" s="1"/>
  <c r="T398" i="1"/>
  <c r="V398" i="1" s="1"/>
  <c r="T473" i="1"/>
  <c r="V473" i="1" s="1"/>
  <c r="T459" i="1"/>
  <c r="V459" i="1" s="1"/>
  <c r="T467" i="1"/>
  <c r="V467" i="1" s="1"/>
  <c r="T460" i="1"/>
  <c r="V460" i="1" s="1"/>
  <c r="T461" i="1"/>
  <c r="V461" i="1" s="1"/>
  <c r="T458" i="1"/>
  <c r="V458" i="1" s="1"/>
  <c r="T470" i="1"/>
  <c r="V470" i="1" s="1"/>
  <c r="W425" i="1"/>
  <c r="S425" i="1"/>
  <c r="T425" i="1" s="1"/>
  <c r="V425" i="1" s="1"/>
  <c r="P425" i="1"/>
  <c r="W416" i="1"/>
  <c r="S416" i="1"/>
  <c r="P416" i="1"/>
  <c r="W423" i="1"/>
  <c r="S423" i="1"/>
  <c r="P423" i="1"/>
  <c r="W424" i="1"/>
  <c r="S424" i="1"/>
  <c r="P424" i="1"/>
  <c r="W428" i="1"/>
  <c r="S428" i="1"/>
  <c r="P428" i="1"/>
  <c r="W431" i="1"/>
  <c r="S431" i="1"/>
  <c r="P431" i="1"/>
  <c r="X25" i="1"/>
  <c r="W25" i="1"/>
  <c r="S25" i="1"/>
  <c r="W587" i="1"/>
  <c r="S587" i="1"/>
  <c r="T587" i="1" s="1"/>
  <c r="V587" i="1" s="1"/>
  <c r="P587" i="1"/>
  <c r="W538" i="1"/>
  <c r="S538" i="1"/>
  <c r="P538" i="1"/>
  <c r="W540" i="1"/>
  <c r="S540" i="1"/>
  <c r="P540" i="1"/>
  <c r="W536" i="1"/>
  <c r="S536" i="1"/>
  <c r="P536" i="1"/>
  <c r="W533" i="1"/>
  <c r="S533" i="1"/>
  <c r="T529" i="1" s="1"/>
  <c r="V529" i="1" s="1"/>
  <c r="P533" i="1"/>
  <c r="W463" i="1"/>
  <c r="S463" i="1"/>
  <c r="T463" i="1" s="1"/>
  <c r="V463" i="1" s="1"/>
  <c r="P463" i="1"/>
  <c r="W418" i="1"/>
  <c r="S418" i="1"/>
  <c r="T418" i="1" s="1"/>
  <c r="V418" i="1" s="1"/>
  <c r="P418" i="1"/>
  <c r="W550" i="1"/>
  <c r="S550" i="1"/>
  <c r="P550" i="1"/>
  <c r="W549" i="1"/>
  <c r="S549" i="1"/>
  <c r="P549" i="1"/>
  <c r="W548" i="1"/>
  <c r="S548" i="1"/>
  <c r="P548" i="1"/>
  <c r="W547" i="1"/>
  <c r="S547" i="1"/>
  <c r="P547" i="1"/>
  <c r="W544" i="1"/>
  <c r="S544" i="1"/>
  <c r="P544" i="1"/>
  <c r="W543" i="1"/>
  <c r="S543" i="1"/>
  <c r="P543" i="1"/>
  <c r="W542" i="1"/>
  <c r="S542" i="1"/>
  <c r="P542" i="1"/>
  <c r="W557" i="1"/>
  <c r="S557" i="1"/>
  <c r="P557" i="1"/>
  <c r="W556" i="1"/>
  <c r="S556" i="1"/>
  <c r="P556" i="1"/>
  <c r="W555" i="1"/>
  <c r="S555" i="1"/>
  <c r="P555" i="1"/>
  <c r="W554" i="1"/>
  <c r="S554" i="1"/>
  <c r="P554" i="1"/>
  <c r="W553" i="1"/>
  <c r="S553" i="1"/>
  <c r="P553" i="1"/>
  <c r="W552" i="1"/>
  <c r="S552" i="1"/>
  <c r="P552" i="1"/>
  <c r="W551" i="1"/>
  <c r="S551" i="1"/>
  <c r="P551" i="1"/>
  <c r="W660" i="1"/>
  <c r="S660" i="1"/>
  <c r="W659" i="1"/>
  <c r="S659" i="1"/>
  <c r="W562" i="1"/>
  <c r="S562" i="1"/>
  <c r="P562" i="1"/>
  <c r="W561" i="1"/>
  <c r="S561" i="1"/>
  <c r="P561" i="1"/>
  <c r="W560" i="1"/>
  <c r="S560" i="1"/>
  <c r="P560" i="1"/>
  <c r="W559" i="1"/>
  <c r="S559" i="1"/>
  <c r="P559" i="1"/>
  <c r="W558" i="1"/>
  <c r="S558" i="1"/>
  <c r="P558" i="1"/>
  <c r="T429" i="1" l="1"/>
  <c r="V429" i="1" s="1"/>
  <c r="T430" i="1"/>
  <c r="V430" i="1" s="1"/>
  <c r="T660" i="1"/>
  <c r="V660" i="1" s="1"/>
  <c r="T659" i="1"/>
  <c r="V659" i="1" s="1"/>
  <c r="T541" i="1"/>
  <c r="V541" i="1" s="1"/>
  <c r="T539" i="1"/>
  <c r="V539" i="1" s="1"/>
  <c r="T537" i="1"/>
  <c r="V537" i="1" s="1"/>
  <c r="T658" i="1"/>
  <c r="V658" i="1" s="1"/>
  <c r="T657" i="1"/>
  <c r="V657" i="1" s="1"/>
  <c r="T572" i="1"/>
  <c r="V572" i="1" s="1"/>
  <c r="T416" i="1"/>
  <c r="V416" i="1" s="1"/>
  <c r="T417" i="1"/>
  <c r="V417" i="1" s="1"/>
  <c r="T534" i="1"/>
  <c r="V534" i="1" s="1"/>
  <c r="T535" i="1"/>
  <c r="V535" i="1" s="1"/>
  <c r="T546" i="1"/>
  <c r="V546" i="1" s="1"/>
  <c r="T559" i="1"/>
  <c r="V559" i="1" s="1"/>
  <c r="T556" i="1"/>
  <c r="V556" i="1" s="1"/>
  <c r="T548" i="1"/>
  <c r="V548" i="1" s="1"/>
  <c r="T555" i="1"/>
  <c r="V555" i="1" s="1"/>
  <c r="T547" i="1"/>
  <c r="V547" i="1" s="1"/>
  <c r="T554" i="1"/>
  <c r="V554" i="1" s="1"/>
  <c r="T544" i="1"/>
  <c r="V544" i="1" s="1"/>
  <c r="T551" i="1"/>
  <c r="V551" i="1" s="1"/>
  <c r="T557" i="1"/>
  <c r="V557" i="1" s="1"/>
  <c r="T549" i="1"/>
  <c r="V549" i="1" s="1"/>
  <c r="T558" i="1"/>
  <c r="V558" i="1" s="1"/>
  <c r="T562" i="1"/>
  <c r="V562" i="1" s="1"/>
  <c r="T561" i="1"/>
  <c r="V561" i="1" s="1"/>
  <c r="T553" i="1"/>
  <c r="V553" i="1" s="1"/>
  <c r="T543" i="1"/>
  <c r="V543" i="1" s="1"/>
  <c r="T560" i="1"/>
  <c r="V560" i="1" s="1"/>
  <c r="T552" i="1"/>
  <c r="V552" i="1" s="1"/>
  <c r="T542" i="1"/>
  <c r="V542" i="1" s="1"/>
  <c r="T550" i="1"/>
  <c r="V550" i="1" s="1"/>
  <c r="T584" i="1"/>
  <c r="V584" i="1" s="1"/>
  <c r="T578" i="1"/>
  <c r="V578" i="1" s="1"/>
  <c r="T571" i="1"/>
  <c r="V571" i="1" s="1"/>
  <c r="T565" i="1"/>
  <c r="V565" i="1" s="1"/>
  <c r="T585" i="1"/>
  <c r="V585" i="1" s="1"/>
  <c r="T579" i="1"/>
  <c r="V579" i="1" s="1"/>
  <c r="T573" i="1"/>
  <c r="V573" i="1" s="1"/>
  <c r="T566" i="1"/>
  <c r="V566" i="1" s="1"/>
  <c r="T586" i="1"/>
  <c r="V586" i="1" s="1"/>
  <c r="T580" i="1"/>
  <c r="V580" i="1" s="1"/>
  <c r="T574" i="1"/>
  <c r="V574" i="1" s="1"/>
  <c r="T567" i="1"/>
  <c r="V567" i="1" s="1"/>
  <c r="T545" i="1"/>
  <c r="V545" i="1" s="1"/>
  <c r="T581" i="1"/>
  <c r="V581" i="1" s="1"/>
  <c r="T575" i="1"/>
  <c r="V575" i="1" s="1"/>
  <c r="T568" i="1"/>
  <c r="V568" i="1" s="1"/>
  <c r="T582" i="1"/>
  <c r="V582" i="1" s="1"/>
  <c r="T576" i="1"/>
  <c r="V576" i="1" s="1"/>
  <c r="T569" i="1"/>
  <c r="V569" i="1" s="1"/>
  <c r="T563" i="1"/>
  <c r="V563" i="1" s="1"/>
  <c r="T583" i="1"/>
  <c r="V583" i="1" s="1"/>
  <c r="T577" i="1"/>
  <c r="V577" i="1" s="1"/>
  <c r="T570" i="1"/>
  <c r="V570" i="1" s="1"/>
  <c r="T564" i="1"/>
  <c r="V564" i="1" s="1"/>
  <c r="T540" i="1"/>
  <c r="V540" i="1" s="1"/>
  <c r="T536" i="1"/>
  <c r="V536" i="1" s="1"/>
  <c r="T538" i="1"/>
  <c r="V538" i="1" s="1"/>
  <c r="T533" i="1"/>
  <c r="V533" i="1" s="1"/>
  <c r="T528" i="1"/>
  <c r="V528" i="1" s="1"/>
  <c r="T531" i="1"/>
  <c r="V531" i="1" s="1"/>
  <c r="T530" i="1"/>
  <c r="V530" i="1" s="1"/>
  <c r="T532" i="1"/>
  <c r="V532" i="1" s="1"/>
  <c r="T423" i="1"/>
  <c r="V423" i="1" s="1"/>
  <c r="T428" i="1"/>
  <c r="V428" i="1" s="1"/>
  <c r="T431" i="1"/>
  <c r="V431" i="1" s="1"/>
  <c r="T466" i="1"/>
  <c r="V466" i="1" s="1"/>
  <c r="T464" i="1"/>
  <c r="V464" i="1" s="1"/>
  <c r="T465" i="1"/>
  <c r="V465" i="1" s="1"/>
  <c r="T424" i="1"/>
  <c r="V424" i="1" s="1"/>
  <c r="Y25" i="1"/>
  <c r="Q271" i="1" l="1"/>
  <c r="Q292" i="1"/>
  <c r="Q303" i="1"/>
  <c r="S303" i="1" s="1"/>
  <c r="AJ303" i="1"/>
  <c r="W303" i="1"/>
  <c r="P303" i="1"/>
  <c r="Q301" i="1"/>
  <c r="S301" i="1" l="1"/>
  <c r="AJ301" i="1"/>
  <c r="W301" i="1"/>
  <c r="P301" i="1"/>
  <c r="P19" i="1" l="1"/>
  <c r="S295" i="1" l="1"/>
  <c r="AJ295" i="1"/>
  <c r="W295" i="1"/>
  <c r="P295" i="1"/>
  <c r="S271" i="1"/>
  <c r="AJ271" i="1"/>
  <c r="W271" i="1"/>
  <c r="P271" i="1"/>
  <c r="Q152" i="1" l="1"/>
  <c r="AJ158" i="1"/>
  <c r="W158" i="1"/>
  <c r="S158" i="1"/>
  <c r="P158" i="1"/>
  <c r="Q151" i="1"/>
  <c r="AJ157" i="1"/>
  <c r="W157" i="1"/>
  <c r="S157" i="1"/>
  <c r="P157" i="1"/>
  <c r="Q149" i="1"/>
  <c r="AJ156" i="1"/>
  <c r="W156" i="1"/>
  <c r="S156" i="1"/>
  <c r="P156" i="1"/>
  <c r="Q281" i="1"/>
  <c r="W280" i="1"/>
  <c r="S280" i="1"/>
  <c r="P280" i="1"/>
  <c r="Q148" i="1"/>
  <c r="AJ155" i="1"/>
  <c r="W155" i="1"/>
  <c r="S155" i="1"/>
  <c r="P155" i="1"/>
  <c r="Q154" i="1"/>
  <c r="AJ162" i="1"/>
  <c r="W162" i="1"/>
  <c r="S162" i="1"/>
  <c r="P162" i="1"/>
  <c r="Q153" i="1"/>
  <c r="AJ160" i="1"/>
  <c r="W160" i="1"/>
  <c r="S160" i="1"/>
  <c r="P160" i="1"/>
  <c r="AJ394" i="1" l="1"/>
  <c r="AJ391" i="1"/>
  <c r="AJ387" i="1"/>
  <c r="AJ386" i="1"/>
  <c r="AJ385" i="1"/>
  <c r="AJ384" i="1"/>
  <c r="AJ388" i="1"/>
  <c r="AJ390" i="1"/>
  <c r="AJ389" i="1"/>
  <c r="AJ350" i="1"/>
  <c r="AJ376" i="1"/>
  <c r="AJ374" i="1"/>
  <c r="AJ375" i="1"/>
  <c r="AJ373" i="1"/>
  <c r="AJ372" i="1"/>
  <c r="AJ365" i="1"/>
  <c r="AJ364" i="1"/>
  <c r="AJ377" i="1"/>
  <c r="AJ378" i="1"/>
  <c r="AJ363" i="1"/>
  <c r="AJ362" i="1"/>
  <c r="AJ360" i="1"/>
  <c r="AJ361" i="1"/>
  <c r="AJ367" i="1"/>
  <c r="AJ371" i="1"/>
  <c r="AJ370" i="1"/>
  <c r="AJ369" i="1"/>
  <c r="AJ368" i="1"/>
  <c r="AJ366" i="1"/>
  <c r="AJ347" i="1"/>
  <c r="AJ346" i="1"/>
  <c r="AJ345" i="1"/>
  <c r="AJ341" i="1"/>
  <c r="AJ340" i="1"/>
  <c r="AJ337" i="1"/>
  <c r="AJ336" i="1"/>
  <c r="AJ331" i="1"/>
  <c r="AJ330" i="1"/>
  <c r="AJ312" i="1"/>
  <c r="AJ320" i="1"/>
  <c r="AJ326" i="1"/>
  <c r="AJ324" i="1"/>
  <c r="AJ325" i="1"/>
  <c r="AJ313" i="1"/>
  <c r="AJ319" i="1"/>
  <c r="AJ318" i="1"/>
  <c r="AJ317" i="1"/>
  <c r="AJ316" i="1"/>
  <c r="AJ315" i="1"/>
  <c r="AJ321" i="1"/>
  <c r="AJ314" i="1"/>
  <c r="AJ310" i="1"/>
  <c r="AJ309" i="1"/>
  <c r="AJ311" i="1"/>
  <c r="AJ306" i="1"/>
  <c r="AJ298" i="1"/>
  <c r="AJ294" i="1"/>
  <c r="AJ291" i="1"/>
  <c r="AJ289" i="1"/>
  <c r="AJ288" i="1"/>
  <c r="AJ287" i="1"/>
  <c r="AJ286" i="1"/>
  <c r="AJ281" i="1"/>
  <c r="AJ283" i="1"/>
  <c r="AJ282" i="1"/>
  <c r="AJ237" i="1"/>
  <c r="AJ236" i="1"/>
  <c r="AJ279" i="1"/>
  <c r="AJ238" i="1"/>
  <c r="AJ178" i="1"/>
  <c r="AJ177" i="1"/>
  <c r="AJ176" i="1"/>
  <c r="AJ175" i="1"/>
  <c r="AJ174" i="1"/>
  <c r="AJ272" i="1"/>
  <c r="AJ270" i="1"/>
  <c r="AJ269" i="1"/>
  <c r="AJ267" i="1"/>
  <c r="AJ264" i="1"/>
  <c r="AJ263" i="1"/>
  <c r="AJ260" i="1"/>
  <c r="AJ258" i="1"/>
  <c r="AJ257" i="1"/>
  <c r="AJ256" i="1"/>
  <c r="AJ255" i="1"/>
  <c r="AJ172" i="1"/>
  <c r="AJ171" i="1"/>
  <c r="AJ170" i="1"/>
  <c r="AJ235" i="1"/>
  <c r="AJ169" i="1"/>
  <c r="AJ252" i="1"/>
  <c r="AJ251" i="1"/>
  <c r="AJ250" i="1"/>
  <c r="AJ249" i="1"/>
  <c r="AJ248" i="1"/>
  <c r="AJ247" i="1"/>
  <c r="AJ246" i="1"/>
  <c r="AJ245" i="1"/>
  <c r="AJ230" i="1"/>
  <c r="AJ232" i="1"/>
  <c r="AJ231" i="1"/>
  <c r="AJ222" i="1"/>
  <c r="AJ221" i="1"/>
  <c r="AJ219" i="1"/>
  <c r="AJ216" i="1"/>
  <c r="AJ215" i="1"/>
  <c r="AJ210" i="1"/>
  <c r="AJ208" i="1"/>
  <c r="AJ207" i="1"/>
  <c r="AJ205" i="1"/>
  <c r="AJ203" i="1"/>
  <c r="AJ200" i="1"/>
  <c r="AJ199" i="1"/>
  <c r="AJ198" i="1"/>
  <c r="AJ196" i="1"/>
  <c r="AJ195" i="1"/>
  <c r="AJ194" i="1"/>
  <c r="AJ192" i="1"/>
  <c r="AJ220" i="1"/>
  <c r="AJ212" i="1"/>
  <c r="AJ209" i="1"/>
  <c r="AJ244" i="1"/>
  <c r="AJ243" i="1"/>
  <c r="AJ242" i="1"/>
  <c r="AJ241" i="1"/>
  <c r="AJ239" i="1"/>
  <c r="AJ240" i="1"/>
  <c r="AJ183" i="1"/>
  <c r="AJ166" i="1"/>
  <c r="AJ189" i="1"/>
  <c r="AJ165" i="1"/>
  <c r="AJ188" i="1"/>
  <c r="AJ187" i="1"/>
  <c r="AJ164" i="1"/>
  <c r="AJ163" i="1"/>
  <c r="AJ186" i="1"/>
  <c r="AJ185" i="1"/>
  <c r="AJ184" i="1"/>
  <c r="AJ181" i="1"/>
  <c r="AJ180" i="1"/>
  <c r="AJ179" i="1"/>
  <c r="AJ154" i="1"/>
  <c r="AJ161" i="1"/>
  <c r="AJ153" i="1"/>
  <c r="AJ159" i="1"/>
  <c r="AJ152" i="1"/>
  <c r="AJ151" i="1"/>
  <c r="AJ149" i="1"/>
  <c r="AJ148" i="1"/>
  <c r="AJ168" i="1"/>
  <c r="AJ167" i="1"/>
  <c r="AJ140" i="1"/>
  <c r="AJ128" i="1"/>
  <c r="AJ115" i="1"/>
  <c r="AJ109" i="1"/>
  <c r="AJ108" i="1"/>
  <c r="AJ105" i="1"/>
  <c r="AJ103" i="1"/>
  <c r="AJ97" i="1"/>
  <c r="AJ95" i="1"/>
  <c r="AJ142" i="1"/>
  <c r="AJ123" i="1"/>
  <c r="AJ141" i="1"/>
  <c r="AJ98" i="1"/>
  <c r="AJ89" i="1"/>
  <c r="AJ138" i="1"/>
  <c r="AJ134" i="1"/>
  <c r="AJ133" i="1"/>
  <c r="AJ132" i="1"/>
  <c r="AJ122" i="1"/>
  <c r="AJ120" i="1"/>
  <c r="AJ117" i="1"/>
  <c r="AJ116" i="1"/>
  <c r="AJ114" i="1"/>
  <c r="AJ113" i="1"/>
  <c r="AJ112" i="1"/>
  <c r="AJ111" i="1"/>
  <c r="AJ100" i="1"/>
  <c r="AJ99" i="1"/>
  <c r="AJ91" i="1"/>
  <c r="AJ125" i="1"/>
  <c r="AJ124" i="1"/>
  <c r="AJ121" i="1"/>
  <c r="AJ119" i="1"/>
  <c r="AJ101" i="1"/>
  <c r="AJ94" i="1"/>
  <c r="AJ37" i="1"/>
  <c r="AJ87" i="1"/>
  <c r="AJ62" i="1"/>
  <c r="AJ57" i="1"/>
  <c r="AJ55" i="1"/>
  <c r="AJ54" i="1"/>
  <c r="AJ48" i="1"/>
  <c r="AJ47" i="1"/>
  <c r="AJ46" i="1"/>
  <c r="AJ44" i="1"/>
  <c r="AJ43" i="1"/>
  <c r="AJ42" i="1"/>
  <c r="AJ80" i="1"/>
  <c r="AJ79" i="1"/>
  <c r="AJ70" i="1"/>
  <c r="AJ69" i="1"/>
  <c r="AJ58" i="1"/>
  <c r="AJ56" i="1"/>
  <c r="AJ36" i="1"/>
  <c r="AJ51" i="1"/>
  <c r="AJ71" i="1"/>
  <c r="AJ66" i="1"/>
  <c r="AJ61" i="1"/>
  <c r="AJ60" i="1"/>
  <c r="AJ59" i="1"/>
  <c r="AJ53" i="1"/>
  <c r="AJ52" i="1"/>
  <c r="AJ41" i="1"/>
  <c r="AJ40" i="1"/>
  <c r="AJ39" i="1"/>
  <c r="AJ38" i="1"/>
  <c r="AJ84" i="1"/>
  <c r="AJ83" i="1"/>
  <c r="AJ82" i="1"/>
  <c r="AJ81" i="1"/>
  <c r="AJ67" i="1"/>
  <c r="AJ65" i="1"/>
  <c r="AJ64" i="1"/>
  <c r="AJ63" i="1"/>
  <c r="AJ49" i="1"/>
  <c r="AJ45" i="1"/>
  <c r="Q112" i="1"/>
  <c r="W111" i="1"/>
  <c r="S111" i="1"/>
  <c r="P111" i="1"/>
  <c r="AJ322" i="1" l="1"/>
  <c r="AJ327" i="1"/>
  <c r="AJ290" i="1"/>
  <c r="AJ302" i="1"/>
  <c r="AJ173" i="1"/>
  <c r="AJ300" i="1"/>
  <c r="AJ292" i="1"/>
  <c r="Q219" i="1" l="1"/>
  <c r="W220" i="1"/>
  <c r="S220" i="1"/>
  <c r="P220" i="1"/>
  <c r="Z748" i="1" l="1"/>
  <c r="X748" i="1"/>
  <c r="W748" i="1"/>
  <c r="T748" i="1"/>
  <c r="V748" i="1" s="1"/>
  <c r="S748" i="1"/>
  <c r="P748" i="1"/>
  <c r="Z747" i="1"/>
  <c r="X747" i="1"/>
  <c r="W747" i="1"/>
  <c r="T747" i="1"/>
  <c r="V747" i="1" s="1"/>
  <c r="S747" i="1"/>
  <c r="P747" i="1"/>
  <c r="Z746" i="1"/>
  <c r="X746" i="1"/>
  <c r="W746" i="1"/>
  <c r="T746" i="1"/>
  <c r="V746" i="1" s="1"/>
  <c r="S746" i="1"/>
  <c r="P746" i="1"/>
  <c r="Z745" i="1"/>
  <c r="X745" i="1"/>
  <c r="W745" i="1"/>
  <c r="T745" i="1"/>
  <c r="V745" i="1" s="1"/>
  <c r="S745" i="1"/>
  <c r="P745" i="1"/>
  <c r="X672" i="1"/>
  <c r="W672" i="1"/>
  <c r="S672" i="1"/>
  <c r="T672" i="1" s="1"/>
  <c r="V672" i="1" s="1"/>
  <c r="P672" i="1"/>
  <c r="X671" i="1"/>
  <c r="W671" i="1"/>
  <c r="S671" i="1"/>
  <c r="P671" i="1"/>
  <c r="X670" i="1"/>
  <c r="W670" i="1"/>
  <c r="S670" i="1"/>
  <c r="P670" i="1"/>
  <c r="X669" i="1"/>
  <c r="W669" i="1"/>
  <c r="S669" i="1"/>
  <c r="P669" i="1"/>
  <c r="X668" i="1"/>
  <c r="W668" i="1"/>
  <c r="S668" i="1"/>
  <c r="P668" i="1"/>
  <c r="X667" i="1"/>
  <c r="W667" i="1"/>
  <c r="S667" i="1"/>
  <c r="P667" i="1"/>
  <c r="X666" i="1"/>
  <c r="W666" i="1"/>
  <c r="S666" i="1"/>
  <c r="P666" i="1"/>
  <c r="X665" i="1"/>
  <c r="W665" i="1"/>
  <c r="S665" i="1"/>
  <c r="P665" i="1"/>
  <c r="X664" i="1"/>
  <c r="W664" i="1"/>
  <c r="S664" i="1"/>
  <c r="P664" i="1"/>
  <c r="X663" i="1"/>
  <c r="W663" i="1"/>
  <c r="S663" i="1"/>
  <c r="P663" i="1"/>
  <c r="X662" i="1"/>
  <c r="W662" i="1"/>
  <c r="S662" i="1"/>
  <c r="P662" i="1"/>
  <c r="X661" i="1"/>
  <c r="W661" i="1"/>
  <c r="S661" i="1"/>
  <c r="P661" i="1"/>
  <c r="X35" i="1"/>
  <c r="W35" i="1"/>
  <c r="S35" i="1"/>
  <c r="P35" i="1"/>
  <c r="X34" i="1"/>
  <c r="W34" i="1"/>
  <c r="S34" i="1"/>
  <c r="P34" i="1"/>
  <c r="W32" i="1"/>
  <c r="S32" i="1"/>
  <c r="T32" i="1" s="1"/>
  <c r="V32" i="1" s="1"/>
  <c r="W33" i="1"/>
  <c r="S33" i="1"/>
  <c r="T33" i="1" s="1"/>
  <c r="V33" i="1" s="1"/>
  <c r="W31" i="1"/>
  <c r="S31" i="1"/>
  <c r="T31" i="1" s="1"/>
  <c r="V31" i="1" s="1"/>
  <c r="W30" i="1"/>
  <c r="S30" i="1"/>
  <c r="T30" i="1" s="1"/>
  <c r="V30" i="1" s="1"/>
  <c r="X26" i="1"/>
  <c r="W26" i="1"/>
  <c r="S26" i="1"/>
  <c r="T25" i="1" s="1"/>
  <c r="V25" i="1" s="1"/>
  <c r="P26" i="1"/>
  <c r="W432" i="1"/>
  <c r="S432" i="1"/>
  <c r="T432" i="1" s="1"/>
  <c r="V432" i="1" s="1"/>
  <c r="P432" i="1"/>
  <c r="W433" i="1"/>
  <c r="S433" i="1"/>
  <c r="T433" i="1" s="1"/>
  <c r="V433" i="1" s="1"/>
  <c r="P433" i="1"/>
  <c r="W434" i="1"/>
  <c r="S434" i="1"/>
  <c r="P434" i="1"/>
  <c r="X7" i="1"/>
  <c r="W7" i="1"/>
  <c r="S7" i="1"/>
  <c r="X6" i="1"/>
  <c r="W6" i="1"/>
  <c r="S6" i="1"/>
  <c r="X5" i="1"/>
  <c r="W5" i="1"/>
  <c r="S5" i="1"/>
  <c r="X23" i="1"/>
  <c r="W23" i="1"/>
  <c r="S23" i="1"/>
  <c r="P23" i="1"/>
  <c r="X22" i="1"/>
  <c r="W22" i="1"/>
  <c r="S22" i="1"/>
  <c r="P22" i="1"/>
  <c r="X21" i="1"/>
  <c r="W21" i="1"/>
  <c r="S21" i="1"/>
  <c r="P21" i="1"/>
  <c r="W419" i="1"/>
  <c r="S419" i="1"/>
  <c r="P419" i="1"/>
  <c r="W422" i="1"/>
  <c r="S422" i="1"/>
  <c r="P422" i="1"/>
  <c r="W420" i="1"/>
  <c r="S420" i="1"/>
  <c r="P420" i="1"/>
  <c r="W456" i="1"/>
  <c r="S456" i="1"/>
  <c r="W455" i="1"/>
  <c r="S455" i="1"/>
  <c r="P455" i="1"/>
  <c r="W452" i="1"/>
  <c r="S452" i="1"/>
  <c r="P452" i="1"/>
  <c r="W450" i="1"/>
  <c r="S450" i="1"/>
  <c r="P450" i="1"/>
  <c r="W449" i="1"/>
  <c r="S449" i="1"/>
  <c r="P449" i="1"/>
  <c r="W446" i="1"/>
  <c r="S446" i="1"/>
  <c r="P446" i="1"/>
  <c r="W393" i="1"/>
  <c r="S393" i="1"/>
  <c r="P393" i="1"/>
  <c r="W392" i="1"/>
  <c r="S392" i="1"/>
  <c r="P392" i="1"/>
  <c r="W415" i="1"/>
  <c r="S415" i="1"/>
  <c r="T415" i="1" s="1"/>
  <c r="V415" i="1" s="1"/>
  <c r="P415" i="1"/>
  <c r="W444" i="1"/>
  <c r="S444" i="1"/>
  <c r="P444" i="1"/>
  <c r="W442" i="1"/>
  <c r="S442" i="1"/>
  <c r="P442" i="1"/>
  <c r="W441" i="1"/>
  <c r="S441" i="1"/>
  <c r="W440" i="1"/>
  <c r="S440" i="1"/>
  <c r="W439" i="1"/>
  <c r="S439" i="1"/>
  <c r="W443" i="1"/>
  <c r="S443" i="1"/>
  <c r="P443" i="1"/>
  <c r="W438" i="1"/>
  <c r="S438" i="1"/>
  <c r="W437" i="1"/>
  <c r="S437" i="1"/>
  <c r="W436" i="1"/>
  <c r="S436" i="1"/>
  <c r="W435" i="1"/>
  <c r="S435" i="1"/>
  <c r="W394" i="1"/>
  <c r="S394" i="1"/>
  <c r="T394" i="1" s="1"/>
  <c r="V394" i="1" s="1"/>
  <c r="P394" i="1"/>
  <c r="W391" i="1"/>
  <c r="S391" i="1"/>
  <c r="T391" i="1" s="1"/>
  <c r="V391" i="1" s="1"/>
  <c r="P391" i="1"/>
  <c r="W381" i="1"/>
  <c r="S381" i="1"/>
  <c r="P381" i="1"/>
  <c r="W379" i="1"/>
  <c r="S379" i="1"/>
  <c r="P379" i="1"/>
  <c r="W382" i="1"/>
  <c r="S382" i="1"/>
  <c r="T382" i="1" s="1"/>
  <c r="V382" i="1" s="1"/>
  <c r="P382" i="1"/>
  <c r="W383" i="1"/>
  <c r="S383" i="1"/>
  <c r="P383" i="1"/>
  <c r="W387" i="1"/>
  <c r="S387" i="1"/>
  <c r="P387" i="1"/>
  <c r="W386" i="1"/>
  <c r="S386" i="1"/>
  <c r="P386" i="1"/>
  <c r="W385" i="1"/>
  <c r="S385" i="1"/>
  <c r="P385" i="1"/>
  <c r="W384" i="1"/>
  <c r="S384" i="1"/>
  <c r="P384" i="1"/>
  <c r="W388" i="1"/>
  <c r="S388" i="1"/>
  <c r="P388" i="1"/>
  <c r="W390" i="1"/>
  <c r="S390" i="1"/>
  <c r="P390" i="1"/>
  <c r="W389" i="1"/>
  <c r="S389" i="1"/>
  <c r="P389" i="1"/>
  <c r="W20" i="1"/>
  <c r="S20" i="1"/>
  <c r="T20" i="1" s="1"/>
  <c r="V20" i="1" s="1"/>
  <c r="P20" i="1"/>
  <c r="W13" i="1"/>
  <c r="S13" i="1"/>
  <c r="P13" i="1"/>
  <c r="W14" i="1"/>
  <c r="S14" i="1"/>
  <c r="P14" i="1"/>
  <c r="W15" i="1"/>
  <c r="S15" i="1"/>
  <c r="P15" i="1"/>
  <c r="W16" i="1"/>
  <c r="S16" i="1"/>
  <c r="P16" i="1"/>
  <c r="W17" i="1"/>
  <c r="S17" i="1"/>
  <c r="P17" i="1"/>
  <c r="W18" i="1"/>
  <c r="S18" i="1"/>
  <c r="P18" i="1"/>
  <c r="W19" i="1"/>
  <c r="S19" i="1"/>
  <c r="W348" i="1"/>
  <c r="S348" i="1"/>
  <c r="P348" i="1"/>
  <c r="W349" i="1"/>
  <c r="S349" i="1"/>
  <c r="P349" i="1"/>
  <c r="W352" i="1"/>
  <c r="S352" i="1"/>
  <c r="P352" i="1"/>
  <c r="W353" i="1"/>
  <c r="S353" i="1"/>
  <c r="P353" i="1"/>
  <c r="W354" i="1"/>
  <c r="S354" i="1"/>
  <c r="P354" i="1"/>
  <c r="W350" i="1"/>
  <c r="S350" i="1"/>
  <c r="P350" i="1"/>
  <c r="W359" i="1"/>
  <c r="S359" i="1"/>
  <c r="T359" i="1" s="1"/>
  <c r="V359" i="1" s="1"/>
  <c r="P359" i="1"/>
  <c r="W376" i="1"/>
  <c r="S376" i="1"/>
  <c r="P376" i="1"/>
  <c r="W374" i="1"/>
  <c r="S374" i="1"/>
  <c r="P374" i="1"/>
  <c r="W375" i="1"/>
  <c r="S375" i="1"/>
  <c r="P375" i="1"/>
  <c r="W373" i="1"/>
  <c r="S373" i="1"/>
  <c r="P373" i="1"/>
  <c r="W372" i="1"/>
  <c r="S372" i="1"/>
  <c r="P372" i="1"/>
  <c r="W365" i="1"/>
  <c r="S365" i="1"/>
  <c r="P365" i="1"/>
  <c r="W364" i="1"/>
  <c r="S364" i="1"/>
  <c r="P364" i="1"/>
  <c r="W377" i="1"/>
  <c r="S377" i="1"/>
  <c r="P377" i="1"/>
  <c r="W378" i="1"/>
  <c r="S378" i="1"/>
  <c r="P378" i="1"/>
  <c r="W363" i="1"/>
  <c r="S363" i="1"/>
  <c r="P363" i="1"/>
  <c r="W362" i="1"/>
  <c r="S362" i="1"/>
  <c r="P362" i="1"/>
  <c r="W360" i="1"/>
  <c r="S360" i="1"/>
  <c r="P360" i="1"/>
  <c r="W361" i="1"/>
  <c r="S361" i="1"/>
  <c r="P361" i="1"/>
  <c r="W367" i="1"/>
  <c r="S367" i="1"/>
  <c r="P367" i="1"/>
  <c r="W371" i="1"/>
  <c r="S371" i="1"/>
  <c r="P371" i="1"/>
  <c r="W370" i="1"/>
  <c r="S370" i="1"/>
  <c r="P370" i="1"/>
  <c r="W369" i="1"/>
  <c r="S369" i="1"/>
  <c r="P369" i="1"/>
  <c r="W368" i="1"/>
  <c r="S368" i="1"/>
  <c r="P368" i="1"/>
  <c r="W366" i="1"/>
  <c r="S366" i="1"/>
  <c r="P366" i="1"/>
  <c r="W358" i="1"/>
  <c r="S358" i="1"/>
  <c r="P358" i="1"/>
  <c r="W356" i="1"/>
  <c r="S356" i="1"/>
  <c r="P356" i="1"/>
  <c r="W357" i="1"/>
  <c r="S357" i="1"/>
  <c r="P357" i="1"/>
  <c r="W355" i="1"/>
  <c r="S355" i="1"/>
  <c r="T355" i="1" s="1"/>
  <c r="V355" i="1" s="1"/>
  <c r="P355" i="1"/>
  <c r="W347" i="1"/>
  <c r="S347" i="1"/>
  <c r="P347" i="1"/>
  <c r="W346" i="1"/>
  <c r="S346" i="1"/>
  <c r="P346" i="1"/>
  <c r="W345" i="1"/>
  <c r="S345" i="1"/>
  <c r="P345" i="1"/>
  <c r="W341" i="1"/>
  <c r="S341" i="1"/>
  <c r="P341" i="1"/>
  <c r="W339" i="1"/>
  <c r="S339" i="1"/>
  <c r="P339" i="1"/>
  <c r="W340" i="1"/>
  <c r="S340" i="1"/>
  <c r="P340" i="1"/>
  <c r="W338" i="1"/>
  <c r="S338" i="1"/>
  <c r="P338" i="1"/>
  <c r="W342" i="1"/>
  <c r="S342" i="1"/>
  <c r="P342" i="1"/>
  <c r="W337" i="1"/>
  <c r="S337" i="1"/>
  <c r="P337" i="1"/>
  <c r="W336" i="1"/>
  <c r="S336" i="1"/>
  <c r="P336" i="1"/>
  <c r="W332" i="1"/>
  <c r="S332" i="1"/>
  <c r="P332" i="1"/>
  <c r="T448" i="1" l="1"/>
  <c r="V448" i="1" s="1"/>
  <c r="T454" i="1"/>
  <c r="V454" i="1" s="1"/>
  <c r="T22" i="1"/>
  <c r="V22" i="1" s="1"/>
  <c r="T666" i="1"/>
  <c r="V666" i="1" s="1"/>
  <c r="T670" i="1"/>
  <c r="V670" i="1" s="1"/>
  <c r="T664" i="1"/>
  <c r="V664" i="1" s="1"/>
  <c r="T662" i="1"/>
  <c r="V662" i="1" s="1"/>
  <c r="T665" i="1"/>
  <c r="V665" i="1" s="1"/>
  <c r="T663" i="1"/>
  <c r="V663" i="1" s="1"/>
  <c r="T668" i="1"/>
  <c r="V668" i="1" s="1"/>
  <c r="T669" i="1"/>
  <c r="V669" i="1" s="1"/>
  <c r="T671" i="1"/>
  <c r="V671" i="1" s="1"/>
  <c r="T667" i="1"/>
  <c r="V667" i="1" s="1"/>
  <c r="T661" i="1"/>
  <c r="V661" i="1" s="1"/>
  <c r="T35" i="1"/>
  <c r="V35" i="1" s="1"/>
  <c r="T34" i="1"/>
  <c r="V34" i="1" s="1"/>
  <c r="T24" i="1"/>
  <c r="V24" i="1" s="1"/>
  <c r="T453" i="1"/>
  <c r="V453" i="1" s="1"/>
  <c r="T447" i="1"/>
  <c r="V447" i="1" s="1"/>
  <c r="T451" i="1"/>
  <c r="V451" i="1" s="1"/>
  <c r="T445" i="1"/>
  <c r="V445" i="1" s="1"/>
  <c r="T421" i="1"/>
  <c r="V421" i="1" s="1"/>
  <c r="T12" i="1"/>
  <c r="V12" i="1" s="1"/>
  <c r="T9" i="1"/>
  <c r="V9" i="1" s="1"/>
  <c r="T10" i="1"/>
  <c r="V10" i="1" s="1"/>
  <c r="T11" i="1"/>
  <c r="V11" i="1" s="1"/>
  <c r="T380" i="1"/>
  <c r="V380" i="1" s="1"/>
  <c r="T351" i="1"/>
  <c r="V351" i="1" s="1"/>
  <c r="T347" i="1"/>
  <c r="V347" i="1" s="1"/>
  <c r="T344" i="1"/>
  <c r="V344" i="1" s="1"/>
  <c r="T343" i="1"/>
  <c r="V343" i="1" s="1"/>
  <c r="T434" i="1"/>
  <c r="V434" i="1" s="1"/>
  <c r="T422" i="1"/>
  <c r="V422" i="1" s="1"/>
  <c r="T383" i="1"/>
  <c r="V383" i="1" s="1"/>
  <c r="T26" i="1"/>
  <c r="V26" i="1" s="1"/>
  <c r="T21" i="1"/>
  <c r="V21" i="1" s="1"/>
  <c r="T5" i="1"/>
  <c r="V5" i="1" s="1"/>
  <c r="T7" i="1"/>
  <c r="V7" i="1" s="1"/>
  <c r="T6" i="1"/>
  <c r="V6" i="1" s="1"/>
  <c r="T23" i="1"/>
  <c r="V23" i="1" s="1"/>
  <c r="T420" i="1"/>
  <c r="V420" i="1" s="1"/>
  <c r="T419" i="1"/>
  <c r="V419" i="1" s="1"/>
  <c r="T438" i="1"/>
  <c r="V438" i="1" s="1"/>
  <c r="T392" i="1"/>
  <c r="V392" i="1" s="1"/>
  <c r="T450" i="1"/>
  <c r="V450" i="1" s="1"/>
  <c r="T452" i="1"/>
  <c r="V452" i="1" s="1"/>
  <c r="T446" i="1"/>
  <c r="V446" i="1" s="1"/>
  <c r="T455" i="1"/>
  <c r="V455" i="1" s="1"/>
  <c r="T449" i="1"/>
  <c r="V449" i="1" s="1"/>
  <c r="T456" i="1"/>
  <c r="V456" i="1" s="1"/>
  <c r="T393" i="1"/>
  <c r="V393" i="1" s="1"/>
  <c r="T436" i="1"/>
  <c r="V436" i="1" s="1"/>
  <c r="T442" i="1"/>
  <c r="V442" i="1" s="1"/>
  <c r="T439" i="1"/>
  <c r="V439" i="1" s="1"/>
  <c r="T435" i="1"/>
  <c r="V435" i="1" s="1"/>
  <c r="T441" i="1"/>
  <c r="V441" i="1" s="1"/>
  <c r="T444" i="1"/>
  <c r="V444" i="1" s="1"/>
  <c r="T437" i="1"/>
  <c r="V437" i="1" s="1"/>
  <c r="T443" i="1"/>
  <c r="V443" i="1" s="1"/>
  <c r="T440" i="1"/>
  <c r="V440" i="1" s="1"/>
  <c r="T379" i="1"/>
  <c r="V379" i="1" s="1"/>
  <c r="T389" i="1"/>
  <c r="V389" i="1" s="1"/>
  <c r="T386" i="1"/>
  <c r="V386" i="1" s="1"/>
  <c r="T381" i="1"/>
  <c r="V381" i="1" s="1"/>
  <c r="T388" i="1"/>
  <c r="V388" i="1" s="1"/>
  <c r="T384" i="1"/>
  <c r="V384" i="1" s="1"/>
  <c r="T385" i="1"/>
  <c r="V385" i="1" s="1"/>
  <c r="T387" i="1"/>
  <c r="V387" i="1" s="1"/>
  <c r="T390" i="1"/>
  <c r="V390" i="1" s="1"/>
  <c r="T17" i="1"/>
  <c r="V17" i="1" s="1"/>
  <c r="T13" i="1"/>
  <c r="V13" i="1" s="1"/>
  <c r="T19" i="1"/>
  <c r="V19" i="1" s="1"/>
  <c r="T18" i="1"/>
  <c r="V18" i="1" s="1"/>
  <c r="T16" i="1"/>
  <c r="V16" i="1" s="1"/>
  <c r="T14" i="1"/>
  <c r="V14" i="1" s="1"/>
  <c r="T15" i="1"/>
  <c r="V15" i="1" s="1"/>
  <c r="T366" i="1"/>
  <c r="V366" i="1" s="1"/>
  <c r="T353" i="1"/>
  <c r="V353" i="1" s="1"/>
  <c r="T357" i="1"/>
  <c r="V357" i="1" s="1"/>
  <c r="T349" i="1"/>
  <c r="V349" i="1" s="1"/>
  <c r="T350" i="1"/>
  <c r="V350" i="1" s="1"/>
  <c r="T352" i="1"/>
  <c r="V352" i="1" s="1"/>
  <c r="T354" i="1"/>
  <c r="V354" i="1" s="1"/>
  <c r="T348" i="1"/>
  <c r="V348" i="1" s="1"/>
  <c r="T364" i="1"/>
  <c r="V364" i="1" s="1"/>
  <c r="T372" i="1"/>
  <c r="V372" i="1" s="1"/>
  <c r="T361" i="1"/>
  <c r="V361" i="1" s="1"/>
  <c r="T368" i="1"/>
  <c r="V368" i="1" s="1"/>
  <c r="T362" i="1"/>
  <c r="V362" i="1" s="1"/>
  <c r="T375" i="1"/>
  <c r="V375" i="1" s="1"/>
  <c r="T378" i="1"/>
  <c r="V378" i="1" s="1"/>
  <c r="T369" i="1"/>
  <c r="V369" i="1" s="1"/>
  <c r="T376" i="1"/>
  <c r="V376" i="1" s="1"/>
  <c r="T373" i="1"/>
  <c r="V373" i="1" s="1"/>
  <c r="T371" i="1"/>
  <c r="V371" i="1" s="1"/>
  <c r="T367" i="1"/>
  <c r="V367" i="1" s="1"/>
  <c r="T363" i="1"/>
  <c r="V363" i="1" s="1"/>
  <c r="T365" i="1"/>
  <c r="V365" i="1" s="1"/>
  <c r="T374" i="1"/>
  <c r="V374" i="1" s="1"/>
  <c r="T370" i="1"/>
  <c r="V370" i="1" s="1"/>
  <c r="T360" i="1"/>
  <c r="V360" i="1" s="1"/>
  <c r="T377" i="1"/>
  <c r="V377" i="1" s="1"/>
  <c r="T356" i="1"/>
  <c r="V356" i="1" s="1"/>
  <c r="T358" i="1"/>
  <c r="V358" i="1" s="1"/>
  <c r="T346" i="1"/>
  <c r="V346" i="1" s="1"/>
  <c r="T345" i="1"/>
  <c r="V345" i="1" s="1"/>
  <c r="T342" i="1"/>
  <c r="V342" i="1" s="1"/>
  <c r="T341" i="1"/>
  <c r="V341" i="1" s="1"/>
  <c r="T338" i="1"/>
  <c r="V338" i="1" s="1"/>
  <c r="T340" i="1"/>
  <c r="V340" i="1" s="1"/>
  <c r="T339" i="1"/>
  <c r="V339" i="1" s="1"/>
  <c r="Y746" i="1"/>
  <c r="Y745" i="1"/>
  <c r="Y666" i="1"/>
  <c r="Y670" i="1"/>
  <c r="Y665" i="1"/>
  <c r="Y669" i="1"/>
  <c r="Y662" i="1"/>
  <c r="Y667" i="1"/>
  <c r="Y671" i="1"/>
  <c r="Y23" i="1"/>
  <c r="Y26" i="1"/>
  <c r="Y34" i="1"/>
  <c r="Y663" i="1"/>
  <c r="Y747" i="1"/>
  <c r="Y668" i="1"/>
  <c r="Y672" i="1"/>
  <c r="Z672" i="1" s="1"/>
  <c r="Y748" i="1"/>
  <c r="Y5" i="1"/>
  <c r="Y22" i="1"/>
  <c r="Y7" i="1"/>
  <c r="Y661" i="1"/>
  <c r="Y21" i="1"/>
  <c r="Y6" i="1"/>
  <c r="Y35" i="1"/>
  <c r="Y664" i="1"/>
  <c r="Z661" i="1" l="1"/>
  <c r="Z665" i="1"/>
  <c r="Z669" i="1"/>
  <c r="Z663" i="1"/>
  <c r="Z670" i="1"/>
  <c r="Z662" i="1"/>
  <c r="Z666" i="1"/>
  <c r="Z664" i="1"/>
  <c r="Z668" i="1"/>
  <c r="Z671" i="1"/>
  <c r="Z667" i="1"/>
  <c r="Z34" i="1"/>
  <c r="Z35" i="1"/>
  <c r="Z24" i="1"/>
  <c r="Z25" i="1"/>
  <c r="Z26" i="1"/>
  <c r="Z21" i="1"/>
  <c r="Z7" i="1"/>
  <c r="Z5" i="1"/>
  <c r="Z22" i="1"/>
  <c r="Z6" i="1"/>
  <c r="Z23" i="1"/>
  <c r="Q237" i="1"/>
  <c r="W238" i="1"/>
  <c r="S238" i="1"/>
  <c r="P238" i="1"/>
  <c r="P309" i="1" l="1"/>
  <c r="S292" i="1" l="1"/>
  <c r="W292" i="1"/>
  <c r="P292" i="1"/>
  <c r="Q51" i="1" l="1"/>
  <c r="W50" i="1"/>
  <c r="S50" i="1"/>
  <c r="P50" i="1"/>
  <c r="W8" i="1"/>
  <c r="Q206" i="1" l="1"/>
  <c r="W207" i="1"/>
  <c r="S207" i="1"/>
  <c r="P207" i="1"/>
  <c r="Q204" i="1"/>
  <c r="W205" i="1"/>
  <c r="S205" i="1"/>
  <c r="P205" i="1"/>
  <c r="Q202" i="1"/>
  <c r="W203" i="1"/>
  <c r="S203" i="1"/>
  <c r="P203" i="1"/>
  <c r="W37" i="1" l="1"/>
  <c r="W36" i="1"/>
  <c r="W38" i="1"/>
  <c r="W39" i="1"/>
  <c r="W40" i="1"/>
  <c r="W41" i="1"/>
  <c r="W42" i="1"/>
  <c r="W43" i="1"/>
  <c r="W44" i="1"/>
  <c r="W45" i="1"/>
  <c r="W46" i="1"/>
  <c r="W47" i="1"/>
  <c r="W48" i="1"/>
  <c r="W49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1" i="1"/>
  <c r="W80" i="1"/>
  <c r="W82" i="1"/>
  <c r="W83" i="1"/>
  <c r="W84" i="1"/>
  <c r="W85" i="1"/>
  <c r="W86" i="1"/>
  <c r="W87" i="1"/>
  <c r="W89" i="1"/>
  <c r="W88" i="1"/>
  <c r="W91" i="1"/>
  <c r="W90" i="1"/>
  <c r="W92" i="1"/>
  <c r="W93" i="1"/>
  <c r="W95" i="1"/>
  <c r="W94" i="1"/>
  <c r="W97" i="1"/>
  <c r="W98" i="1"/>
  <c r="W96" i="1"/>
  <c r="W99" i="1"/>
  <c r="W100" i="1"/>
  <c r="W101" i="1"/>
  <c r="W102" i="1"/>
  <c r="W103" i="1"/>
  <c r="W104" i="1"/>
  <c r="W105" i="1"/>
  <c r="W107" i="1"/>
  <c r="W106" i="1"/>
  <c r="W108" i="1"/>
  <c r="W109" i="1"/>
  <c r="W110" i="1"/>
  <c r="W112" i="1"/>
  <c r="W113" i="1"/>
  <c r="W114" i="1"/>
  <c r="W115" i="1"/>
  <c r="W116" i="1"/>
  <c r="W117" i="1"/>
  <c r="W119" i="1"/>
  <c r="W118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2" i="1"/>
  <c r="W141" i="1"/>
  <c r="W167" i="1"/>
  <c r="W143" i="1"/>
  <c r="W168" i="1"/>
  <c r="W144" i="1"/>
  <c r="W148" i="1"/>
  <c r="W179" i="1"/>
  <c r="W169" i="1"/>
  <c r="W170" i="1"/>
  <c r="W149" i="1"/>
  <c r="W151" i="1"/>
  <c r="W152" i="1"/>
  <c r="W159" i="1"/>
  <c r="W153" i="1"/>
  <c r="W161" i="1"/>
  <c r="W154" i="1"/>
  <c r="W171" i="1"/>
  <c r="W172" i="1"/>
  <c r="W173" i="1"/>
  <c r="W174" i="1"/>
  <c r="W175" i="1"/>
  <c r="W176" i="1"/>
  <c r="W177" i="1"/>
  <c r="W178" i="1"/>
  <c r="W184" i="1"/>
  <c r="W185" i="1"/>
  <c r="W186" i="1"/>
  <c r="W163" i="1"/>
  <c r="W187" i="1"/>
  <c r="W164" i="1"/>
  <c r="W188" i="1"/>
  <c r="W189" i="1"/>
  <c r="W165" i="1"/>
  <c r="W166" i="1"/>
  <c r="W180" i="1"/>
  <c r="W181" i="1"/>
  <c r="W147" i="1"/>
  <c r="W183" i="1"/>
  <c r="W194" i="1"/>
  <c r="W197" i="1"/>
  <c r="W224" i="1"/>
  <c r="W225" i="1"/>
  <c r="W226" i="1"/>
  <c r="W192" i="1"/>
  <c r="W193" i="1"/>
  <c r="W195" i="1"/>
  <c r="W196" i="1"/>
  <c r="W198" i="1"/>
  <c r="W199" i="1"/>
  <c r="W200" i="1"/>
  <c r="W201" i="1"/>
  <c r="W202" i="1"/>
  <c r="W204" i="1"/>
  <c r="W206" i="1"/>
  <c r="W208" i="1"/>
  <c r="W209" i="1"/>
  <c r="W210" i="1"/>
  <c r="W211" i="1"/>
  <c r="W212" i="1"/>
  <c r="W213" i="1"/>
  <c r="W214" i="1"/>
  <c r="W215" i="1"/>
  <c r="W216" i="1"/>
  <c r="W218" i="1"/>
  <c r="W219" i="1"/>
  <c r="W221" i="1"/>
  <c r="W222" i="1"/>
  <c r="W223" i="1"/>
  <c r="W231" i="1"/>
  <c r="W232" i="1"/>
  <c r="W230" i="1"/>
  <c r="W228" i="1"/>
  <c r="W227" i="1"/>
  <c r="W234" i="1"/>
  <c r="W229" i="1"/>
  <c r="W245" i="1"/>
  <c r="W246" i="1"/>
  <c r="W247" i="1"/>
  <c r="W248" i="1"/>
  <c r="W249" i="1"/>
  <c r="W236" i="1"/>
  <c r="W235" i="1"/>
  <c r="W240" i="1"/>
  <c r="W239" i="1"/>
  <c r="W237" i="1"/>
  <c r="W250" i="1"/>
  <c r="W251" i="1"/>
  <c r="W252" i="1"/>
  <c r="W241" i="1"/>
  <c r="W242" i="1"/>
  <c r="W243" i="1"/>
  <c r="W244" i="1"/>
  <c r="W255" i="1"/>
  <c r="W256" i="1"/>
  <c r="W257" i="1"/>
  <c r="W258" i="1"/>
  <c r="W259" i="1"/>
  <c r="W260" i="1"/>
  <c r="W261" i="1"/>
  <c r="W262" i="1"/>
  <c r="W263" i="1"/>
  <c r="W264" i="1"/>
  <c r="W266" i="1"/>
  <c r="W267" i="1"/>
  <c r="W268" i="1"/>
  <c r="W269" i="1"/>
  <c r="W270" i="1"/>
  <c r="W272" i="1"/>
  <c r="W273" i="1"/>
  <c r="W274" i="1"/>
  <c r="W279" i="1"/>
  <c r="W275" i="1"/>
  <c r="W276" i="1"/>
  <c r="W277" i="1"/>
  <c r="W282" i="1"/>
  <c r="W281" i="1"/>
  <c r="W283" i="1"/>
  <c r="W285" i="1"/>
  <c r="W286" i="1"/>
  <c r="W287" i="1"/>
  <c r="W288" i="1"/>
  <c r="W289" i="1"/>
  <c r="W290" i="1"/>
  <c r="W291" i="1"/>
  <c r="W293" i="1"/>
  <c r="W294" i="1"/>
  <c r="W307" i="1"/>
  <c r="W308" i="1"/>
  <c r="W298" i="1"/>
  <c r="W299" i="1"/>
  <c r="W300" i="1"/>
  <c r="W302" i="1"/>
  <c r="W304" i="1"/>
  <c r="W305" i="1"/>
  <c r="W306" i="1"/>
  <c r="W311" i="1"/>
  <c r="W309" i="1"/>
  <c r="W310" i="1"/>
  <c r="W314" i="1"/>
  <c r="W322" i="1"/>
  <c r="W321" i="1"/>
  <c r="W315" i="1"/>
  <c r="W316" i="1"/>
  <c r="W317" i="1"/>
  <c r="W318" i="1"/>
  <c r="W319" i="1"/>
  <c r="W313" i="1"/>
  <c r="W325" i="1"/>
  <c r="W324" i="1"/>
  <c r="W326" i="1"/>
  <c r="W327" i="1"/>
  <c r="W320" i="1"/>
  <c r="W312" i="1"/>
  <c r="W330" i="1"/>
  <c r="W329" i="1"/>
  <c r="W328" i="1"/>
  <c r="W331" i="1"/>
  <c r="W333" i="1"/>
  <c r="S8" i="1"/>
  <c r="T8" i="1" s="1"/>
  <c r="V8" i="1" s="1"/>
  <c r="P311" i="1"/>
  <c r="S311" i="1"/>
  <c r="S309" i="1"/>
  <c r="P310" i="1"/>
  <c r="S310" i="1"/>
  <c r="P314" i="1"/>
  <c r="S314" i="1"/>
  <c r="P322" i="1"/>
  <c r="S322" i="1"/>
  <c r="P321" i="1"/>
  <c r="S321" i="1"/>
  <c r="P315" i="1"/>
  <c r="S315" i="1"/>
  <c r="P316" i="1"/>
  <c r="S316" i="1"/>
  <c r="P317" i="1"/>
  <c r="S317" i="1"/>
  <c r="P318" i="1"/>
  <c r="S318" i="1"/>
  <c r="P319" i="1"/>
  <c r="S319" i="1"/>
  <c r="P313" i="1"/>
  <c r="S313" i="1"/>
  <c r="P325" i="1"/>
  <c r="S325" i="1"/>
  <c r="P324" i="1"/>
  <c r="S324" i="1"/>
  <c r="P326" i="1"/>
  <c r="S326" i="1"/>
  <c r="P327" i="1"/>
  <c r="S327" i="1"/>
  <c r="S320" i="1"/>
  <c r="P312" i="1"/>
  <c r="S312" i="1"/>
  <c r="P330" i="1"/>
  <c r="S330" i="1"/>
  <c r="P329" i="1"/>
  <c r="S329" i="1"/>
  <c r="P328" i="1"/>
  <c r="S328" i="1"/>
  <c r="P331" i="1"/>
  <c r="S331" i="1"/>
  <c r="P333" i="1"/>
  <c r="S333" i="1"/>
  <c r="P37" i="1"/>
  <c r="P36" i="1"/>
  <c r="P38" i="1"/>
  <c r="P39" i="1"/>
  <c r="P40" i="1"/>
  <c r="P41" i="1"/>
  <c r="P42" i="1"/>
  <c r="P43" i="1"/>
  <c r="P44" i="1"/>
  <c r="P45" i="1"/>
  <c r="P46" i="1"/>
  <c r="P47" i="1"/>
  <c r="P48" i="1"/>
  <c r="P49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1" i="1"/>
  <c r="P80" i="1"/>
  <c r="P82" i="1"/>
  <c r="P83" i="1"/>
  <c r="P84" i="1"/>
  <c r="P85" i="1"/>
  <c r="P86" i="1"/>
  <c r="P87" i="1"/>
  <c r="P89" i="1"/>
  <c r="P88" i="1"/>
  <c r="P91" i="1"/>
  <c r="P90" i="1"/>
  <c r="P92" i="1"/>
  <c r="P93" i="1"/>
  <c r="P95" i="1"/>
  <c r="P94" i="1"/>
  <c r="P97" i="1"/>
  <c r="P98" i="1"/>
  <c r="P96" i="1"/>
  <c r="P99" i="1"/>
  <c r="P100" i="1"/>
  <c r="P101" i="1"/>
  <c r="P102" i="1"/>
  <c r="P103" i="1"/>
  <c r="P104" i="1"/>
  <c r="P105" i="1"/>
  <c r="P107" i="1"/>
  <c r="P106" i="1"/>
  <c r="P108" i="1"/>
  <c r="P109" i="1"/>
  <c r="P110" i="1"/>
  <c r="P112" i="1"/>
  <c r="P113" i="1"/>
  <c r="P114" i="1"/>
  <c r="P115" i="1"/>
  <c r="P116" i="1"/>
  <c r="P117" i="1"/>
  <c r="P119" i="1"/>
  <c r="P118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2" i="1"/>
  <c r="P141" i="1"/>
  <c r="P167" i="1"/>
  <c r="P143" i="1"/>
  <c r="P168" i="1"/>
  <c r="P144" i="1"/>
  <c r="P148" i="1"/>
  <c r="P179" i="1"/>
  <c r="P169" i="1"/>
  <c r="P170" i="1"/>
  <c r="P149" i="1"/>
  <c r="P151" i="1"/>
  <c r="P152" i="1"/>
  <c r="P159" i="1"/>
  <c r="P153" i="1"/>
  <c r="P161" i="1"/>
  <c r="P154" i="1"/>
  <c r="P171" i="1"/>
  <c r="P172" i="1"/>
  <c r="P173" i="1"/>
  <c r="P174" i="1"/>
  <c r="P175" i="1"/>
  <c r="P176" i="1"/>
  <c r="P177" i="1"/>
  <c r="P178" i="1"/>
  <c r="P184" i="1"/>
  <c r="P185" i="1"/>
  <c r="P186" i="1"/>
  <c r="P163" i="1"/>
  <c r="P187" i="1"/>
  <c r="P164" i="1"/>
  <c r="P188" i="1"/>
  <c r="P189" i="1"/>
  <c r="P165" i="1"/>
  <c r="P166" i="1"/>
  <c r="P180" i="1"/>
  <c r="P181" i="1"/>
  <c r="P147" i="1"/>
  <c r="P183" i="1"/>
  <c r="P194" i="1"/>
  <c r="P197" i="1"/>
  <c r="P224" i="1"/>
  <c r="P225" i="1"/>
  <c r="P226" i="1"/>
  <c r="P192" i="1"/>
  <c r="P193" i="1"/>
  <c r="P195" i="1"/>
  <c r="P196" i="1"/>
  <c r="P198" i="1"/>
  <c r="P199" i="1"/>
  <c r="P200" i="1"/>
  <c r="P201" i="1"/>
  <c r="P202" i="1"/>
  <c r="P204" i="1"/>
  <c r="P206" i="1"/>
  <c r="P208" i="1"/>
  <c r="P209" i="1"/>
  <c r="P210" i="1"/>
  <c r="P211" i="1"/>
  <c r="P212" i="1"/>
  <c r="P213" i="1"/>
  <c r="P214" i="1"/>
  <c r="P215" i="1"/>
  <c r="P216" i="1"/>
  <c r="P218" i="1"/>
  <c r="P219" i="1"/>
  <c r="P221" i="1"/>
  <c r="P222" i="1"/>
  <c r="P223" i="1"/>
  <c r="P231" i="1"/>
  <c r="P232" i="1"/>
  <c r="P230" i="1"/>
  <c r="P228" i="1"/>
  <c r="P227" i="1"/>
  <c r="P234" i="1"/>
  <c r="P229" i="1"/>
  <c r="P245" i="1"/>
  <c r="P246" i="1"/>
  <c r="P247" i="1"/>
  <c r="P248" i="1"/>
  <c r="P249" i="1"/>
  <c r="P236" i="1"/>
  <c r="P235" i="1"/>
  <c r="P240" i="1"/>
  <c r="P239" i="1"/>
  <c r="P237" i="1"/>
  <c r="P250" i="1"/>
  <c r="P251" i="1"/>
  <c r="P252" i="1"/>
  <c r="P241" i="1"/>
  <c r="P242" i="1"/>
  <c r="P243" i="1"/>
  <c r="P244" i="1"/>
  <c r="P255" i="1"/>
  <c r="P256" i="1"/>
  <c r="P257" i="1"/>
  <c r="P258" i="1"/>
  <c r="P259" i="1"/>
  <c r="P260" i="1"/>
  <c r="P261" i="1"/>
  <c r="P262" i="1"/>
  <c r="P263" i="1"/>
  <c r="P264" i="1"/>
  <c r="P266" i="1"/>
  <c r="P267" i="1"/>
  <c r="P268" i="1"/>
  <c r="P269" i="1"/>
  <c r="P270" i="1"/>
  <c r="P272" i="1"/>
  <c r="P273" i="1"/>
  <c r="P274" i="1"/>
  <c r="P279" i="1"/>
  <c r="P275" i="1"/>
  <c r="P276" i="1"/>
  <c r="P277" i="1"/>
  <c r="P282" i="1"/>
  <c r="P281" i="1"/>
  <c r="P283" i="1"/>
  <c r="P285" i="1"/>
  <c r="P286" i="1"/>
  <c r="P287" i="1"/>
  <c r="P288" i="1"/>
  <c r="P289" i="1"/>
  <c r="P290" i="1"/>
  <c r="P291" i="1"/>
  <c r="P293" i="1"/>
  <c r="P294" i="1"/>
  <c r="P307" i="1"/>
  <c r="P308" i="1"/>
  <c r="P298" i="1"/>
  <c r="P299" i="1"/>
  <c r="P300" i="1"/>
  <c r="P302" i="1"/>
  <c r="P304" i="1"/>
  <c r="P305" i="1"/>
  <c r="P306" i="1"/>
  <c r="T333" i="1" l="1"/>
  <c r="V333" i="1" s="1"/>
  <c r="T334" i="1"/>
  <c r="V334" i="1" s="1"/>
  <c r="T335" i="1"/>
  <c r="V335" i="1" s="1"/>
  <c r="T323" i="1"/>
  <c r="V323" i="1" s="1"/>
  <c r="T337" i="1"/>
  <c r="V337" i="1" s="1"/>
  <c r="T336" i="1"/>
  <c r="V336" i="1" s="1"/>
  <c r="T332" i="1"/>
  <c r="V332" i="1" s="1"/>
  <c r="T329" i="1"/>
  <c r="V329" i="1" s="1"/>
  <c r="T330" i="1"/>
  <c r="V330" i="1" s="1"/>
  <c r="T328" i="1"/>
  <c r="V328" i="1" s="1"/>
  <c r="T331" i="1"/>
  <c r="V331" i="1" s="1"/>
  <c r="T320" i="1"/>
  <c r="V320" i="1" s="1"/>
  <c r="T312" i="1"/>
  <c r="V312" i="1" s="1"/>
  <c r="T316" i="1"/>
  <c r="V316" i="1" s="1"/>
  <c r="T327" i="1"/>
  <c r="V327" i="1" s="1"/>
  <c r="T321" i="1"/>
  <c r="V321" i="1" s="1"/>
  <c r="T318" i="1"/>
  <c r="V318" i="1" s="1"/>
  <c r="T309" i="1"/>
  <c r="V309" i="1" s="1"/>
  <c r="T311" i="1"/>
  <c r="V311" i="1" s="1"/>
  <c r="T314" i="1"/>
  <c r="V314" i="1" s="1"/>
  <c r="T313" i="1"/>
  <c r="V313" i="1" s="1"/>
  <c r="T324" i="1"/>
  <c r="V324" i="1" s="1"/>
  <c r="T310" i="1"/>
  <c r="V310" i="1" s="1"/>
  <c r="T325" i="1"/>
  <c r="V325" i="1" s="1"/>
  <c r="T317" i="1"/>
  <c r="V317" i="1" s="1"/>
  <c r="T322" i="1"/>
  <c r="V322" i="1" s="1"/>
  <c r="T326" i="1"/>
  <c r="V326" i="1" s="1"/>
  <c r="T319" i="1"/>
  <c r="V319" i="1" s="1"/>
  <c r="T315" i="1"/>
  <c r="V315" i="1" s="1"/>
  <c r="Q140" i="1"/>
  <c r="Q104" i="1" l="1"/>
  <c r="Q263" i="1"/>
  <c r="S262" i="1"/>
  <c r="S104" i="1" l="1"/>
  <c r="Q144" i="1" l="1"/>
  <c r="Q143" i="1"/>
  <c r="S168" i="1"/>
  <c r="S167" i="1"/>
  <c r="Q97" i="1"/>
  <c r="S97" i="1" l="1"/>
  <c r="Q165" i="1"/>
  <c r="S189" i="1"/>
  <c r="Q164" i="1"/>
  <c r="S187" i="1"/>
  <c r="Q94" i="1" l="1"/>
  <c r="S94" i="1" s="1"/>
  <c r="S95" i="1"/>
  <c r="C8" i="3" l="1"/>
  <c r="C7" i="3" l="1"/>
  <c r="C6" i="3"/>
  <c r="Q260" i="1"/>
  <c r="S259" i="1"/>
  <c r="S261" i="1"/>
  <c r="S98" i="1" l="1"/>
  <c r="S141" i="1"/>
  <c r="S140" i="1" l="1"/>
  <c r="S107" i="1"/>
  <c r="S184" i="1" l="1"/>
  <c r="S185" i="1"/>
  <c r="S186" i="1"/>
  <c r="S163" i="1"/>
  <c r="S164" i="1"/>
  <c r="S188" i="1"/>
  <c r="S165" i="1"/>
  <c r="S166" i="1"/>
  <c r="S180" i="1"/>
  <c r="S181" i="1"/>
  <c r="S147" i="1"/>
  <c r="S183" i="1"/>
  <c r="S298" i="1" l="1"/>
  <c r="S304" i="1"/>
  <c r="S307" i="1"/>
  <c r="S300" i="1"/>
  <c r="S287" i="1"/>
  <c r="S286" i="1"/>
  <c r="S288" i="1"/>
  <c r="S306" i="1"/>
  <c r="S291" i="1"/>
  <c r="S290" i="1"/>
  <c r="S294" i="1"/>
  <c r="S308" i="1"/>
  <c r="S293" i="1"/>
  <c r="S305" i="1"/>
  <c r="S299" i="1"/>
  <c r="S289" i="1"/>
  <c r="S302" i="1"/>
  <c r="S283" i="1"/>
  <c r="S281" i="1"/>
  <c r="S282" i="1"/>
  <c r="S285" i="1"/>
  <c r="T285" i="1" s="1"/>
  <c r="V285" i="1" s="1"/>
  <c r="S274" i="1"/>
  <c r="S279" i="1"/>
  <c r="S277" i="1"/>
  <c r="S275" i="1"/>
  <c r="S276" i="1"/>
  <c r="S273" i="1"/>
  <c r="S256" i="1"/>
  <c r="S255" i="1"/>
  <c r="S272" i="1"/>
  <c r="S270" i="1"/>
  <c r="S269" i="1"/>
  <c r="S268" i="1"/>
  <c r="S267" i="1"/>
  <c r="S266" i="1"/>
  <c r="S264" i="1"/>
  <c r="S263" i="1"/>
  <c r="S260" i="1"/>
  <c r="S258" i="1"/>
  <c r="S257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7" i="1"/>
  <c r="S239" i="1"/>
  <c r="S235" i="1"/>
  <c r="S236" i="1"/>
  <c r="S229" i="1"/>
  <c r="S232" i="1"/>
  <c r="S230" i="1"/>
  <c r="S228" i="1"/>
  <c r="S231" i="1"/>
  <c r="S227" i="1"/>
  <c r="S234" i="1"/>
  <c r="S226" i="1"/>
  <c r="S225" i="1"/>
  <c r="S224" i="1"/>
  <c r="S200" i="1"/>
  <c r="S218" i="1"/>
  <c r="S202" i="1"/>
  <c r="S206" i="1"/>
  <c r="S201" i="1"/>
  <c r="S204" i="1"/>
  <c r="S197" i="1"/>
  <c r="S198" i="1"/>
  <c r="S196" i="1"/>
  <c r="S195" i="1"/>
  <c r="S194" i="1"/>
  <c r="S223" i="1"/>
  <c r="S212" i="1"/>
  <c r="S208" i="1"/>
  <c r="S213" i="1"/>
  <c r="S209" i="1"/>
  <c r="S210" i="1"/>
  <c r="S192" i="1"/>
  <c r="S193" i="1"/>
  <c r="S214" i="1"/>
  <c r="S215" i="1"/>
  <c r="S216" i="1"/>
  <c r="S222" i="1"/>
  <c r="S221" i="1"/>
  <c r="S219" i="1"/>
  <c r="S211" i="1"/>
  <c r="S199" i="1"/>
  <c r="S152" i="1"/>
  <c r="S151" i="1"/>
  <c r="S149" i="1"/>
  <c r="S178" i="1"/>
  <c r="S177" i="1"/>
  <c r="S176" i="1"/>
  <c r="S175" i="1"/>
  <c r="S174" i="1"/>
  <c r="S173" i="1"/>
  <c r="S172" i="1"/>
  <c r="S171" i="1"/>
  <c r="S154" i="1"/>
  <c r="S161" i="1"/>
  <c r="S153" i="1"/>
  <c r="S159" i="1"/>
  <c r="S170" i="1"/>
  <c r="S169" i="1"/>
  <c r="S179" i="1"/>
  <c r="S148" i="1"/>
  <c r="S144" i="1"/>
  <c r="S143" i="1"/>
  <c r="S142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8" i="1"/>
  <c r="Q119" i="1"/>
  <c r="S117" i="1"/>
  <c r="S116" i="1"/>
  <c r="S115" i="1"/>
  <c r="S114" i="1"/>
  <c r="S113" i="1"/>
  <c r="S112" i="1"/>
  <c r="S110" i="1"/>
  <c r="S109" i="1"/>
  <c r="S108" i="1"/>
  <c r="S106" i="1"/>
  <c r="S105" i="1"/>
  <c r="S103" i="1"/>
  <c r="S102" i="1"/>
  <c r="S101" i="1"/>
  <c r="S100" i="1"/>
  <c r="S99" i="1"/>
  <c r="S96" i="1"/>
  <c r="S93" i="1"/>
  <c r="S92" i="1"/>
  <c r="S90" i="1"/>
  <c r="Q91" i="1"/>
  <c r="S91" i="1" s="1"/>
  <c r="S88" i="1"/>
  <c r="Q89" i="1"/>
  <c r="S77" i="1"/>
  <c r="S76" i="1"/>
  <c r="S75" i="1"/>
  <c r="S74" i="1"/>
  <c r="S87" i="1"/>
  <c r="S86" i="1"/>
  <c r="S85" i="1"/>
  <c r="S84" i="1"/>
  <c r="S83" i="1"/>
  <c r="S82" i="1"/>
  <c r="S80" i="1"/>
  <c r="Q81" i="1"/>
  <c r="S81" i="1" s="1"/>
  <c r="S79" i="1"/>
  <c r="Q78" i="1"/>
  <c r="S73" i="1"/>
  <c r="S72" i="1"/>
  <c r="S71" i="1"/>
  <c r="S70" i="1"/>
  <c r="S69" i="1"/>
  <c r="Q68" i="1"/>
  <c r="S67" i="1"/>
  <c r="S66" i="1"/>
  <c r="S65" i="1"/>
  <c r="S64" i="1"/>
  <c r="S63" i="1"/>
  <c r="S62" i="1"/>
  <c r="S61" i="1"/>
  <c r="S60" i="1"/>
  <c r="S59" i="1"/>
  <c r="S58" i="1"/>
  <c r="S57" i="1"/>
  <c r="S56" i="1"/>
  <c r="Q55" i="1"/>
  <c r="S54" i="1"/>
  <c r="S53" i="1"/>
  <c r="S52" i="1"/>
  <c r="S51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Q36" i="1"/>
  <c r="AJ1" i="1"/>
  <c r="AJ454" i="1" l="1"/>
  <c r="AJ448" i="1"/>
  <c r="AJ684" i="1"/>
  <c r="AJ678" i="1"/>
  <c r="AJ683" i="1"/>
  <c r="AJ677" i="1"/>
  <c r="AJ688" i="1"/>
  <c r="AJ682" i="1"/>
  <c r="AJ687" i="1"/>
  <c r="AJ681" i="1"/>
  <c r="AJ686" i="1"/>
  <c r="AJ680" i="1"/>
  <c r="AJ685" i="1"/>
  <c r="AJ679" i="1"/>
  <c r="AJ696" i="1"/>
  <c r="AJ690" i="1"/>
  <c r="AJ695" i="1"/>
  <c r="AJ689" i="1"/>
  <c r="AJ700" i="1"/>
  <c r="AJ694" i="1"/>
  <c r="AJ699" i="1"/>
  <c r="AJ693" i="1"/>
  <c r="AJ698" i="1"/>
  <c r="AJ692" i="1"/>
  <c r="AJ697" i="1"/>
  <c r="AJ691" i="1"/>
  <c r="AJ708" i="1"/>
  <c r="AJ702" i="1"/>
  <c r="AJ707" i="1"/>
  <c r="AJ701" i="1"/>
  <c r="AJ712" i="1"/>
  <c r="AJ706" i="1"/>
  <c r="AJ711" i="1"/>
  <c r="AJ705" i="1"/>
  <c r="AJ710" i="1"/>
  <c r="AJ704" i="1"/>
  <c r="AJ709" i="1"/>
  <c r="AJ703" i="1"/>
  <c r="AJ720" i="1"/>
  <c r="AJ714" i="1"/>
  <c r="AJ719" i="1"/>
  <c r="AJ713" i="1"/>
  <c r="AJ724" i="1"/>
  <c r="AJ718" i="1"/>
  <c r="AJ723" i="1"/>
  <c r="AJ717" i="1"/>
  <c r="AJ722" i="1"/>
  <c r="AJ716" i="1"/>
  <c r="AJ721" i="1"/>
  <c r="AJ715" i="1"/>
  <c r="AJ732" i="1"/>
  <c r="AJ726" i="1"/>
  <c r="AJ731" i="1"/>
  <c r="AJ725" i="1"/>
  <c r="AJ736" i="1"/>
  <c r="AJ730" i="1"/>
  <c r="AJ735" i="1"/>
  <c r="AJ729" i="1"/>
  <c r="AJ734" i="1"/>
  <c r="AJ728" i="1"/>
  <c r="AJ733" i="1"/>
  <c r="AJ727" i="1"/>
  <c r="AJ740" i="1"/>
  <c r="AJ744" i="1"/>
  <c r="AJ743" i="1"/>
  <c r="AJ737" i="1"/>
  <c r="AJ739" i="1"/>
  <c r="AJ742" i="1"/>
  <c r="AJ741" i="1"/>
  <c r="AJ738" i="1"/>
  <c r="AJ430" i="1"/>
  <c r="AJ429" i="1"/>
  <c r="T284" i="1"/>
  <c r="V284" i="1" s="1"/>
  <c r="T297" i="1"/>
  <c r="V297" i="1" s="1"/>
  <c r="T296" i="1"/>
  <c r="V296" i="1" s="1"/>
  <c r="T182" i="1"/>
  <c r="V182" i="1" s="1"/>
  <c r="T146" i="1"/>
  <c r="V146" i="1" s="1"/>
  <c r="T145" i="1"/>
  <c r="V145" i="1" s="1"/>
  <c r="AJ580" i="1"/>
  <c r="AJ645" i="1"/>
  <c r="AJ648" i="1"/>
  <c r="AJ614" i="1"/>
  <c r="AJ579" i="1"/>
  <c r="AJ566" i="1"/>
  <c r="AJ644" i="1"/>
  <c r="AJ590" i="1"/>
  <c r="AJ613" i="1"/>
  <c r="AJ578" i="1"/>
  <c r="AJ565" i="1"/>
  <c r="AJ643" i="1"/>
  <c r="AJ589" i="1"/>
  <c r="AJ612" i="1"/>
  <c r="AJ577" i="1"/>
  <c r="AJ564" i="1"/>
  <c r="AJ594" i="1"/>
  <c r="AJ535" i="1"/>
  <c r="AJ611" i="1"/>
  <c r="AJ654" i="1"/>
  <c r="AJ653" i="1"/>
  <c r="AJ647" i="1"/>
  <c r="AJ646" i="1"/>
  <c r="AJ607" i="1"/>
  <c r="AJ606" i="1"/>
  <c r="AJ605" i="1"/>
  <c r="AJ604" i="1"/>
  <c r="AJ603" i="1"/>
  <c r="AJ602" i="1"/>
  <c r="AJ601" i="1"/>
  <c r="AJ600" i="1"/>
  <c r="AJ588" i="1"/>
  <c r="AJ576" i="1"/>
  <c r="AJ563" i="1"/>
  <c r="AJ593" i="1"/>
  <c r="AJ534" i="1"/>
  <c r="AJ610" i="1"/>
  <c r="AJ545" i="1"/>
  <c r="AJ575" i="1"/>
  <c r="AJ652" i="1"/>
  <c r="AJ592" i="1"/>
  <c r="AJ546" i="1"/>
  <c r="AJ609" i="1"/>
  <c r="AJ586" i="1"/>
  <c r="AJ650" i="1"/>
  <c r="AJ591" i="1"/>
  <c r="AJ620" i="1"/>
  <c r="AJ608" i="1"/>
  <c r="AJ585" i="1"/>
  <c r="AJ573" i="1"/>
  <c r="AJ649" i="1"/>
  <c r="AJ599" i="1"/>
  <c r="AJ619" i="1"/>
  <c r="AJ584" i="1"/>
  <c r="AJ571" i="1"/>
  <c r="AJ651" i="1"/>
  <c r="AJ598" i="1"/>
  <c r="AJ618" i="1"/>
  <c r="AJ583" i="1"/>
  <c r="AJ656" i="1"/>
  <c r="AJ597" i="1"/>
  <c r="AJ617" i="1"/>
  <c r="AJ582" i="1"/>
  <c r="AJ655" i="1"/>
  <c r="AJ596" i="1"/>
  <c r="AJ616" i="1"/>
  <c r="AJ581" i="1"/>
  <c r="AJ595" i="1"/>
  <c r="AJ615" i="1"/>
  <c r="AJ637" i="1"/>
  <c r="AJ625" i="1"/>
  <c r="AJ636" i="1"/>
  <c r="AJ624" i="1"/>
  <c r="AJ635" i="1"/>
  <c r="AJ623" i="1"/>
  <c r="AJ634" i="1"/>
  <c r="AJ658" i="1"/>
  <c r="AJ633" i="1"/>
  <c r="AJ621" i="1"/>
  <c r="AJ657" i="1"/>
  <c r="AJ632" i="1"/>
  <c r="AJ29" i="1"/>
  <c r="AJ631" i="1"/>
  <c r="AJ622" i="1"/>
  <c r="AJ642" i="1"/>
  <c r="AJ630" i="1"/>
  <c r="AJ641" i="1"/>
  <c r="AJ629" i="1"/>
  <c r="AJ640" i="1"/>
  <c r="AJ628" i="1"/>
  <c r="AJ639" i="1"/>
  <c r="AJ627" i="1"/>
  <c r="AJ638" i="1"/>
  <c r="AJ626" i="1"/>
  <c r="T150" i="1"/>
  <c r="V150" i="1" s="1"/>
  <c r="T278" i="1"/>
  <c r="V278" i="1" s="1"/>
  <c r="T265" i="1"/>
  <c r="V265" i="1" s="1"/>
  <c r="T233" i="1"/>
  <c r="V233" i="1" s="1"/>
  <c r="T217" i="1"/>
  <c r="V217" i="1" s="1"/>
  <c r="T253" i="1"/>
  <c r="V253" i="1" s="1"/>
  <c r="T254" i="1"/>
  <c r="V254" i="1" s="1"/>
  <c r="T191" i="1"/>
  <c r="V191" i="1" s="1"/>
  <c r="T190" i="1"/>
  <c r="V190" i="1" s="1"/>
  <c r="AJ521" i="1"/>
  <c r="AJ517" i="1"/>
  <c r="AJ520" i="1"/>
  <c r="AJ516" i="1"/>
  <c r="AJ519" i="1"/>
  <c r="AJ515" i="1"/>
  <c r="AJ518" i="1"/>
  <c r="AJ532" i="1"/>
  <c r="AJ528" i="1"/>
  <c r="AJ524" i="1"/>
  <c r="AJ513" i="1"/>
  <c r="AJ531" i="1"/>
  <c r="AJ527" i="1"/>
  <c r="AJ523" i="1"/>
  <c r="AJ522" i="1"/>
  <c r="AJ530" i="1"/>
  <c r="AJ526" i="1"/>
  <c r="AJ529" i="1"/>
  <c r="AJ525" i="1"/>
  <c r="AJ514" i="1"/>
  <c r="AJ431" i="1"/>
  <c r="AJ423" i="1"/>
  <c r="AJ424" i="1"/>
  <c r="AJ587" i="1"/>
  <c r="AJ533" i="1"/>
  <c r="AJ550" i="1"/>
  <c r="AJ544" i="1"/>
  <c r="AJ549" i="1"/>
  <c r="AJ542" i="1"/>
  <c r="AJ552" i="1"/>
  <c r="AJ551" i="1"/>
  <c r="AJ456" i="1"/>
  <c r="AJ660" i="1"/>
  <c r="AJ560" i="1"/>
  <c r="AJ659" i="1"/>
  <c r="AJ559" i="1"/>
  <c r="AJ562" i="1"/>
  <c r="AJ561" i="1"/>
  <c r="T221" i="1"/>
  <c r="V221" i="1" s="1"/>
  <c r="T303" i="1"/>
  <c r="V303" i="1" s="1"/>
  <c r="T301" i="1"/>
  <c r="V301" i="1" s="1"/>
  <c r="T295" i="1"/>
  <c r="V295" i="1" s="1"/>
  <c r="T271" i="1"/>
  <c r="V271" i="1" s="1"/>
  <c r="T158" i="1"/>
  <c r="V158" i="1" s="1"/>
  <c r="T157" i="1"/>
  <c r="V157" i="1" s="1"/>
  <c r="T156" i="1"/>
  <c r="V156" i="1" s="1"/>
  <c r="T280" i="1"/>
  <c r="V280" i="1" s="1"/>
  <c r="T155" i="1"/>
  <c r="V155" i="1" s="1"/>
  <c r="T162" i="1"/>
  <c r="V162" i="1" s="1"/>
  <c r="T160" i="1"/>
  <c r="V160" i="1" s="1"/>
  <c r="AJ748" i="1"/>
  <c r="AJ676" i="1"/>
  <c r="AJ672" i="1"/>
  <c r="AJ668" i="1"/>
  <c r="AJ664" i="1"/>
  <c r="AJ35" i="1"/>
  <c r="AJ31" i="1"/>
  <c r="AJ449" i="1"/>
  <c r="AJ228" i="1"/>
  <c r="AJ747" i="1"/>
  <c r="AJ675" i="1"/>
  <c r="AJ671" i="1"/>
  <c r="AJ667" i="1"/>
  <c r="AJ663" i="1"/>
  <c r="AJ34" i="1"/>
  <c r="AJ30" i="1"/>
  <c r="AJ455" i="1"/>
  <c r="AJ446" i="1"/>
  <c r="AJ229" i="1"/>
  <c r="AJ746" i="1"/>
  <c r="AJ674" i="1"/>
  <c r="AJ670" i="1"/>
  <c r="AJ666" i="1"/>
  <c r="AJ662" i="1"/>
  <c r="AJ32" i="1"/>
  <c r="AJ452" i="1"/>
  <c r="AJ745" i="1"/>
  <c r="AJ661" i="1"/>
  <c r="AJ673" i="1"/>
  <c r="AJ33" i="1"/>
  <c r="AJ339" i="1"/>
  <c r="AJ669" i="1"/>
  <c r="AJ450" i="1"/>
  <c r="AJ665" i="1"/>
  <c r="T220" i="1"/>
  <c r="V220" i="1" s="1"/>
  <c r="T238" i="1"/>
  <c r="V238" i="1" s="1"/>
  <c r="T292" i="1"/>
  <c r="V292" i="1" s="1"/>
  <c r="T205" i="1"/>
  <c r="V205" i="1" s="1"/>
  <c r="T207" i="1"/>
  <c r="V207" i="1" s="1"/>
  <c r="T203" i="1"/>
  <c r="V203" i="1" s="1"/>
  <c r="T298" i="1"/>
  <c r="V298" i="1" s="1"/>
  <c r="T289" i="1"/>
  <c r="V289" i="1" s="1"/>
  <c r="T305" i="1"/>
  <c r="V305" i="1" s="1"/>
  <c r="T308" i="1"/>
  <c r="V308" i="1" s="1"/>
  <c r="T290" i="1"/>
  <c r="V290" i="1" s="1"/>
  <c r="T286" i="1"/>
  <c r="V286" i="1" s="1"/>
  <c r="T302" i="1"/>
  <c r="V302" i="1" s="1"/>
  <c r="T299" i="1"/>
  <c r="V299" i="1" s="1"/>
  <c r="T293" i="1"/>
  <c r="V293" i="1" s="1"/>
  <c r="T294" i="1"/>
  <c r="V294" i="1" s="1"/>
  <c r="T291" i="1"/>
  <c r="V291" i="1" s="1"/>
  <c r="T306" i="1"/>
  <c r="V306" i="1" s="1"/>
  <c r="T288" i="1"/>
  <c r="V288" i="1" s="1"/>
  <c r="T287" i="1"/>
  <c r="V287" i="1" s="1"/>
  <c r="T300" i="1"/>
  <c r="V300" i="1" s="1"/>
  <c r="T307" i="1"/>
  <c r="V307" i="1" s="1"/>
  <c r="T304" i="1"/>
  <c r="V304" i="1" s="1"/>
  <c r="T262" i="1"/>
  <c r="V262" i="1" s="1"/>
  <c r="T167" i="1"/>
  <c r="V167" i="1" s="1"/>
  <c r="T168" i="1"/>
  <c r="V168" i="1" s="1"/>
  <c r="T189" i="1"/>
  <c r="V189" i="1" s="1"/>
  <c r="T187" i="1"/>
  <c r="V187" i="1" s="1"/>
  <c r="T259" i="1"/>
  <c r="V259" i="1" s="1"/>
  <c r="T261" i="1"/>
  <c r="V261" i="1" s="1"/>
  <c r="T282" i="1"/>
  <c r="V282" i="1" s="1"/>
  <c r="T283" i="1"/>
  <c r="V283" i="1" s="1"/>
  <c r="T281" i="1"/>
  <c r="V281" i="1" s="1"/>
  <c r="T275" i="1"/>
  <c r="V275" i="1" s="1"/>
  <c r="T276" i="1"/>
  <c r="V276" i="1" s="1"/>
  <c r="T274" i="1"/>
  <c r="V274" i="1" s="1"/>
  <c r="T279" i="1"/>
  <c r="V279" i="1" s="1"/>
  <c r="T277" i="1"/>
  <c r="V277" i="1" s="1"/>
  <c r="T165" i="1"/>
  <c r="V165" i="1" s="1"/>
  <c r="T147" i="1"/>
  <c r="V147" i="1" s="1"/>
  <c r="T180" i="1"/>
  <c r="V180" i="1" s="1"/>
  <c r="T163" i="1"/>
  <c r="V163" i="1" s="1"/>
  <c r="T184" i="1"/>
  <c r="V184" i="1" s="1"/>
  <c r="T181" i="1"/>
  <c r="V181" i="1" s="1"/>
  <c r="T164" i="1"/>
  <c r="V164" i="1" s="1"/>
  <c r="T185" i="1"/>
  <c r="V185" i="1" s="1"/>
  <c r="T186" i="1"/>
  <c r="V186" i="1" s="1"/>
  <c r="T188" i="1"/>
  <c r="V188" i="1" s="1"/>
  <c r="T183" i="1"/>
  <c r="V183" i="1" s="1"/>
  <c r="T166" i="1"/>
  <c r="V166" i="1" s="1"/>
  <c r="S55" i="1"/>
  <c r="S68" i="1"/>
  <c r="S89" i="1"/>
  <c r="T179" i="1"/>
  <c r="V179" i="1" s="1"/>
  <c r="S36" i="1"/>
  <c r="S78" i="1"/>
  <c r="S119" i="1"/>
  <c r="T149" i="1"/>
  <c r="V149" i="1" s="1"/>
  <c r="T177" i="1"/>
  <c r="V177" i="1" s="1"/>
  <c r="T175" i="1"/>
  <c r="V175" i="1" s="1"/>
  <c r="T173" i="1"/>
  <c r="V173" i="1" s="1"/>
  <c r="T171" i="1"/>
  <c r="V171" i="1" s="1"/>
  <c r="T161" i="1"/>
  <c r="V161" i="1" s="1"/>
  <c r="T159" i="1"/>
  <c r="V159" i="1" s="1"/>
  <c r="T148" i="1"/>
  <c r="V148" i="1" s="1"/>
  <c r="T170" i="1"/>
  <c r="V170" i="1" s="1"/>
  <c r="T144" i="1"/>
  <c r="V144" i="1" s="1"/>
  <c r="T152" i="1"/>
  <c r="V152" i="1" s="1"/>
  <c r="T178" i="1"/>
  <c r="V178" i="1" s="1"/>
  <c r="T176" i="1"/>
  <c r="V176" i="1" s="1"/>
  <c r="T174" i="1"/>
  <c r="V174" i="1" s="1"/>
  <c r="T172" i="1"/>
  <c r="V172" i="1" s="1"/>
  <c r="T154" i="1"/>
  <c r="V154" i="1" s="1"/>
  <c r="T153" i="1"/>
  <c r="V153" i="1" s="1"/>
  <c r="T169" i="1"/>
  <c r="V169" i="1" s="1"/>
  <c r="T143" i="1"/>
  <c r="V143" i="1" s="1"/>
  <c r="T151" i="1"/>
  <c r="V151" i="1" s="1"/>
  <c r="T229" i="1"/>
  <c r="V229" i="1" s="1"/>
  <c r="T232" i="1"/>
  <c r="V232" i="1" s="1"/>
  <c r="T230" i="1"/>
  <c r="V230" i="1" s="1"/>
  <c r="T228" i="1"/>
  <c r="V228" i="1" s="1"/>
  <c r="T231" i="1"/>
  <c r="V231" i="1" s="1"/>
  <c r="T227" i="1"/>
  <c r="V227" i="1" s="1"/>
  <c r="T234" i="1"/>
  <c r="V234" i="1" s="1"/>
  <c r="T252" i="1"/>
  <c r="V252" i="1" s="1"/>
  <c r="T251" i="1"/>
  <c r="V251" i="1" s="1"/>
  <c r="T250" i="1"/>
  <c r="V250" i="1" s="1"/>
  <c r="T249" i="1"/>
  <c r="V249" i="1" s="1"/>
  <c r="T248" i="1"/>
  <c r="V248" i="1" s="1"/>
  <c r="T247" i="1"/>
  <c r="V247" i="1" s="1"/>
  <c r="T246" i="1"/>
  <c r="V246" i="1" s="1"/>
  <c r="T245" i="1"/>
  <c r="V245" i="1" s="1"/>
  <c r="T244" i="1"/>
  <c r="V244" i="1" s="1"/>
  <c r="T243" i="1"/>
  <c r="V243" i="1" s="1"/>
  <c r="T242" i="1"/>
  <c r="V242" i="1" s="1"/>
  <c r="T241" i="1"/>
  <c r="V241" i="1" s="1"/>
  <c r="T240" i="1"/>
  <c r="V240" i="1" s="1"/>
  <c r="T237" i="1"/>
  <c r="V237" i="1" s="1"/>
  <c r="T239" i="1"/>
  <c r="V239" i="1" s="1"/>
  <c r="T235" i="1"/>
  <c r="V235" i="1" s="1"/>
  <c r="T236" i="1"/>
  <c r="V236" i="1" s="1"/>
  <c r="T256" i="1"/>
  <c r="V256" i="1" s="1"/>
  <c r="T255" i="1"/>
  <c r="V255" i="1" s="1"/>
  <c r="T272" i="1"/>
  <c r="V272" i="1" s="1"/>
  <c r="T270" i="1"/>
  <c r="V270" i="1" s="1"/>
  <c r="T269" i="1"/>
  <c r="V269" i="1" s="1"/>
  <c r="T268" i="1"/>
  <c r="V268" i="1" s="1"/>
  <c r="T267" i="1"/>
  <c r="V267" i="1" s="1"/>
  <c r="T266" i="1"/>
  <c r="V266" i="1" s="1"/>
  <c r="T264" i="1"/>
  <c r="V264" i="1" s="1"/>
  <c r="T263" i="1"/>
  <c r="V263" i="1" s="1"/>
  <c r="T260" i="1"/>
  <c r="V260" i="1" s="1"/>
  <c r="T258" i="1"/>
  <c r="V258" i="1" s="1"/>
  <c r="T257" i="1"/>
  <c r="V257" i="1" s="1"/>
  <c r="T273" i="1"/>
  <c r="V273" i="1" s="1"/>
  <c r="T200" i="1"/>
  <c r="V200" i="1" s="1"/>
  <c r="T218" i="1"/>
  <c r="V218" i="1" s="1"/>
  <c r="T202" i="1"/>
  <c r="V202" i="1" s="1"/>
  <c r="T206" i="1"/>
  <c r="V206" i="1" s="1"/>
  <c r="T201" i="1"/>
  <c r="V201" i="1" s="1"/>
  <c r="T204" i="1"/>
  <c r="V204" i="1" s="1"/>
  <c r="T197" i="1"/>
  <c r="V197" i="1" s="1"/>
  <c r="T198" i="1"/>
  <c r="V198" i="1" s="1"/>
  <c r="T196" i="1"/>
  <c r="V196" i="1" s="1"/>
  <c r="T195" i="1"/>
  <c r="V195" i="1" s="1"/>
  <c r="T194" i="1"/>
  <c r="V194" i="1" s="1"/>
  <c r="T223" i="1"/>
  <c r="V223" i="1" s="1"/>
  <c r="T212" i="1"/>
  <c r="V212" i="1" s="1"/>
  <c r="T208" i="1"/>
  <c r="V208" i="1" s="1"/>
  <c r="T213" i="1"/>
  <c r="V213" i="1" s="1"/>
  <c r="T209" i="1"/>
  <c r="V209" i="1" s="1"/>
  <c r="T210" i="1"/>
  <c r="V210" i="1" s="1"/>
  <c r="T192" i="1"/>
  <c r="V192" i="1" s="1"/>
  <c r="T193" i="1"/>
  <c r="V193" i="1" s="1"/>
  <c r="T214" i="1"/>
  <c r="V214" i="1" s="1"/>
  <c r="T215" i="1"/>
  <c r="V215" i="1" s="1"/>
  <c r="T216" i="1"/>
  <c r="V216" i="1" s="1"/>
  <c r="T222" i="1"/>
  <c r="V222" i="1" s="1"/>
  <c r="T226" i="1"/>
  <c r="V226" i="1" s="1"/>
  <c r="T224" i="1"/>
  <c r="V224" i="1" s="1"/>
  <c r="T211" i="1"/>
  <c r="V211" i="1" s="1"/>
  <c r="T199" i="1"/>
  <c r="V199" i="1" s="1"/>
  <c r="T225" i="1"/>
  <c r="V225" i="1" s="1"/>
  <c r="T219" i="1"/>
  <c r="V219" i="1" s="1"/>
  <c r="T111" i="1" l="1"/>
  <c r="V111" i="1" s="1"/>
  <c r="T50" i="1"/>
  <c r="V50" i="1" s="1"/>
  <c r="T104" i="1"/>
  <c r="V104" i="1" s="1"/>
  <c r="T97" i="1"/>
  <c r="V97" i="1" s="1"/>
  <c r="T95" i="1"/>
  <c r="V95" i="1" s="1"/>
  <c r="T98" i="1"/>
  <c r="V98" i="1" s="1"/>
  <c r="T141" i="1"/>
  <c r="V141" i="1" s="1"/>
  <c r="T140" i="1"/>
  <c r="V140" i="1" s="1"/>
  <c r="T107" i="1"/>
  <c r="V107" i="1" s="1"/>
  <c r="T125" i="1"/>
  <c r="V125" i="1" s="1"/>
  <c r="T137" i="1"/>
  <c r="V137" i="1" s="1"/>
  <c r="T135" i="1"/>
  <c r="V135" i="1" s="1"/>
  <c r="T122" i="1"/>
  <c r="V122" i="1" s="1"/>
  <c r="T133" i="1"/>
  <c r="V133" i="1" s="1"/>
  <c r="T127" i="1"/>
  <c r="V127" i="1" s="1"/>
  <c r="T139" i="1"/>
  <c r="V139" i="1" s="1"/>
  <c r="T118" i="1"/>
  <c r="V118" i="1" s="1"/>
  <c r="T130" i="1"/>
  <c r="V130" i="1" s="1"/>
  <c r="T121" i="1"/>
  <c r="V121" i="1" s="1"/>
  <c r="T126" i="1"/>
  <c r="V126" i="1" s="1"/>
  <c r="T131" i="1"/>
  <c r="V131" i="1" s="1"/>
  <c r="T102" i="1"/>
  <c r="V102" i="1" s="1"/>
  <c r="T136" i="1"/>
  <c r="V136" i="1" s="1"/>
  <c r="T132" i="1"/>
  <c r="V132" i="1" s="1"/>
  <c r="T128" i="1"/>
  <c r="V128" i="1" s="1"/>
  <c r="T124" i="1"/>
  <c r="V124" i="1" s="1"/>
  <c r="T120" i="1"/>
  <c r="V120" i="1" s="1"/>
  <c r="T138" i="1"/>
  <c r="V138" i="1" s="1"/>
  <c r="T119" i="1"/>
  <c r="V119" i="1" s="1"/>
  <c r="T123" i="1"/>
  <c r="V123" i="1" s="1"/>
  <c r="T129" i="1"/>
  <c r="V129" i="1" s="1"/>
  <c r="T134" i="1"/>
  <c r="V134" i="1" s="1"/>
  <c r="T117" i="1"/>
  <c r="V117" i="1" s="1"/>
  <c r="T106" i="1"/>
  <c r="V106" i="1" s="1"/>
  <c r="T114" i="1"/>
  <c r="V114" i="1" s="1"/>
  <c r="T99" i="1"/>
  <c r="V99" i="1" s="1"/>
  <c r="T116" i="1"/>
  <c r="V116" i="1" s="1"/>
  <c r="T101" i="1"/>
  <c r="V101" i="1" s="1"/>
  <c r="T88" i="1"/>
  <c r="V88" i="1" s="1"/>
  <c r="T91" i="1"/>
  <c r="V91" i="1" s="1"/>
  <c r="T96" i="1"/>
  <c r="V96" i="1" s="1"/>
  <c r="T90" i="1"/>
  <c r="V90" i="1" s="1"/>
  <c r="T110" i="1"/>
  <c r="V110" i="1" s="1"/>
  <c r="T113" i="1"/>
  <c r="V113" i="1" s="1"/>
  <c r="T109" i="1"/>
  <c r="V109" i="1" s="1"/>
  <c r="T142" i="1"/>
  <c r="V142" i="1" s="1"/>
  <c r="T92" i="1"/>
  <c r="V92" i="1" s="1"/>
  <c r="T103" i="1"/>
  <c r="V103" i="1" s="1"/>
  <c r="T93" i="1"/>
  <c r="V93" i="1" s="1"/>
  <c r="T115" i="1"/>
  <c r="V115" i="1" s="1"/>
  <c r="T100" i="1"/>
  <c r="V100" i="1" s="1"/>
  <c r="T108" i="1"/>
  <c r="V108" i="1" s="1"/>
  <c r="T112" i="1"/>
  <c r="V112" i="1" s="1"/>
  <c r="T89" i="1"/>
  <c r="V89" i="1" s="1"/>
  <c r="T94" i="1"/>
  <c r="V94" i="1" s="1"/>
  <c r="T105" i="1"/>
  <c r="V105" i="1" s="1"/>
  <c r="T77" i="1"/>
  <c r="V77" i="1" s="1"/>
  <c r="T75" i="1"/>
  <c r="V75" i="1" s="1"/>
  <c r="T87" i="1"/>
  <c r="V87" i="1" s="1"/>
  <c r="T79" i="1"/>
  <c r="V79" i="1" s="1"/>
  <c r="T78" i="1"/>
  <c r="V78" i="1" s="1"/>
  <c r="T73" i="1"/>
  <c r="V73" i="1" s="1"/>
  <c r="T67" i="1"/>
  <c r="V67" i="1" s="1"/>
  <c r="T66" i="1"/>
  <c r="V66" i="1" s="1"/>
  <c r="T65" i="1"/>
  <c r="V65" i="1" s="1"/>
  <c r="T64" i="1"/>
  <c r="V64" i="1" s="1"/>
  <c r="T63" i="1"/>
  <c r="V63" i="1" s="1"/>
  <c r="T62" i="1"/>
  <c r="V62" i="1" s="1"/>
  <c r="T61" i="1"/>
  <c r="V61" i="1" s="1"/>
  <c r="T60" i="1"/>
  <c r="V60" i="1" s="1"/>
  <c r="T59" i="1"/>
  <c r="V59" i="1" s="1"/>
  <c r="T58" i="1"/>
  <c r="V58" i="1" s="1"/>
  <c r="T57" i="1"/>
  <c r="V57" i="1" s="1"/>
  <c r="T56" i="1"/>
  <c r="V56" i="1" s="1"/>
  <c r="T55" i="1"/>
  <c r="V55" i="1" s="1"/>
  <c r="T76" i="1"/>
  <c r="V76" i="1" s="1"/>
  <c r="T86" i="1"/>
  <c r="V86" i="1" s="1"/>
  <c r="T85" i="1"/>
  <c r="V85" i="1" s="1"/>
  <c r="T84" i="1"/>
  <c r="V84" i="1" s="1"/>
  <c r="T83" i="1"/>
  <c r="V83" i="1" s="1"/>
  <c r="T82" i="1"/>
  <c r="V82" i="1" s="1"/>
  <c r="T80" i="1"/>
  <c r="V80" i="1" s="1"/>
  <c r="T81" i="1"/>
  <c r="V81" i="1" s="1"/>
  <c r="T54" i="1"/>
  <c r="V54" i="1" s="1"/>
  <c r="T53" i="1"/>
  <c r="V53" i="1" s="1"/>
  <c r="T52" i="1"/>
  <c r="V52" i="1" s="1"/>
  <c r="T51" i="1"/>
  <c r="V51" i="1" s="1"/>
  <c r="T49" i="1"/>
  <c r="V49" i="1" s="1"/>
  <c r="T48" i="1"/>
  <c r="V48" i="1" s="1"/>
  <c r="T47" i="1"/>
  <c r="V47" i="1" s="1"/>
  <c r="T46" i="1"/>
  <c r="V46" i="1" s="1"/>
  <c r="T45" i="1"/>
  <c r="V45" i="1" s="1"/>
  <c r="T44" i="1"/>
  <c r="V44" i="1" s="1"/>
  <c r="T43" i="1"/>
  <c r="V43" i="1" s="1"/>
  <c r="T42" i="1"/>
  <c r="V42" i="1" s="1"/>
  <c r="T41" i="1"/>
  <c r="V41" i="1" s="1"/>
  <c r="T40" i="1"/>
  <c r="V40" i="1" s="1"/>
  <c r="T39" i="1"/>
  <c r="V39" i="1" s="1"/>
  <c r="T38" i="1"/>
  <c r="V38" i="1" s="1"/>
  <c r="T37" i="1"/>
  <c r="V37" i="1" s="1"/>
  <c r="T36" i="1"/>
  <c r="V36" i="1" s="1"/>
  <c r="T74" i="1"/>
  <c r="V74" i="1" s="1"/>
  <c r="T71" i="1"/>
  <c r="V71" i="1" s="1"/>
  <c r="T69" i="1"/>
  <c r="V69" i="1" s="1"/>
  <c r="T72" i="1"/>
  <c r="V72" i="1" s="1"/>
  <c r="T70" i="1"/>
  <c r="V70" i="1" s="1"/>
  <c r="T68" i="1"/>
  <c r="V68" i="1" s="1"/>
  <c r="X603" i="1" l="1"/>
  <c r="Y603" i="1" s="1"/>
  <c r="X587" i="1"/>
  <c r="Y587" i="1" s="1"/>
  <c r="Z587" i="1" s="1"/>
  <c r="X602" i="1"/>
  <c r="Y602" i="1" s="1"/>
  <c r="X515" i="1" l="1"/>
  <c r="Y515" i="1" s="1"/>
  <c r="Z515" i="1" s="1"/>
  <c r="X490" i="1" l="1"/>
  <c r="Y490" i="1" s="1"/>
  <c r="X491" i="1"/>
  <c r="Y491" i="1" s="1"/>
  <c r="X492" i="1"/>
  <c r="Y492" i="1" s="1"/>
  <c r="X493" i="1"/>
  <c r="Y493" i="1" s="1"/>
  <c r="X310" i="1" l="1"/>
  <c r="Y310" i="1" s="1"/>
  <c r="X249" i="1"/>
  <c r="Y249" i="1" s="1"/>
  <c r="X246" i="1"/>
  <c r="Y246" i="1" s="1"/>
  <c r="X252" i="1"/>
  <c r="Y252" i="1" s="1"/>
  <c r="X251" i="1"/>
  <c r="Y251" i="1" s="1"/>
  <c r="X245" i="1"/>
  <c r="Y245" i="1" s="1"/>
  <c r="X248" i="1"/>
  <c r="Y248" i="1" s="1"/>
  <c r="X311" i="1"/>
  <c r="Y311" i="1" s="1"/>
  <c r="X601" i="1"/>
  <c r="Y601" i="1" s="1"/>
  <c r="X247" i="1"/>
  <c r="Y247" i="1" s="1"/>
  <c r="X655" i="1"/>
  <c r="Y655" i="1" s="1"/>
  <c r="X250" i="1"/>
  <c r="Y250" i="1" s="1"/>
  <c r="X8" i="1"/>
  <c r="Y8" i="1" s="1"/>
  <c r="Z8" i="1" s="1"/>
  <c r="X18" i="1"/>
  <c r="Y18" i="1" s="1"/>
  <c r="X17" i="1"/>
  <c r="Y17" i="1" s="1"/>
  <c r="X16" i="1"/>
  <c r="Y16" i="1" s="1"/>
  <c r="X28" i="1"/>
  <c r="Y28" i="1" s="1"/>
  <c r="Z28" i="1" s="1"/>
  <c r="X29" i="1"/>
  <c r="Y29" i="1" s="1"/>
  <c r="Z29" i="1" s="1"/>
  <c r="X30" i="1"/>
  <c r="Y30" i="1" s="1"/>
  <c r="Z30" i="1" s="1"/>
  <c r="X31" i="1"/>
  <c r="Y31" i="1" s="1"/>
  <c r="Z31" i="1" s="1"/>
  <c r="X32" i="1"/>
  <c r="Y32" i="1" s="1"/>
  <c r="Z32" i="1" s="1"/>
  <c r="X306" i="1"/>
  <c r="Y306" i="1" s="1"/>
  <c r="X230" i="1" l="1"/>
  <c r="Y230" i="1" s="1"/>
  <c r="X194" i="1"/>
  <c r="Y194" i="1" s="1"/>
  <c r="X526" i="1"/>
  <c r="Y526" i="1" s="1"/>
  <c r="X614" i="1"/>
  <c r="Y614" i="1" s="1"/>
  <c r="X559" i="1"/>
  <c r="Y559" i="1" s="1"/>
  <c r="X96" i="1"/>
  <c r="Y96" i="1" s="1"/>
  <c r="X51" i="1"/>
  <c r="Y51" i="1" s="1"/>
  <c r="X50" i="1"/>
  <c r="Y50" i="1" s="1"/>
  <c r="X98" i="1"/>
  <c r="Y98" i="1" s="1"/>
  <c r="X97" i="1"/>
  <c r="Y97" i="1" s="1"/>
  <c r="X138" i="1"/>
  <c r="Y138" i="1" s="1"/>
  <c r="X270" i="1"/>
  <c r="Y270" i="1" s="1"/>
  <c r="X541" i="1"/>
  <c r="Y541" i="1" s="1"/>
  <c r="X538" i="1"/>
  <c r="Y538" i="1" s="1"/>
  <c r="X236" i="1"/>
  <c r="Y236" i="1" s="1"/>
  <c r="X365" i="1"/>
  <c r="Y365" i="1" s="1"/>
  <c r="X473" i="1"/>
  <c r="Y473" i="1" s="1"/>
  <c r="X533" i="1"/>
  <c r="Y533" i="1" s="1"/>
  <c r="X47" i="1"/>
  <c r="Y47" i="1" s="1"/>
  <c r="X328" i="1"/>
  <c r="Y328" i="1" s="1"/>
  <c r="X403" i="1"/>
  <c r="Y403" i="1" s="1"/>
  <c r="X393" i="1"/>
  <c r="Y393" i="1" s="1"/>
  <c r="X340" i="1"/>
  <c r="Y340" i="1" s="1"/>
  <c r="X214" i="1"/>
  <c r="Y214" i="1" s="1"/>
  <c r="X79" i="1"/>
  <c r="Y79" i="1" s="1"/>
  <c r="X78" i="1"/>
  <c r="Y78" i="1" s="1"/>
  <c r="X525" i="1"/>
  <c r="Y525" i="1" s="1"/>
  <c r="X503" i="1"/>
  <c r="Y503" i="1" s="1"/>
  <c r="X268" i="1"/>
  <c r="Y268" i="1" s="1"/>
  <c r="X70" i="1"/>
  <c r="Y70" i="1" s="1"/>
  <c r="X125" i="1"/>
  <c r="Y125" i="1" s="1"/>
  <c r="X496" i="1"/>
  <c r="Y496" i="1" s="1"/>
  <c r="X93" i="1"/>
  <c r="Y93" i="1" s="1"/>
  <c r="X524" i="1"/>
  <c r="Y524" i="1" s="1"/>
  <c r="X124" i="1"/>
  <c r="Y124" i="1" s="1"/>
  <c r="X134" i="1"/>
  <c r="Y134" i="1" s="1"/>
  <c r="X84" i="1"/>
  <c r="Y84" i="1" s="1"/>
  <c r="X612" i="1"/>
  <c r="Y612" i="1" s="1"/>
  <c r="X604" i="1"/>
  <c r="Y604" i="1" s="1"/>
  <c r="X321" i="1"/>
  <c r="Y321" i="1" s="1"/>
  <c r="X623" i="1"/>
  <c r="Y623" i="1" s="1"/>
  <c r="X579" i="1"/>
  <c r="Y579" i="1" s="1"/>
  <c r="X375" i="1"/>
  <c r="Y375" i="1" s="1"/>
  <c r="X325" i="1"/>
  <c r="Y325" i="1" s="1"/>
  <c r="X323" i="1"/>
  <c r="Y323" i="1" s="1"/>
  <c r="X324" i="1"/>
  <c r="Y324" i="1" s="1"/>
  <c r="X376" i="1"/>
  <c r="Y376" i="1" s="1"/>
  <c r="X631" i="1"/>
  <c r="Y631" i="1" s="1"/>
  <c r="X242" i="1"/>
  <c r="Y242" i="1" s="1"/>
  <c r="X641" i="1"/>
  <c r="Y641" i="1" s="1"/>
  <c r="X334" i="1"/>
  <c r="Y334" i="1" s="1"/>
  <c r="X282" i="1"/>
  <c r="Y282" i="1" s="1"/>
  <c r="X333" i="1"/>
  <c r="Y333" i="1" s="1"/>
  <c r="X167" i="1"/>
  <c r="Y167" i="1" s="1"/>
  <c r="X143" i="1"/>
  <c r="Y143" i="1" s="1"/>
  <c r="X650" i="1"/>
  <c r="Y650" i="1" s="1"/>
  <c r="X475" i="1"/>
  <c r="Y475" i="1" s="1"/>
  <c r="X185" i="1"/>
  <c r="Y185" i="1" s="1"/>
  <c r="X160" i="1"/>
  <c r="Y160" i="1" s="1"/>
  <c r="X153" i="1"/>
  <c r="Y153" i="1" s="1"/>
  <c r="X487" i="1"/>
  <c r="Y487" i="1" s="1"/>
  <c r="X378" i="1"/>
  <c r="Y378" i="1" s="1"/>
  <c r="X588" i="1"/>
  <c r="Y588" i="1" s="1"/>
  <c r="Z588" i="1" s="1"/>
  <c r="X463" i="1"/>
  <c r="Y463" i="1" s="1"/>
  <c r="X438" i="1"/>
  <c r="Y438" i="1" s="1"/>
  <c r="X459" i="1"/>
  <c r="Y459" i="1" s="1"/>
  <c r="X447" i="1"/>
  <c r="Y447" i="1" s="1"/>
  <c r="X445" i="1"/>
  <c r="Y445" i="1" s="1"/>
  <c r="X446" i="1"/>
  <c r="Y446" i="1" s="1"/>
  <c r="X9" i="1"/>
  <c r="Y9" i="1" s="1"/>
  <c r="X13" i="1"/>
  <c r="Y13" i="1" s="1"/>
  <c r="X12" i="1"/>
  <c r="Y12" i="1" s="1"/>
  <c r="X19" i="1"/>
  <c r="Y19" i="1" s="1"/>
  <c r="X344" i="1"/>
  <c r="Y344" i="1" s="1"/>
  <c r="X346" i="1"/>
  <c r="Y346" i="1" s="1"/>
  <c r="X558" i="1"/>
  <c r="Y558" i="1" s="1"/>
  <c r="X556" i="1"/>
  <c r="Y556" i="1" s="1"/>
  <c r="X318" i="1"/>
  <c r="Y318" i="1" s="1"/>
  <c r="X399" i="1"/>
  <c r="Y399" i="1" s="1"/>
  <c r="X260" i="1"/>
  <c r="Y260" i="1" s="1"/>
  <c r="X259" i="1"/>
  <c r="Y259" i="1" s="1"/>
  <c r="X198" i="1"/>
  <c r="Y198" i="1" s="1"/>
  <c r="X560" i="1"/>
  <c r="Y560" i="1" s="1"/>
  <c r="X258" i="1"/>
  <c r="Y258" i="1" s="1"/>
  <c r="X60" i="1"/>
  <c r="Y60" i="1" s="1"/>
  <c r="X123" i="1"/>
  <c r="Y123" i="1" s="1"/>
  <c r="X95" i="1"/>
  <c r="Y95" i="1" s="1"/>
  <c r="X94" i="1"/>
  <c r="Y94" i="1" s="1"/>
  <c r="X616" i="1"/>
  <c r="Y616" i="1" s="1"/>
  <c r="X593" i="1"/>
  <c r="Y593" i="1" s="1"/>
  <c r="X210" i="1"/>
  <c r="Y210" i="1" s="1"/>
  <c r="X647" i="1"/>
  <c r="Y647" i="1" s="1"/>
  <c r="X192" i="1"/>
  <c r="Y192" i="1" s="1"/>
  <c r="X41" i="1"/>
  <c r="Y41" i="1" s="1"/>
  <c r="X289" i="1"/>
  <c r="Y289" i="1" s="1"/>
  <c r="X552" i="1"/>
  <c r="Y552" i="1" s="1"/>
  <c r="X421" i="1"/>
  <c r="Y421" i="1" s="1"/>
  <c r="X419" i="1"/>
  <c r="Y419" i="1" s="1"/>
  <c r="X638" i="1"/>
  <c r="Y638" i="1" s="1"/>
  <c r="X320" i="1"/>
  <c r="Y320" i="1" s="1"/>
  <c r="X596" i="1"/>
  <c r="Y596" i="1" s="1"/>
  <c r="X390" i="1"/>
  <c r="Y390" i="1" s="1"/>
  <c r="X341" i="1"/>
  <c r="Y341" i="1" s="1"/>
  <c r="X139" i="1"/>
  <c r="Y139" i="1" s="1"/>
  <c r="X86" i="1"/>
  <c r="Y86" i="1" s="1"/>
  <c r="X291" i="1"/>
  <c r="Y291" i="1" s="1"/>
  <c r="X292" i="1"/>
  <c r="Y292" i="1" s="1"/>
  <c r="X107" i="1"/>
  <c r="Y107" i="1" s="1"/>
  <c r="X58" i="1"/>
  <c r="Y58" i="1" s="1"/>
  <c r="X106" i="1"/>
  <c r="Y106" i="1" s="1"/>
  <c r="X565" i="1"/>
  <c r="Y565" i="1" s="1"/>
  <c r="X622" i="1"/>
  <c r="Y622" i="1" s="1"/>
  <c r="X578" i="1"/>
  <c r="Y578" i="1" s="1"/>
  <c r="X374" i="1"/>
  <c r="Y374" i="1" s="1"/>
  <c r="X576" i="1"/>
  <c r="Y576" i="1" s="1"/>
  <c r="X629" i="1"/>
  <c r="Y629" i="1" s="1"/>
  <c r="X241" i="1"/>
  <c r="Y241" i="1" s="1"/>
  <c r="X382" i="1"/>
  <c r="Y382" i="1" s="1"/>
  <c r="Z382" i="1" s="1"/>
  <c r="X471" i="1"/>
  <c r="Y471" i="1" s="1"/>
  <c r="Z471" i="1" s="1"/>
  <c r="X379" i="1"/>
  <c r="Y379" i="1" s="1"/>
  <c r="X474" i="1"/>
  <c r="Y474" i="1" s="1"/>
  <c r="X634" i="1"/>
  <c r="Y634" i="1" s="1"/>
  <c r="X184" i="1"/>
  <c r="Y184" i="1" s="1"/>
  <c r="X159" i="1"/>
  <c r="Y159" i="1" s="1"/>
  <c r="X486" i="1"/>
  <c r="Y486" i="1" s="1"/>
  <c r="X401" i="1"/>
  <c r="Y401" i="1" s="1"/>
  <c r="X133" i="1"/>
  <c r="Y133" i="1" s="1"/>
  <c r="X200" i="1"/>
  <c r="Y200" i="1" s="1"/>
  <c r="X118" i="1"/>
  <c r="Y118" i="1" s="1"/>
  <c r="X119" i="1"/>
  <c r="Y119" i="1" s="1"/>
  <c r="X66" i="1"/>
  <c r="Y66" i="1" s="1"/>
  <c r="X592" i="1"/>
  <c r="Y592" i="1" s="1"/>
  <c r="X81" i="1"/>
  <c r="Y81" i="1" s="1"/>
  <c r="X80" i="1"/>
  <c r="Y80" i="1" s="1"/>
  <c r="X215" i="1"/>
  <c r="Y215" i="1" s="1"/>
  <c r="X231" i="1"/>
  <c r="Y231" i="1" s="1"/>
  <c r="X428" i="1"/>
  <c r="Y428" i="1" s="1"/>
  <c r="Z428" i="1" s="1"/>
  <c r="X523" i="1"/>
  <c r="Y523" i="1" s="1"/>
  <c r="X417" i="1"/>
  <c r="Y417" i="1" s="1"/>
  <c r="X416" i="1"/>
  <c r="Y416" i="1" s="1"/>
  <c r="X564" i="1"/>
  <c r="Y564" i="1" s="1"/>
  <c r="X621" i="1"/>
  <c r="Y621" i="1" s="1"/>
  <c r="X408" i="1"/>
  <c r="Y408" i="1" s="1"/>
  <c r="X406" i="1"/>
  <c r="Y406" i="1" s="1"/>
  <c r="X405" i="1"/>
  <c r="Y405" i="1" s="1"/>
  <c r="X585" i="1"/>
  <c r="Y585" i="1" s="1"/>
  <c r="X584" i="1"/>
  <c r="Y584" i="1" s="1"/>
  <c r="X458" i="1"/>
  <c r="Y458" i="1" s="1"/>
  <c r="X183" i="1"/>
  <c r="Y183" i="1" s="1"/>
  <c r="X178" i="1"/>
  <c r="Y178" i="1" s="1"/>
  <c r="X222" i="1"/>
  <c r="Y222" i="1" s="1"/>
  <c r="X485" i="1"/>
  <c r="Y485" i="1" s="1"/>
  <c r="X437" i="1"/>
  <c r="Y437" i="1" s="1"/>
  <c r="X460" i="1"/>
  <c r="Y460" i="1" s="1"/>
  <c r="X456" i="1"/>
  <c r="Y456" i="1" s="1"/>
  <c r="X429" i="1"/>
  <c r="Y429" i="1" s="1"/>
  <c r="X431" i="1"/>
  <c r="Y431" i="1" s="1"/>
  <c r="X10" i="1"/>
  <c r="Y10" i="1" s="1"/>
  <c r="X14" i="1"/>
  <c r="Y14" i="1" s="1"/>
  <c r="X483" i="1"/>
  <c r="Y483" i="1" s="1"/>
  <c r="X628" i="1"/>
  <c r="Y628" i="1" s="1"/>
  <c r="X343" i="1"/>
  <c r="Y343" i="1" s="1"/>
  <c r="X345" i="1"/>
  <c r="Y345" i="1" s="1"/>
  <c r="X660" i="1"/>
  <c r="Y660" i="1" s="1"/>
  <c r="X521" i="1"/>
  <c r="Y521" i="1" s="1"/>
  <c r="X223" i="1"/>
  <c r="Y223" i="1" s="1"/>
  <c r="X358" i="1"/>
  <c r="Y358" i="1" s="1"/>
  <c r="X400" i="1"/>
  <c r="Y400" i="1" s="1"/>
  <c r="X297" i="1"/>
  <c r="Y297" i="1" s="1"/>
  <c r="X193" i="1"/>
  <c r="Y193" i="1" s="1"/>
  <c r="X48" i="1"/>
  <c r="Y48" i="1" s="1"/>
  <c r="X308" i="1"/>
  <c r="Y308" i="1" s="1"/>
  <c r="X543" i="1"/>
  <c r="Y543" i="1" s="1"/>
  <c r="X554" i="1"/>
  <c r="Y554" i="1" s="1"/>
  <c r="X316" i="1"/>
  <c r="Y316" i="1" s="1"/>
  <c r="X404" i="1"/>
  <c r="Y404" i="1" s="1"/>
  <c r="X195" i="1"/>
  <c r="Y195" i="1" s="1"/>
  <c r="X396" i="1"/>
  <c r="Y396" i="1" s="1"/>
  <c r="X395" i="1"/>
  <c r="Y395" i="1" s="1"/>
  <c r="X239" i="1"/>
  <c r="Y239" i="1" s="1"/>
  <c r="X531" i="1"/>
  <c r="Y531" i="1" s="1"/>
  <c r="X44" i="1"/>
  <c r="Y44" i="1" s="1"/>
  <c r="X505" i="1"/>
  <c r="Y505" i="1" s="1"/>
  <c r="X304" i="1"/>
  <c r="Y304" i="1" s="1"/>
  <c r="X130" i="1"/>
  <c r="Y130" i="1" s="1"/>
  <c r="X527" i="1"/>
  <c r="Y527" i="1" s="1"/>
  <c r="X71" i="1"/>
  <c r="Y71" i="1" s="1"/>
  <c r="X228" i="1"/>
  <c r="Y228" i="1" s="1"/>
  <c r="X610" i="1"/>
  <c r="Y610" i="1" s="1"/>
  <c r="X528" i="1"/>
  <c r="Y528" i="1" s="1"/>
  <c r="X348" i="1"/>
  <c r="Y348" i="1" s="1"/>
  <c r="X269" i="1"/>
  <c r="Y269" i="1" s="1"/>
  <c r="X299" i="1"/>
  <c r="Y299" i="1" s="1"/>
  <c r="X53" i="1"/>
  <c r="Y53" i="1" s="1"/>
  <c r="X352" i="1"/>
  <c r="Y352" i="1" s="1"/>
  <c r="X322" i="1"/>
  <c r="Y322" i="1" s="1"/>
  <c r="X387" i="1"/>
  <c r="Y387" i="1" s="1"/>
  <c r="X620" i="1"/>
  <c r="Y620" i="1" s="1"/>
  <c r="X407" i="1"/>
  <c r="Y407" i="1" s="1"/>
  <c r="X630" i="1"/>
  <c r="Y630" i="1" s="1"/>
  <c r="X457" i="1"/>
  <c r="Y457" i="1" s="1"/>
  <c r="X182" i="1"/>
  <c r="Y182" i="1" s="1"/>
  <c r="X147" i="1"/>
  <c r="Y147" i="1" s="1"/>
  <c r="X177" i="1"/>
  <c r="Y177" i="1" s="1"/>
  <c r="X221" i="1"/>
  <c r="Y221" i="1" s="1"/>
  <c r="X331" i="1"/>
  <c r="Y331" i="1" s="1"/>
  <c r="X555" i="1"/>
  <c r="Y555" i="1" s="1"/>
  <c r="X317" i="1"/>
  <c r="Y317" i="1" s="1"/>
  <c r="X36" i="1"/>
  <c r="Y36" i="1" s="1"/>
  <c r="X286" i="1"/>
  <c r="Y286" i="1" s="1"/>
  <c r="X37" i="1"/>
  <c r="Y37" i="1" s="1"/>
  <c r="X545" i="1"/>
  <c r="Y545" i="1" s="1"/>
  <c r="X115" i="1"/>
  <c r="Y115" i="1" s="1"/>
  <c r="X62" i="1"/>
  <c r="Y62" i="1" s="1"/>
  <c r="X656" i="1"/>
  <c r="Y656" i="1" s="1"/>
  <c r="Z656" i="1" s="1"/>
  <c r="X644" i="1"/>
  <c r="Y644" i="1" s="1"/>
  <c r="X517" i="1"/>
  <c r="Y517" i="1" s="1"/>
  <c r="X213" i="1"/>
  <c r="Y213" i="1" s="1"/>
  <c r="X618" i="1"/>
  <c r="Y618" i="1" s="1"/>
  <c r="X427" i="1"/>
  <c r="Y427" i="1" s="1"/>
  <c r="X426" i="1"/>
  <c r="Y426" i="1" s="1"/>
  <c r="X114" i="1"/>
  <c r="Y114" i="1" s="1"/>
  <c r="X606" i="1"/>
  <c r="Y606" i="1" s="1"/>
  <c r="X217" i="1"/>
  <c r="Y217" i="1" s="1"/>
  <c r="X218" i="1"/>
  <c r="Y218" i="1" s="1"/>
  <c r="X607" i="1"/>
  <c r="Y607" i="1" s="1"/>
  <c r="X548" i="1"/>
  <c r="Y548" i="1" s="1"/>
  <c r="X290" i="1"/>
  <c r="Y290" i="1" s="1"/>
  <c r="X609" i="1"/>
  <c r="Y609" i="1" s="1"/>
  <c r="X497" i="1"/>
  <c r="Y497" i="1" s="1"/>
  <c r="X274" i="1"/>
  <c r="Y274" i="1" s="1"/>
  <c r="X539" i="1"/>
  <c r="Y539" i="1" s="1"/>
  <c r="X536" i="1"/>
  <c r="Y536" i="1" s="1"/>
  <c r="X257" i="1"/>
  <c r="Y257" i="1" s="1"/>
  <c r="X547" i="1"/>
  <c r="Y547" i="1" s="1"/>
  <c r="X312" i="1"/>
  <c r="Y312" i="1" s="1"/>
  <c r="X501" i="1"/>
  <c r="Y501" i="1" s="1"/>
  <c r="X204" i="1"/>
  <c r="Y204" i="1" s="1"/>
  <c r="X205" i="1"/>
  <c r="Y205" i="1" s="1"/>
  <c r="X278" i="1"/>
  <c r="Y278" i="1" s="1"/>
  <c r="X279" i="1"/>
  <c r="Y279" i="1" s="1"/>
  <c r="X508" i="1"/>
  <c r="Y508" i="1" s="1"/>
  <c r="X136" i="1"/>
  <c r="Y136" i="1" s="1"/>
  <c r="X639" i="1"/>
  <c r="Y639" i="1" s="1"/>
  <c r="X386" i="1"/>
  <c r="Y386" i="1" s="1"/>
  <c r="X412" i="1"/>
  <c r="Y412" i="1" s="1"/>
  <c r="X372" i="1"/>
  <c r="Y372" i="1" s="1"/>
  <c r="X158" i="1"/>
  <c r="Y158" i="1" s="1"/>
  <c r="X152" i="1"/>
  <c r="Y152" i="1" s="1"/>
  <c r="X470" i="1"/>
  <c r="Y470" i="1" s="1"/>
  <c r="X383" i="1"/>
  <c r="Y383" i="1" s="1"/>
  <c r="Z383" i="1" s="1"/>
  <c r="X181" i="1"/>
  <c r="Y181" i="1" s="1"/>
  <c r="X176" i="1"/>
  <c r="Y176" i="1" s="1"/>
  <c r="X220" i="1"/>
  <c r="Y220" i="1" s="1"/>
  <c r="X219" i="1"/>
  <c r="Y219" i="1" s="1"/>
  <c r="X27" i="1"/>
  <c r="Y27" i="1" s="1"/>
  <c r="Z27" i="1" s="1"/>
  <c r="X33" i="1"/>
  <c r="Y33" i="1" s="1"/>
  <c r="Z33" i="1" s="1"/>
  <c r="X472" i="1"/>
  <c r="Y472" i="1" s="1"/>
  <c r="X442" i="1"/>
  <c r="Y442" i="1" s="1"/>
  <c r="X436" i="1"/>
  <c r="Y436" i="1" s="1"/>
  <c r="X461" i="1"/>
  <c r="Y461" i="1" s="1"/>
  <c r="X455" i="1"/>
  <c r="Y455" i="1" s="1"/>
  <c r="X418" i="1"/>
  <c r="Y418" i="1" s="1"/>
  <c r="Z418" i="1" s="1"/>
  <c r="X11" i="1"/>
  <c r="Y11" i="1" s="1"/>
  <c r="X15" i="1"/>
  <c r="Y15" i="1" s="1"/>
  <c r="X482" i="1"/>
  <c r="Y482" i="1" s="1"/>
  <c r="X657" i="1"/>
  <c r="Y657" i="1" s="1"/>
  <c r="X235" i="1"/>
  <c r="Y235" i="1" s="1"/>
  <c r="X512" i="1"/>
  <c r="Y512" i="1" s="1"/>
  <c r="X329" i="1"/>
  <c r="Y329" i="1" s="1"/>
  <c r="X63" i="1"/>
  <c r="Y63" i="1" s="1"/>
  <c r="X116" i="1"/>
  <c r="Y116" i="1" s="1"/>
  <c r="X398" i="1"/>
  <c r="Y398" i="1" s="1"/>
  <c r="X111" i="1"/>
  <c r="Y111" i="1" s="1"/>
  <c r="X112" i="1"/>
  <c r="Y112" i="1" s="1"/>
  <c r="X377" i="1"/>
  <c r="Y377" i="1" s="1"/>
  <c r="X415" i="1"/>
  <c r="Y415" i="1" s="1"/>
  <c r="Z415" i="1" s="1"/>
  <c r="X339" i="1"/>
  <c r="Y339" i="1" s="1"/>
  <c r="X85" i="1"/>
  <c r="Y85" i="1" s="1"/>
  <c r="X137" i="1"/>
  <c r="Y137" i="1" s="1"/>
  <c r="X357" i="1"/>
  <c r="Y357" i="1" s="1"/>
  <c r="X562" i="1"/>
  <c r="Y562" i="1" s="1"/>
  <c r="X534" i="1"/>
  <c r="Y534" i="1" s="1"/>
  <c r="X594" i="1"/>
  <c r="Y594" i="1" s="1"/>
  <c r="X295" i="1"/>
  <c r="Y295" i="1" s="1"/>
  <c r="X294" i="1"/>
  <c r="Y294" i="1" s="1"/>
  <c r="X39" i="1"/>
  <c r="Y39" i="1" s="1"/>
  <c r="X288" i="1"/>
  <c r="Y288" i="1" s="1"/>
  <c r="X599" i="1"/>
  <c r="Y599" i="1" s="1"/>
  <c r="X67" i="1"/>
  <c r="Y67" i="1" s="1"/>
  <c r="X120" i="1"/>
  <c r="Y120" i="1" s="1"/>
  <c r="X645" i="1"/>
  <c r="Y645" i="1" s="1"/>
  <c r="X105" i="1"/>
  <c r="Y105" i="1" s="1"/>
  <c r="X104" i="1"/>
  <c r="Y104" i="1" s="1"/>
  <c r="X121" i="1"/>
  <c r="Y121" i="1" s="1"/>
  <c r="X504" i="1"/>
  <c r="Y504" i="1" s="1"/>
  <c r="X129" i="1"/>
  <c r="Y129" i="1" s="1"/>
  <c r="X72" i="1"/>
  <c r="Y72" i="1" s="1"/>
  <c r="X108" i="1"/>
  <c r="Y108" i="1" s="1"/>
  <c r="X59" i="1"/>
  <c r="Y59" i="1" s="1"/>
  <c r="X413" i="1"/>
  <c r="Y413" i="1" s="1"/>
  <c r="X356" i="1"/>
  <c r="Y356" i="1" s="1"/>
  <c r="X495" i="1"/>
  <c r="Y495" i="1" s="1"/>
  <c r="X92" i="1"/>
  <c r="Y92" i="1" s="1"/>
  <c r="X208" i="1"/>
  <c r="Y208" i="1" s="1"/>
  <c r="X516" i="1"/>
  <c r="Y516" i="1" s="1"/>
  <c r="X211" i="1"/>
  <c r="Y211" i="1" s="1"/>
  <c r="X199" i="1"/>
  <c r="Y199" i="1" s="1"/>
  <c r="X432" i="1"/>
  <c r="Y432" i="1" s="1"/>
  <c r="Z432" i="1" s="1"/>
  <c r="X571" i="1"/>
  <c r="Y571" i="1" s="1"/>
  <c r="X385" i="1"/>
  <c r="Y385" i="1" s="1"/>
  <c r="X411" i="1"/>
  <c r="Y411" i="1" s="1"/>
  <c r="X150" i="1"/>
  <c r="Y150" i="1" s="1"/>
  <c r="X157" i="1"/>
  <c r="Y157" i="1" s="1"/>
  <c r="X151" i="1"/>
  <c r="Y151" i="1" s="1"/>
  <c r="X651" i="1"/>
  <c r="Y651" i="1" s="1"/>
  <c r="Z651" i="1" s="1"/>
  <c r="X469" i="1"/>
  <c r="Y469" i="1" s="1"/>
  <c r="X146" i="1"/>
  <c r="Y146" i="1" s="1"/>
  <c r="X180" i="1"/>
  <c r="Y180" i="1" s="1"/>
  <c r="X175" i="1"/>
  <c r="Y175" i="1" s="1"/>
  <c r="X87" i="1"/>
  <c r="Y87" i="1" s="1"/>
  <c r="X363" i="1"/>
  <c r="Y363" i="1" s="1"/>
  <c r="X522" i="1"/>
  <c r="Y522" i="1" s="1"/>
  <c r="X271" i="1"/>
  <c r="Y271" i="1" s="1"/>
  <c r="X272" i="1"/>
  <c r="Y272" i="1" s="1"/>
  <c r="X646" i="1"/>
  <c r="Y646" i="1" s="1"/>
  <c r="X113" i="1"/>
  <c r="Y113" i="1" s="1"/>
  <c r="X546" i="1"/>
  <c r="Y546" i="1" s="1"/>
  <c r="X642" i="1"/>
  <c r="Y642" i="1" s="1"/>
  <c r="X64" i="1"/>
  <c r="Y64" i="1" s="1"/>
  <c r="X117" i="1"/>
  <c r="Y117" i="1" s="1"/>
  <c r="X502" i="1"/>
  <c r="Y502" i="1" s="1"/>
  <c r="X207" i="1"/>
  <c r="Y207" i="1" s="1"/>
  <c r="X206" i="1"/>
  <c r="Y206" i="1" s="1"/>
  <c r="X425" i="1"/>
  <c r="Y425" i="1" s="1"/>
  <c r="Z425" i="1" s="1"/>
  <c r="X510" i="1"/>
  <c r="Y510" i="1" s="1"/>
  <c r="X276" i="1"/>
  <c r="Y276" i="1" s="1"/>
  <c r="X532" i="1"/>
  <c r="Y532" i="1" s="1"/>
  <c r="X46" i="1"/>
  <c r="Y46" i="1" s="1"/>
  <c r="X233" i="1"/>
  <c r="Y233" i="1" s="1"/>
  <c r="X234" i="1"/>
  <c r="Y234" i="1" s="1"/>
  <c r="X74" i="1"/>
  <c r="X561" i="1"/>
  <c r="Y561" i="1" s="1"/>
  <c r="X330" i="1"/>
  <c r="Y330" i="1" s="1"/>
  <c r="X298" i="1"/>
  <c r="Y298" i="1" s="1"/>
  <c r="X77" i="1"/>
  <c r="X196" i="1"/>
  <c r="Y196" i="1" s="1"/>
  <c r="X57" i="1"/>
  <c r="Y57" i="1" s="1"/>
  <c r="X597" i="1"/>
  <c r="Y597" i="1" s="1"/>
  <c r="X519" i="1"/>
  <c r="Y519" i="1" s="1"/>
  <c r="X126" i="1"/>
  <c r="Y126" i="1" s="1"/>
  <c r="X265" i="1"/>
  <c r="Y265" i="1" s="1"/>
  <c r="X266" i="1"/>
  <c r="Y266" i="1" s="1"/>
  <c r="X570" i="1"/>
  <c r="Y570" i="1" s="1"/>
  <c r="X384" i="1"/>
  <c r="Y384" i="1" s="1"/>
  <c r="X444" i="1"/>
  <c r="Y444" i="1" s="1"/>
  <c r="X410" i="1"/>
  <c r="Y410" i="1" s="1"/>
  <c r="X575" i="1"/>
  <c r="Y575" i="1" s="1"/>
  <c r="X586" i="1"/>
  <c r="Y586" i="1" s="1"/>
  <c r="X414" i="1"/>
  <c r="Y414" i="1" s="1"/>
  <c r="X149" i="1"/>
  <c r="Y149" i="1" s="1"/>
  <c r="X156" i="1"/>
  <c r="Y156" i="1" s="1"/>
  <c r="X590" i="1"/>
  <c r="Y590" i="1" s="1"/>
  <c r="X652" i="1"/>
  <c r="Y652" i="1" s="1"/>
  <c r="Z652" i="1" s="1"/>
  <c r="X166" i="1"/>
  <c r="Y166" i="1" s="1"/>
  <c r="X174" i="1"/>
  <c r="Y174" i="1" s="1"/>
  <c r="X362" i="1"/>
  <c r="Y362" i="1" s="1"/>
  <c r="X466" i="1"/>
  <c r="Y466" i="1" s="1"/>
  <c r="X441" i="1"/>
  <c r="Y441" i="1" s="1"/>
  <c r="X435" i="1"/>
  <c r="Y435" i="1" s="1"/>
  <c r="X462" i="1"/>
  <c r="Y462" i="1" s="1"/>
  <c r="X453" i="1"/>
  <c r="Y453" i="1" s="1"/>
  <c r="X451" i="1"/>
  <c r="Y451" i="1" s="1"/>
  <c r="X452" i="1"/>
  <c r="Y452" i="1" s="1"/>
  <c r="X424" i="1"/>
  <c r="Y424" i="1" s="1"/>
  <c r="X481" i="1"/>
  <c r="Y481" i="1" s="1"/>
  <c r="X433" i="1"/>
  <c r="Y433" i="1" s="1"/>
  <c r="Z433" i="1" s="1"/>
  <c r="X615" i="1"/>
  <c r="Y615" i="1" s="1"/>
  <c r="X364" i="1"/>
  <c r="Y364" i="1" s="1"/>
  <c r="X75" i="1"/>
  <c r="X76" i="1"/>
  <c r="X613" i="1"/>
  <c r="Y613" i="1" s="1"/>
  <c r="X530" i="1"/>
  <c r="Y530" i="1" s="1"/>
  <c r="X43" i="1"/>
  <c r="Y43" i="1" s="1"/>
  <c r="X52" i="1"/>
  <c r="Y52" i="1" s="1"/>
  <c r="X99" i="1"/>
  <c r="Y99" i="1" s="1"/>
  <c r="X301" i="1"/>
  <c r="Y301" i="1" s="1"/>
  <c r="X300" i="1"/>
  <c r="Y300" i="1" s="1"/>
  <c r="X285" i="1"/>
  <c r="Y285" i="1" s="1"/>
  <c r="Z285" i="1" s="1"/>
  <c r="X240" i="1"/>
  <c r="Y240" i="1" s="1"/>
  <c r="X544" i="1"/>
  <c r="Y544" i="1" s="1"/>
  <c r="X350" i="1"/>
  <c r="Y350" i="1" s="1"/>
  <c r="X267" i="1"/>
  <c r="Y267" i="1" s="1"/>
  <c r="X122" i="1"/>
  <c r="Y122" i="1" s="1"/>
  <c r="X506" i="1"/>
  <c r="Y506" i="1" s="1"/>
  <c r="X73" i="1"/>
  <c r="Y73" i="1" s="1"/>
  <c r="X131" i="1"/>
  <c r="Y131" i="1" s="1"/>
  <c r="X56" i="1"/>
  <c r="Y56" i="1" s="1"/>
  <c r="X103" i="1"/>
  <c r="Y103" i="1" s="1"/>
  <c r="X55" i="1"/>
  <c r="Y55" i="1" s="1"/>
  <c r="X500" i="1"/>
  <c r="Y500" i="1" s="1"/>
  <c r="X202" i="1"/>
  <c r="Y202" i="1" s="1"/>
  <c r="X203" i="1"/>
  <c r="Y203" i="1" s="1"/>
  <c r="X653" i="1"/>
  <c r="Y653" i="1" s="1"/>
  <c r="X569" i="1"/>
  <c r="Y569" i="1" s="1"/>
  <c r="X388" i="1"/>
  <c r="Y388" i="1" s="1"/>
  <c r="X409" i="1"/>
  <c r="Y409" i="1" s="1"/>
  <c r="X254" i="1"/>
  <c r="Y254" i="1" s="1"/>
  <c r="X244" i="1"/>
  <c r="Y244" i="1" s="1"/>
  <c r="X572" i="1"/>
  <c r="Y572" i="1" s="1"/>
  <c r="X573" i="1"/>
  <c r="Y573" i="1" s="1"/>
  <c r="X170" i="1"/>
  <c r="Y170" i="1" s="1"/>
  <c r="X589" i="1"/>
  <c r="Y589" i="1" s="1"/>
  <c r="X637" i="1"/>
  <c r="Y637" i="1" s="1"/>
  <c r="X189" i="1"/>
  <c r="Y189" i="1" s="1"/>
  <c r="X165" i="1"/>
  <c r="Y165" i="1" s="1"/>
  <c r="X191" i="1"/>
  <c r="Y191" i="1" s="1"/>
  <c r="X173" i="1"/>
  <c r="Y173" i="1" s="1"/>
  <c r="X351" i="1"/>
  <c r="Y351" i="1" s="1"/>
  <c r="X354" i="1"/>
  <c r="Y354" i="1" s="1"/>
  <c r="X140" i="1"/>
  <c r="Y140" i="1" s="1"/>
  <c r="X141" i="1"/>
  <c r="Y141" i="1" s="1"/>
  <c r="X142" i="1"/>
  <c r="Y142" i="1" s="1"/>
  <c r="X361" i="1"/>
  <c r="Y361" i="1" s="1"/>
  <c r="X303" i="1"/>
  <c r="Y303" i="1" s="1"/>
  <c r="X262" i="1"/>
  <c r="Y262" i="1" s="1"/>
  <c r="X302" i="1"/>
  <c r="Y302" i="1" s="1"/>
  <c r="X261" i="1"/>
  <c r="Y261" i="1" s="1"/>
  <c r="X263" i="1"/>
  <c r="Y263" i="1" s="1"/>
  <c r="X498" i="1"/>
  <c r="Y498" i="1" s="1"/>
  <c r="X100" i="1"/>
  <c r="Y100" i="1" s="1"/>
  <c r="X54" i="1"/>
  <c r="Y54" i="1" s="1"/>
  <c r="X305" i="1"/>
  <c r="Y305" i="1" s="1"/>
  <c r="X264" i="1"/>
  <c r="Y264" i="1" s="1"/>
  <c r="X392" i="1"/>
  <c r="Y392" i="1" s="1"/>
  <c r="X212" i="1"/>
  <c r="Y212" i="1" s="1"/>
  <c r="X65" i="1"/>
  <c r="Y65" i="1" s="1"/>
  <c r="X494" i="1"/>
  <c r="Y494" i="1" s="1"/>
  <c r="X293" i="1"/>
  <c r="Y293" i="1" s="1"/>
  <c r="X568" i="1"/>
  <c r="Y568" i="1" s="1"/>
  <c r="X371" i="1"/>
  <c r="Y371" i="1" s="1"/>
  <c r="X443" i="1"/>
  <c r="Y443" i="1" s="1"/>
  <c r="X583" i="1"/>
  <c r="Y583" i="1" s="1"/>
  <c r="X627" i="1"/>
  <c r="Y627" i="1" s="1"/>
  <c r="X326" i="1"/>
  <c r="Y326" i="1" s="1"/>
  <c r="X373" i="1"/>
  <c r="Y373" i="1" s="1"/>
  <c r="X327" i="1"/>
  <c r="Y327" i="1" s="1"/>
  <c r="X169" i="1"/>
  <c r="Y169" i="1" s="1"/>
  <c r="X337" i="1"/>
  <c r="Y337" i="1" s="1"/>
  <c r="X380" i="1"/>
  <c r="Y380" i="1" s="1"/>
  <c r="X381" i="1"/>
  <c r="Y381" i="1" s="1"/>
  <c r="X188" i="1"/>
  <c r="Y188" i="1" s="1"/>
  <c r="X190" i="1"/>
  <c r="Y190" i="1" s="1"/>
  <c r="X172" i="1"/>
  <c r="Y172" i="1" s="1"/>
  <c r="X226" i="1"/>
  <c r="Y226" i="1" s="1"/>
  <c r="X360" i="1"/>
  <c r="Y360" i="1" s="1"/>
  <c r="X465" i="1"/>
  <c r="Y465" i="1" s="1"/>
  <c r="X440" i="1"/>
  <c r="Y440" i="1" s="1"/>
  <c r="X434" i="1"/>
  <c r="Y434" i="1" s="1"/>
  <c r="Z434" i="1" s="1"/>
  <c r="X467" i="1"/>
  <c r="Y467" i="1" s="1"/>
  <c r="X450" i="1"/>
  <c r="Y450" i="1" s="1"/>
  <c r="X484" i="1"/>
  <c r="Y484" i="1" s="1"/>
  <c r="Z484" i="1" s="1"/>
  <c r="X480" i="1"/>
  <c r="Y480" i="1" s="1"/>
  <c r="X658" i="1"/>
  <c r="Y658" i="1" s="1"/>
  <c r="X619" i="1"/>
  <c r="Y619" i="1" s="1"/>
  <c r="X255" i="1"/>
  <c r="Y255" i="1" s="1"/>
  <c r="X402" i="1"/>
  <c r="Y402" i="1" s="1"/>
  <c r="X608" i="1"/>
  <c r="Y608" i="1" s="1"/>
  <c r="X319" i="1"/>
  <c r="Y319" i="1" s="1"/>
  <c r="X537" i="1"/>
  <c r="Y537" i="1" s="1"/>
  <c r="X540" i="1"/>
  <c r="Y540" i="1" s="1"/>
  <c r="X550" i="1"/>
  <c r="Y550" i="1" s="1"/>
  <c r="X38" i="1"/>
  <c r="Y38" i="1" s="1"/>
  <c r="X287" i="1"/>
  <c r="Y287" i="1" s="1"/>
  <c r="X359" i="1"/>
  <c r="Y359" i="1" s="1"/>
  <c r="Z359" i="1" s="1"/>
  <c r="X101" i="1"/>
  <c r="Y101" i="1" s="1"/>
  <c r="X549" i="1"/>
  <c r="Y549" i="1" s="1"/>
  <c r="X507" i="1"/>
  <c r="Y507" i="1" s="1"/>
  <c r="X135" i="1"/>
  <c r="Y135" i="1" s="1"/>
  <c r="X422" i="1"/>
  <c r="Y422" i="1" s="1"/>
  <c r="X511" i="1"/>
  <c r="Y511" i="1" s="1"/>
  <c r="X277" i="1"/>
  <c r="Y277" i="1" s="1"/>
  <c r="X209" i="1"/>
  <c r="Y209" i="1" s="1"/>
  <c r="X600" i="1"/>
  <c r="Y600" i="1" s="1"/>
  <c r="X551" i="1"/>
  <c r="Y551" i="1" s="1"/>
  <c r="X229" i="1"/>
  <c r="Y229" i="1" s="1"/>
  <c r="X563" i="1"/>
  <c r="Y563" i="1" s="1"/>
  <c r="X423" i="1"/>
  <c r="Y423" i="1" s="1"/>
  <c r="X420" i="1"/>
  <c r="Y420" i="1" s="1"/>
  <c r="X595" i="1"/>
  <c r="Y595" i="1" s="1"/>
  <c r="X389" i="1"/>
  <c r="Y389" i="1" s="1"/>
  <c r="X314" i="1"/>
  <c r="Y314" i="1" s="1"/>
  <c r="X256" i="1"/>
  <c r="Y256" i="1" s="1"/>
  <c r="X567" i="1"/>
  <c r="Y567" i="1" s="1"/>
  <c r="X370" i="1"/>
  <c r="Y370" i="1" s="1"/>
  <c r="X626" i="1"/>
  <c r="Y626" i="1" s="1"/>
  <c r="X582" i="1"/>
  <c r="Y582" i="1" s="1"/>
  <c r="X633" i="1"/>
  <c r="Y633" i="1" s="1"/>
  <c r="X284" i="1"/>
  <c r="Y284" i="1" s="1"/>
  <c r="X179" i="1"/>
  <c r="Y179" i="1" s="1"/>
  <c r="X280" i="1"/>
  <c r="Y280" i="1" s="1"/>
  <c r="X336" i="1"/>
  <c r="Y336" i="1" s="1"/>
  <c r="X281" i="1"/>
  <c r="Y281" i="1" s="1"/>
  <c r="X649" i="1"/>
  <c r="Y649" i="1" s="1"/>
  <c r="X478" i="1"/>
  <c r="Y478" i="1" s="1"/>
  <c r="X187" i="1"/>
  <c r="Y187" i="1" s="1"/>
  <c r="X164" i="1"/>
  <c r="Y164" i="1" s="1"/>
  <c r="X145" i="1"/>
  <c r="Y145" i="1" s="1"/>
  <c r="X171" i="1"/>
  <c r="Y171" i="1" s="1"/>
  <c r="X225" i="1"/>
  <c r="Y225" i="1" s="1"/>
  <c r="X224" i="1"/>
  <c r="Y224" i="1" s="1"/>
  <c r="X654" i="1"/>
  <c r="Y654" i="1" s="1"/>
  <c r="X238" i="1"/>
  <c r="Y238" i="1" s="1"/>
  <c r="X237" i="1"/>
  <c r="Y237" i="1" s="1"/>
  <c r="X367" i="1"/>
  <c r="Y367" i="1" s="1"/>
  <c r="X83" i="1"/>
  <c r="Y83" i="1" s="1"/>
  <c r="X132" i="1"/>
  <c r="Y132" i="1" s="1"/>
  <c r="X313" i="1"/>
  <c r="Y313" i="1" s="1"/>
  <c r="X529" i="1"/>
  <c r="Y529" i="1" s="1"/>
  <c r="X349" i="1"/>
  <c r="Y349" i="1" s="1"/>
  <c r="X42" i="1"/>
  <c r="Y42" i="1" s="1"/>
  <c r="X397" i="1"/>
  <c r="Y397" i="1" s="1"/>
  <c r="X591" i="1"/>
  <c r="Y591" i="1" s="1"/>
  <c r="X82" i="1"/>
  <c r="Y82" i="1" s="1"/>
  <c r="X216" i="1"/>
  <c r="Y216" i="1" s="1"/>
  <c r="X553" i="1"/>
  <c r="Y553" i="1" s="1"/>
  <c r="X315" i="1"/>
  <c r="Y315" i="1" s="1"/>
  <c r="X61" i="1"/>
  <c r="Y61" i="1" s="1"/>
  <c r="X109" i="1"/>
  <c r="Y109" i="1" s="1"/>
  <c r="X499" i="1"/>
  <c r="Y499" i="1" s="1"/>
  <c r="X69" i="1"/>
  <c r="Y69" i="1" s="1"/>
  <c r="X201" i="1"/>
  <c r="Y201" i="1" s="1"/>
  <c r="X68" i="1"/>
  <c r="Y68" i="1" s="1"/>
  <c r="X296" i="1"/>
  <c r="Y296" i="1" s="1"/>
  <c r="X45" i="1"/>
  <c r="Y45" i="1" s="1"/>
  <c r="X307" i="1"/>
  <c r="Y307" i="1" s="1"/>
  <c r="X102" i="1"/>
  <c r="Y102" i="1" s="1"/>
  <c r="X643" i="1"/>
  <c r="Y643" i="1" s="1"/>
  <c r="Z643" i="1" s="1"/>
  <c r="X353" i="1"/>
  <c r="Y353" i="1" s="1"/>
  <c r="X557" i="1"/>
  <c r="Y557" i="1" s="1"/>
  <c r="X232" i="1"/>
  <c r="Y232" i="1" s="1"/>
  <c r="X535" i="1"/>
  <c r="Y535" i="1" s="1"/>
  <c r="X617" i="1"/>
  <c r="Y617" i="1" s="1"/>
  <c r="X369" i="1"/>
  <c r="Y369" i="1" s="1"/>
  <c r="X625" i="1"/>
  <c r="Y625" i="1" s="1"/>
  <c r="X581" i="1"/>
  <c r="Y581" i="1" s="1"/>
  <c r="X577" i="1"/>
  <c r="Y577" i="1" s="1"/>
  <c r="X632" i="1"/>
  <c r="Y632" i="1" s="1"/>
  <c r="X253" i="1"/>
  <c r="Y253" i="1" s="1"/>
  <c r="X243" i="1"/>
  <c r="Y243" i="1" s="1"/>
  <c r="X148" i="1"/>
  <c r="Y148" i="1" s="1"/>
  <c r="X155" i="1"/>
  <c r="Y155" i="1" s="1"/>
  <c r="X514" i="1"/>
  <c r="Y514" i="1" s="1"/>
  <c r="X477" i="1"/>
  <c r="Y477" i="1" s="1"/>
  <c r="X636" i="1"/>
  <c r="Y636" i="1" s="1"/>
  <c r="X163" i="1"/>
  <c r="Y163" i="1" s="1"/>
  <c r="X162" i="1"/>
  <c r="Y162" i="1" s="1"/>
  <c r="X154" i="1"/>
  <c r="Y154" i="1" s="1"/>
  <c r="X489" i="1"/>
  <c r="Y489" i="1" s="1"/>
  <c r="X648" i="1"/>
  <c r="Y648" i="1" s="1"/>
  <c r="Z648" i="1" s="1"/>
  <c r="X464" i="1"/>
  <c r="Y464" i="1" s="1"/>
  <c r="X439" i="1"/>
  <c r="Y439" i="1" s="1"/>
  <c r="X468" i="1"/>
  <c r="Y468" i="1" s="1"/>
  <c r="X449" i="1"/>
  <c r="Y449" i="1" s="1"/>
  <c r="X20" i="1"/>
  <c r="Y20" i="1" s="1"/>
  <c r="Z20" i="1" s="1"/>
  <c r="X479" i="1"/>
  <c r="Y479" i="1" s="1"/>
  <c r="X659" i="1"/>
  <c r="Y659" i="1" s="1"/>
  <c r="X273" i="1"/>
  <c r="X309" i="1"/>
  <c r="Y309" i="1" s="1"/>
  <c r="X520" i="1"/>
  <c r="Y520" i="1" s="1"/>
  <c r="X338" i="1"/>
  <c r="Y338" i="1" s="1"/>
  <c r="X127" i="1"/>
  <c r="Y127" i="1" s="1"/>
  <c r="X518" i="1"/>
  <c r="Y518" i="1" s="1"/>
  <c r="X227" i="1"/>
  <c r="Y227" i="1" s="1"/>
  <c r="X605" i="1"/>
  <c r="Y605" i="1" s="1"/>
  <c r="X342" i="1"/>
  <c r="Y342" i="1" s="1"/>
  <c r="X49" i="1"/>
  <c r="Y49" i="1" s="1"/>
  <c r="X394" i="1"/>
  <c r="Y394" i="1" s="1"/>
  <c r="Z394" i="1" s="1"/>
  <c r="X197" i="1"/>
  <c r="Y197" i="1" s="1"/>
  <c r="X611" i="1"/>
  <c r="Y611" i="1" s="1"/>
  <c r="X347" i="1"/>
  <c r="Y347" i="1" s="1"/>
  <c r="Z347" i="1" s="1"/>
  <c r="X598" i="1"/>
  <c r="Y598" i="1" s="1"/>
  <c r="X128" i="1"/>
  <c r="Y128" i="1" s="1"/>
  <c r="X542" i="1"/>
  <c r="Y542" i="1" s="1"/>
  <c r="X509" i="1"/>
  <c r="Y509" i="1" s="1"/>
  <c r="X275" i="1"/>
  <c r="Y275" i="1" s="1"/>
  <c r="X110" i="1"/>
  <c r="Y110" i="1" s="1"/>
  <c r="X391" i="1"/>
  <c r="Y391" i="1" s="1"/>
  <c r="Z391" i="1" s="1"/>
  <c r="X91" i="1"/>
  <c r="Y91" i="1" s="1"/>
  <c r="X40" i="1"/>
  <c r="Y40" i="1" s="1"/>
  <c r="X90" i="1"/>
  <c r="Y90" i="1" s="1"/>
  <c r="X88" i="1"/>
  <c r="Y88" i="1" s="1"/>
  <c r="X89" i="1"/>
  <c r="Y89" i="1" s="1"/>
  <c r="X366" i="1"/>
  <c r="Y366" i="1" s="1"/>
  <c r="X566" i="1"/>
  <c r="Y566" i="1" s="1"/>
  <c r="X368" i="1"/>
  <c r="Y368" i="1" s="1"/>
  <c r="X574" i="1"/>
  <c r="Y574" i="1" s="1"/>
  <c r="X580" i="1"/>
  <c r="Y580" i="1" s="1"/>
  <c r="X624" i="1"/>
  <c r="Y624" i="1" s="1"/>
  <c r="X335" i="1"/>
  <c r="Y335" i="1" s="1"/>
  <c r="X640" i="1"/>
  <c r="Y640" i="1" s="1"/>
  <c r="X283" i="1"/>
  <c r="Y283" i="1" s="1"/>
  <c r="X144" i="1"/>
  <c r="Y144" i="1" s="1"/>
  <c r="X332" i="1"/>
  <c r="Y332" i="1" s="1"/>
  <c r="X168" i="1"/>
  <c r="Y168" i="1" s="1"/>
  <c r="X513" i="1"/>
  <c r="Y513" i="1" s="1"/>
  <c r="X476" i="1"/>
  <c r="Y476" i="1" s="1"/>
  <c r="X635" i="1"/>
  <c r="Y635" i="1" s="1"/>
  <c r="X186" i="1"/>
  <c r="Y186" i="1" s="1"/>
  <c r="X161" i="1"/>
  <c r="Y161" i="1" s="1"/>
  <c r="X488" i="1"/>
  <c r="Y488" i="1" s="1"/>
  <c r="X355" i="1"/>
  <c r="Y355" i="1" s="1"/>
  <c r="Z355" i="1" s="1"/>
  <c r="Z448" i="1" l="1"/>
  <c r="Z454" i="1"/>
  <c r="Z430" i="1"/>
  <c r="Z514" i="1"/>
  <c r="Z513" i="1"/>
  <c r="Z73" i="1"/>
  <c r="Z53" i="1"/>
  <c r="Z83" i="1"/>
  <c r="Z62" i="1"/>
  <c r="Z75" i="1"/>
  <c r="Z46" i="1"/>
  <c r="Z79" i="1"/>
  <c r="Z58" i="1"/>
  <c r="Z68" i="1"/>
  <c r="Z44" i="1"/>
  <c r="Z60" i="1"/>
  <c r="Z86" i="1"/>
  <c r="Z71" i="1"/>
  <c r="Z78" i="1"/>
  <c r="Z80" i="1"/>
  <c r="Z40" i="1"/>
  <c r="Z52" i="1"/>
  <c r="Z48" i="1"/>
  <c r="Z81" i="1"/>
  <c r="Z65" i="1"/>
  <c r="Z45" i="1"/>
  <c r="Z84" i="1"/>
  <c r="Z55" i="1"/>
  <c r="Z50" i="1"/>
  <c r="Z42" i="1"/>
  <c r="Z74" i="1"/>
  <c r="Z82" i="1"/>
  <c r="Z37" i="1"/>
  <c r="Z41" i="1"/>
  <c r="Z64" i="1"/>
  <c r="Z63" i="1"/>
  <c r="Z49" i="1"/>
  <c r="Z47" i="1"/>
  <c r="Z56" i="1"/>
  <c r="Z72" i="1"/>
  <c r="Z87" i="1"/>
  <c r="Z39" i="1"/>
  <c r="Z66" i="1"/>
  <c r="Z43" i="1"/>
  <c r="Z76" i="1"/>
  <c r="Z38" i="1"/>
  <c r="Z36" i="1"/>
  <c r="Z51" i="1"/>
  <c r="Z61" i="1"/>
  <c r="Z69" i="1"/>
  <c r="Z59" i="1"/>
  <c r="Z54" i="1"/>
  <c r="Z67" i="1"/>
  <c r="Z57" i="1"/>
  <c r="Z77" i="1"/>
  <c r="Z70" i="1"/>
  <c r="Z85" i="1"/>
  <c r="Z426" i="1"/>
  <c r="Z427" i="1"/>
  <c r="Z293" i="1"/>
  <c r="Z303" i="1"/>
  <c r="Z306" i="1"/>
  <c r="Z301" i="1"/>
  <c r="Z308" i="1"/>
  <c r="Z297" i="1"/>
  <c r="Z302" i="1"/>
  <c r="Z296" i="1"/>
  <c r="Z289" i="1"/>
  <c r="Z295" i="1"/>
  <c r="Z288" i="1"/>
  <c r="Z291" i="1"/>
  <c r="Z292" i="1"/>
  <c r="Z286" i="1"/>
  <c r="Z294" i="1"/>
  <c r="Z300" i="1"/>
  <c r="Z304" i="1"/>
  <c r="Z299" i="1"/>
  <c r="Z305" i="1"/>
  <c r="Z287" i="1"/>
  <c r="Z290" i="1"/>
  <c r="Z307" i="1"/>
  <c r="Z298" i="1"/>
  <c r="Z475" i="1"/>
  <c r="Z482" i="1"/>
  <c r="Z480" i="1"/>
  <c r="Z478" i="1"/>
  <c r="Z476" i="1"/>
  <c r="Z474" i="1"/>
  <c r="Z483" i="1"/>
  <c r="Z481" i="1"/>
  <c r="Z479" i="1"/>
  <c r="Z477" i="1"/>
  <c r="Z446" i="1"/>
  <c r="Z456" i="1"/>
  <c r="Z452" i="1"/>
  <c r="Z450" i="1"/>
  <c r="Z447" i="1"/>
  <c r="Z449" i="1"/>
  <c r="Z453" i="1"/>
  <c r="Z451" i="1"/>
  <c r="Z445" i="1"/>
  <c r="Z455" i="1"/>
  <c r="Z320" i="1"/>
  <c r="Z318" i="1"/>
  <c r="Z317" i="1"/>
  <c r="Z315" i="1"/>
  <c r="Z323" i="1"/>
  <c r="Z322" i="1"/>
  <c r="Z319" i="1"/>
  <c r="Z321" i="1"/>
  <c r="Z311" i="1"/>
  <c r="Z312" i="1"/>
  <c r="Z310" i="1"/>
  <c r="Z326" i="1"/>
  <c r="Z324" i="1"/>
  <c r="Z325" i="1"/>
  <c r="Z309" i="1"/>
  <c r="Z314" i="1"/>
  <c r="Z313" i="1"/>
  <c r="Z316" i="1"/>
  <c r="Z327" i="1"/>
  <c r="Z120" i="1"/>
  <c r="Z92" i="1"/>
  <c r="Z111" i="1"/>
  <c r="Z131" i="1"/>
  <c r="Z109" i="1"/>
  <c r="Z138" i="1"/>
  <c r="Z132" i="1"/>
  <c r="Z141" i="1"/>
  <c r="Z123" i="1"/>
  <c r="Z113" i="1"/>
  <c r="Z133" i="1"/>
  <c r="Z105" i="1"/>
  <c r="Z112" i="1"/>
  <c r="Z116" i="1"/>
  <c r="Z108" i="1"/>
  <c r="Z122" i="1"/>
  <c r="Z119" i="1"/>
  <c r="Z117" i="1"/>
  <c r="Z93" i="1"/>
  <c r="Z137" i="1"/>
  <c r="Z96" i="1"/>
  <c r="Z134" i="1"/>
  <c r="Z88" i="1"/>
  <c r="Z127" i="1"/>
  <c r="Z110" i="1"/>
  <c r="Z135" i="1"/>
  <c r="Z106" i="1"/>
  <c r="Z121" i="1"/>
  <c r="Z103" i="1"/>
  <c r="Z94" i="1"/>
  <c r="Z99" i="1"/>
  <c r="Z114" i="1"/>
  <c r="Z140" i="1"/>
  <c r="Z91" i="1"/>
  <c r="Z104" i="1"/>
  <c r="Z97" i="1"/>
  <c r="Z139" i="1"/>
  <c r="Z125" i="1"/>
  <c r="Z95" i="1"/>
  <c r="Z107" i="1"/>
  <c r="Z128" i="1"/>
  <c r="Z102" i="1"/>
  <c r="Z90" i="1"/>
  <c r="Z129" i="1"/>
  <c r="Z98" i="1"/>
  <c r="Z126" i="1"/>
  <c r="Z136" i="1"/>
  <c r="Z130" i="1"/>
  <c r="Z124" i="1"/>
  <c r="Z142" i="1"/>
  <c r="Z89" i="1"/>
  <c r="Z115" i="1"/>
  <c r="Z100" i="1"/>
  <c r="Z118" i="1"/>
  <c r="Z101" i="1"/>
  <c r="Z233" i="1"/>
  <c r="Z231" i="1"/>
  <c r="Z229" i="1"/>
  <c r="Z232" i="1"/>
  <c r="Z230" i="1"/>
  <c r="Z227" i="1"/>
  <c r="Z234" i="1"/>
  <c r="Z591" i="1"/>
  <c r="Z593" i="1"/>
  <c r="Z594" i="1"/>
  <c r="Z592" i="1"/>
  <c r="Z421" i="1"/>
  <c r="Z419" i="1"/>
  <c r="Z420" i="1"/>
  <c r="Z422" i="1"/>
  <c r="Z333" i="1"/>
  <c r="Z335" i="1"/>
  <c r="Z337" i="1"/>
  <c r="Z334" i="1"/>
  <c r="Z336" i="1"/>
  <c r="Z332" i="1"/>
  <c r="Z348" i="1"/>
  <c r="Z353" i="1"/>
  <c r="Z351" i="1"/>
  <c r="Z349" i="1"/>
  <c r="Z350" i="1"/>
  <c r="Z352" i="1"/>
  <c r="Z354" i="1"/>
  <c r="Z413" i="1"/>
  <c r="Z397" i="1"/>
  <c r="Z405" i="1"/>
  <c r="Z398" i="1"/>
  <c r="Z396" i="1"/>
  <c r="Z401" i="1"/>
  <c r="Z395" i="1"/>
  <c r="Z402" i="1"/>
  <c r="Z403" i="1"/>
  <c r="Z399" i="1"/>
  <c r="Z400" i="1"/>
  <c r="Z414" i="1"/>
  <c r="Z407" i="1"/>
  <c r="Z409" i="1"/>
  <c r="Z404" i="1"/>
  <c r="Z411" i="1"/>
  <c r="Z412" i="1"/>
  <c r="Z406" i="1"/>
  <c r="Z408" i="1"/>
  <c r="Z410" i="1"/>
  <c r="Z344" i="1"/>
  <c r="Z346" i="1"/>
  <c r="Z343" i="1"/>
  <c r="Z345" i="1"/>
  <c r="Z460" i="1"/>
  <c r="Z462" i="1"/>
  <c r="Z461" i="1"/>
  <c r="Z379" i="1"/>
  <c r="Z380" i="1"/>
  <c r="Z381" i="1"/>
  <c r="Z459" i="1"/>
  <c r="Z467" i="1"/>
  <c r="Z468" i="1"/>
  <c r="Z499" i="1"/>
  <c r="Z504" i="1"/>
  <c r="Z497" i="1"/>
  <c r="Z498" i="1"/>
  <c r="Z495" i="1"/>
  <c r="Z512" i="1"/>
  <c r="Z511" i="1"/>
  <c r="Z506" i="1"/>
  <c r="Z496" i="1"/>
  <c r="Z509" i="1"/>
  <c r="Z507" i="1"/>
  <c r="Z500" i="1"/>
  <c r="Z494" i="1"/>
  <c r="Z510" i="1"/>
  <c r="Z503" i="1"/>
  <c r="Z505" i="1"/>
  <c r="Z502" i="1"/>
  <c r="Z501" i="1"/>
  <c r="Z508" i="1"/>
  <c r="Z534" i="1"/>
  <c r="Z535" i="1"/>
  <c r="Z531" i="1"/>
  <c r="Z530" i="1"/>
  <c r="Z529" i="1"/>
  <c r="Z532" i="1"/>
  <c r="Z528" i="1"/>
  <c r="Z516" i="1"/>
  <c r="Z517" i="1"/>
  <c r="Z519" i="1"/>
  <c r="Z520" i="1"/>
  <c r="Z521" i="1"/>
  <c r="Z522" i="1"/>
  <c r="Z518" i="1"/>
  <c r="Z536" i="1"/>
  <c r="Z541" i="1"/>
  <c r="Z539" i="1"/>
  <c r="Z537" i="1"/>
  <c r="Z540" i="1"/>
  <c r="Z538" i="1"/>
  <c r="Z438" i="1"/>
  <c r="Z444" i="1"/>
  <c r="Z439" i="1"/>
  <c r="Z436" i="1"/>
  <c r="Z435" i="1"/>
  <c r="Z442" i="1"/>
  <c r="Z443" i="1"/>
  <c r="Z440" i="1"/>
  <c r="Z441" i="1"/>
  <c r="Z437" i="1"/>
  <c r="Z329" i="1"/>
  <c r="Z331" i="1"/>
  <c r="Z330" i="1"/>
  <c r="Z328" i="1"/>
  <c r="Z342" i="1"/>
  <c r="Z341" i="1"/>
  <c r="Z339" i="1"/>
  <c r="Z338" i="1"/>
  <c r="Z340" i="1"/>
  <c r="Z390" i="1"/>
  <c r="Z389" i="1"/>
  <c r="Z589" i="1"/>
  <c r="Z590" i="1"/>
  <c r="Z244" i="1"/>
  <c r="Z236" i="1"/>
  <c r="Z251" i="1"/>
  <c r="Z243" i="1"/>
  <c r="Z252" i="1"/>
  <c r="Z253" i="1"/>
  <c r="Z248" i="1"/>
  <c r="Z254" i="1"/>
  <c r="Z249" i="1"/>
  <c r="Z241" i="1"/>
  <c r="Z239" i="1"/>
  <c r="Z237" i="1"/>
  <c r="Z235" i="1"/>
  <c r="Z238" i="1"/>
  <c r="Z246" i="1"/>
  <c r="Z250" i="1"/>
  <c r="Z242" i="1"/>
  <c r="Z245" i="1"/>
  <c r="Z247" i="1"/>
  <c r="Z240" i="1"/>
  <c r="Z416" i="1"/>
  <c r="Z417" i="1"/>
  <c r="Z265" i="1"/>
  <c r="Z261" i="1"/>
  <c r="Z263" i="1"/>
  <c r="Z269" i="1"/>
  <c r="Z266" i="1"/>
  <c r="Z268" i="1"/>
  <c r="Z256" i="1"/>
  <c r="Z258" i="1"/>
  <c r="Z267" i="1"/>
  <c r="Z264" i="1"/>
  <c r="Z270" i="1"/>
  <c r="Z255" i="1"/>
  <c r="Z271" i="1"/>
  <c r="Z273" i="1"/>
  <c r="Z257" i="1"/>
  <c r="Z272" i="1"/>
  <c r="Z262" i="1"/>
  <c r="Z260" i="1"/>
  <c r="Z259" i="1"/>
  <c r="Z275" i="1"/>
  <c r="Z274" i="1"/>
  <c r="Z279" i="1"/>
  <c r="Z276" i="1"/>
  <c r="Z278" i="1"/>
  <c r="Z277" i="1"/>
  <c r="Z493" i="1"/>
  <c r="Z489" i="1"/>
  <c r="Z485" i="1"/>
  <c r="Z490" i="1"/>
  <c r="Z488" i="1"/>
  <c r="Z486" i="1"/>
  <c r="Z492" i="1"/>
  <c r="Z491" i="1"/>
  <c r="Z487" i="1"/>
  <c r="Z463" i="1"/>
  <c r="Z464" i="1"/>
  <c r="Z466" i="1"/>
  <c r="Z465" i="1"/>
  <c r="Z533" i="1"/>
  <c r="Z599" i="1"/>
  <c r="Z595" i="1"/>
  <c r="Z596" i="1"/>
  <c r="Z597" i="1"/>
  <c r="Z598" i="1"/>
  <c r="Z615" i="1"/>
  <c r="Z637" i="1"/>
  <c r="Z604" i="1"/>
  <c r="Z625" i="1"/>
  <c r="Z636" i="1"/>
  <c r="Z613" i="1"/>
  <c r="Z632" i="1"/>
  <c r="Z628" i="1"/>
  <c r="Z609" i="1"/>
  <c r="Z641" i="1"/>
  <c r="Z616" i="1"/>
  <c r="Z638" i="1"/>
  <c r="Z607" i="1"/>
  <c r="Z639" i="1"/>
  <c r="Z612" i="1"/>
  <c r="Z634" i="1"/>
  <c r="Z605" i="1"/>
  <c r="Z633" i="1"/>
  <c r="Z606" i="1"/>
  <c r="Z620" i="1"/>
  <c r="Z630" i="1"/>
  <c r="Z603" i="1"/>
  <c r="Z627" i="1"/>
  <c r="Z602" i="1"/>
  <c r="Z626" i="1"/>
  <c r="Z601" i="1"/>
  <c r="Z621" i="1"/>
  <c r="Z624" i="1"/>
  <c r="Z622" i="1"/>
  <c r="Z619" i="1"/>
  <c r="Z618" i="1"/>
  <c r="Z600" i="1"/>
  <c r="Z642" i="1"/>
  <c r="Z635" i="1"/>
  <c r="Z614" i="1"/>
  <c r="Z631" i="1"/>
  <c r="Z640" i="1"/>
  <c r="Z629" i="1"/>
  <c r="Z610" i="1"/>
  <c r="Z617" i="1"/>
  <c r="Z623" i="1"/>
  <c r="Z608" i="1"/>
  <c r="Z611" i="1"/>
  <c r="Z388" i="1"/>
  <c r="Z386" i="1"/>
  <c r="Z384" i="1"/>
  <c r="Z387" i="1"/>
  <c r="Z385" i="1"/>
  <c r="Z647" i="1"/>
  <c r="Z646" i="1"/>
  <c r="Z660" i="1"/>
  <c r="Z658" i="1"/>
  <c r="Z657" i="1"/>
  <c r="Z659" i="1"/>
  <c r="Z228" i="1"/>
  <c r="Z644" i="1"/>
  <c r="Z645" i="1"/>
  <c r="Z457" i="1"/>
  <c r="Z458" i="1"/>
  <c r="Z523" i="1"/>
  <c r="Z527" i="1"/>
  <c r="Z524" i="1"/>
  <c r="Z525" i="1"/>
  <c r="Z526" i="1"/>
  <c r="Z654" i="1"/>
  <c r="Z653" i="1"/>
  <c r="Z370" i="1"/>
  <c r="Z371" i="1"/>
  <c r="Z363" i="1"/>
  <c r="Z372" i="1"/>
  <c r="Z373" i="1"/>
  <c r="Z374" i="1"/>
  <c r="Z368" i="1"/>
  <c r="Z376" i="1"/>
  <c r="Z361" i="1"/>
  <c r="Z366" i="1"/>
  <c r="Z360" i="1"/>
  <c r="Z367" i="1"/>
  <c r="Z362" i="1"/>
  <c r="Z378" i="1"/>
  <c r="Z377" i="1"/>
  <c r="Z365" i="1"/>
  <c r="Z375" i="1"/>
  <c r="Z364" i="1"/>
  <c r="Z369" i="1"/>
  <c r="Z392" i="1"/>
  <c r="Z393" i="1"/>
  <c r="Z559" i="1"/>
  <c r="Z573" i="1"/>
  <c r="Z569" i="1"/>
  <c r="Z564" i="1"/>
  <c r="Z585" i="1"/>
  <c r="Z550" i="1"/>
  <c r="Z566" i="1"/>
  <c r="Z563" i="1"/>
  <c r="Z547" i="1"/>
  <c r="Z546" i="1"/>
  <c r="Z542" i="1"/>
  <c r="Z586" i="1"/>
  <c r="Z583" i="1"/>
  <c r="Z553" i="1"/>
  <c r="Z552" i="1"/>
  <c r="Z580" i="1"/>
  <c r="Z577" i="1"/>
  <c r="Z554" i="1"/>
  <c r="Z560" i="1"/>
  <c r="Z574" i="1"/>
  <c r="Z570" i="1"/>
  <c r="Z543" i="1"/>
  <c r="Z548" i="1"/>
  <c r="Z567" i="1"/>
  <c r="Z561" i="1"/>
  <c r="Z549" i="1"/>
  <c r="Z545" i="1"/>
  <c r="Z584" i="1"/>
  <c r="Z572" i="1"/>
  <c r="Z544" i="1"/>
  <c r="Z557" i="1"/>
  <c r="Z581" i="1"/>
  <c r="Z578" i="1"/>
  <c r="Z555" i="1"/>
  <c r="Z551" i="1"/>
  <c r="Z575" i="1"/>
  <c r="Z571" i="1"/>
  <c r="Z582" i="1"/>
  <c r="Z556" i="1"/>
  <c r="Z562" i="1"/>
  <c r="Z568" i="1"/>
  <c r="Z565" i="1"/>
  <c r="Z558" i="1"/>
  <c r="Z579" i="1"/>
  <c r="Z576" i="1"/>
  <c r="Z655" i="1"/>
  <c r="Z18" i="1"/>
  <c r="Z12" i="1"/>
  <c r="Z19" i="1"/>
  <c r="Z9" i="1"/>
  <c r="Z16" i="1"/>
  <c r="Z13" i="1"/>
  <c r="Z17" i="1"/>
  <c r="Z14" i="1"/>
  <c r="Z15" i="1"/>
  <c r="Z11" i="1"/>
  <c r="Z10" i="1"/>
  <c r="Z284" i="1"/>
  <c r="Z282" i="1"/>
  <c r="Z280" i="1"/>
  <c r="Z281" i="1"/>
  <c r="Z283" i="1"/>
  <c r="Z424" i="1"/>
  <c r="Z423" i="1"/>
  <c r="Z470" i="1"/>
  <c r="Z469" i="1"/>
  <c r="Z431" i="1"/>
  <c r="Z429" i="1"/>
  <c r="Z650" i="1"/>
  <c r="Z649" i="1"/>
  <c r="Z356" i="1"/>
  <c r="Z358" i="1"/>
  <c r="Z357" i="1"/>
  <c r="Z473" i="1"/>
  <c r="Z472" i="1"/>
  <c r="Z203" i="1"/>
  <c r="Z196" i="1"/>
  <c r="Z193" i="1"/>
  <c r="Z194" i="1"/>
  <c r="Z213" i="1"/>
  <c r="Z218" i="1"/>
  <c r="Z217" i="1"/>
  <c r="Z198" i="1"/>
  <c r="Z211" i="1"/>
  <c r="Z215" i="1"/>
  <c r="Z205" i="1"/>
  <c r="Z201" i="1"/>
  <c r="Z214" i="1"/>
  <c r="Z207" i="1"/>
  <c r="Z200" i="1"/>
  <c r="Z224" i="1"/>
  <c r="Z219" i="1"/>
  <c r="Z226" i="1"/>
  <c r="Z206" i="1"/>
  <c r="Z199" i="1"/>
  <c r="Z204" i="1"/>
  <c r="Z192" i="1"/>
  <c r="Z208" i="1"/>
  <c r="Z212" i="1"/>
  <c r="Z222" i="1"/>
  <c r="Z225" i="1"/>
  <c r="Z195" i="1"/>
  <c r="Z220" i="1"/>
  <c r="Z223" i="1"/>
  <c r="Z216" i="1"/>
  <c r="Z210" i="1"/>
  <c r="Z221" i="1"/>
  <c r="Z197" i="1"/>
  <c r="Z202" i="1"/>
  <c r="Z209" i="1"/>
  <c r="Z157" i="1"/>
  <c r="Z149" i="1"/>
  <c r="Z185" i="1"/>
  <c r="Z172" i="1"/>
  <c r="Z179" i="1"/>
  <c r="Z162" i="1"/>
  <c r="Z161" i="1"/>
  <c r="Z180" i="1"/>
  <c r="Z164" i="1"/>
  <c r="Z178" i="1"/>
  <c r="Z183" i="1"/>
  <c r="Z176" i="1"/>
  <c r="Z163" i="1"/>
  <c r="Z184" i="1"/>
  <c r="Z143" i="1"/>
  <c r="Z189" i="1"/>
  <c r="Z168" i="1"/>
  <c r="Z152" i="1"/>
  <c r="Z147" i="1"/>
  <c r="Z167" i="1"/>
  <c r="Z188" i="1"/>
  <c r="Z166" i="1"/>
  <c r="Z181" i="1"/>
  <c r="Z159" i="1"/>
  <c r="Z182" i="1"/>
  <c r="Z170" i="1"/>
  <c r="Z154" i="1"/>
  <c r="Z169" i="1"/>
  <c r="Z187" i="1"/>
  <c r="Z155" i="1"/>
  <c r="Z146" i="1"/>
  <c r="Z190" i="1"/>
  <c r="Z175" i="1"/>
  <c r="Z151" i="1"/>
  <c r="Z165" i="1"/>
  <c r="Z145" i="1"/>
  <c r="Z191" i="1"/>
  <c r="Z186" i="1"/>
  <c r="Z158" i="1"/>
  <c r="Z156" i="1"/>
  <c r="Z150" i="1"/>
  <c r="Z148" i="1"/>
  <c r="Z160" i="1"/>
  <c r="Z144" i="1"/>
  <c r="Z173" i="1"/>
  <c r="Z174" i="1"/>
  <c r="Z171" i="1"/>
  <c r="Z177" i="1"/>
  <c r="Z1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 JAMET</author>
    <author>Andrea JAMET</author>
    <author>Marlène MONTBRIZON</author>
  </authors>
  <commentList>
    <comment ref="U12" authorId="0" shapeId="0" xr:uid="{71A59991-DC89-417E-9A78-9109F1FB995A}">
      <text>
        <r>
          <rPr>
            <b/>
            <sz val="9"/>
            <color indexed="81"/>
            <rFont val="Tahoma"/>
            <family val="2"/>
          </rPr>
          <t>Andre JAMET:</t>
        </r>
        <r>
          <rPr>
            <sz val="9"/>
            <color indexed="81"/>
            <rFont val="Tahoma"/>
            <family val="2"/>
          </rPr>
          <t xml:space="preserve">
Frais fabrication moule payé le 31/07/2025
</t>
        </r>
      </text>
    </comment>
    <comment ref="U19" authorId="0" shapeId="0" xr:uid="{9DA7DA9D-1959-42FF-B562-47DEEF4E28A4}">
      <text>
        <r>
          <rPr>
            <b/>
            <sz val="9"/>
            <color indexed="81"/>
            <rFont val="Tahoma"/>
            <family val="2"/>
          </rPr>
          <t>Andre JAMET:</t>
        </r>
        <r>
          <rPr>
            <sz val="9"/>
            <color indexed="81"/>
            <rFont val="Tahoma"/>
            <family val="2"/>
          </rPr>
          <t xml:space="preserve">
Frais fabrication moule payé le 31/07/2025
</t>
        </r>
      </text>
    </comment>
    <comment ref="AO381" authorId="1" shapeId="0" xr:uid="{0369EF0E-E512-44B1-A47E-E424993F0983}">
      <text>
        <r>
          <rPr>
            <b/>
            <sz val="9"/>
            <color indexed="81"/>
            <rFont val="Tahoma"/>
            <family val="2"/>
          </rPr>
          <t>Andrea JAMET:</t>
        </r>
        <r>
          <rPr>
            <sz val="9"/>
            <color indexed="81"/>
            <rFont val="Tahoma"/>
            <family val="2"/>
          </rPr>
          <t xml:space="preserve">
TELEX RELEASE LETTER CLSE26010011 ENVOYE</t>
        </r>
      </text>
    </comment>
    <comment ref="I383" authorId="2" shapeId="0" xr:uid="{C4675892-35A9-46BB-9632-1EB8DEB5F179}">
      <text>
        <r>
          <rPr>
            <b/>
            <sz val="9"/>
            <color indexed="81"/>
            <rFont val="Tahoma"/>
            <family val="2"/>
          </rPr>
          <t>Marlène MONTBRIZON:</t>
        </r>
        <r>
          <rPr>
            <sz val="9"/>
            <color indexed="81"/>
            <rFont val="Tahoma"/>
            <family val="2"/>
          </rPr>
          <t xml:space="preserve">
09/10 ACOMPTE 30% </t>
        </r>
      </text>
    </comment>
    <comment ref="I418" authorId="2" shapeId="0" xr:uid="{11F9DE66-37EB-46A0-B379-6C62865A5B56}">
      <text>
        <r>
          <rPr>
            <b/>
            <sz val="9"/>
            <color indexed="81"/>
            <rFont val="Tahoma"/>
            <family val="2"/>
          </rPr>
          <t>Marlène MONTBRIZON:</t>
        </r>
        <r>
          <rPr>
            <sz val="9"/>
            <color indexed="81"/>
            <rFont val="Tahoma"/>
            <family val="2"/>
          </rPr>
          <t xml:space="preserve">
09/10 DEPOSIT 20% </t>
        </r>
      </text>
    </comment>
    <comment ref="I426" authorId="2" shapeId="0" xr:uid="{385D2BAE-C30C-4E10-8027-80C39DDCEF7F}">
      <text>
        <r>
          <rPr>
            <b/>
            <sz val="9"/>
            <color indexed="81"/>
            <rFont val="Tahoma"/>
            <family val="2"/>
          </rPr>
          <t>Marlène MONTBRIZON:</t>
        </r>
        <r>
          <rPr>
            <sz val="9"/>
            <color indexed="81"/>
            <rFont val="Tahoma"/>
            <family val="2"/>
          </rPr>
          <t xml:space="preserve">
22/10 acompte 20%</t>
        </r>
      </text>
    </comment>
    <comment ref="I427" authorId="2" shapeId="0" xr:uid="{24E59616-A888-4158-B9CD-6EF19B9E3946}">
      <text>
        <r>
          <rPr>
            <b/>
            <sz val="9"/>
            <color indexed="81"/>
            <rFont val="Tahoma"/>
            <family val="2"/>
          </rPr>
          <t>Marlène MONTBRIZON:</t>
        </r>
        <r>
          <rPr>
            <sz val="9"/>
            <color indexed="81"/>
            <rFont val="Tahoma"/>
            <family val="2"/>
          </rPr>
          <t xml:space="preserve">
22/10 acompte 20%</t>
        </r>
      </text>
    </comment>
    <comment ref="I428" authorId="2" shapeId="0" xr:uid="{2771B698-CCED-4DA4-9693-21775B8EABB2}">
      <text>
        <r>
          <rPr>
            <b/>
            <sz val="9"/>
            <color indexed="81"/>
            <rFont val="Tahoma"/>
            <family val="2"/>
          </rPr>
          <t>Marlène MONTBRIZON:</t>
        </r>
        <r>
          <rPr>
            <sz val="9"/>
            <color indexed="81"/>
            <rFont val="Tahoma"/>
            <family val="2"/>
          </rPr>
          <t xml:space="preserve">
09/10 acompte 20 %</t>
        </r>
      </text>
    </comment>
    <comment ref="I429" authorId="2" shapeId="0" xr:uid="{FD1D6DC4-E1B5-431F-AE12-F892759C94B6}">
      <text>
        <r>
          <rPr>
            <b/>
            <sz val="9"/>
            <color indexed="81"/>
            <rFont val="Tahoma"/>
            <family val="2"/>
          </rPr>
          <t>Marlène MONTBRIZON:</t>
        </r>
        <r>
          <rPr>
            <sz val="9"/>
            <color indexed="81"/>
            <rFont val="Tahoma"/>
            <family val="2"/>
          </rPr>
          <t xml:space="preserve">
09/10 acompte 20%
19/02: acompte déduit 8900 USD
</t>
        </r>
      </text>
    </comment>
    <comment ref="I430" authorId="2" shapeId="0" xr:uid="{754F192E-DD56-4C4E-A332-6636145E0D4F}">
      <text>
        <r>
          <rPr>
            <b/>
            <sz val="9"/>
            <color indexed="81"/>
            <rFont val="Tahoma"/>
            <family val="2"/>
          </rPr>
          <t>Marlène MONTBRIZON:</t>
        </r>
        <r>
          <rPr>
            <sz val="9"/>
            <color indexed="81"/>
            <rFont val="Tahoma"/>
            <family val="2"/>
          </rPr>
          <t xml:space="preserve">
09/10 acompte 20%
</t>
        </r>
      </text>
    </comment>
    <comment ref="I431" authorId="2" shapeId="0" xr:uid="{B733174B-E6FE-4623-859A-7A52C059768F}">
      <text>
        <r>
          <rPr>
            <b/>
            <sz val="9"/>
            <color indexed="81"/>
            <rFont val="Tahoma"/>
            <family val="2"/>
          </rPr>
          <t>Marlène MONTBRIZON:</t>
        </r>
        <r>
          <rPr>
            <sz val="9"/>
            <color indexed="81"/>
            <rFont val="Tahoma"/>
            <family val="2"/>
          </rPr>
          <t xml:space="preserve">
09/10 acompte 20%
</t>
        </r>
      </text>
    </comment>
    <comment ref="I434" authorId="2" shapeId="0" xr:uid="{9AC0BAEE-79AA-4292-8F6D-A0F1D2DE4F8B}">
      <text>
        <r>
          <rPr>
            <b/>
            <sz val="9"/>
            <color indexed="81"/>
            <rFont val="Tahoma"/>
            <family val="2"/>
          </rPr>
          <t>Marlène MONTBRIZON:</t>
        </r>
        <r>
          <rPr>
            <sz val="9"/>
            <color indexed="81"/>
            <rFont val="Tahoma"/>
            <family val="2"/>
          </rPr>
          <t xml:space="preserve">
09/10 ACOMPTE 20%</t>
        </r>
      </text>
    </comment>
    <comment ref="AO457" authorId="1" shapeId="0" xr:uid="{702477DB-7CFC-471B-BC43-8B1451B6C600}">
      <text>
        <r>
          <rPr>
            <b/>
            <sz val="9"/>
            <color indexed="81"/>
            <rFont val="Tahoma"/>
            <family val="2"/>
          </rPr>
          <t>Andrea JAMET:</t>
        </r>
        <r>
          <rPr>
            <sz val="9"/>
            <color indexed="81"/>
            <rFont val="Tahoma"/>
            <family val="2"/>
          </rPr>
          <t xml:space="preserve">
TELEX RELEASE LETTER CLSE26010028 ENVOYE</t>
        </r>
      </text>
    </comment>
    <comment ref="AO458" authorId="1" shapeId="0" xr:uid="{D54608B6-4525-45EA-B88E-F13B858520BA}">
      <text>
        <r>
          <rPr>
            <b/>
            <sz val="9"/>
            <color indexed="81"/>
            <rFont val="Tahoma"/>
            <family val="2"/>
          </rPr>
          <t>Andrea JAMET:</t>
        </r>
        <r>
          <rPr>
            <sz val="9"/>
            <color indexed="81"/>
            <rFont val="Tahoma"/>
            <family val="2"/>
          </rPr>
          <t xml:space="preserve">
TELEX RELEASE LETTER CLSE26010028 ENVOYE</t>
        </r>
      </text>
    </comment>
    <comment ref="I460" authorId="2" shapeId="0" xr:uid="{F8C45BEF-2809-4B3F-B338-93F046EE2B7D}">
      <text>
        <r>
          <rPr>
            <b/>
            <sz val="9"/>
            <color indexed="81"/>
            <rFont val="Tahoma"/>
            <family val="2"/>
          </rPr>
          <t>Marlène MONTBRIZON:</t>
        </r>
        <r>
          <rPr>
            <sz val="9"/>
            <color indexed="81"/>
            <rFont val="Tahoma"/>
            <family val="2"/>
          </rPr>
          <t xml:space="preserve">
09/10 ACOMPTE 30% </t>
        </r>
      </text>
    </comment>
    <comment ref="I461" authorId="2" shapeId="0" xr:uid="{42E18772-9515-41BD-8E47-2FC6C67B3166}">
      <text>
        <r>
          <rPr>
            <b/>
            <sz val="9"/>
            <color indexed="81"/>
            <rFont val="Tahoma"/>
            <family val="2"/>
          </rPr>
          <t>Marlène MONTBRIZON:</t>
        </r>
        <r>
          <rPr>
            <sz val="9"/>
            <color indexed="81"/>
            <rFont val="Tahoma"/>
            <family val="2"/>
          </rPr>
          <t xml:space="preserve">
09/10 ACOMPTE 30% </t>
        </r>
      </text>
    </comment>
    <comment ref="I462" authorId="2" shapeId="0" xr:uid="{403483CD-8018-40B8-84CC-3ACBF08FD39E}">
      <text>
        <r>
          <rPr>
            <b/>
            <sz val="9"/>
            <color indexed="81"/>
            <rFont val="Tahoma"/>
            <family val="2"/>
          </rPr>
          <t>Marlène MONTBRIZON:</t>
        </r>
        <r>
          <rPr>
            <sz val="9"/>
            <color indexed="81"/>
            <rFont val="Tahoma"/>
            <family val="2"/>
          </rPr>
          <t xml:space="preserve">
09/10 ACOMPTE 30% </t>
        </r>
      </text>
    </comment>
    <comment ref="I469" authorId="2" shapeId="0" xr:uid="{B508F5D6-60EE-4ED0-AA9C-6A2AB95CB886}">
      <text>
        <r>
          <rPr>
            <b/>
            <sz val="9"/>
            <color indexed="81"/>
            <rFont val="Tahoma"/>
            <family val="2"/>
          </rPr>
          <t>Marlène MONTBRIZON:</t>
        </r>
        <r>
          <rPr>
            <sz val="9"/>
            <color indexed="81"/>
            <rFont val="Tahoma"/>
            <family val="2"/>
          </rPr>
          <t xml:space="preserve">
09/10 ACOMPTE 30%</t>
        </r>
      </text>
    </comment>
    <comment ref="AO469" authorId="1" shapeId="0" xr:uid="{95AC5ED1-024C-4FFF-9781-1A27F28CA94E}">
      <text>
        <r>
          <rPr>
            <b/>
            <sz val="9"/>
            <color indexed="81"/>
            <rFont val="Tahoma"/>
            <family val="2"/>
          </rPr>
          <t>Andrea JAMET:</t>
        </r>
        <r>
          <rPr>
            <sz val="9"/>
            <color indexed="81"/>
            <rFont val="Tahoma"/>
            <family val="2"/>
          </rPr>
          <t xml:space="preserve">
TELEX RELEASE LETTER CLSE26010011 ENVOYE</t>
        </r>
      </text>
    </comment>
    <comment ref="I470" authorId="2" shapeId="0" xr:uid="{4C899ABB-7333-4761-AD2F-E0DCB90321A8}">
      <text>
        <r>
          <rPr>
            <b/>
            <sz val="9"/>
            <color indexed="81"/>
            <rFont val="Tahoma"/>
            <family val="2"/>
          </rPr>
          <t>Marlène MONTBRIZON:</t>
        </r>
        <r>
          <rPr>
            <sz val="9"/>
            <color indexed="81"/>
            <rFont val="Tahoma"/>
            <family val="2"/>
          </rPr>
          <t xml:space="preserve">
09/10 ACOMPTE 30%</t>
        </r>
      </text>
    </comment>
    <comment ref="AO470" authorId="1" shapeId="0" xr:uid="{FD1F58A2-852E-44A2-B59A-32D543B66D94}">
      <text>
        <r>
          <rPr>
            <b/>
            <sz val="9"/>
            <color indexed="81"/>
            <rFont val="Tahoma"/>
            <family val="2"/>
          </rPr>
          <t>Andrea JAMET:</t>
        </r>
        <r>
          <rPr>
            <sz val="9"/>
            <color indexed="81"/>
            <rFont val="Tahoma"/>
            <family val="2"/>
          </rPr>
          <t xml:space="preserve">
TELEX RELEASE LETTER CLSE26010011 ENVOYE</t>
        </r>
      </text>
    </comment>
    <comment ref="I651" authorId="1" shapeId="0" xr:uid="{82FBDCB5-C7D3-49A9-A689-2EA37CC81098}">
      <text>
        <r>
          <rPr>
            <b/>
            <sz val="9"/>
            <color indexed="81"/>
            <rFont val="Tahoma"/>
            <family val="2"/>
          </rPr>
          <t>Andrea JAMET:</t>
        </r>
        <r>
          <rPr>
            <sz val="9"/>
            <color indexed="81"/>
            <rFont val="Tahoma"/>
            <family val="2"/>
          </rPr>
          <t xml:space="preserve">
Acompte versé le 19/02/2026</t>
        </r>
      </text>
    </comment>
    <comment ref="L680" authorId="2" shapeId="0" xr:uid="{04250D36-A896-4122-8DFC-4415A8D4A21D}">
      <text>
        <r>
          <rPr>
            <b/>
            <sz val="9"/>
            <color indexed="81"/>
            <rFont val="Tahoma"/>
            <family val="2"/>
          </rPr>
          <t xml:space="preserve">30% acompte regle 6480 USD
</t>
        </r>
      </text>
    </comment>
  </commentList>
</comments>
</file>

<file path=xl/sharedStrings.xml><?xml version="1.0" encoding="utf-8"?>
<sst xmlns="http://schemas.openxmlformats.org/spreadsheetml/2006/main" count="12576" uniqueCount="1052">
  <si>
    <t>TB</t>
  </si>
  <si>
    <t>EORI</t>
  </si>
  <si>
    <t>N°TVA</t>
  </si>
  <si>
    <t>SIREN/SIRET</t>
  </si>
  <si>
    <t>GDD</t>
  </si>
  <si>
    <t>FR39787990900026</t>
  </si>
  <si>
    <t>FR31397879909</t>
  </si>
  <si>
    <t>FR41996020800033</t>
  </si>
  <si>
    <t>FR16419960208</t>
  </si>
  <si>
    <t>Caractéristique de la commande</t>
  </si>
  <si>
    <t>Articles</t>
  </si>
  <si>
    <t>Montants divers</t>
  </si>
  <si>
    <t>Volume</t>
  </si>
  <si>
    <t>Livraison</t>
  </si>
  <si>
    <t>Intermédiaire</t>
  </si>
  <si>
    <t>Date envoi de la commande</t>
  </si>
  <si>
    <t>MEN#</t>
  </si>
  <si>
    <t>PO#</t>
  </si>
  <si>
    <t>N° Lot</t>
  </si>
  <si>
    <t>Fournisseur</t>
  </si>
  <si>
    <t>Acompte</t>
  </si>
  <si>
    <t>Alerte</t>
  </si>
  <si>
    <t>Etat de la commande</t>
  </si>
  <si>
    <t>Payé ?</t>
  </si>
  <si>
    <t>Artwork</t>
  </si>
  <si>
    <t>REF</t>
  </si>
  <si>
    <t>Désignation</t>
  </si>
  <si>
    <t>Quantité</t>
  </si>
  <si>
    <t xml:space="preserve">Total prix sur facture </t>
  </si>
  <si>
    <t>Volume m3  PCB</t>
  </si>
  <si>
    <t>Volume m3 réfernce total</t>
  </si>
  <si>
    <t>Volume m3 commande</t>
  </si>
  <si>
    <t>Matière
(MAT)</t>
  </si>
  <si>
    <t>Semi-production
(SP)</t>
  </si>
  <si>
    <t>Echantillon de
conformité</t>
  </si>
  <si>
    <t>Production
(BAT)</t>
  </si>
  <si>
    <t>Date inspection</t>
  </si>
  <si>
    <t>Rapport d'inspection</t>
  </si>
  <si>
    <t>Réception
(RECEP)</t>
  </si>
  <si>
    <t>Non-conformité
(NCR)</t>
  </si>
  <si>
    <t>ETA</t>
  </si>
  <si>
    <t>Lieu de livraison</t>
  </si>
  <si>
    <t>N° BL</t>
  </si>
  <si>
    <t>Transitaire</t>
  </si>
  <si>
    <t>Colis/pièces manquantes</t>
  </si>
  <si>
    <t>TB CHINA</t>
  </si>
  <si>
    <t xml:space="preserve"> /</t>
  </si>
  <si>
    <t>Non</t>
  </si>
  <si>
    <t>Aucune</t>
  </si>
  <si>
    <t>Aucun</t>
  </si>
  <si>
    <t>/</t>
  </si>
  <si>
    <t>SEALOGIS</t>
  </si>
  <si>
    <t>DIRECT</t>
  </si>
  <si>
    <t>Pas de MEN</t>
  </si>
  <si>
    <t>CEVA LOGISTICS</t>
  </si>
  <si>
    <t>Validé</t>
  </si>
  <si>
    <t>AUZON</t>
  </si>
  <si>
    <t>Conforme</t>
  </si>
  <si>
    <t>DIAMOND TRACK</t>
  </si>
  <si>
    <t>SMART IRON</t>
  </si>
  <si>
    <t>En production</t>
  </si>
  <si>
    <t>Non reçu</t>
  </si>
  <si>
    <t>Envoyé</t>
  </si>
  <si>
    <t>POMMIER</t>
  </si>
  <si>
    <t>WANXIN</t>
  </si>
  <si>
    <t>NOUVEAU PRODUIT</t>
  </si>
  <si>
    <t>Réunion OP</t>
  </si>
  <si>
    <t>CARREFOUR</t>
  </si>
  <si>
    <t>En cours de livraison</t>
  </si>
  <si>
    <t>FSSZS2402305</t>
  </si>
  <si>
    <t>DFSU1139442</t>
  </si>
  <si>
    <t>Annulée</t>
  </si>
  <si>
    <t>SURPASS</t>
  </si>
  <si>
    <t>HIAMEA</t>
  </si>
  <si>
    <t>HONGXING</t>
  </si>
  <si>
    <t>HONYEE</t>
  </si>
  <si>
    <t>En attente de livraison</t>
  </si>
  <si>
    <t>FSSZS2402682</t>
  </si>
  <si>
    <t>SLEU2356851</t>
  </si>
  <si>
    <t>Livrée le 21/11/2024</t>
  </si>
  <si>
    <t>FCIU8690685</t>
  </si>
  <si>
    <t>RUPTURE CRF</t>
  </si>
  <si>
    <t>POLYFLAME</t>
  </si>
  <si>
    <t>SCIKIO</t>
  </si>
  <si>
    <t>00145862</t>
  </si>
  <si>
    <t>Appro 240517</t>
  </si>
  <si>
    <t>OK 4928112.00-3</t>
  </si>
  <si>
    <t>REWORK 4925244.00-52</t>
  </si>
  <si>
    <t>OK 4925244.00-44</t>
  </si>
  <si>
    <t>OK 4924138.00-12</t>
  </si>
  <si>
    <t>OK 4925244.00-45</t>
  </si>
  <si>
    <t>FAIL 4925244.00-42</t>
  </si>
  <si>
    <t>OK 4925244.00-43</t>
  </si>
  <si>
    <t>OK 4928112.00-26</t>
  </si>
  <si>
    <t>OK 4928112.00-40</t>
  </si>
  <si>
    <t>OK 4924138.00-13</t>
  </si>
  <si>
    <t>OK 4924138.00-14</t>
  </si>
  <si>
    <t>FAIL 4924138.00-15</t>
  </si>
  <si>
    <t>OK 4924138.00-16</t>
  </si>
  <si>
    <t>OK 4928112.00-16</t>
  </si>
  <si>
    <t>OK 4928112.00-17</t>
  </si>
  <si>
    <t>OK 4928112.00-18</t>
  </si>
  <si>
    <t>OK 4928112.00-25</t>
  </si>
  <si>
    <t>Appro 240730</t>
  </si>
  <si>
    <t>00150073</t>
  </si>
  <si>
    <t>REWORK 4928112.00-20</t>
  </si>
  <si>
    <t>OK 4928112.00-22</t>
  </si>
  <si>
    <t>OK 4928112.00-42</t>
  </si>
  <si>
    <t>OK 4928112.00-41</t>
  </si>
  <si>
    <t>OK 4928112.00-21</t>
  </si>
  <si>
    <t>OK 4928112.00-29</t>
  </si>
  <si>
    <t>00150492</t>
  </si>
  <si>
    <t>YINHONG</t>
  </si>
  <si>
    <t>Appro 240926</t>
  </si>
  <si>
    <t>Appro 241018</t>
  </si>
  <si>
    <t>00152202</t>
  </si>
  <si>
    <t>00151554</t>
  </si>
  <si>
    <t>Comp1490058</t>
  </si>
  <si>
    <t>Comp1490059</t>
  </si>
  <si>
    <t>Comp1490060</t>
  </si>
  <si>
    <t>Pas de N°</t>
  </si>
  <si>
    <t>GUANGMING METAL</t>
  </si>
  <si>
    <t>Livrée le 04/12/2024</t>
  </si>
  <si>
    <t>COSMOS</t>
  </si>
  <si>
    <t>Comp0020013</t>
  </si>
  <si>
    <t>Appro 241203</t>
  </si>
  <si>
    <t>Pour 154553</t>
  </si>
  <si>
    <t>00154553</t>
  </si>
  <si>
    <t>00154555</t>
  </si>
  <si>
    <t>OK 4931777.00-9</t>
  </si>
  <si>
    <t>FAIL 4931777.00-10</t>
  </si>
  <si>
    <t>Nvx produit</t>
  </si>
  <si>
    <t>FSSZS2500108</t>
  </si>
  <si>
    <t>EITU0478945</t>
  </si>
  <si>
    <t>Livrée le 13/01/2025</t>
  </si>
  <si>
    <t>1 colis supplémentaire = 72 pcs</t>
  </si>
  <si>
    <t>1 colis manquant = 120 pcs</t>
  </si>
  <si>
    <t>DHL</t>
  </si>
  <si>
    <t>OK 4931777.00-96</t>
  </si>
  <si>
    <t>OK 4931777.00-94</t>
  </si>
  <si>
    <t>OK 4931777.00-93</t>
  </si>
  <si>
    <t>FSSZS2500316</t>
  </si>
  <si>
    <t>DRYU2996958</t>
  </si>
  <si>
    <t>Conforme couteau</t>
  </si>
  <si>
    <t>00155572</t>
  </si>
  <si>
    <t>Appro 250114</t>
  </si>
  <si>
    <t>Attente Clarisse</t>
  </si>
  <si>
    <t>FAIL 4931777.00-11</t>
  </si>
  <si>
    <t>TEFAL</t>
  </si>
  <si>
    <t>00156212</t>
  </si>
  <si>
    <t>00155915</t>
  </si>
  <si>
    <t>LAGUIOLE MEDIUM</t>
  </si>
  <si>
    <t>LAGUIOLE PREMIUM</t>
  </si>
  <si>
    <t xml:space="preserve">LAGUIOLE ACCESS </t>
  </si>
  <si>
    <t>METAL</t>
  </si>
  <si>
    <t>ABS NOIR</t>
  </si>
  <si>
    <t>ABS GRIS</t>
  </si>
  <si>
    <t>ABS IVOIRE</t>
  </si>
  <si>
    <t>BOIS CLAIR</t>
  </si>
  <si>
    <t>BOIS FONCE</t>
  </si>
  <si>
    <t>LAMES ENVOYEES</t>
  </si>
  <si>
    <t>MITRE ENVOYES</t>
  </si>
  <si>
    <t>COUTEAUX RECUS</t>
  </si>
  <si>
    <t>PP226</t>
  </si>
  <si>
    <t>PP227</t>
  </si>
  <si>
    <t>COUTEAUX EN RETOUR</t>
  </si>
  <si>
    <t>PP232</t>
  </si>
  <si>
    <t>PP235</t>
  </si>
  <si>
    <t>ABS PEARLY WHITE</t>
  </si>
  <si>
    <t>ABS GRAPHITE BLACK</t>
  </si>
  <si>
    <t>ABS DUCK BLUE</t>
  </si>
  <si>
    <t>PP231</t>
  </si>
  <si>
    <t>OK 4933661.00-19</t>
  </si>
  <si>
    <t>OK 4933661.00-21</t>
  </si>
  <si>
    <t>OK 4933661.00-22</t>
  </si>
  <si>
    <t>OK 4933661.00-23</t>
  </si>
  <si>
    <t>Livrée le 11/03/2025</t>
  </si>
  <si>
    <t>Comp1370029</t>
  </si>
  <si>
    <t>FAIL 4933661.00-48</t>
  </si>
  <si>
    <t>FAIL 4933661.00-47</t>
  </si>
  <si>
    <t>FAIL 4933661.00-49</t>
  </si>
  <si>
    <t>FAIL 4933661.00-51</t>
  </si>
  <si>
    <t>FAIL 4933661.00-50</t>
  </si>
  <si>
    <t>FAIL 4933661.00-52</t>
  </si>
  <si>
    <t>FSSZS2500603</t>
  </si>
  <si>
    <t>EMCU8390828</t>
  </si>
  <si>
    <t>FAIL 4933661.00-56</t>
  </si>
  <si>
    <t>OK 4933661.00-58</t>
  </si>
  <si>
    <t>FAIL 4933661.00-57</t>
  </si>
  <si>
    <t>OK 4933661.00-59</t>
  </si>
  <si>
    <t>OK 4933661.00-60</t>
  </si>
  <si>
    <t>FAIL 4935210.00-1</t>
  </si>
  <si>
    <t>OK 4935210.00-3</t>
  </si>
  <si>
    <t>FAIL 4935210.00-8</t>
  </si>
  <si>
    <t>FAIL 4935210.00-9</t>
  </si>
  <si>
    <t>FAIL 4935210.00-10</t>
  </si>
  <si>
    <t>OK 4935210.00-11</t>
  </si>
  <si>
    <t>FAIL 4935210.00-21</t>
  </si>
  <si>
    <t>FAIL 4935210.00-20</t>
  </si>
  <si>
    <t>FAIL 4935210.00-16</t>
  </si>
  <si>
    <t>OK 4935210.00-15</t>
  </si>
  <si>
    <t>Livrée le 07/04/2025</t>
  </si>
  <si>
    <t>OK 4935210.00-25</t>
  </si>
  <si>
    <t>OK 4935210.00-27</t>
  </si>
  <si>
    <t>Payé</t>
  </si>
  <si>
    <t>99 PCS MANQUANTES</t>
  </si>
  <si>
    <t>FAIL 4935210.00-31</t>
  </si>
  <si>
    <t>FAIL 4935210.00-33</t>
  </si>
  <si>
    <t>OK 4935210.00-34</t>
  </si>
  <si>
    <t>FAIL 4935210.00-39</t>
  </si>
  <si>
    <t>UETU7644007</t>
  </si>
  <si>
    <t>SZXS25383265</t>
  </si>
  <si>
    <t>SZXS25383263</t>
  </si>
  <si>
    <t>TRHU2449900</t>
  </si>
  <si>
    <t>00156766</t>
  </si>
  <si>
    <t>Appro 250226+250331</t>
  </si>
  <si>
    <t>Comp1230010</t>
  </si>
  <si>
    <t>Retard 
(jours)</t>
  </si>
  <si>
    <t>FAIL 4936900.00-1</t>
  </si>
  <si>
    <t>FAIL 4936900.00-2</t>
  </si>
  <si>
    <t>FAIL 4936900.00-12</t>
  </si>
  <si>
    <t>FAIL 4936900.00-13</t>
  </si>
  <si>
    <t>OK 4936900.00-4</t>
  </si>
  <si>
    <t>OK 4936900.00-5</t>
  </si>
  <si>
    <t>OK 4936900.00-8</t>
  </si>
  <si>
    <t>OK 4936900.00-6</t>
  </si>
  <si>
    <t>OK 4936900.00-9</t>
  </si>
  <si>
    <t>OK 4936900.00-10</t>
  </si>
  <si>
    <t>FAIL 4936900.00-11</t>
  </si>
  <si>
    <t>OK 4936900.00-7</t>
  </si>
  <si>
    <t>ETD confirmé</t>
  </si>
  <si>
    <t>Frais supp</t>
  </si>
  <si>
    <t>OP/Client/Appro</t>
  </si>
  <si>
    <t>PU</t>
  </si>
  <si>
    <t>Total prix commande</t>
  </si>
  <si>
    <t>Prix / référence</t>
  </si>
  <si>
    <t>PCB</t>
  </si>
  <si>
    <t xml:space="preserve">Analyses échantillons et inspections </t>
  </si>
  <si>
    <t>ETD réel</t>
  </si>
  <si>
    <t>Date de livraison</t>
  </si>
  <si>
    <t>N° Conteneur</t>
  </si>
  <si>
    <t xml:space="preserve">Transport </t>
  </si>
  <si>
    <t>FAIL 4936900.00-17</t>
  </si>
  <si>
    <t>FAIL 4936900.00-18</t>
  </si>
  <si>
    <t>FAIL 4936900.00-16</t>
  </si>
  <si>
    <t>FAIL 4936900.00-19</t>
  </si>
  <si>
    <t>FAIL 4936900.00-20</t>
  </si>
  <si>
    <t>SZXS25385824</t>
  </si>
  <si>
    <t>BSIU3265802</t>
  </si>
  <si>
    <t>OK 4936900.00-21</t>
  </si>
  <si>
    <t>FAIL 4936900.00-22</t>
  </si>
  <si>
    <t>OK 4936900.00-23</t>
  </si>
  <si>
    <t>OK 4936900.00-25</t>
  </si>
  <si>
    <t>FAIL 4936900.00-26</t>
  </si>
  <si>
    <t>OK 4936900.00-24</t>
  </si>
  <si>
    <t>OK 4936900.00-27</t>
  </si>
  <si>
    <t>N° Facture</t>
  </si>
  <si>
    <t>20250413-5A</t>
  </si>
  <si>
    <t>20250413E</t>
  </si>
  <si>
    <t>20250413I</t>
  </si>
  <si>
    <t>20250413K</t>
  </si>
  <si>
    <t>20250413L</t>
  </si>
  <si>
    <t>20250506-1</t>
  </si>
  <si>
    <t>20250506-3</t>
  </si>
  <si>
    <t>FAIL 4938307.00-9</t>
  </si>
  <si>
    <t>FAIL 4938307.00-10</t>
  </si>
  <si>
    <t>FAIL 4938307.00-3</t>
  </si>
  <si>
    <t>FAIL 4938307.00-4</t>
  </si>
  <si>
    <t>FAIL 4938307.00-5</t>
  </si>
  <si>
    <t>OK 4938307.00-6</t>
  </si>
  <si>
    <t>FAIL 4938307.00-11</t>
  </si>
  <si>
    <t>FAIL 4938307.00-12</t>
  </si>
  <si>
    <t>FAIL 4938307.00-13</t>
  </si>
  <si>
    <t>FAIL 4938307.00-14</t>
  </si>
  <si>
    <t>FAIL 4938307.00-15</t>
  </si>
  <si>
    <t>FAIL 4938307.00-16</t>
  </si>
  <si>
    <t>FAIL 4938307.00-17</t>
  </si>
  <si>
    <t>FAIL 4938307.00-23</t>
  </si>
  <si>
    <t>FAIL 4938307.00-24</t>
  </si>
  <si>
    <t>FAIL 4938307.00-25</t>
  </si>
  <si>
    <t>FAIL 4938307.00-18</t>
  </si>
  <si>
    <t>00016587</t>
  </si>
  <si>
    <t>HUAYING</t>
  </si>
  <si>
    <t>Comp0441</t>
  </si>
  <si>
    <t>PLAQUETTE DIAMANT BAIONNETTE ARMEE</t>
  </si>
  <si>
    <t>SZXS25387702</t>
  </si>
  <si>
    <t>FCGU2328218</t>
  </si>
  <si>
    <t>20250528-1</t>
  </si>
  <si>
    <t>20250528-2</t>
  </si>
  <si>
    <t>Livrée le 22/05/2025</t>
  </si>
  <si>
    <t>SZXS25388969</t>
  </si>
  <si>
    <t>TRHU1477105</t>
  </si>
  <si>
    <t>20250605-5</t>
  </si>
  <si>
    <t>20250605-2</t>
  </si>
  <si>
    <t>FAIL 4938307.00-40</t>
  </si>
  <si>
    <t>FAIL 4938307.00-42</t>
  </si>
  <si>
    <t>FAIL 4938307.00-43</t>
  </si>
  <si>
    <t>FAIL 4938307.00-41</t>
  </si>
  <si>
    <t>FAIL 4938307.00-44</t>
  </si>
  <si>
    <t>OK 4938307.00-37</t>
  </si>
  <si>
    <t>00159965</t>
  </si>
  <si>
    <t>Appro 250513</t>
  </si>
  <si>
    <t>00161059</t>
  </si>
  <si>
    <t>NOSKI</t>
  </si>
  <si>
    <t>00161201</t>
  </si>
  <si>
    <t>REMPLACEMENT</t>
  </si>
  <si>
    <t>YMLU8612006</t>
  </si>
  <si>
    <t>SZXS25389698</t>
  </si>
  <si>
    <t>20250616-1</t>
  </si>
  <si>
    <t>Livrée le 16/06/2025</t>
  </si>
  <si>
    <t>FAIL 4938307.00-58</t>
  </si>
  <si>
    <t>FAIL 4938307.00-59</t>
  </si>
  <si>
    <t>FAIL 4938307.00-60</t>
  </si>
  <si>
    <t>OK 4938307.00-52</t>
  </si>
  <si>
    <t>OK 4938307.00-53</t>
  </si>
  <si>
    <t>FAIL 4938307.00-54</t>
  </si>
  <si>
    <t>QUALITAIRSEA</t>
  </si>
  <si>
    <t>Livrée le 17/06/2025</t>
  </si>
  <si>
    <t>OK 4938307.00-55</t>
  </si>
  <si>
    <t>OK 4938307.00-56</t>
  </si>
  <si>
    <t>OK 4938307.00-57</t>
  </si>
  <si>
    <t>FAIL 4938307.00-65</t>
  </si>
  <si>
    <t>FAIL 4938307.00-61</t>
  </si>
  <si>
    <t>FAIL 4938307.00-62</t>
  </si>
  <si>
    <t>FAIL 4938307.00-64</t>
  </si>
  <si>
    <t>FAIL 4938307.00-63</t>
  </si>
  <si>
    <t>FAIL 4940165.00-3</t>
  </si>
  <si>
    <t>OK 4940165.00-6</t>
  </si>
  <si>
    <t>OK 4940165.00-7</t>
  </si>
  <si>
    <t>OK 4940165.00-14</t>
  </si>
  <si>
    <t>OK 4940165.00-15</t>
  </si>
  <si>
    <t>OK 4940165.00-16</t>
  </si>
  <si>
    <t>FAIL 4940165.00-17</t>
  </si>
  <si>
    <t>FAIL 4940165.00-18</t>
  </si>
  <si>
    <t>FAIL 4940165.00-19</t>
  </si>
  <si>
    <t>OK 4940165.00-10</t>
  </si>
  <si>
    <t>FAIL 4940165.00-11</t>
  </si>
  <si>
    <t>OK 4940165.00-12</t>
  </si>
  <si>
    <t>OK 4940165.00-13</t>
  </si>
  <si>
    <t>00161343</t>
  </si>
  <si>
    <t>OK 4940165.00-25</t>
  </si>
  <si>
    <t>FAIL 4940165.00-26</t>
  </si>
  <si>
    <t>OK 4940165.00-27</t>
  </si>
  <si>
    <t>OK 4940165.00-33</t>
  </si>
  <si>
    <t>OK 4940165.00-34</t>
  </si>
  <si>
    <t>OK 4940165.00-35</t>
  </si>
  <si>
    <t>OK 4940165.00-36</t>
  </si>
  <si>
    <t>FAIL 4940165.00-37</t>
  </si>
  <si>
    <t>FAIL 4940165.00-38</t>
  </si>
  <si>
    <t>Livrée le 07/07/2025</t>
  </si>
  <si>
    <t>00162118</t>
  </si>
  <si>
    <t>00162299</t>
  </si>
  <si>
    <t>EORI SIREN</t>
  </si>
  <si>
    <t>FR419960208</t>
  </si>
  <si>
    <t>FR397879909</t>
  </si>
  <si>
    <t>FAIL 4940165.00-48</t>
  </si>
  <si>
    <t>SZSE2507253</t>
  </si>
  <si>
    <t>NEWU2238451</t>
  </si>
  <si>
    <t>20250713-2</t>
  </si>
  <si>
    <t>20250713-1</t>
  </si>
  <si>
    <t>SZSE2507291</t>
  </si>
  <si>
    <t>TCNU7363908</t>
  </si>
  <si>
    <t>20250714-1A</t>
  </si>
  <si>
    <t>OK 4941756.00-2</t>
  </si>
  <si>
    <t>OK 4941756.00-5</t>
  </si>
  <si>
    <t>00162319</t>
  </si>
  <si>
    <t>Attente Carrefour</t>
  </si>
  <si>
    <t>00162320</t>
  </si>
  <si>
    <t>00162322</t>
  </si>
  <si>
    <t>00162321</t>
  </si>
  <si>
    <t>00162318</t>
  </si>
  <si>
    <t>SZSE2507193</t>
  </si>
  <si>
    <t>KBRU2570399</t>
  </si>
  <si>
    <t>20250725E</t>
  </si>
  <si>
    <t>20250725H</t>
  </si>
  <si>
    <t>20250725I</t>
  </si>
  <si>
    <t>20250725J</t>
  </si>
  <si>
    <t>20250725K</t>
  </si>
  <si>
    <t>FAIL 4941756.00-15</t>
  </si>
  <si>
    <t xml:space="preserve">                                                                                     </t>
  </si>
  <si>
    <t>00016852</t>
  </si>
  <si>
    <t>00016876</t>
  </si>
  <si>
    <t>00163764</t>
  </si>
  <si>
    <t>00163705</t>
  </si>
  <si>
    <t>00163701</t>
  </si>
  <si>
    <t>00163700</t>
  </si>
  <si>
    <t>00163698</t>
  </si>
  <si>
    <t>Livrée le 31/07/2025</t>
  </si>
  <si>
    <t>00163811</t>
  </si>
  <si>
    <t>ACCE0610003</t>
  </si>
  <si>
    <t>Livrée le 14/08/2025</t>
  </si>
  <si>
    <t>OK 4941756.00-17</t>
  </si>
  <si>
    <t>OK 4941756.00-27</t>
  </si>
  <si>
    <t>OK 4941756.00-28</t>
  </si>
  <si>
    <t>OK 4941756.00-29</t>
  </si>
  <si>
    <t>OK 4941756.00-30</t>
  </si>
  <si>
    <t>OK 4941756.00-35</t>
  </si>
  <si>
    <t>OK 4941756.00-36</t>
  </si>
  <si>
    <t>OK 4941756.00-34</t>
  </si>
  <si>
    <t>SZSE2509023</t>
  </si>
  <si>
    <t>SEGU4599431</t>
  </si>
  <si>
    <t>20250815-1</t>
  </si>
  <si>
    <t>20250815-2</t>
  </si>
  <si>
    <t>OK 4943293.00-1</t>
  </si>
  <si>
    <t>OK 4943293.00-2</t>
  </si>
  <si>
    <t>OK 4943293.00-4</t>
  </si>
  <si>
    <t>OK 4943293.00-5</t>
  </si>
  <si>
    <t>OK 4943293.00-3</t>
  </si>
  <si>
    <t>OK 4943293.00-19</t>
  </si>
  <si>
    <t>OK 4943293.00-20</t>
  </si>
  <si>
    <t>FAIL 4943293.00-21</t>
  </si>
  <si>
    <t>OK 4943293.00-22</t>
  </si>
  <si>
    <t>OK 4943293.00-23</t>
  </si>
  <si>
    <t>OK 4943293.00-7</t>
  </si>
  <si>
    <t>FAIL 4943293.00-8</t>
  </si>
  <si>
    <t>OK 4943293.00-9</t>
  </si>
  <si>
    <t>OK 4943293.00-10</t>
  </si>
  <si>
    <t>00163974</t>
  </si>
  <si>
    <t>Appro 250818</t>
  </si>
  <si>
    <t>Emmanuelle</t>
  </si>
  <si>
    <t>Livrée le 21/08/2025</t>
  </si>
  <si>
    <t>NCR 00000403</t>
  </si>
  <si>
    <t>NCR 00000404</t>
  </si>
  <si>
    <t>NCR 00000405</t>
  </si>
  <si>
    <t>NCR 00000406</t>
  </si>
  <si>
    <t>NCR 00000407</t>
  </si>
  <si>
    <t>NCR 00000402</t>
  </si>
  <si>
    <t>NCR 00000401</t>
  </si>
  <si>
    <t>SZSE2509711</t>
  </si>
  <si>
    <t>NVLU2025760</t>
  </si>
  <si>
    <t>SZSE2509712</t>
  </si>
  <si>
    <t>NVLU2025890</t>
  </si>
  <si>
    <t>SZSE2509898</t>
  </si>
  <si>
    <t>GESU6951969</t>
  </si>
  <si>
    <t>20250905-3A</t>
  </si>
  <si>
    <t>20250905-3</t>
  </si>
  <si>
    <t>M24 DOTS EN BOITE CARREFOUR HOME</t>
  </si>
  <si>
    <t>CUILLERE DOTS CARREFOUR HOME</t>
  </si>
  <si>
    <t>FOURCHETTE DOTS CARREFOUR HOME</t>
  </si>
  <si>
    <t>CAFE DOTS CARREFOUR HOME</t>
  </si>
  <si>
    <t>OK 4943293.00-35</t>
  </si>
  <si>
    <t>OK 4943293.00-36</t>
  </si>
  <si>
    <t>OK 4943293.00-39</t>
  </si>
  <si>
    <t>OK 4943293.00-40</t>
  </si>
  <si>
    <t>OK 4943293.00-37</t>
  </si>
  <si>
    <t>OK 4943293.00-38</t>
  </si>
  <si>
    <t>00165104</t>
  </si>
  <si>
    <t>00164089</t>
  </si>
  <si>
    <t>00163973</t>
  </si>
  <si>
    <t>Livrée le 18/09/2025</t>
  </si>
  <si>
    <t>00165368</t>
  </si>
  <si>
    <t>OP SYSTEM U</t>
  </si>
  <si>
    <t>00164612</t>
  </si>
  <si>
    <t>00016973</t>
  </si>
  <si>
    <t>Forming Molding fee</t>
  </si>
  <si>
    <t>Shaping molding fee</t>
  </si>
  <si>
    <t xml:space="preserve">Customized ceramic plate </t>
  </si>
  <si>
    <t>Livrée le 19/09/2025</t>
  </si>
  <si>
    <t>SZSE2510662</t>
  </si>
  <si>
    <t>FFAU1605529</t>
  </si>
  <si>
    <t>20250923-2</t>
  </si>
  <si>
    <t>OK 4943293.00-49</t>
  </si>
  <si>
    <t>Conforme fork+TS</t>
  </si>
  <si>
    <t>Acce0610001</t>
  </si>
  <si>
    <t>00165066</t>
  </si>
  <si>
    <t>00165065</t>
  </si>
  <si>
    <t>00165064</t>
  </si>
  <si>
    <t>OP TOP CHEF</t>
  </si>
  <si>
    <t>00017019</t>
  </si>
  <si>
    <t>00164695</t>
  </si>
  <si>
    <t>JAZZWAY</t>
  </si>
  <si>
    <t>00164617</t>
  </si>
  <si>
    <t>00164613</t>
  </si>
  <si>
    <t>ACCE0610005</t>
  </si>
  <si>
    <t>00164610</t>
  </si>
  <si>
    <t>00164614</t>
  </si>
  <si>
    <t>00164611</t>
  </si>
  <si>
    <t>00166222</t>
  </si>
  <si>
    <t>00166337</t>
  </si>
  <si>
    <t>00166336</t>
  </si>
  <si>
    <t>00166335</t>
  </si>
  <si>
    <t>00166001</t>
  </si>
  <si>
    <t>00166002</t>
  </si>
  <si>
    <t>00166346</t>
  </si>
  <si>
    <t>INTERMARCHE</t>
  </si>
  <si>
    <t>OK 4943293.00-52</t>
  </si>
  <si>
    <t>WANSHENG</t>
  </si>
  <si>
    <t>00164615</t>
  </si>
  <si>
    <t>00163975</t>
  </si>
  <si>
    <t>Livrée le 04/10/2025</t>
  </si>
  <si>
    <t>M24 GALAXY EN BOITE CARREFOUR HOME</t>
  </si>
  <si>
    <t>FOURCHETTE OPEN UNI COLOR ROUGE 3517C CARREFOUR HOME</t>
  </si>
  <si>
    <t>Quantité EN COMMANDE</t>
  </si>
  <si>
    <t>STATUT</t>
  </si>
  <si>
    <t>​3616957761702</t>
  </si>
  <si>
    <t>​3616957761719</t>
  </si>
  <si>
    <t>​3616957761740</t>
  </si>
  <si>
    <t>​3616957761733</t>
  </si>
  <si>
    <t>SUR BATEAU NON ANNULABLE</t>
  </si>
  <si>
    <t>COUTEAU DOTS CARREFOUR HOME</t>
  </si>
  <si>
    <t>PAS DE COMMANDE EN COURS</t>
  </si>
  <si>
    <t>​3616957761726</t>
  </si>
  <si>
    <t>M24 COLOR ROUGE PANTONE199C EN BOITE CARREFOUR HOME</t>
  </si>
  <si>
    <t>COUTEAU OPEN UNI COLOR ROUGE 3517C CARREFOUR HOME</t>
  </si>
  <si>
    <t>​3616957761610</t>
  </si>
  <si>
    <t>​3616957761634</t>
  </si>
  <si>
    <t>​3616957761627</t>
  </si>
  <si>
    <t>Cuillère à café OPEN UNI ROUGE CARREFOUR HOME</t>
  </si>
  <si>
    <t>Cuillère à soupe OPEN UNI ROUGE CARREFOUR HOME</t>
  </si>
  <si>
    <t>PO 00162318</t>
  </si>
  <si>
    <t>PO 00163975</t>
  </si>
  <si>
    <t>OK 4945056.00-3</t>
  </si>
  <si>
    <t>OK 4945056.00-4</t>
  </si>
  <si>
    <t>OK 4945056.00-5</t>
  </si>
  <si>
    <t>OK 4945056.00-6</t>
  </si>
  <si>
    <t>OK 4945056.00-7</t>
  </si>
  <si>
    <t>OK 4945056.00-9</t>
  </si>
  <si>
    <t>OK 4945056.00-10</t>
  </si>
  <si>
    <t>OK 4945056.00-11</t>
  </si>
  <si>
    <t>OK 4945056.00-8</t>
  </si>
  <si>
    <t>00167340</t>
  </si>
  <si>
    <t>00167330</t>
  </si>
  <si>
    <t>OK 4945056.00-28</t>
  </si>
  <si>
    <t>OK 4945056.00-15</t>
  </si>
  <si>
    <t>OK 4945056.00-14</t>
  </si>
  <si>
    <t>OK 4945056.00-13</t>
  </si>
  <si>
    <t>OK 4945056.00-12</t>
  </si>
  <si>
    <t>OK 4945056.00-16</t>
  </si>
  <si>
    <t>OK 4943293.00-50</t>
  </si>
  <si>
    <t>OK 4943293.00-51</t>
  </si>
  <si>
    <t>OK 4945056.00-17</t>
  </si>
  <si>
    <t>OK 4945056.00-18</t>
  </si>
  <si>
    <t>OK 4945056.00-19</t>
  </si>
  <si>
    <t>OK 4945056.00-20</t>
  </si>
  <si>
    <t>OK 4945056.00-21</t>
  </si>
  <si>
    <t>OK 4945056.00-22</t>
  </si>
  <si>
    <t>OK 4945056.00-23</t>
  </si>
  <si>
    <t>OK 4945056.00-24</t>
  </si>
  <si>
    <t>00017043</t>
  </si>
  <si>
    <t>MOLETTE INOX BRUTE PJT_LENIPO</t>
  </si>
  <si>
    <t>SZSE2511783</t>
  </si>
  <si>
    <t>SLEU2478628</t>
  </si>
  <si>
    <t>20251024-4</t>
  </si>
  <si>
    <t>OK 4945056.00-30</t>
  </si>
  <si>
    <t>FAIL 4945056.00-31</t>
  </si>
  <si>
    <t>20251024-1</t>
  </si>
  <si>
    <t>OK 4945056.00-26</t>
  </si>
  <si>
    <t>OK 4945056.00-27</t>
  </si>
  <si>
    <t>20251024-3</t>
  </si>
  <si>
    <t>OK 4945056.00-29</t>
  </si>
  <si>
    <t>20251024-2</t>
  </si>
  <si>
    <t>OK 4945056.00-25</t>
  </si>
  <si>
    <t>00168188</t>
  </si>
  <si>
    <t>OK 4946165.00-1</t>
  </si>
  <si>
    <t>FAIL 4946165.00-2</t>
  </si>
  <si>
    <t>FAIL 4946165.00-3</t>
  </si>
  <si>
    <t>OK 4946165.00-4</t>
  </si>
  <si>
    <t>OK 4946165.00-5</t>
  </si>
  <si>
    <t>OK 4946165.00-6</t>
  </si>
  <si>
    <t>OK 4946165.00-9</t>
  </si>
  <si>
    <t>OK 4946165.00-7</t>
  </si>
  <si>
    <t>OK 4946165.00-8</t>
  </si>
  <si>
    <t>OK 4946165.00-10</t>
  </si>
  <si>
    <t>OK 4946165.00-13</t>
  </si>
  <si>
    <t>OK 4946165.00-12</t>
  </si>
  <si>
    <t>OK 4946165.00-14</t>
  </si>
  <si>
    <t>OK 4946165.00-15</t>
  </si>
  <si>
    <t>OK 4946165.00-11</t>
  </si>
  <si>
    <t>00168237</t>
  </si>
  <si>
    <t>00168896</t>
  </si>
  <si>
    <t>00168929</t>
  </si>
  <si>
    <t>00168614</t>
  </si>
  <si>
    <t>Livrée le 13/10/2025</t>
  </si>
  <si>
    <t>Livrée le 12/11/2025</t>
  </si>
  <si>
    <t>SZSE2512124</t>
  </si>
  <si>
    <t>SEGU4602828</t>
  </si>
  <si>
    <t>25071401+25081301+25082602</t>
  </si>
  <si>
    <t>SZSE2512364</t>
  </si>
  <si>
    <t>NEOU2249915</t>
  </si>
  <si>
    <t>20251113A</t>
  </si>
  <si>
    <t>20251113B</t>
  </si>
  <si>
    <t>20251113C</t>
  </si>
  <si>
    <t>20251113D</t>
  </si>
  <si>
    <t>20251113E</t>
  </si>
  <si>
    <t>20251113I</t>
  </si>
  <si>
    <t>20251113F</t>
  </si>
  <si>
    <t>20251113G</t>
  </si>
  <si>
    <t>20251113H</t>
  </si>
  <si>
    <t>20251113J</t>
  </si>
  <si>
    <t>1 carton manquant</t>
  </si>
  <si>
    <t>00169032</t>
  </si>
  <si>
    <t>00169143</t>
  </si>
  <si>
    <t>00169318</t>
  </si>
  <si>
    <t>Appro 251008</t>
  </si>
  <si>
    <t>Livrée le 18/11/2025</t>
  </si>
  <si>
    <t>Livrée le 19/11/2025</t>
  </si>
  <si>
    <t>26-27/11/2025</t>
  </si>
  <si>
    <t>OK 4947566.00-5</t>
  </si>
  <si>
    <t>OK 4947566.00-4</t>
  </si>
  <si>
    <t>OK 4947566.00-1</t>
  </si>
  <si>
    <t>OK 4946165.00-54</t>
  </si>
  <si>
    <t>OK 4946165.00-50</t>
  </si>
  <si>
    <t>OK 4946165.00-51</t>
  </si>
  <si>
    <t>OK 4946165.00-52</t>
  </si>
  <si>
    <t>OK 4946165.00-53</t>
  </si>
  <si>
    <t>OK 4946165.00-46</t>
  </si>
  <si>
    <t>OK 4946165.00-47</t>
  </si>
  <si>
    <t>OK 4946165.00-48</t>
  </si>
  <si>
    <t>OK 4946165.00-40</t>
  </si>
  <si>
    <t>OK 4946165.00-17</t>
  </si>
  <si>
    <t>FAIL 4946165.00-49</t>
  </si>
  <si>
    <t>OK 4946165.00-44</t>
  </si>
  <si>
    <t>OK 4946165.00-45</t>
  </si>
  <si>
    <t>OK 4946165.00-39</t>
  </si>
  <si>
    <t>OK 4946165.00-41</t>
  </si>
  <si>
    <t>OK 4946165.00-42</t>
  </si>
  <si>
    <t>OK 4946165.00-43</t>
  </si>
  <si>
    <t>OK 4946165.00-35</t>
  </si>
  <si>
    <t>OK 4946165.00-36</t>
  </si>
  <si>
    <t>OK 4946165.00-37</t>
  </si>
  <si>
    <t>OK 4946165.00-18</t>
  </si>
  <si>
    <t>FAIL 4946165.00-20</t>
  </si>
  <si>
    <t>OK 4946165.00-21</t>
  </si>
  <si>
    <t>OK 4946165.00-23</t>
  </si>
  <si>
    <t>OK 4946165.00-19</t>
  </si>
  <si>
    <t>OK 4946165.00-22</t>
  </si>
  <si>
    <t>FAIL 4946165.00-24</t>
  </si>
  <si>
    <t>FAIL 4946165.00-25</t>
  </si>
  <si>
    <t>OK 4946165.00-26</t>
  </si>
  <si>
    <t>OK 4946165.00-16</t>
  </si>
  <si>
    <t>Livrée le 24/11/2025</t>
  </si>
  <si>
    <t>OK 4947566.00-6</t>
  </si>
  <si>
    <t xml:space="preserve">FAIL 4947566.00-7 </t>
  </si>
  <si>
    <t>OK 4947566.00-8</t>
  </si>
  <si>
    <t>OK 4947566.00-9</t>
  </si>
  <si>
    <t>OK 4947566.00-10</t>
  </si>
  <si>
    <t>OK 4947566.00-11</t>
  </si>
  <si>
    <t>OK 4947566.00-16</t>
  </si>
  <si>
    <t>FAIL 4947566.00-12</t>
  </si>
  <si>
    <t>FAIL 4947566.00-13</t>
  </si>
  <si>
    <t>FAIL 4947566.00-15</t>
  </si>
  <si>
    <t>OK 4947566.00-14</t>
  </si>
  <si>
    <t>CLSE25110040</t>
  </si>
  <si>
    <t>SGRU2235947</t>
  </si>
  <si>
    <t>2025H1117</t>
  </si>
  <si>
    <t>CMA CGM RIVOLI</t>
  </si>
  <si>
    <t>00169877</t>
  </si>
  <si>
    <t>EAST TOP</t>
  </si>
  <si>
    <t>00169477</t>
  </si>
  <si>
    <t>OK 4947566.00-26</t>
  </si>
  <si>
    <t>OK 4947566.00-27</t>
  </si>
  <si>
    <t>OK 4947566.00-24</t>
  </si>
  <si>
    <t>FAIL 4947566.00-25</t>
  </si>
  <si>
    <t>OK 4947566.00-20</t>
  </si>
  <si>
    <t>OK 4947566.00-22</t>
  </si>
  <si>
    <t>OK 4947566.00-23</t>
  </si>
  <si>
    <t>OK 4947566.00-21</t>
  </si>
  <si>
    <t>SZSE2512955</t>
  </si>
  <si>
    <t>SGRU2236310</t>
  </si>
  <si>
    <t>20251128E</t>
  </si>
  <si>
    <t>20251128D</t>
  </si>
  <si>
    <t>20251128C</t>
  </si>
  <si>
    <t>20251128B</t>
  </si>
  <si>
    <t>20251128A</t>
  </si>
  <si>
    <t>SZSE2513528</t>
  </si>
  <si>
    <t>BEAU4091177</t>
  </si>
  <si>
    <t>20251204-6</t>
  </si>
  <si>
    <t>20251204-1</t>
  </si>
  <si>
    <t>20251204-4</t>
  </si>
  <si>
    <t>20251204-2</t>
  </si>
  <si>
    <t>20251204-7</t>
  </si>
  <si>
    <t>20251204-5</t>
  </si>
  <si>
    <t>20251204-3</t>
  </si>
  <si>
    <t>SZSE2513336</t>
  </si>
  <si>
    <t>SGRU2236795</t>
  </si>
  <si>
    <t>20251204-1A</t>
  </si>
  <si>
    <t>20251204-3A</t>
  </si>
  <si>
    <t>20251204-5A</t>
  </si>
  <si>
    <t>20251204-4A</t>
  </si>
  <si>
    <t>20251204-2A</t>
  </si>
  <si>
    <t>SZSE2513232</t>
  </si>
  <si>
    <t>TCNU3339544</t>
  </si>
  <si>
    <t>CIAYVL25120201</t>
  </si>
  <si>
    <t>00171134</t>
  </si>
  <si>
    <t>OK 4947566.00-28</t>
  </si>
  <si>
    <t>OK 4947566.00-29</t>
  </si>
  <si>
    <t>OK 4947566.00-32</t>
  </si>
  <si>
    <t>OK 4947566.00-33</t>
  </si>
  <si>
    <t>FAIL 4947566.00-30</t>
  </si>
  <si>
    <t>OK 4947566.00-31</t>
  </si>
  <si>
    <t>SZSE2513585</t>
  </si>
  <si>
    <t>CMAU6128009</t>
  </si>
  <si>
    <t>2025H1105</t>
  </si>
  <si>
    <t>2025H1118</t>
  </si>
  <si>
    <t>TOP CHEF</t>
  </si>
  <si>
    <t>SYSTEM U</t>
  </si>
  <si>
    <t>FAIL 4947566.00-35</t>
  </si>
  <si>
    <t>FAIL 4947566.00-34</t>
  </si>
  <si>
    <t>SZSE2513234</t>
  </si>
  <si>
    <t>HY250902</t>
  </si>
  <si>
    <t>OK 4947566.00-36</t>
  </si>
  <si>
    <t>SZSE2513231</t>
  </si>
  <si>
    <t>GMW-B2025100917</t>
  </si>
  <si>
    <t>SZSE2513757</t>
  </si>
  <si>
    <t>CMAU8411614</t>
  </si>
  <si>
    <t>FAIL 4947566.00-54</t>
  </si>
  <si>
    <t>OK 4947566.00-55</t>
  </si>
  <si>
    <t>OK 4947566.00-37</t>
  </si>
  <si>
    <t>OK 4947566.00-38</t>
  </si>
  <si>
    <t>OK 4947566.00-39</t>
  </si>
  <si>
    <t>OK4947566.00-40</t>
  </si>
  <si>
    <t>OK 4947566.00-41</t>
  </si>
  <si>
    <t>OK 4947566.00-42</t>
  </si>
  <si>
    <t>SZSE2513485</t>
  </si>
  <si>
    <t>SI251213</t>
  </si>
  <si>
    <t>SZSE2513229</t>
  </si>
  <si>
    <t>SI251213B</t>
  </si>
  <si>
    <t>SZSE2513230</t>
  </si>
  <si>
    <t>25HY089</t>
  </si>
  <si>
    <t>SZSE2513797</t>
  </si>
  <si>
    <t>SGRU2234719</t>
  </si>
  <si>
    <t>2025H1119</t>
  </si>
  <si>
    <t>OK 4947566.00-56</t>
  </si>
  <si>
    <t>OK 4947566.00-43</t>
  </si>
  <si>
    <t>OK 4947566.00-44</t>
  </si>
  <si>
    <t>OK 4947566.00-45</t>
  </si>
  <si>
    <t>OK 4947566.00-46</t>
  </si>
  <si>
    <t>OK 4947566.00-47</t>
  </si>
  <si>
    <t>OK 4947566.00-48</t>
  </si>
  <si>
    <t>OK  4947566.00-49</t>
  </si>
  <si>
    <t>OK 4947566.00-50</t>
  </si>
  <si>
    <t>OK 4947566.00-51</t>
  </si>
  <si>
    <t>OK 4947566.00-52</t>
  </si>
  <si>
    <t>OK 4947566.00-53</t>
  </si>
  <si>
    <t>SZSE2513759</t>
  </si>
  <si>
    <t>SGRU2236645</t>
  </si>
  <si>
    <t>20251212B</t>
  </si>
  <si>
    <t>20251212C</t>
  </si>
  <si>
    <t>20251212D</t>
  </si>
  <si>
    <t>20251212A</t>
  </si>
  <si>
    <t>SZSE2513760</t>
  </si>
  <si>
    <t>SEGU4259410</t>
  </si>
  <si>
    <t>20251213-2</t>
  </si>
  <si>
    <t>20251213-1</t>
  </si>
  <si>
    <t>SZSE2513754</t>
  </si>
  <si>
    <t>25YH093</t>
  </si>
  <si>
    <t>SZSE2513755</t>
  </si>
  <si>
    <t>FAIL 4947566.00-58</t>
  </si>
  <si>
    <t>FAIL 4947566.00-57</t>
  </si>
  <si>
    <t>CLSE25120034</t>
  </si>
  <si>
    <t>ECMU5122415</t>
  </si>
  <si>
    <t>20251211-1</t>
  </si>
  <si>
    <t>CMA CGM LOUVRE</t>
  </si>
  <si>
    <t>NCR411</t>
  </si>
  <si>
    <t>SZSE2513794</t>
  </si>
  <si>
    <t>GMW-B2025090903-1</t>
  </si>
  <si>
    <t>SZSE2513756</t>
  </si>
  <si>
    <t>APZU4406614</t>
  </si>
  <si>
    <t>WL738</t>
  </si>
  <si>
    <t>OK 4947566.00-63</t>
  </si>
  <si>
    <t>OK 4947566.00-64</t>
  </si>
  <si>
    <t>OK 4947566.00-62</t>
  </si>
  <si>
    <t>00173245</t>
  </si>
  <si>
    <t>OK 4949587.00-1</t>
  </si>
  <si>
    <t>OK 4949587.00-2</t>
  </si>
  <si>
    <t>SZSE2600172</t>
  </si>
  <si>
    <t>TGBU3898959</t>
  </si>
  <si>
    <t>SZAE2505776</t>
  </si>
  <si>
    <t>TK6631</t>
  </si>
  <si>
    <t>AVION</t>
  </si>
  <si>
    <t>Livrée le 17/12/2025</t>
  </si>
  <si>
    <t>FAIL 4949587.00-11</t>
  </si>
  <si>
    <t>OK 4949587.00-4</t>
  </si>
  <si>
    <t>OK 4949587.00-3</t>
  </si>
  <si>
    <t>FAIL 4949587.00-6</t>
  </si>
  <si>
    <t>OK 4949587.00-5</t>
  </si>
  <si>
    <t>CLSE26010024</t>
  </si>
  <si>
    <t>CMAU4425815</t>
  </si>
  <si>
    <t>2026W-TA0200005</t>
  </si>
  <si>
    <t>CMA CGM CONCORDE</t>
  </si>
  <si>
    <t>CLSE26010023</t>
  </si>
  <si>
    <t>20251211-1A</t>
  </si>
  <si>
    <t>SZSE2600273</t>
  </si>
  <si>
    <t>SGRU2253998</t>
  </si>
  <si>
    <t>20251227-2</t>
  </si>
  <si>
    <t>20251227-4A</t>
  </si>
  <si>
    <t>SZSE2600298</t>
  </si>
  <si>
    <t>BMOU3185337</t>
  </si>
  <si>
    <t>20251227-2A</t>
  </si>
  <si>
    <t>20251227-5A</t>
  </si>
  <si>
    <t>20251227-1A</t>
  </si>
  <si>
    <t>20251227-3A</t>
  </si>
  <si>
    <t>20251227-1</t>
  </si>
  <si>
    <t>20251227-4</t>
  </si>
  <si>
    <t>20251227-3</t>
  </si>
  <si>
    <t>SZSE2600297</t>
  </si>
  <si>
    <t>YMMU1140160</t>
  </si>
  <si>
    <t>20251229C</t>
  </si>
  <si>
    <t>20251229B</t>
  </si>
  <si>
    <t>20251229D</t>
  </si>
  <si>
    <t>SZSE2514276</t>
  </si>
  <si>
    <t>FFAU4412631</t>
  </si>
  <si>
    <t>FFAU4995647</t>
  </si>
  <si>
    <t>CI2025122901</t>
  </si>
  <si>
    <t>OK 4949587.00-19</t>
  </si>
  <si>
    <t>OK 4949587.00-20</t>
  </si>
  <si>
    <t>OK 4949587.00-21</t>
  </si>
  <si>
    <t>OK 4949587.00-16</t>
  </si>
  <si>
    <t>OK 4949587.00-22</t>
  </si>
  <si>
    <t>OK 4949587.00-14</t>
  </si>
  <si>
    <t>OK 4949587.00-23</t>
  </si>
  <si>
    <t>OK 4949587.00-15</t>
  </si>
  <si>
    <t>OK 4949587.00-17</t>
  </si>
  <si>
    <t>OK 4949587.00-18</t>
  </si>
  <si>
    <t>OK 4949587.00-24</t>
  </si>
  <si>
    <t>OK 4949587.00-25</t>
  </si>
  <si>
    <t>SZSE2600280</t>
  </si>
  <si>
    <t>YMMU7519525</t>
  </si>
  <si>
    <t>25YH099</t>
  </si>
  <si>
    <t>SZSE2514284</t>
  </si>
  <si>
    <t>HY251201</t>
  </si>
  <si>
    <t>SZSE2514283</t>
  </si>
  <si>
    <t>SI260105C</t>
  </si>
  <si>
    <t>SI260105B</t>
  </si>
  <si>
    <t>SI260105</t>
  </si>
  <si>
    <t>00174089</t>
  </si>
  <si>
    <t>OK 4949587.00-26</t>
  </si>
  <si>
    <t>OK 4949587.00-27</t>
  </si>
  <si>
    <t>00173653</t>
  </si>
  <si>
    <t>Appro 251217</t>
  </si>
  <si>
    <t>00173651</t>
  </si>
  <si>
    <t>MINGHAO</t>
  </si>
  <si>
    <t>00173655</t>
  </si>
  <si>
    <t>00173657</t>
  </si>
  <si>
    <t>JIT GLOBAL</t>
  </si>
  <si>
    <t>00017062</t>
  </si>
  <si>
    <t>POLLYDA</t>
  </si>
  <si>
    <t>OK 4949587.00-28</t>
  </si>
  <si>
    <t>CLSE26010044</t>
  </si>
  <si>
    <t>CAAU6179886</t>
  </si>
  <si>
    <t>2026H1002</t>
  </si>
  <si>
    <t>CMA CGM SAINT GERMAIN</t>
  </si>
  <si>
    <t>FAIL 4949587.00-29</t>
  </si>
  <si>
    <t>SZSE2601044</t>
  </si>
  <si>
    <t>2026H1001</t>
  </si>
  <si>
    <t>SEGU5731455</t>
  </si>
  <si>
    <t>NEOU2252204</t>
  </si>
  <si>
    <t>OK 4951230.00-1</t>
  </si>
  <si>
    <t>OK 4951230.00-2</t>
  </si>
  <si>
    <t>OK 4951230.00-3</t>
  </si>
  <si>
    <t>OK 4949587.00-35</t>
  </si>
  <si>
    <t>OK 4947566.00-59</t>
  </si>
  <si>
    <t>OK 4949587.00-12</t>
  </si>
  <si>
    <t>OK 4949587.00-10</t>
  </si>
  <si>
    <t>OK 4949587.00-7</t>
  </si>
  <si>
    <t>OK 4951230.00-4</t>
  </si>
  <si>
    <t>OK 4951230.00-5</t>
  </si>
  <si>
    <t>CLSE26010066</t>
  </si>
  <si>
    <t>TCLU9614100</t>
  </si>
  <si>
    <t>20260114-2</t>
  </si>
  <si>
    <t>CMA CGM ZHENG HE</t>
  </si>
  <si>
    <t>20260114-1</t>
  </si>
  <si>
    <t>Livrée le 14/01/2026</t>
  </si>
  <si>
    <t>Livrée le 09/01/2026</t>
  </si>
  <si>
    <t>Livrée le 06/01/2026</t>
  </si>
  <si>
    <t>Livrée le 05/01/2026</t>
  </si>
  <si>
    <t>00174853</t>
  </si>
  <si>
    <t>GUANGWEI</t>
  </si>
  <si>
    <t>SZSE2601540</t>
  </si>
  <si>
    <t>JYSU2003813</t>
  </si>
  <si>
    <t>00174467</t>
  </si>
  <si>
    <t>00174464</t>
  </si>
  <si>
    <t>00174471</t>
  </si>
  <si>
    <t>00174076</t>
  </si>
  <si>
    <t>FSC100L2601121539</t>
  </si>
  <si>
    <t>00174711</t>
  </si>
  <si>
    <t>GIFI</t>
  </si>
  <si>
    <t>A envoyé</t>
  </si>
  <si>
    <t>00173654</t>
  </si>
  <si>
    <t>OK 4951230.00-11</t>
  </si>
  <si>
    <t>OK 4951230.00-12</t>
  </si>
  <si>
    <t>OK 4951230.00-13</t>
  </si>
  <si>
    <t>OK 4951230.00-16</t>
  </si>
  <si>
    <t>OK 4951230.00-19</t>
  </si>
  <si>
    <t>OK 4951230.00-20</t>
  </si>
  <si>
    <t>OK 4951230.00-21</t>
  </si>
  <si>
    <t>OK 4951230.00-23</t>
  </si>
  <si>
    <t>OK 4951230.00-41</t>
  </si>
  <si>
    <t>OK 4951230.00-8</t>
  </si>
  <si>
    <t>Nombre de mois 
(de la commande à la livraison)</t>
  </si>
  <si>
    <t>00017447</t>
  </si>
  <si>
    <t>OCEAN DIVERS</t>
  </si>
  <si>
    <t>DECATHLON</t>
  </si>
  <si>
    <t>Comp1350034</t>
  </si>
  <si>
    <t>00175019</t>
  </si>
  <si>
    <t>INTERMARCHE/GALEC</t>
  </si>
  <si>
    <t xml:space="preserve"> Réunion OP</t>
  </si>
  <si>
    <t>Livrée le 23/01/2026</t>
  </si>
  <si>
    <t>Livrée le 27/01/2026</t>
  </si>
  <si>
    <t>25112016-1</t>
  </si>
  <si>
    <t>NEOU2252312</t>
  </si>
  <si>
    <t>NEOU2252333</t>
  </si>
  <si>
    <t>OK 4951230.00-6</t>
  </si>
  <si>
    <t>OK 4951230.00-7</t>
  </si>
  <si>
    <t>OK 4951230.00-14</t>
  </si>
  <si>
    <t>OK 4951230.00-26</t>
  </si>
  <si>
    <t>OK 4951230.00-28</t>
  </si>
  <si>
    <t>OK 4951230.00-29</t>
  </si>
  <si>
    <t>OK 4951230.00-31</t>
  </si>
  <si>
    <t>OK 4951230.00-32</t>
  </si>
  <si>
    <t>OK 4951230.00-33</t>
  </si>
  <si>
    <t>OK 4951230.00-34</t>
  </si>
  <si>
    <t>OK 4951230.00-15</t>
  </si>
  <si>
    <t>OK 4951230.00-25</t>
  </si>
  <si>
    <t>OK 4951230.00-24</t>
  </si>
  <si>
    <t>OK 4951230.00-22</t>
  </si>
  <si>
    <t>OK 4951230.00-9</t>
  </si>
  <si>
    <t>OK 4951230.00-27</t>
  </si>
  <si>
    <t>OK 4951230.00-30</t>
  </si>
  <si>
    <t>OK 4951230.00-40</t>
  </si>
  <si>
    <t>OK 4951230.00-39</t>
  </si>
  <si>
    <t>OK 4951230.00-35</t>
  </si>
  <si>
    <t>OK 4951230.00-37</t>
  </si>
  <si>
    <t>OK 4951230.00-38</t>
  </si>
  <si>
    <t>OK 4951230.00-36</t>
  </si>
  <si>
    <t>OK 4951230.00-17</t>
  </si>
  <si>
    <t>OK 4951230.00-18</t>
  </si>
  <si>
    <t>OK 4951230.00-10</t>
  </si>
  <si>
    <t>SZSE2514313</t>
  </si>
  <si>
    <t>JYSU2003705</t>
  </si>
  <si>
    <t>HY25T001</t>
  </si>
  <si>
    <t>SZSE2601145</t>
  </si>
  <si>
    <t>GMW-B2025090903-3</t>
  </si>
  <si>
    <t>Livrée le 20/01/2026</t>
  </si>
  <si>
    <t>CLSE26020001</t>
  </si>
  <si>
    <t>ECMU5241733</t>
  </si>
  <si>
    <t>2026W-TA0200031</t>
  </si>
  <si>
    <t>CMA CGM JACQUES SAADE</t>
  </si>
  <si>
    <t>Livrée le 02/02/2026</t>
  </si>
  <si>
    <t>OK 4951230.00-42</t>
  </si>
  <si>
    <t>OK 4951230.00-43</t>
  </si>
  <si>
    <t>OK 4951230.00-44</t>
  </si>
  <si>
    <t>OK 4951230.00-45</t>
  </si>
  <si>
    <t>OK 4951230.00-47</t>
  </si>
  <si>
    <t>OK 4951230.00-46</t>
  </si>
  <si>
    <t>OK 4951230.00-55</t>
  </si>
  <si>
    <t>FAIL 4951230.00-50</t>
  </si>
  <si>
    <t>OK 4951230.00-49</t>
  </si>
  <si>
    <t>OK 4951230.00-56</t>
  </si>
  <si>
    <t>OK 4951230.00-57</t>
  </si>
  <si>
    <t>OK 4951230.00-58</t>
  </si>
  <si>
    <t>SZSE2601587</t>
  </si>
  <si>
    <t>CMAU5744735</t>
  </si>
  <si>
    <t>TBNSK20260130</t>
  </si>
  <si>
    <t>OK 4951230.00-51</t>
  </si>
  <si>
    <t>OK 4951230.00-52</t>
  </si>
  <si>
    <t>FAIL 4951230.00-53</t>
  </si>
  <si>
    <t>OK 4951230.00-48</t>
  </si>
  <si>
    <t>OK 4951230.00-54</t>
  </si>
  <si>
    <t>OK 4951230.00-59</t>
  </si>
  <si>
    <t>OK 4951230.00-62</t>
  </si>
  <si>
    <t>OK 4951230.00-63</t>
  </si>
  <si>
    <t>SZSE2601964</t>
  </si>
  <si>
    <t>CMAU7538142</t>
  </si>
  <si>
    <t>51003087B-1</t>
  </si>
  <si>
    <t>OK 4951230.00-66</t>
  </si>
  <si>
    <t>OK 4951230.00-67</t>
  </si>
  <si>
    <t>Livrée le 06/02/2026</t>
  </si>
  <si>
    <t>Livrée le 03/02/2026</t>
  </si>
  <si>
    <t>Livrée le 04/02/2026</t>
  </si>
  <si>
    <t>Livrée le 05/02/2026</t>
  </si>
  <si>
    <t>SZSE2602436</t>
  </si>
  <si>
    <t>TLLU4162583</t>
  </si>
  <si>
    <t>20260206-1</t>
  </si>
  <si>
    <t>20260206-2</t>
  </si>
  <si>
    <t>SZSE2601808</t>
  </si>
  <si>
    <t>RESU2004119</t>
  </si>
  <si>
    <t>SZSE2601807</t>
  </si>
  <si>
    <t>OK 4951230.00-68</t>
  </si>
  <si>
    <t>OK 4951230.00-69</t>
  </si>
  <si>
    <t>00017477</t>
  </si>
  <si>
    <t>Pas de n°</t>
  </si>
  <si>
    <t>JIUSHENG</t>
  </si>
  <si>
    <t>SI-20260204-1</t>
  </si>
  <si>
    <t>00017478</t>
  </si>
  <si>
    <t>00017492</t>
  </si>
  <si>
    <t>GUANGMING</t>
  </si>
  <si>
    <t>GOLD KNIFE</t>
  </si>
  <si>
    <t>00017490</t>
  </si>
  <si>
    <t>SZSE2601806</t>
  </si>
  <si>
    <t>2026H1004</t>
  </si>
  <si>
    <t>Livrée le 13/02/2026</t>
  </si>
  <si>
    <t>Livrée le 10/02/2026</t>
  </si>
  <si>
    <t>Livrée le 09/02/2026</t>
  </si>
  <si>
    <t>Non conforme</t>
  </si>
  <si>
    <t>00017531</t>
  </si>
  <si>
    <t>Livrée le 16/02/2026</t>
  </si>
  <si>
    <t>Livrée le 18/02/2026</t>
  </si>
  <si>
    <t>Livrée le 19/02/2026</t>
  </si>
  <si>
    <t>CLSE26020035</t>
  </si>
  <si>
    <t>CMAU6576723</t>
  </si>
  <si>
    <t>2026H1012</t>
  </si>
  <si>
    <t>CMA CGM LOUIS BLERIOT</t>
  </si>
  <si>
    <t>00176514</t>
  </si>
  <si>
    <t>Appro 260212</t>
  </si>
  <si>
    <t>00176713</t>
  </si>
  <si>
    <t>AOYAM</t>
  </si>
  <si>
    <t>00176880</t>
  </si>
  <si>
    <t>EPLU BOIS COULEUR AVEC RIV + SLV</t>
  </si>
  <si>
    <t>$0,250</t>
  </si>
  <si>
    <t>$9 000,00</t>
  </si>
  <si>
    <t>$52 099,70</t>
  </si>
  <si>
    <t>EPLUCHEUR BOIS ECO NATUREL</t>
  </si>
  <si>
    <t>$0,265</t>
  </si>
  <si>
    <t>$4 483,80</t>
  </si>
  <si>
    <t>LOT 6 CTX STEAK ECO NOIRS</t>
  </si>
  <si>
    <t>$0,722</t>
  </si>
  <si>
    <t>$32 541,98</t>
  </si>
  <si>
    <t>BEURRE LAG PALIS 12/10 MI GENCOD</t>
  </si>
  <si>
    <t>$0,444</t>
  </si>
  <si>
    <t>$6 073,92</t>
  </si>
  <si>
    <t>GMW-B2025090903-2</t>
  </si>
  <si>
    <t>00000001</t>
  </si>
  <si>
    <t>00177438</t>
  </si>
  <si>
    <t>00177439</t>
  </si>
  <si>
    <t>SZSE2602846</t>
  </si>
  <si>
    <t>CMAU8355260</t>
  </si>
  <si>
    <t>2026H1016B</t>
  </si>
  <si>
    <t>CMAU3481028</t>
  </si>
  <si>
    <t>2026H1016A</t>
  </si>
  <si>
    <t>TCNU4044888</t>
  </si>
  <si>
    <t>2026H1015</t>
  </si>
  <si>
    <t>GMW-B2026021005</t>
  </si>
  <si>
    <t>00173656</t>
  </si>
  <si>
    <t>00178307</t>
  </si>
  <si>
    <t>00176529</t>
  </si>
  <si>
    <t>OK 4953409.00</t>
  </si>
  <si>
    <t>OK 4952801.00-2</t>
  </si>
  <si>
    <t>OK 4952801.00-3</t>
  </si>
  <si>
    <t>OK 4952801.00-4</t>
  </si>
  <si>
    <t>OK 4952801.00-6</t>
  </si>
  <si>
    <t>OK 4952801.00-5</t>
  </si>
  <si>
    <t>OK 4952801.00-7</t>
  </si>
  <si>
    <t>OK 4952801.00-8</t>
  </si>
  <si>
    <t>OK 4952801.00-9</t>
  </si>
  <si>
    <t>OK 4952801.00-10</t>
  </si>
  <si>
    <t>Livrée le 12/03/2026</t>
  </si>
  <si>
    <t>Livrée le 11/03/2026</t>
  </si>
  <si>
    <t>Livrée le 26/02/2026</t>
  </si>
  <si>
    <t>Livrée le 28/02/2026</t>
  </si>
  <si>
    <t>Livrée le 16/03/2026</t>
  </si>
  <si>
    <t>Livrée le 17/03/2026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</si>
</sst>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40C]d\ mmmm\ yyyy;@"/>
    <numFmt numFmtId="165" formatCode="[$$-3C09]#,##0.000"/>
    <numFmt numFmtId="166" formatCode="[$$-3C09]#,##0.00"/>
    <numFmt numFmtId="167" formatCode="[$$-1004]#,##0.00"/>
    <numFmt numFmtId="168" formatCode="#,##0.0000"/>
    <numFmt numFmtId="169" formatCode="[$$-1004]#,##0"/>
    <numFmt numFmtId="170" formatCode="d/m/yy;@"/>
    <numFmt numFmtId="171" formatCode="_-[$$-3C09]* #,##0.00_-;\-[$$-3C09]* #,##0.00_-;_-[$$-3C09]* &quot;-&quot;????_-;_-@_-"/>
    <numFmt numFmtId="172" formatCode="_-[$$-409]* #,##0.00_ ;_-[$$-409]* \-#,##0.00\ ;_-[$$-409]* &quot;-&quot;??_ ;_-@_ "/>
  </numFmts>
  <fonts count="103" x14ac:knownFonts="1"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0"/>
      <name val="Calibri"/>
      <family val="2"/>
      <scheme val="minor"/>
    </font>
    <font>
      <b/>
      <strike/>
      <sz val="11"/>
      <color theme="0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000000"/>
      <name val="Tahoma"/>
      <family val="2"/>
    </font>
    <font>
      <sz val="10"/>
      <name val="Tahoma"/>
      <family val="2"/>
    </font>
    <font>
      <sz val="10"/>
      <color rgb="FF222222"/>
      <name val="Tahoma"/>
      <family val="2"/>
    </font>
    <font>
      <sz val="11"/>
      <color rgb="FF22222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indexed="64"/>
      </bottom>
      <diagonal/>
    </border>
    <border>
      <left style="medium">
        <color rgb="FFC00000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9" fontId="73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72" fillId="0" borderId="0"/>
    <xf numFmtId="0" fontId="72" fillId="0" borderId="0"/>
  </cellStyleXfs>
  <cellXfs count="659">
    <xf numFmtId="0" fontId="0" fillId="0" borderId="0" xfId="0"/>
    <xf numFmtId="49" fontId="75" fillId="0" borderId="0" xfId="0" applyNumberFormat="1" applyFont="1" applyAlignment="1">
      <alignment horizontal="center" vertical="center"/>
    </xf>
    <xf numFmtId="14" fontId="76" fillId="0" borderId="0" xfId="0" applyNumberFormat="1" applyFont="1" applyAlignment="1">
      <alignment horizontal="center" vertical="center"/>
    </xf>
    <xf numFmtId="164" fontId="74" fillId="0" borderId="0" xfId="0" applyNumberFormat="1" applyFont="1" applyAlignment="1">
      <alignment horizontal="center" vertical="center"/>
    </xf>
    <xf numFmtId="3" fontId="76" fillId="8" borderId="9" xfId="0" applyNumberFormat="1" applyFont="1" applyFill="1" applyBorder="1" applyAlignment="1" applyProtection="1">
      <alignment horizontal="center" vertical="center"/>
      <protection locked="0"/>
    </xf>
    <xf numFmtId="168" fontId="76" fillId="8" borderId="10" xfId="0" applyNumberFormat="1" applyFont="1" applyFill="1" applyBorder="1" applyAlignment="1" applyProtection="1">
      <alignment horizontal="center" vertical="center"/>
      <protection locked="0"/>
    </xf>
    <xf numFmtId="4" fontId="76" fillId="8" borderId="10" xfId="0" applyNumberFormat="1" applyFont="1" applyFill="1" applyBorder="1" applyAlignment="1" applyProtection="1">
      <alignment horizontal="center" vertical="center"/>
      <protection locked="0"/>
    </xf>
    <xf numFmtId="0" fontId="77" fillId="8" borderId="10" xfId="0" applyFont="1" applyFill="1" applyBorder="1" applyAlignment="1">
      <alignment horizontal="center" vertical="center"/>
    </xf>
    <xf numFmtId="0" fontId="74" fillId="8" borderId="10" xfId="0" applyFont="1" applyFill="1" applyBorder="1" applyAlignment="1">
      <alignment horizontal="center" vertical="center"/>
    </xf>
    <xf numFmtId="3" fontId="76" fillId="0" borderId="9" xfId="0" applyNumberFormat="1" applyFont="1" applyBorder="1" applyAlignment="1" applyProtection="1">
      <alignment horizontal="center" vertical="center"/>
      <protection locked="0"/>
    </xf>
    <xf numFmtId="168" fontId="76" fillId="0" borderId="10" xfId="0" applyNumberFormat="1" applyFont="1" applyBorder="1" applyAlignment="1" applyProtection="1">
      <alignment horizontal="center" vertical="center"/>
      <protection locked="0"/>
    </xf>
    <xf numFmtId="4" fontId="76" fillId="0" borderId="10" xfId="0" applyNumberFormat="1" applyFont="1" applyBorder="1" applyAlignment="1" applyProtection="1">
      <alignment horizontal="center" vertical="center"/>
      <protection locked="0"/>
    </xf>
    <xf numFmtId="0" fontId="75" fillId="0" borderId="12" xfId="0" applyFont="1" applyBorder="1" applyAlignment="1">
      <alignment horizontal="center" vertical="center"/>
    </xf>
    <xf numFmtId="0" fontId="75" fillId="0" borderId="10" xfId="0" applyFont="1" applyBorder="1" applyAlignment="1">
      <alignment horizontal="center" vertical="center"/>
    </xf>
    <xf numFmtId="14" fontId="76" fillId="0" borderId="10" xfId="0" applyNumberFormat="1" applyFont="1" applyBorder="1" applyAlignment="1">
      <alignment horizontal="center" vertical="center"/>
    </xf>
    <xf numFmtId="164" fontId="74" fillId="0" borderId="10" xfId="0" applyNumberFormat="1" applyFont="1" applyBorder="1" applyAlignment="1">
      <alignment horizontal="center" vertical="center"/>
    </xf>
    <xf numFmtId="0" fontId="74" fillId="8" borderId="10" xfId="0" applyFont="1" applyFill="1" applyBorder="1" applyAlignment="1" applyProtection="1">
      <alignment horizontal="center" vertical="center"/>
      <protection locked="0"/>
    </xf>
    <xf numFmtId="0" fontId="75" fillId="8" borderId="10" xfId="0" applyFont="1" applyFill="1" applyBorder="1" applyAlignment="1">
      <alignment horizontal="center"/>
    </xf>
    <xf numFmtId="164" fontId="74" fillId="8" borderId="10" xfId="0" applyNumberFormat="1" applyFont="1" applyFill="1" applyBorder="1" applyAlignment="1">
      <alignment horizontal="center" vertical="center"/>
    </xf>
    <xf numFmtId="0" fontId="75" fillId="8" borderId="10" xfId="0" applyFont="1" applyFill="1" applyBorder="1" applyAlignment="1" applyProtection="1">
      <alignment horizontal="center" vertical="center"/>
      <protection locked="0"/>
    </xf>
    <xf numFmtId="14" fontId="76" fillId="8" borderId="10" xfId="0" applyNumberFormat="1" applyFont="1" applyFill="1" applyBorder="1" applyAlignment="1">
      <alignment horizontal="center" vertical="center"/>
    </xf>
    <xf numFmtId="0" fontId="75" fillId="8" borderId="10" xfId="0" applyFont="1" applyFill="1" applyBorder="1" applyAlignment="1">
      <alignment horizontal="center" vertical="center"/>
    </xf>
    <xf numFmtId="0" fontId="76" fillId="0" borderId="10" xfId="0" applyFont="1" applyBorder="1" applyAlignment="1">
      <alignment horizontal="center" vertical="center"/>
    </xf>
    <xf numFmtId="0" fontId="76" fillId="8" borderId="12" xfId="0" applyFont="1" applyFill="1" applyBorder="1" applyAlignment="1" applyProtection="1">
      <alignment horizontal="center" vertical="center"/>
      <protection locked="0"/>
    </xf>
    <xf numFmtId="0" fontId="76" fillId="8" borderId="10" xfId="0" applyFont="1" applyFill="1" applyBorder="1" applyAlignment="1" applyProtection="1">
      <alignment horizontal="center" vertical="center"/>
      <protection locked="0"/>
    </xf>
    <xf numFmtId="0" fontId="78" fillId="8" borderId="10" xfId="0" applyFont="1" applyFill="1" applyBorder="1" applyAlignment="1" applyProtection="1">
      <alignment horizontal="center" vertical="center"/>
      <protection locked="0"/>
    </xf>
    <xf numFmtId="0" fontId="75" fillId="0" borderId="10" xfId="0" applyFont="1" applyBorder="1" applyAlignment="1" applyProtection="1">
      <alignment horizontal="center" vertical="center"/>
      <protection locked="0"/>
    </xf>
    <xf numFmtId="0" fontId="76" fillId="0" borderId="12" xfId="0" applyFont="1" applyBorder="1" applyAlignment="1">
      <alignment horizontal="center" vertical="center"/>
    </xf>
    <xf numFmtId="0" fontId="78" fillId="0" borderId="10" xfId="0" applyFont="1" applyBorder="1" applyAlignment="1">
      <alignment horizontal="center" vertical="center"/>
    </xf>
    <xf numFmtId="0" fontId="82" fillId="10" borderId="9" xfId="0" applyFont="1" applyFill="1" applyBorder="1" applyAlignment="1">
      <alignment horizontal="center" vertical="center"/>
    </xf>
    <xf numFmtId="0" fontId="82" fillId="10" borderId="10" xfId="0" applyFont="1" applyFill="1" applyBorder="1" applyAlignment="1" applyProtection="1">
      <alignment horizontal="center" vertical="center"/>
      <protection locked="0"/>
    </xf>
    <xf numFmtId="167" fontId="82" fillId="10" borderId="10" xfId="0" applyNumberFormat="1" applyFont="1" applyFill="1" applyBorder="1" applyAlignment="1">
      <alignment horizontal="center" vertical="center"/>
    </xf>
    <xf numFmtId="167" fontId="82" fillId="10" borderId="13" xfId="0" applyNumberFormat="1" applyFont="1" applyFill="1" applyBorder="1" applyAlignment="1">
      <alignment horizontal="center" vertical="center"/>
    </xf>
    <xf numFmtId="3" fontId="82" fillId="10" borderId="9" xfId="0" applyNumberFormat="1" applyFont="1" applyFill="1" applyBorder="1" applyAlignment="1" applyProtection="1">
      <alignment horizontal="center" vertical="center"/>
      <protection locked="0"/>
    </xf>
    <xf numFmtId="168" fontId="82" fillId="10" borderId="10" xfId="0" applyNumberFormat="1" applyFont="1" applyFill="1" applyBorder="1" applyAlignment="1" applyProtection="1">
      <alignment horizontal="center" vertical="center"/>
      <protection locked="0"/>
    </xf>
    <xf numFmtId="4" fontId="82" fillId="10" borderId="10" xfId="0" applyNumberFormat="1" applyFont="1" applyFill="1" applyBorder="1" applyAlignment="1" applyProtection="1">
      <alignment horizontal="center" vertical="center"/>
      <protection locked="0"/>
    </xf>
    <xf numFmtId="4" fontId="82" fillId="10" borderId="11" xfId="0" applyNumberFormat="1" applyFont="1" applyFill="1" applyBorder="1" applyAlignment="1">
      <alignment horizontal="center" vertical="center"/>
    </xf>
    <xf numFmtId="164" fontId="82" fillId="10" borderId="10" xfId="0" applyNumberFormat="1" applyFont="1" applyFill="1" applyBorder="1" applyAlignment="1">
      <alignment horizontal="center" vertical="center"/>
    </xf>
    <xf numFmtId="164" fontId="83" fillId="10" borderId="10" xfId="0" applyNumberFormat="1" applyFont="1" applyFill="1" applyBorder="1" applyAlignment="1">
      <alignment horizontal="center" vertical="center"/>
    </xf>
    <xf numFmtId="164" fontId="82" fillId="10" borderId="11" xfId="0" applyNumberFormat="1" applyFont="1" applyFill="1" applyBorder="1" applyAlignment="1">
      <alignment horizontal="center" vertical="center"/>
    </xf>
    <xf numFmtId="49" fontId="75" fillId="8" borderId="10" xfId="2" applyNumberFormat="1" applyFont="1" applyFill="1" applyBorder="1" applyAlignment="1" applyProtection="1">
      <alignment horizontal="center" vertical="center"/>
      <protection locked="0"/>
    </xf>
    <xf numFmtId="0" fontId="75" fillId="0" borderId="12" xfId="0" applyFont="1" applyBorder="1" applyAlignment="1" applyProtection="1">
      <alignment horizontal="center" vertical="center"/>
      <protection locked="0"/>
    </xf>
    <xf numFmtId="0" fontId="76" fillId="0" borderId="10" xfId="0" applyFont="1" applyBorder="1" applyAlignment="1" applyProtection="1">
      <alignment horizontal="center" vertical="center"/>
      <protection locked="0"/>
    </xf>
    <xf numFmtId="0" fontId="75" fillId="8" borderId="12" xfId="0" applyFont="1" applyFill="1" applyBorder="1" applyAlignment="1" applyProtection="1">
      <alignment horizontal="center" vertical="center"/>
      <protection locked="0"/>
    </xf>
    <xf numFmtId="0" fontId="81" fillId="10" borderId="11" xfId="0" applyFont="1" applyFill="1" applyBorder="1" applyAlignment="1">
      <alignment horizontal="center" vertical="center"/>
    </xf>
    <xf numFmtId="0" fontId="80" fillId="0" borderId="10" xfId="0" applyFont="1" applyBorder="1" applyAlignment="1">
      <alignment horizontal="center" vertical="center"/>
    </xf>
    <xf numFmtId="164" fontId="74" fillId="6" borderId="10" xfId="0" applyNumberFormat="1" applyFont="1" applyFill="1" applyBorder="1" applyAlignment="1">
      <alignment horizontal="center" vertical="center"/>
    </xf>
    <xf numFmtId="0" fontId="80" fillId="8" borderId="10" xfId="0" applyFont="1" applyFill="1" applyBorder="1" applyAlignment="1">
      <alignment horizontal="center" vertical="center"/>
    </xf>
    <xf numFmtId="14" fontId="82" fillId="10" borderId="10" xfId="0" applyNumberFormat="1" applyFont="1" applyFill="1" applyBorder="1" applyAlignment="1">
      <alignment horizontal="center" vertical="center"/>
    </xf>
    <xf numFmtId="0" fontId="82" fillId="10" borderId="10" xfId="0" applyFont="1" applyFill="1" applyBorder="1" applyAlignment="1">
      <alignment horizontal="center" vertical="center"/>
    </xf>
    <xf numFmtId="49" fontId="82" fillId="10" borderId="10" xfId="0" applyNumberFormat="1" applyFont="1" applyFill="1" applyBorder="1" applyAlignment="1">
      <alignment horizontal="center" vertical="center"/>
    </xf>
    <xf numFmtId="0" fontId="82" fillId="10" borderId="12" xfId="0" applyFont="1" applyFill="1" applyBorder="1" applyAlignment="1">
      <alignment horizontal="center" vertical="center"/>
    </xf>
    <xf numFmtId="165" fontId="82" fillId="10" borderId="13" xfId="0" applyNumberFormat="1" applyFont="1" applyFill="1" applyBorder="1" applyAlignment="1">
      <alignment horizontal="center" vertical="center"/>
    </xf>
    <xf numFmtId="166" fontId="82" fillId="10" borderId="9" xfId="0" applyNumberFormat="1" applyFont="1" applyFill="1" applyBorder="1" applyAlignment="1" applyProtection="1">
      <alignment horizontal="center" vertical="center"/>
      <protection locked="0"/>
    </xf>
    <xf numFmtId="0" fontId="83" fillId="10" borderId="10" xfId="0" applyFont="1" applyFill="1" applyBorder="1" applyAlignment="1" applyProtection="1">
      <alignment horizontal="center" vertical="center"/>
      <protection locked="0"/>
    </xf>
    <xf numFmtId="0" fontId="83" fillId="10" borderId="10" xfId="0" applyFont="1" applyFill="1" applyBorder="1" applyAlignment="1">
      <alignment horizontal="center" vertical="center"/>
    </xf>
    <xf numFmtId="164" fontId="82" fillId="10" borderId="12" xfId="0" applyNumberFormat="1" applyFont="1" applyFill="1" applyBorder="1" applyAlignment="1">
      <alignment horizontal="center" vertical="center"/>
    </xf>
    <xf numFmtId="0" fontId="82" fillId="10" borderId="11" xfId="0" applyFont="1" applyFill="1" applyBorder="1" applyAlignment="1">
      <alignment horizontal="center" vertical="center"/>
    </xf>
    <xf numFmtId="0" fontId="83" fillId="10" borderId="12" xfId="0" applyFont="1" applyFill="1" applyBorder="1" applyAlignment="1" applyProtection="1">
      <alignment horizontal="center" vertical="center"/>
      <protection locked="0"/>
    </xf>
    <xf numFmtId="168" fontId="76" fillId="8" borderId="15" xfId="0" applyNumberFormat="1" applyFont="1" applyFill="1" applyBorder="1" applyAlignment="1" applyProtection="1">
      <alignment horizontal="center" vertical="center"/>
      <protection locked="0"/>
    </xf>
    <xf numFmtId="0" fontId="80" fillId="8" borderId="10" xfId="0" applyFont="1" applyFill="1" applyBorder="1" applyAlignment="1">
      <alignment horizontal="center"/>
    </xf>
    <xf numFmtId="0" fontId="85" fillId="0" borderId="0" xfId="0" applyFont="1" applyAlignment="1">
      <alignment horizontal="center" vertical="center"/>
    </xf>
    <xf numFmtId="0" fontId="75" fillId="8" borderId="10" xfId="0" applyFont="1" applyFill="1" applyBorder="1" applyAlignment="1">
      <alignment horizontal="center" vertical="center" wrapText="1"/>
    </xf>
    <xf numFmtId="0" fontId="83" fillId="10" borderId="9" xfId="0" applyFont="1" applyFill="1" applyBorder="1" applyAlignment="1" applyProtection="1">
      <alignment horizontal="center" vertical="center"/>
      <protection locked="0"/>
    </xf>
    <xf numFmtId="0" fontId="82" fillId="10" borderId="10" xfId="0" applyFont="1" applyFill="1" applyBorder="1" applyAlignment="1">
      <alignment horizontal="center"/>
    </xf>
    <xf numFmtId="0" fontId="83" fillId="10" borderId="11" xfId="0" applyFont="1" applyFill="1" applyBorder="1" applyAlignment="1">
      <alignment horizontal="center" vertical="center"/>
    </xf>
    <xf numFmtId="0" fontId="78" fillId="0" borderId="12" xfId="0" applyFont="1" applyBorder="1" applyAlignment="1">
      <alignment horizontal="center" vertical="center"/>
    </xf>
    <xf numFmtId="0" fontId="76" fillId="8" borderId="10" xfId="0" applyFont="1" applyFill="1" applyBorder="1" applyAlignment="1">
      <alignment horizontal="center" vertical="center"/>
    </xf>
    <xf numFmtId="0" fontId="76" fillId="8" borderId="12" xfId="0" applyFont="1" applyFill="1" applyBorder="1" applyAlignment="1">
      <alignment horizontal="center" vertical="center"/>
    </xf>
    <xf numFmtId="0" fontId="75" fillId="8" borderId="12" xfId="0" applyFont="1" applyFill="1" applyBorder="1" applyAlignment="1">
      <alignment horizontal="center" vertical="center"/>
    </xf>
    <xf numFmtId="0" fontId="76" fillId="0" borderId="11" xfId="0" applyFont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89" fillId="0" borderId="0" xfId="0" applyFont="1"/>
    <xf numFmtId="0" fontId="89" fillId="0" borderId="9" xfId="0" applyFont="1" applyBorder="1" applyAlignment="1">
      <alignment horizontal="center" vertical="center"/>
    </xf>
    <xf numFmtId="14" fontId="89" fillId="0" borderId="10" xfId="0" applyNumberFormat="1" applyFont="1" applyBorder="1" applyAlignment="1">
      <alignment horizontal="center" vertical="center"/>
    </xf>
    <xf numFmtId="0" fontId="89" fillId="0" borderId="10" xfId="0" applyFont="1" applyBorder="1" applyAlignment="1">
      <alignment horizontal="center" vertical="center"/>
    </xf>
    <xf numFmtId="49" fontId="89" fillId="0" borderId="10" xfId="0" applyNumberFormat="1" applyFont="1" applyBorder="1" applyAlignment="1">
      <alignment horizontal="center" vertical="center"/>
    </xf>
    <xf numFmtId="0" fontId="89" fillId="4" borderId="11" xfId="0" applyFont="1" applyFill="1" applyBorder="1" applyAlignment="1">
      <alignment horizontal="center" vertical="center"/>
    </xf>
    <xf numFmtId="0" fontId="89" fillId="0" borderId="12" xfId="0" applyFont="1" applyBorder="1" applyAlignment="1">
      <alignment horizontal="center" vertical="center"/>
    </xf>
    <xf numFmtId="165" fontId="89" fillId="0" borderId="13" xfId="0" applyNumberFormat="1" applyFont="1" applyBorder="1" applyAlignment="1">
      <alignment horizontal="center" vertical="center"/>
    </xf>
    <xf numFmtId="166" fontId="89" fillId="0" borderId="9" xfId="0" applyNumberFormat="1" applyFont="1" applyBorder="1" applyAlignment="1" applyProtection="1">
      <alignment horizontal="center" vertical="center"/>
      <protection locked="0"/>
    </xf>
    <xf numFmtId="167" fontId="89" fillId="0" borderId="10" xfId="0" applyNumberFormat="1" applyFont="1" applyBorder="1" applyAlignment="1">
      <alignment horizontal="center" vertical="center"/>
    </xf>
    <xf numFmtId="167" fontId="89" fillId="0" borderId="13" xfId="0" applyNumberFormat="1" applyFont="1" applyBorder="1" applyAlignment="1">
      <alignment horizontal="center" vertical="center"/>
    </xf>
    <xf numFmtId="4" fontId="89" fillId="0" borderId="11" xfId="0" applyNumberFormat="1" applyFont="1" applyBorder="1" applyAlignment="1">
      <alignment horizontal="center" vertical="center"/>
    </xf>
    <xf numFmtId="0" fontId="89" fillId="0" borderId="11" xfId="0" applyFont="1" applyBorder="1" applyAlignment="1">
      <alignment horizontal="center" vertical="center"/>
    </xf>
    <xf numFmtId="164" fontId="89" fillId="0" borderId="12" xfId="0" applyNumberFormat="1" applyFont="1" applyBorder="1" applyAlignment="1">
      <alignment horizontal="center" vertical="center"/>
    </xf>
    <xf numFmtId="164" fontId="89" fillId="0" borderId="10" xfId="0" applyNumberFormat="1" applyFont="1" applyBorder="1" applyAlignment="1">
      <alignment horizontal="center" vertical="center"/>
    </xf>
    <xf numFmtId="0" fontId="89" fillId="8" borderId="10" xfId="0" applyFont="1" applyFill="1" applyBorder="1" applyAlignment="1" applyProtection="1">
      <alignment horizontal="center" vertical="center"/>
      <protection locked="0"/>
    </xf>
    <xf numFmtId="0" fontId="89" fillId="8" borderId="9" xfId="0" applyFont="1" applyFill="1" applyBorder="1" applyAlignment="1">
      <alignment horizontal="center" vertical="center"/>
    </xf>
    <xf numFmtId="14" fontId="89" fillId="8" borderId="10" xfId="0" applyNumberFormat="1" applyFont="1" applyFill="1" applyBorder="1" applyAlignment="1">
      <alignment horizontal="center" vertical="center"/>
    </xf>
    <xf numFmtId="0" fontId="89" fillId="8" borderId="10" xfId="0" applyFont="1" applyFill="1" applyBorder="1" applyAlignment="1">
      <alignment horizontal="center" vertical="center"/>
    </xf>
    <xf numFmtId="49" fontId="89" fillId="8" borderId="10" xfId="0" applyNumberFormat="1" applyFont="1" applyFill="1" applyBorder="1" applyAlignment="1">
      <alignment horizontal="center" vertical="center"/>
    </xf>
    <xf numFmtId="0" fontId="89" fillId="8" borderId="12" xfId="0" applyFont="1" applyFill="1" applyBorder="1" applyAlignment="1">
      <alignment horizontal="center" vertical="center"/>
    </xf>
    <xf numFmtId="165" fontId="89" fillId="8" borderId="13" xfId="0" applyNumberFormat="1" applyFont="1" applyFill="1" applyBorder="1" applyAlignment="1">
      <alignment horizontal="center" vertical="center"/>
    </xf>
    <xf numFmtId="166" fontId="89" fillId="8" borderId="9" xfId="0" applyNumberFormat="1" applyFont="1" applyFill="1" applyBorder="1" applyAlignment="1" applyProtection="1">
      <alignment horizontal="center" vertical="center"/>
      <protection locked="0"/>
    </xf>
    <xf numFmtId="167" fontId="89" fillId="8" borderId="10" xfId="0" applyNumberFormat="1" applyFont="1" applyFill="1" applyBorder="1" applyAlignment="1">
      <alignment horizontal="center" vertical="center"/>
    </xf>
    <xf numFmtId="167" fontId="89" fillId="8" borderId="13" xfId="0" applyNumberFormat="1" applyFont="1" applyFill="1" applyBorder="1" applyAlignment="1">
      <alignment horizontal="center" vertical="center"/>
    </xf>
    <xf numFmtId="4" fontId="89" fillId="8" borderId="11" xfId="0" applyNumberFormat="1" applyFont="1" applyFill="1" applyBorder="1" applyAlignment="1">
      <alignment horizontal="center" vertical="center"/>
    </xf>
    <xf numFmtId="0" fontId="89" fillId="8" borderId="11" xfId="0" applyFont="1" applyFill="1" applyBorder="1" applyAlignment="1">
      <alignment horizontal="center" vertical="center"/>
    </xf>
    <xf numFmtId="164" fontId="89" fillId="8" borderId="10" xfId="0" applyNumberFormat="1" applyFont="1" applyFill="1" applyBorder="1" applyAlignment="1">
      <alignment horizontal="center" vertical="center"/>
    </xf>
    <xf numFmtId="164" fontId="89" fillId="8" borderId="12" xfId="0" applyNumberFormat="1" applyFont="1" applyFill="1" applyBorder="1" applyAlignment="1">
      <alignment horizontal="center" vertical="center"/>
    </xf>
    <xf numFmtId="164" fontId="89" fillId="8" borderId="10" xfId="0" applyNumberFormat="1" applyFont="1" applyFill="1" applyBorder="1" applyAlignment="1" applyProtection="1">
      <alignment horizontal="center" vertical="center"/>
      <protection locked="0"/>
    </xf>
    <xf numFmtId="0" fontId="80" fillId="8" borderId="11" xfId="0" applyFont="1" applyFill="1" applyBorder="1" applyAlignment="1">
      <alignment horizontal="center" vertical="center"/>
    </xf>
    <xf numFmtId="0" fontId="74" fillId="8" borderId="11" xfId="0" applyFont="1" applyFill="1" applyBorder="1" applyAlignment="1">
      <alignment horizontal="center" vertical="center"/>
    </xf>
    <xf numFmtId="0" fontId="89" fillId="8" borderId="15" xfId="0" applyFont="1" applyFill="1" applyBorder="1" applyAlignment="1">
      <alignment horizontal="center" vertical="center"/>
    </xf>
    <xf numFmtId="0" fontId="72" fillId="8" borderId="11" xfId="0" applyFont="1" applyFill="1" applyBorder="1" applyAlignment="1">
      <alignment horizontal="center" vertical="center"/>
    </xf>
    <xf numFmtId="0" fontId="72" fillId="8" borderId="10" xfId="0" applyFont="1" applyFill="1" applyBorder="1" applyAlignment="1">
      <alignment horizontal="center" vertical="center"/>
    </xf>
    <xf numFmtId="0" fontId="90" fillId="10" borderId="10" xfId="0" applyFont="1" applyFill="1" applyBorder="1" applyAlignment="1">
      <alignment horizontal="center" vertical="center"/>
    </xf>
    <xf numFmtId="0" fontId="83" fillId="10" borderId="10" xfId="0" applyFont="1" applyFill="1" applyBorder="1" applyAlignment="1">
      <alignment horizontal="center"/>
    </xf>
    <xf numFmtId="0" fontId="91" fillId="10" borderId="10" xfId="0" applyFont="1" applyFill="1" applyBorder="1" applyAlignment="1">
      <alignment horizontal="center" vertical="center"/>
    </xf>
    <xf numFmtId="0" fontId="76" fillId="8" borderId="11" xfId="0" applyFont="1" applyFill="1" applyBorder="1" applyAlignment="1">
      <alignment horizontal="center" vertical="center"/>
    </xf>
    <xf numFmtId="14" fontId="71" fillId="8" borderId="10" xfId="0" applyNumberFormat="1" applyFont="1" applyFill="1" applyBorder="1" applyAlignment="1">
      <alignment horizontal="center" vertical="center"/>
    </xf>
    <xf numFmtId="0" fontId="81" fillId="10" borderId="10" xfId="0" applyFont="1" applyFill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89" fillId="11" borderId="0" xfId="0" applyFont="1" applyFill="1" applyAlignment="1">
      <alignment horizontal="center" vertical="center"/>
    </xf>
    <xf numFmtId="0" fontId="70" fillId="0" borderId="10" xfId="0" applyFont="1" applyBorder="1" applyAlignment="1">
      <alignment horizontal="center" vertical="center"/>
    </xf>
    <xf numFmtId="0" fontId="76" fillId="8" borderId="9" xfId="0" applyFont="1" applyFill="1" applyBorder="1" applyAlignment="1">
      <alignment horizontal="center" vertical="center"/>
    </xf>
    <xf numFmtId="49" fontId="76" fillId="8" borderId="10" xfId="0" applyNumberFormat="1" applyFont="1" applyFill="1" applyBorder="1" applyAlignment="1">
      <alignment horizontal="center" vertical="center"/>
    </xf>
    <xf numFmtId="0" fontId="70" fillId="8" borderId="10" xfId="0" applyFont="1" applyFill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19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0" fontId="69" fillId="8" borderId="10" xfId="0" applyFont="1" applyFill="1" applyBorder="1" applyAlignment="1">
      <alignment horizontal="center" vertical="center"/>
    </xf>
    <xf numFmtId="0" fontId="81" fillId="0" borderId="0" xfId="0" applyFont="1"/>
    <xf numFmtId="0" fontId="67" fillId="0" borderId="10" xfId="0" applyFont="1" applyBorder="1" applyAlignment="1">
      <alignment horizontal="center" vertical="center"/>
    </xf>
    <xf numFmtId="14" fontId="67" fillId="8" borderId="10" xfId="0" applyNumberFormat="1" applyFont="1" applyFill="1" applyBorder="1" applyAlignment="1">
      <alignment horizontal="center" vertical="center"/>
    </xf>
    <xf numFmtId="0" fontId="67" fillId="8" borderId="10" xfId="0" applyFont="1" applyFill="1" applyBorder="1" applyAlignment="1">
      <alignment horizontal="center" vertical="center"/>
    </xf>
    <xf numFmtId="0" fontId="71" fillId="8" borderId="10" xfId="0" applyFont="1" applyFill="1" applyBorder="1" applyAlignment="1">
      <alignment horizontal="center" vertical="center"/>
    </xf>
    <xf numFmtId="49" fontId="67" fillId="0" borderId="10" xfId="0" applyNumberFormat="1" applyFont="1" applyBorder="1" applyAlignment="1">
      <alignment horizontal="center" vertical="center"/>
    </xf>
    <xf numFmtId="0" fontId="67" fillId="0" borderId="9" xfId="0" applyFont="1" applyBorder="1" applyAlignment="1">
      <alignment horizontal="center" vertical="center"/>
    </xf>
    <xf numFmtId="0" fontId="78" fillId="8" borderId="10" xfId="0" applyFont="1" applyFill="1" applyBorder="1" applyAlignment="1">
      <alignment horizontal="center" vertical="center"/>
    </xf>
    <xf numFmtId="164" fontId="89" fillId="0" borderId="23" xfId="0" applyNumberFormat="1" applyFont="1" applyBorder="1" applyAlignment="1">
      <alignment horizontal="center" vertical="center"/>
    </xf>
    <xf numFmtId="164" fontId="89" fillId="8" borderId="23" xfId="0" applyNumberFormat="1" applyFont="1" applyFill="1" applyBorder="1" applyAlignment="1">
      <alignment horizontal="center" vertical="center"/>
    </xf>
    <xf numFmtId="164" fontId="82" fillId="10" borderId="23" xfId="0" applyNumberFormat="1" applyFont="1" applyFill="1" applyBorder="1" applyAlignment="1">
      <alignment horizontal="center" vertical="center"/>
    </xf>
    <xf numFmtId="1" fontId="82" fillId="10" borderId="27" xfId="0" applyNumberFormat="1" applyFont="1" applyFill="1" applyBorder="1" applyAlignment="1">
      <alignment horizontal="center" vertical="center"/>
    </xf>
    <xf numFmtId="171" fontId="89" fillId="8" borderId="10" xfId="0" applyNumberFormat="1" applyFont="1" applyFill="1" applyBorder="1" applyAlignment="1">
      <alignment horizontal="center" vertical="center"/>
    </xf>
    <xf numFmtId="171" fontId="89" fillId="0" borderId="10" xfId="0" applyNumberFormat="1" applyFont="1" applyBorder="1" applyAlignment="1">
      <alignment horizontal="center" vertical="center"/>
    </xf>
    <xf numFmtId="171" fontId="82" fillId="10" borderId="10" xfId="0" applyNumberFormat="1" applyFont="1" applyFill="1" applyBorder="1" applyAlignment="1">
      <alignment horizontal="center" vertical="center"/>
    </xf>
    <xf numFmtId="171" fontId="89" fillId="8" borderId="10" xfId="0" applyNumberFormat="1" applyFont="1" applyFill="1" applyBorder="1" applyAlignment="1" applyProtection="1">
      <alignment horizontal="center" vertical="center"/>
      <protection locked="0"/>
    </xf>
    <xf numFmtId="171" fontId="83" fillId="10" borderId="10" xfId="0" applyNumberFormat="1" applyFont="1" applyFill="1" applyBorder="1" applyAlignment="1" applyProtection="1">
      <alignment horizontal="center" vertical="center"/>
      <protection locked="0"/>
    </xf>
    <xf numFmtId="49" fontId="67" fillId="8" borderId="10" xfId="0" applyNumberFormat="1" applyFont="1" applyFill="1" applyBorder="1" applyAlignment="1">
      <alignment horizontal="center" vertical="center"/>
    </xf>
    <xf numFmtId="1" fontId="76" fillId="0" borderId="27" xfId="0" applyNumberFormat="1" applyFont="1" applyBorder="1" applyAlignment="1">
      <alignment horizontal="center" vertical="center"/>
    </xf>
    <xf numFmtId="1" fontId="76" fillId="8" borderId="27" xfId="0" applyNumberFormat="1" applyFont="1" applyFill="1" applyBorder="1" applyAlignment="1">
      <alignment horizontal="center" vertical="center"/>
    </xf>
    <xf numFmtId="14" fontId="89" fillId="12" borderId="10" xfId="0" applyNumberFormat="1" applyFont="1" applyFill="1" applyBorder="1" applyAlignment="1">
      <alignment horizontal="center" vertical="center"/>
    </xf>
    <xf numFmtId="0" fontId="89" fillId="12" borderId="10" xfId="0" applyFont="1" applyFill="1" applyBorder="1" applyAlignment="1">
      <alignment horizontal="center" vertical="center"/>
    </xf>
    <xf numFmtId="0" fontId="89" fillId="12" borderId="9" xfId="0" applyFont="1" applyFill="1" applyBorder="1" applyAlignment="1">
      <alignment horizontal="center" vertical="center"/>
    </xf>
    <xf numFmtId="49" fontId="89" fillId="12" borderId="10" xfId="0" applyNumberFormat="1" applyFont="1" applyFill="1" applyBorder="1" applyAlignment="1">
      <alignment horizontal="center" vertical="center"/>
    </xf>
    <xf numFmtId="0" fontId="68" fillId="8" borderId="10" xfId="0" applyFont="1" applyFill="1" applyBorder="1" applyAlignment="1">
      <alignment horizontal="center" vertical="center"/>
    </xf>
    <xf numFmtId="164" fontId="82" fillId="10" borderId="10" xfId="0" applyNumberFormat="1" applyFont="1" applyFill="1" applyBorder="1" applyAlignment="1" applyProtection="1">
      <alignment horizontal="center" vertical="center"/>
      <protection locked="0"/>
    </xf>
    <xf numFmtId="0" fontId="67" fillId="8" borderId="9" xfId="0" applyFont="1" applyFill="1" applyBorder="1" applyAlignment="1">
      <alignment horizontal="center" vertical="center"/>
    </xf>
    <xf numFmtId="0" fontId="67" fillId="12" borderId="10" xfId="0" applyFont="1" applyFill="1" applyBorder="1" applyAlignment="1">
      <alignment horizontal="center" vertical="center"/>
    </xf>
    <xf numFmtId="165" fontId="76" fillId="8" borderId="13" xfId="0" applyNumberFormat="1" applyFont="1" applyFill="1" applyBorder="1" applyAlignment="1">
      <alignment horizontal="center" vertical="center"/>
    </xf>
    <xf numFmtId="166" fontId="76" fillId="8" borderId="9" xfId="0" applyNumberFormat="1" applyFont="1" applyFill="1" applyBorder="1" applyAlignment="1" applyProtection="1">
      <alignment horizontal="center" vertical="center"/>
      <protection locked="0"/>
    </xf>
    <xf numFmtId="167" fontId="76" fillId="8" borderId="10" xfId="0" applyNumberFormat="1" applyFont="1" applyFill="1" applyBorder="1" applyAlignment="1">
      <alignment horizontal="center" vertical="center"/>
    </xf>
    <xf numFmtId="171" fontId="76" fillId="8" borderId="10" xfId="0" applyNumberFormat="1" applyFont="1" applyFill="1" applyBorder="1" applyAlignment="1">
      <alignment horizontal="center" vertical="center"/>
    </xf>
    <xf numFmtId="167" fontId="76" fillId="8" borderId="13" xfId="0" applyNumberFormat="1" applyFont="1" applyFill="1" applyBorder="1" applyAlignment="1">
      <alignment horizontal="center" vertical="center"/>
    </xf>
    <xf numFmtId="4" fontId="76" fillId="8" borderId="11" xfId="0" applyNumberFormat="1" applyFont="1" applyFill="1" applyBorder="1" applyAlignment="1">
      <alignment horizontal="center" vertical="center"/>
    </xf>
    <xf numFmtId="164" fontId="76" fillId="8" borderId="23" xfId="0" applyNumberFormat="1" applyFont="1" applyFill="1" applyBorder="1" applyAlignment="1">
      <alignment horizontal="center" vertical="center"/>
    </xf>
    <xf numFmtId="14" fontId="70" fillId="8" borderId="10" xfId="0" applyNumberFormat="1" applyFont="1" applyFill="1" applyBorder="1" applyAlignment="1">
      <alignment horizontal="center" vertical="center"/>
    </xf>
    <xf numFmtId="14" fontId="67" fillId="0" borderId="10" xfId="0" applyNumberFormat="1" applyFont="1" applyBorder="1" applyAlignment="1">
      <alignment horizontal="center" vertical="center"/>
    </xf>
    <xf numFmtId="0" fontId="67" fillId="12" borderId="9" xfId="0" applyFont="1" applyFill="1" applyBorder="1" applyAlignment="1">
      <alignment horizontal="center" vertical="center"/>
    </xf>
    <xf numFmtId="49" fontId="67" fillId="12" borderId="10" xfId="0" applyNumberFormat="1" applyFont="1" applyFill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6" fillId="0" borderId="0" xfId="0" applyFont="1"/>
    <xf numFmtId="0" fontId="78" fillId="8" borderId="12" xfId="0" applyFont="1" applyFill="1" applyBorder="1" applyAlignment="1">
      <alignment horizontal="center" vertical="center"/>
    </xf>
    <xf numFmtId="0" fontId="66" fillId="8" borderId="10" xfId="0" applyFont="1" applyFill="1" applyBorder="1" applyAlignment="1">
      <alignment horizontal="center" vertical="center"/>
    </xf>
    <xf numFmtId="0" fontId="82" fillId="10" borderId="13" xfId="0" applyFont="1" applyFill="1" applyBorder="1" applyAlignment="1">
      <alignment horizontal="center" vertical="center"/>
    </xf>
    <xf numFmtId="0" fontId="66" fillId="12" borderId="10" xfId="0" applyFont="1" applyFill="1" applyBorder="1" applyAlignment="1">
      <alignment horizontal="center" vertical="center"/>
    </xf>
    <xf numFmtId="164" fontId="80" fillId="0" borderId="23" xfId="0" applyNumberFormat="1" applyFont="1" applyBorder="1" applyAlignment="1">
      <alignment horizontal="center" vertical="center"/>
    </xf>
    <xf numFmtId="170" fontId="76" fillId="0" borderId="0" xfId="0" applyNumberFormat="1" applyFont="1" applyAlignment="1">
      <alignment horizontal="center" vertical="center"/>
    </xf>
    <xf numFmtId="1" fontId="76" fillId="0" borderId="0" xfId="0" applyNumberFormat="1" applyFont="1"/>
    <xf numFmtId="164" fontId="74" fillId="8" borderId="12" xfId="0" applyNumberFormat="1" applyFont="1" applyFill="1" applyBorder="1" applyAlignment="1">
      <alignment horizontal="center" vertical="center"/>
    </xf>
    <xf numFmtId="164" fontId="74" fillId="3" borderId="2" xfId="0" applyNumberFormat="1" applyFont="1" applyFill="1" applyBorder="1" applyAlignment="1">
      <alignment horizontal="center" vertical="center"/>
    </xf>
    <xf numFmtId="164" fontId="74" fillId="3" borderId="3" xfId="0" applyNumberFormat="1" applyFont="1" applyFill="1" applyBorder="1" applyAlignment="1">
      <alignment horizontal="center" vertical="center"/>
    </xf>
    <xf numFmtId="164" fontId="74" fillId="0" borderId="0" xfId="0" applyNumberFormat="1" applyFont="1" applyAlignment="1">
      <alignment vertical="center"/>
    </xf>
    <xf numFmtId="164" fontId="76" fillId="0" borderId="23" xfId="0" applyNumberFormat="1" applyFont="1" applyBorder="1" applyAlignment="1">
      <alignment horizontal="center" vertical="center"/>
    </xf>
    <xf numFmtId="0" fontId="65" fillId="0" borderId="10" xfId="0" applyFont="1" applyBorder="1" applyAlignment="1">
      <alignment horizontal="center" vertical="center"/>
    </xf>
    <xf numFmtId="0" fontId="64" fillId="0" borderId="10" xfId="0" applyFont="1" applyBorder="1" applyAlignment="1">
      <alignment horizontal="center" vertical="center"/>
    </xf>
    <xf numFmtId="0" fontId="63" fillId="0" borderId="0" xfId="0" applyFont="1"/>
    <xf numFmtId="164" fontId="83" fillId="10" borderId="23" xfId="0" applyNumberFormat="1" applyFont="1" applyFill="1" applyBorder="1" applyAlignment="1">
      <alignment horizontal="center" vertical="center"/>
    </xf>
    <xf numFmtId="0" fontId="67" fillId="8" borderId="12" xfId="0" applyFont="1" applyFill="1" applyBorder="1" applyAlignment="1">
      <alignment horizontal="center" vertical="center"/>
    </xf>
    <xf numFmtId="0" fontId="63" fillId="0" borderId="10" xfId="0" applyFont="1" applyBorder="1" applyAlignment="1">
      <alignment horizontal="center" vertical="center"/>
    </xf>
    <xf numFmtId="0" fontId="76" fillId="12" borderId="9" xfId="0" applyFont="1" applyFill="1" applyBorder="1" applyAlignment="1">
      <alignment horizontal="center" vertical="center"/>
    </xf>
    <xf numFmtId="14" fontId="76" fillId="12" borderId="10" xfId="0" applyNumberFormat="1" applyFont="1" applyFill="1" applyBorder="1" applyAlignment="1">
      <alignment horizontal="center" vertical="center"/>
    </xf>
    <xf numFmtId="0" fontId="76" fillId="12" borderId="10" xfId="0" applyFont="1" applyFill="1" applyBorder="1" applyAlignment="1">
      <alignment horizontal="center" vertical="center"/>
    </xf>
    <xf numFmtId="49" fontId="76" fillId="12" borderId="10" xfId="0" applyNumberFormat="1" applyFont="1" applyFill="1" applyBorder="1" applyAlignment="1">
      <alignment horizontal="center" vertical="center"/>
    </xf>
    <xf numFmtId="0" fontId="70" fillId="8" borderId="9" xfId="0" applyFont="1" applyFill="1" applyBorder="1" applyAlignment="1">
      <alignment horizontal="center" vertical="center"/>
    </xf>
    <xf numFmtId="49" fontId="70" fillId="8" borderId="10" xfId="0" applyNumberFormat="1" applyFont="1" applyFill="1" applyBorder="1" applyAlignment="1">
      <alignment horizontal="center" vertical="center"/>
    </xf>
    <xf numFmtId="0" fontId="63" fillId="8" borderId="10" xfId="0" applyFont="1" applyFill="1" applyBorder="1" applyAlignment="1">
      <alignment horizontal="center" vertical="center"/>
    </xf>
    <xf numFmtId="0" fontId="63" fillId="6" borderId="11" xfId="0" applyFont="1" applyFill="1" applyBorder="1" applyAlignment="1">
      <alignment horizontal="center" vertical="center"/>
    </xf>
    <xf numFmtId="0" fontId="63" fillId="12" borderId="10" xfId="0" applyFont="1" applyFill="1" applyBorder="1" applyAlignment="1">
      <alignment horizontal="center" vertical="center"/>
    </xf>
    <xf numFmtId="14" fontId="63" fillId="8" borderId="10" xfId="0" applyNumberFormat="1" applyFont="1" applyFill="1" applyBorder="1" applyAlignment="1">
      <alignment horizontal="center" vertical="center"/>
    </xf>
    <xf numFmtId="49" fontId="63" fillId="8" borderId="10" xfId="0" applyNumberFormat="1" applyFont="1" applyFill="1" applyBorder="1" applyAlignment="1">
      <alignment horizontal="center" vertical="center"/>
    </xf>
    <xf numFmtId="49" fontId="80" fillId="8" borderId="11" xfId="0" applyNumberFormat="1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165" fontId="63" fillId="0" borderId="0" xfId="0" applyNumberFormat="1" applyFont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167" fontId="63" fillId="0" borderId="0" xfId="0" applyNumberFormat="1" applyFont="1" applyAlignment="1">
      <alignment horizontal="center" vertical="center"/>
    </xf>
    <xf numFmtId="171" fontId="63" fillId="0" borderId="0" xfId="0" applyNumberFormat="1" applyFont="1" applyAlignment="1">
      <alignment horizontal="center" vertical="center"/>
    </xf>
    <xf numFmtId="3" fontId="63" fillId="0" borderId="0" xfId="0" applyNumberFormat="1" applyFont="1" applyAlignment="1">
      <alignment horizontal="center" vertical="center"/>
    </xf>
    <xf numFmtId="168" fontId="63" fillId="0" borderId="0" xfId="0" applyNumberFormat="1" applyFont="1" applyAlignment="1">
      <alignment horizontal="center" vertical="center"/>
    </xf>
    <xf numFmtId="4" fontId="63" fillId="0" borderId="0" xfId="0" applyNumberFormat="1" applyFont="1" applyAlignment="1">
      <alignment horizontal="center" vertical="center"/>
    </xf>
    <xf numFmtId="49" fontId="63" fillId="0" borderId="0" xfId="0" applyNumberFormat="1" applyFont="1" applyAlignment="1">
      <alignment horizontal="center" vertical="center"/>
    </xf>
    <xf numFmtId="164" fontId="63" fillId="0" borderId="0" xfId="0" applyNumberFormat="1" applyFont="1" applyAlignment="1">
      <alignment horizontal="center" vertical="center"/>
    </xf>
    <xf numFmtId="0" fontId="63" fillId="12" borderId="9" xfId="0" applyFont="1" applyFill="1" applyBorder="1" applyAlignment="1">
      <alignment horizontal="center" vertical="center"/>
    </xf>
    <xf numFmtId="49" fontId="63" fillId="12" borderId="10" xfId="0" applyNumberFormat="1" applyFont="1" applyFill="1" applyBorder="1" applyAlignment="1">
      <alignment horizontal="center" vertical="center"/>
    </xf>
    <xf numFmtId="0" fontId="63" fillId="8" borderId="11" xfId="0" applyFont="1" applyFill="1" applyBorder="1" applyAlignment="1">
      <alignment horizontal="center" vertical="center"/>
    </xf>
    <xf numFmtId="0" fontId="63" fillId="8" borderId="10" xfId="0" applyFont="1" applyFill="1" applyBorder="1" applyAlignment="1" applyProtection="1">
      <alignment horizontal="center" vertical="center"/>
      <protection locked="0"/>
    </xf>
    <xf numFmtId="0" fontId="63" fillId="11" borderId="0" xfId="0" applyFont="1" applyFill="1"/>
    <xf numFmtId="171" fontId="63" fillId="0" borderId="0" xfId="0" applyNumberFormat="1" applyFont="1"/>
    <xf numFmtId="164" fontId="63" fillId="0" borderId="0" xfId="0" applyNumberFormat="1" applyFont="1"/>
    <xf numFmtId="0" fontId="63" fillId="0" borderId="5" xfId="0" applyFont="1" applyBorder="1" applyAlignment="1">
      <alignment horizontal="center" vertical="center"/>
    </xf>
    <xf numFmtId="3" fontId="63" fillId="0" borderId="6" xfId="0" applyNumberFormat="1" applyFont="1" applyBorder="1" applyAlignment="1">
      <alignment horizontal="center" vertical="center"/>
    </xf>
    <xf numFmtId="3" fontId="63" fillId="0" borderId="0" xfId="0" applyNumberFormat="1" applyFont="1" applyAlignment="1">
      <alignment vertical="center"/>
    </xf>
    <xf numFmtId="1" fontId="76" fillId="0" borderId="0" xfId="0" applyNumberFormat="1" applyFont="1" applyAlignment="1">
      <alignment horizontal="center" vertical="center"/>
    </xf>
    <xf numFmtId="0" fontId="62" fillId="8" borderId="10" xfId="0" applyFont="1" applyFill="1" applyBorder="1" applyAlignment="1">
      <alignment horizontal="center" vertical="center"/>
    </xf>
    <xf numFmtId="0" fontId="62" fillId="0" borderId="9" xfId="0" applyFont="1" applyBorder="1" applyAlignment="1">
      <alignment horizontal="center" vertical="center"/>
    </xf>
    <xf numFmtId="49" fontId="62" fillId="0" borderId="10" xfId="0" applyNumberFormat="1" applyFont="1" applyBorder="1" applyAlignment="1">
      <alignment horizontal="center" vertical="center"/>
    </xf>
    <xf numFmtId="0" fontId="62" fillId="0" borderId="10" xfId="0" applyFont="1" applyBorder="1" applyAlignment="1">
      <alignment horizontal="center" vertical="center"/>
    </xf>
    <xf numFmtId="164" fontId="62" fillId="8" borderId="10" xfId="0" applyNumberFormat="1" applyFont="1" applyFill="1" applyBorder="1" applyAlignment="1">
      <alignment horizontal="center" vertical="center"/>
    </xf>
    <xf numFmtId="0" fontId="63" fillId="8" borderId="12" xfId="0" applyFont="1" applyFill="1" applyBorder="1" applyAlignment="1">
      <alignment horizontal="center" vertical="center"/>
    </xf>
    <xf numFmtId="165" fontId="63" fillId="8" borderId="13" xfId="0" applyNumberFormat="1" applyFont="1" applyFill="1" applyBorder="1" applyAlignment="1">
      <alignment horizontal="center" vertical="center"/>
    </xf>
    <xf numFmtId="166" fontId="63" fillId="8" borderId="9" xfId="0" applyNumberFormat="1" applyFont="1" applyFill="1" applyBorder="1" applyAlignment="1" applyProtection="1">
      <alignment horizontal="center" vertical="center"/>
      <protection locked="0"/>
    </xf>
    <xf numFmtId="167" fontId="63" fillId="8" borderId="10" xfId="0" applyNumberFormat="1" applyFont="1" applyFill="1" applyBorder="1" applyAlignment="1">
      <alignment horizontal="center" vertical="center"/>
    </xf>
    <xf numFmtId="171" fontId="63" fillId="8" borderId="10" xfId="0" applyNumberFormat="1" applyFont="1" applyFill="1" applyBorder="1" applyAlignment="1">
      <alignment horizontal="center" vertical="center"/>
    </xf>
    <xf numFmtId="167" fontId="63" fillId="8" borderId="13" xfId="0" applyNumberFormat="1" applyFont="1" applyFill="1" applyBorder="1" applyAlignment="1">
      <alignment horizontal="center" vertical="center"/>
    </xf>
    <xf numFmtId="4" fontId="63" fillId="8" borderId="11" xfId="0" applyNumberFormat="1" applyFont="1" applyFill="1" applyBorder="1" applyAlignment="1">
      <alignment horizontal="center" vertical="center"/>
    </xf>
    <xf numFmtId="164" fontId="76" fillId="8" borderId="11" xfId="0" applyNumberFormat="1" applyFont="1" applyFill="1" applyBorder="1" applyAlignment="1">
      <alignment horizontal="center" vertical="center"/>
    </xf>
    <xf numFmtId="164" fontId="76" fillId="8" borderId="10" xfId="0" applyNumberFormat="1" applyFont="1" applyFill="1" applyBorder="1" applyAlignment="1">
      <alignment horizontal="center" vertical="center"/>
    </xf>
    <xf numFmtId="0" fontId="63" fillId="8" borderId="9" xfId="0" applyFont="1" applyFill="1" applyBorder="1" applyAlignment="1">
      <alignment horizontal="center" vertical="center"/>
    </xf>
    <xf numFmtId="0" fontId="62" fillId="8" borderId="12" xfId="0" applyFont="1" applyFill="1" applyBorder="1" applyAlignment="1">
      <alignment horizontal="center" vertical="center"/>
    </xf>
    <xf numFmtId="0" fontId="89" fillId="0" borderId="15" xfId="0" applyFont="1" applyBorder="1" applyAlignment="1">
      <alignment horizontal="center" vertical="center"/>
    </xf>
    <xf numFmtId="0" fontId="83" fillId="10" borderId="12" xfId="0" applyFont="1" applyFill="1" applyBorder="1" applyAlignment="1">
      <alignment horizontal="center" vertical="center"/>
    </xf>
    <xf numFmtId="0" fontId="61" fillId="0" borderId="10" xfId="0" applyFont="1" applyBorder="1" applyAlignment="1">
      <alignment horizontal="center" vertical="center"/>
    </xf>
    <xf numFmtId="49" fontId="61" fillId="0" borderId="10" xfId="0" applyNumberFormat="1" applyFont="1" applyBorder="1" applyAlignment="1">
      <alignment horizontal="center" vertical="center"/>
    </xf>
    <xf numFmtId="14" fontId="61" fillId="8" borderId="10" xfId="0" applyNumberFormat="1" applyFont="1" applyFill="1" applyBorder="1" applyAlignment="1">
      <alignment horizontal="center" vertical="center"/>
    </xf>
    <xf numFmtId="0" fontId="61" fillId="8" borderId="10" xfId="0" applyFont="1" applyFill="1" applyBorder="1" applyAlignment="1">
      <alignment horizontal="center" vertical="center"/>
    </xf>
    <xf numFmtId="0" fontId="61" fillId="8" borderId="11" xfId="0" applyFont="1" applyFill="1" applyBorder="1" applyAlignment="1">
      <alignment horizontal="center" vertical="center"/>
    </xf>
    <xf numFmtId="0" fontId="59" fillId="0" borderId="0" xfId="0" applyFont="1"/>
    <xf numFmtId="0" fontId="92" fillId="0" borderId="0" xfId="0" applyFont="1" applyAlignment="1">
      <alignment horizontal="center"/>
    </xf>
    <xf numFmtId="0" fontId="93" fillId="0" borderId="10" xfId="0" applyFont="1" applyBorder="1" applyAlignment="1">
      <alignment horizontal="center" vertical="center" wrapText="1"/>
    </xf>
    <xf numFmtId="0" fontId="94" fillId="0" borderId="10" xfId="0" applyFont="1" applyBorder="1" applyAlignment="1">
      <alignment horizontal="center" vertical="center" wrapText="1"/>
    </xf>
    <xf numFmtId="0" fontId="92" fillId="0" borderId="0" xfId="0" applyFont="1"/>
    <xf numFmtId="0" fontId="92" fillId="12" borderId="10" xfId="0" applyFont="1" applyFill="1" applyBorder="1" applyAlignment="1">
      <alignment horizontal="center" vertical="center"/>
    </xf>
    <xf numFmtId="0" fontId="92" fillId="0" borderId="10" xfId="0" applyFont="1" applyBorder="1" applyAlignment="1">
      <alignment horizontal="center" vertical="center"/>
    </xf>
    <xf numFmtId="0" fontId="95" fillId="0" borderId="10" xfId="0" applyFont="1" applyBorder="1" applyAlignment="1" applyProtection="1">
      <alignment horizontal="center" vertical="center"/>
      <protection locked="0"/>
    </xf>
    <xf numFmtId="0" fontId="96" fillId="0" borderId="10" xfId="0" applyFont="1" applyBorder="1" applyAlignment="1">
      <alignment horizontal="center"/>
    </xf>
    <xf numFmtId="0" fontId="96" fillId="0" borderId="10" xfId="0" applyFont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1" fontId="96" fillId="0" borderId="10" xfId="0" applyNumberFormat="1" applyFont="1" applyBorder="1" applyAlignment="1">
      <alignment horizontal="center"/>
    </xf>
    <xf numFmtId="1" fontId="96" fillId="0" borderId="10" xfId="0" applyNumberFormat="1" applyFont="1" applyBorder="1" applyAlignment="1">
      <alignment horizontal="center" vertical="center"/>
    </xf>
    <xf numFmtId="0" fontId="92" fillId="13" borderId="10" xfId="0" applyFont="1" applyFill="1" applyBorder="1" applyAlignment="1">
      <alignment horizontal="center" vertical="center"/>
    </xf>
    <xf numFmtId="0" fontId="95" fillId="13" borderId="10" xfId="0" applyFont="1" applyFill="1" applyBorder="1" applyAlignment="1" applyProtection="1">
      <alignment horizontal="center" vertical="center"/>
      <protection locked="0"/>
    </xf>
    <xf numFmtId="49" fontId="58" fillId="13" borderId="10" xfId="0" applyNumberFormat="1" applyFont="1" applyFill="1" applyBorder="1" applyAlignment="1">
      <alignment horizontal="center" vertical="center"/>
    </xf>
    <xf numFmtId="0" fontId="66" fillId="12" borderId="9" xfId="0" applyFont="1" applyFill="1" applyBorder="1" applyAlignment="1">
      <alignment horizontal="center" vertical="center"/>
    </xf>
    <xf numFmtId="49" fontId="66" fillId="12" borderId="10" xfId="0" applyNumberFormat="1" applyFont="1" applyFill="1" applyBorder="1" applyAlignment="1">
      <alignment horizontal="center" vertical="center"/>
    </xf>
    <xf numFmtId="0" fontId="65" fillId="12" borderId="9" xfId="0" applyFont="1" applyFill="1" applyBorder="1" applyAlignment="1">
      <alignment horizontal="center" vertical="center"/>
    </xf>
    <xf numFmtId="49" fontId="65" fillId="12" borderId="10" xfId="0" applyNumberFormat="1" applyFont="1" applyFill="1" applyBorder="1" applyAlignment="1">
      <alignment horizontal="center" vertical="center"/>
    </xf>
    <xf numFmtId="0" fontId="65" fillId="12" borderId="10" xfId="0" applyFont="1" applyFill="1" applyBorder="1" applyAlignment="1">
      <alignment horizontal="center" vertical="center"/>
    </xf>
    <xf numFmtId="0" fontId="81" fillId="10" borderId="10" xfId="0" applyFont="1" applyFill="1" applyBorder="1" applyAlignment="1" applyProtection="1">
      <alignment horizontal="center" vertical="center"/>
      <protection locked="0"/>
    </xf>
    <xf numFmtId="0" fontId="80" fillId="11" borderId="10" xfId="0" applyFont="1" applyFill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56" fillId="0" borderId="0" xfId="0" applyFont="1"/>
    <xf numFmtId="0" fontId="57" fillId="8" borderId="15" xfId="0" applyFont="1" applyFill="1" applyBorder="1" applyAlignment="1">
      <alignment horizontal="center" vertical="center"/>
    </xf>
    <xf numFmtId="0" fontId="62" fillId="8" borderId="9" xfId="0" applyFont="1" applyFill="1" applyBorder="1" applyAlignment="1">
      <alignment horizontal="center" vertical="center"/>
    </xf>
    <xf numFmtId="49" fontId="62" fillId="8" borderId="10" xfId="0" applyNumberFormat="1" applyFont="1" applyFill="1" applyBorder="1" applyAlignment="1">
      <alignment horizontal="center" vertical="center"/>
    </xf>
    <xf numFmtId="14" fontId="62" fillId="8" borderId="10" xfId="0" applyNumberFormat="1" applyFont="1" applyFill="1" applyBorder="1" applyAlignment="1">
      <alignment horizontal="center" vertical="center"/>
    </xf>
    <xf numFmtId="164" fontId="62" fillId="8" borderId="23" xfId="0" applyNumberFormat="1" applyFont="1" applyFill="1" applyBorder="1" applyAlignment="1">
      <alignment horizontal="center" vertical="center"/>
    </xf>
    <xf numFmtId="164" fontId="62" fillId="8" borderId="12" xfId="0" applyNumberFormat="1" applyFont="1" applyFill="1" applyBorder="1" applyAlignment="1">
      <alignment horizontal="center" vertical="center"/>
    </xf>
    <xf numFmtId="0" fontId="62" fillId="12" borderId="10" xfId="0" applyFont="1" applyFill="1" applyBorder="1" applyAlignment="1">
      <alignment horizontal="center" vertical="center"/>
    </xf>
    <xf numFmtId="0" fontId="52" fillId="0" borderId="10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49" fontId="52" fillId="0" borderId="10" xfId="0" applyNumberFormat="1" applyFont="1" applyBorder="1" applyAlignment="1">
      <alignment horizontal="center" vertical="center"/>
    </xf>
    <xf numFmtId="0" fontId="51" fillId="0" borderId="10" xfId="0" applyFont="1" applyBorder="1" applyAlignment="1">
      <alignment horizontal="center" vertical="center"/>
    </xf>
    <xf numFmtId="0" fontId="97" fillId="0" borderId="10" xfId="0" applyFont="1" applyBorder="1" applyAlignment="1">
      <alignment horizontal="center"/>
    </xf>
    <xf numFmtId="0" fontId="89" fillId="11" borderId="0" xfId="0" applyFont="1" applyFill="1"/>
    <xf numFmtId="0" fontId="49" fillId="0" borderId="10" xfId="0" applyFont="1" applyBorder="1" applyAlignment="1">
      <alignment horizontal="center" vertical="center"/>
    </xf>
    <xf numFmtId="49" fontId="49" fillId="0" borderId="10" xfId="0" applyNumberFormat="1" applyFont="1" applyBorder="1" applyAlignment="1">
      <alignment horizontal="center" vertical="center"/>
    </xf>
    <xf numFmtId="0" fontId="49" fillId="0" borderId="9" xfId="0" applyFont="1" applyBorder="1" applyAlignment="1">
      <alignment horizontal="center" vertical="center"/>
    </xf>
    <xf numFmtId="0" fontId="49" fillId="8" borderId="11" xfId="0" applyFont="1" applyFill="1" applyBorder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58" fillId="12" borderId="10" xfId="0" applyFont="1" applyFill="1" applyBorder="1" applyAlignment="1">
      <alignment horizontal="center" vertical="center"/>
    </xf>
    <xf numFmtId="0" fontId="62" fillId="12" borderId="9" xfId="0" applyFont="1" applyFill="1" applyBorder="1" applyAlignment="1">
      <alignment horizontal="center" vertical="center"/>
    </xf>
    <xf numFmtId="49" fontId="62" fillId="12" borderId="10" xfId="0" applyNumberFormat="1" applyFont="1" applyFill="1" applyBorder="1" applyAlignment="1">
      <alignment horizontal="center" vertical="center"/>
    </xf>
    <xf numFmtId="49" fontId="46" fillId="0" borderId="10" xfId="0" applyNumberFormat="1" applyFont="1" applyBorder="1" applyAlignment="1">
      <alignment horizontal="center" vertical="center"/>
    </xf>
    <xf numFmtId="0" fontId="46" fillId="0" borderId="9" xfId="0" applyFont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46" fillId="8" borderId="11" xfId="0" applyFont="1" applyFill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5" fillId="12" borderId="10" xfId="0" applyFont="1" applyFill="1" applyBorder="1" applyAlignment="1">
      <alignment horizontal="center" vertical="center"/>
    </xf>
    <xf numFmtId="0" fontId="61" fillId="12" borderId="10" xfId="0" applyFont="1" applyFill="1" applyBorder="1" applyAlignment="1">
      <alignment horizontal="center" vertical="center"/>
    </xf>
    <xf numFmtId="0" fontId="45" fillId="8" borderId="10" xfId="0" applyFont="1" applyFill="1" applyBorder="1" applyAlignment="1">
      <alignment horizontal="center" vertical="center"/>
    </xf>
    <xf numFmtId="0" fontId="74" fillId="0" borderId="10" xfId="0" applyFont="1" applyBorder="1" applyAlignment="1">
      <alignment horizontal="center" vertical="center"/>
    </xf>
    <xf numFmtId="0" fontId="74" fillId="12" borderId="10" xfId="0" applyFont="1" applyFill="1" applyBorder="1" applyAlignment="1">
      <alignment horizontal="center" vertical="center"/>
    </xf>
    <xf numFmtId="0" fontId="44" fillId="8" borderId="10" xfId="0" applyFont="1" applyFill="1" applyBorder="1" applyAlignment="1">
      <alignment horizontal="center" vertical="center"/>
    </xf>
    <xf numFmtId="0" fontId="64" fillId="8" borderId="12" xfId="0" applyFont="1" applyFill="1" applyBorder="1" applyAlignment="1">
      <alignment horizontal="center" vertical="center"/>
    </xf>
    <xf numFmtId="14" fontId="66" fillId="8" borderId="10" xfId="0" applyNumberFormat="1" applyFont="1" applyFill="1" applyBorder="1" applyAlignment="1">
      <alignment horizontal="center" vertical="center"/>
    </xf>
    <xf numFmtId="0" fontId="43" fillId="8" borderId="10" xfId="0" applyFont="1" applyFill="1" applyBorder="1" applyAlignment="1">
      <alignment horizontal="center" vertical="center"/>
    </xf>
    <xf numFmtId="166" fontId="62" fillId="8" borderId="10" xfId="0" applyNumberFormat="1" applyFont="1" applyFill="1" applyBorder="1" applyAlignment="1">
      <alignment horizontal="center" vertical="center"/>
    </xf>
    <xf numFmtId="14" fontId="65" fillId="8" borderId="10" xfId="0" applyNumberFormat="1" applyFont="1" applyFill="1" applyBorder="1" applyAlignment="1">
      <alignment horizontal="center" vertical="center"/>
    </xf>
    <xf numFmtId="14" fontId="48" fillId="8" borderId="10" xfId="0" applyNumberFormat="1" applyFont="1" applyFill="1" applyBorder="1" applyAlignment="1">
      <alignment horizontal="center" vertical="center"/>
    </xf>
    <xf numFmtId="0" fontId="42" fillId="12" borderId="10" xfId="0" applyFont="1" applyFill="1" applyBorder="1" applyAlignment="1">
      <alignment horizontal="center" vertical="center"/>
    </xf>
    <xf numFmtId="49" fontId="60" fillId="12" borderId="10" xfId="0" applyNumberFormat="1" applyFont="1" applyFill="1" applyBorder="1" applyAlignment="1">
      <alignment horizontal="center" vertical="center"/>
    </xf>
    <xf numFmtId="0" fontId="42" fillId="8" borderId="10" xfId="0" applyFont="1" applyFill="1" applyBorder="1" applyAlignment="1">
      <alignment horizontal="center" vertical="center"/>
    </xf>
    <xf numFmtId="0" fontId="41" fillId="12" borderId="10" xfId="0" applyFont="1" applyFill="1" applyBorder="1" applyAlignment="1">
      <alignment horizontal="center" vertical="center"/>
    </xf>
    <xf numFmtId="165" fontId="62" fillId="12" borderId="10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61" fillId="12" borderId="9" xfId="0" applyFont="1" applyFill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38" fillId="8" borderId="10" xfId="0" applyFont="1" applyFill="1" applyBorder="1" applyAlignment="1">
      <alignment horizontal="center" vertical="center"/>
    </xf>
    <xf numFmtId="0" fontId="37" fillId="8" borderId="10" xfId="0" applyFont="1" applyFill="1" applyBorder="1" applyAlignment="1">
      <alignment horizontal="center" vertical="center"/>
    </xf>
    <xf numFmtId="166" fontId="62" fillId="12" borderId="10" xfId="0" applyNumberFormat="1" applyFont="1" applyFill="1" applyBorder="1" applyAlignment="1">
      <alignment horizontal="center" vertical="center"/>
    </xf>
    <xf numFmtId="0" fontId="36" fillId="12" borderId="10" xfId="0" applyFont="1" applyFill="1" applyBorder="1" applyAlignment="1">
      <alignment horizontal="center" vertical="center"/>
    </xf>
    <xf numFmtId="0" fontId="36" fillId="8" borderId="10" xfId="0" applyFont="1" applyFill="1" applyBorder="1" applyAlignment="1">
      <alignment horizontal="center" vertical="center"/>
    </xf>
    <xf numFmtId="49" fontId="35" fillId="0" borderId="10" xfId="0" applyNumberFormat="1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4" fillId="8" borderId="10" xfId="0" applyFont="1" applyFill="1" applyBorder="1" applyAlignment="1">
      <alignment horizontal="center" vertical="center"/>
    </xf>
    <xf numFmtId="0" fontId="33" fillId="0" borderId="0" xfId="0" applyFont="1"/>
    <xf numFmtId="0" fontId="32" fillId="8" borderId="10" xfId="0" applyFont="1" applyFill="1" applyBorder="1" applyAlignment="1">
      <alignment horizontal="center" vertical="center"/>
    </xf>
    <xf numFmtId="49" fontId="61" fillId="12" borderId="10" xfId="0" applyNumberFormat="1" applyFont="1" applyFill="1" applyBorder="1" applyAlignment="1">
      <alignment horizontal="center" vertical="center"/>
    </xf>
    <xf numFmtId="166" fontId="61" fillId="12" borderId="10" xfId="0" applyNumberFormat="1" applyFont="1" applyFill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11" borderId="10" xfId="0" applyFont="1" applyFill="1" applyBorder="1" applyAlignment="1">
      <alignment horizontal="center" vertical="center"/>
    </xf>
    <xf numFmtId="0" fontId="30" fillId="12" borderId="10" xfId="0" applyFont="1" applyFill="1" applyBorder="1" applyAlignment="1" applyProtection="1">
      <alignment horizontal="center" vertical="center"/>
      <protection locked="0"/>
    </xf>
    <xf numFmtId="164" fontId="30" fillId="0" borderId="23" xfId="0" applyNumberFormat="1" applyFont="1" applyBorder="1" applyAlignment="1">
      <alignment horizontal="center" vertical="center"/>
    </xf>
    <xf numFmtId="0" fontId="30" fillId="12" borderId="10" xfId="0" applyFont="1" applyFill="1" applyBorder="1" applyAlignment="1">
      <alignment horizontal="center" vertical="center"/>
    </xf>
    <xf numFmtId="0" fontId="70" fillId="12" borderId="9" xfId="0" applyFont="1" applyFill="1" applyBorder="1" applyAlignment="1">
      <alignment horizontal="center" vertical="center"/>
    </xf>
    <xf numFmtId="0" fontId="70" fillId="12" borderId="10" xfId="0" applyFont="1" applyFill="1" applyBorder="1" applyAlignment="1">
      <alignment horizontal="center" vertical="center"/>
    </xf>
    <xf numFmtId="49" fontId="70" fillId="12" borderId="10" xfId="0" applyNumberFormat="1" applyFont="1" applyFill="1" applyBorder="1" applyAlignment="1">
      <alignment horizontal="center" vertical="center"/>
    </xf>
    <xf numFmtId="14" fontId="33" fillId="8" borderId="10" xfId="0" applyNumberFormat="1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58" fillId="12" borderId="9" xfId="0" applyFont="1" applyFill="1" applyBorder="1" applyAlignment="1">
      <alignment horizontal="center" vertical="center"/>
    </xf>
    <xf numFmtId="49" fontId="58" fillId="12" borderId="10" xfId="0" applyNumberFormat="1" applyFont="1" applyFill="1" applyBorder="1" applyAlignment="1">
      <alignment horizontal="center" vertical="center"/>
    </xf>
    <xf numFmtId="0" fontId="28" fillId="12" borderId="10" xfId="0" applyFont="1" applyFill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49" fontId="28" fillId="0" borderId="10" xfId="0" applyNumberFormat="1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8" borderId="10" xfId="0" applyFont="1" applyFill="1" applyBorder="1" applyAlignment="1">
      <alignment horizontal="center" vertical="center"/>
    </xf>
    <xf numFmtId="49" fontId="27" fillId="0" borderId="10" xfId="0" applyNumberFormat="1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98" fillId="0" borderId="12" xfId="0" applyFont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4" fillId="8" borderId="10" xfId="0" applyFont="1" applyFill="1" applyBorder="1" applyAlignment="1">
      <alignment horizontal="center" vertical="center"/>
    </xf>
    <xf numFmtId="0" fontId="54" fillId="8" borderId="10" xfId="0" applyFont="1" applyFill="1" applyBorder="1" applyAlignment="1">
      <alignment horizontal="center" vertical="center"/>
    </xf>
    <xf numFmtId="0" fontId="53" fillId="8" borderId="10" xfId="0" applyFont="1" applyFill="1" applyBorder="1" applyAlignment="1">
      <alignment horizontal="center" vertical="center"/>
    </xf>
    <xf numFmtId="14" fontId="75" fillId="8" borderId="10" xfId="0" applyNumberFormat="1" applyFont="1" applyFill="1" applyBorder="1" applyAlignment="1">
      <alignment horizontal="center" vertical="center"/>
    </xf>
    <xf numFmtId="0" fontId="57" fillId="8" borderId="10" xfId="0" applyFont="1" applyFill="1" applyBorder="1" applyAlignment="1">
      <alignment horizontal="center" vertical="center"/>
    </xf>
    <xf numFmtId="0" fontId="71" fillId="8" borderId="9" xfId="0" applyFont="1" applyFill="1" applyBorder="1" applyAlignment="1">
      <alignment horizontal="center" vertical="center"/>
    </xf>
    <xf numFmtId="49" fontId="71" fillId="8" borderId="10" xfId="0" applyNumberFormat="1" applyFont="1" applyFill="1" applyBorder="1" applyAlignment="1">
      <alignment horizontal="center" vertical="center"/>
    </xf>
    <xf numFmtId="0" fontId="66" fillId="8" borderId="9" xfId="0" applyFont="1" applyFill="1" applyBorder="1" applyAlignment="1">
      <alignment horizontal="center" vertical="center"/>
    </xf>
    <xf numFmtId="49" fontId="66" fillId="8" borderId="10" xfId="0" applyNumberFormat="1" applyFont="1" applyFill="1" applyBorder="1" applyAlignment="1">
      <alignment horizontal="center" vertical="center"/>
    </xf>
    <xf numFmtId="0" fontId="84" fillId="8" borderId="10" xfId="0" applyFont="1" applyFill="1" applyBorder="1" applyAlignment="1">
      <alignment horizontal="center"/>
    </xf>
    <xf numFmtId="0" fontId="65" fillId="8" borderId="9" xfId="0" applyFont="1" applyFill="1" applyBorder="1" applyAlignment="1">
      <alignment horizontal="center" vertical="center"/>
    </xf>
    <xf numFmtId="49" fontId="65" fillId="8" borderId="10" xfId="0" applyNumberFormat="1" applyFont="1" applyFill="1" applyBorder="1" applyAlignment="1">
      <alignment horizontal="center" vertical="center"/>
    </xf>
    <xf numFmtId="0" fontId="65" fillId="8" borderId="10" xfId="0" applyFont="1" applyFill="1" applyBorder="1" applyAlignment="1">
      <alignment horizontal="center" vertical="center"/>
    </xf>
    <xf numFmtId="165" fontId="65" fillId="8" borderId="13" xfId="0" applyNumberFormat="1" applyFont="1" applyFill="1" applyBorder="1" applyAlignment="1">
      <alignment horizontal="center" vertical="center"/>
    </xf>
    <xf numFmtId="0" fontId="49" fillId="8" borderId="10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49" fillId="12" borderId="9" xfId="0" applyFont="1" applyFill="1" applyBorder="1" applyAlignment="1">
      <alignment horizontal="center" vertical="center"/>
    </xf>
    <xf numFmtId="49" fontId="49" fillId="12" borderId="10" xfId="0" applyNumberFormat="1" applyFont="1" applyFill="1" applyBorder="1" applyAlignment="1">
      <alignment horizontal="center" vertical="center"/>
    </xf>
    <xf numFmtId="0" fontId="49" fillId="12" borderId="10" xfId="0" applyFont="1" applyFill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1" fontId="74" fillId="11" borderId="13" xfId="0" applyNumberFormat="1" applyFont="1" applyFill="1" applyBorder="1" applyAlignment="1">
      <alignment horizontal="center" vertical="center"/>
    </xf>
    <xf numFmtId="1" fontId="74" fillId="0" borderId="13" xfId="0" applyNumberFormat="1" applyFont="1" applyBorder="1" applyAlignment="1">
      <alignment horizontal="center" vertical="center"/>
    </xf>
    <xf numFmtId="1" fontId="74" fillId="8" borderId="13" xfId="0" applyNumberFormat="1" applyFont="1" applyFill="1" applyBorder="1" applyAlignment="1">
      <alignment horizontal="center" vertical="center"/>
    </xf>
    <xf numFmtId="1" fontId="83" fillId="10" borderId="13" xfId="0" applyNumberFormat="1" applyFont="1" applyFill="1" applyBorder="1" applyAlignment="1">
      <alignment horizontal="center" vertical="center"/>
    </xf>
    <xf numFmtId="1" fontId="77" fillId="8" borderId="13" xfId="0" applyNumberFormat="1" applyFont="1" applyFill="1" applyBorder="1" applyAlignment="1">
      <alignment horizontal="center" vertical="center"/>
    </xf>
    <xf numFmtId="1" fontId="77" fillId="11" borderId="13" xfId="0" applyNumberFormat="1" applyFont="1" applyFill="1" applyBorder="1" applyAlignment="1">
      <alignment horizontal="center" vertical="center"/>
    </xf>
    <xf numFmtId="49" fontId="74" fillId="2" borderId="1" xfId="0" applyNumberFormat="1" applyFont="1" applyFill="1" applyBorder="1" applyAlignment="1">
      <alignment horizontal="center" vertical="center"/>
    </xf>
    <xf numFmtId="49" fontId="74" fillId="2" borderId="30" xfId="0" applyNumberFormat="1" applyFont="1" applyFill="1" applyBorder="1" applyAlignment="1">
      <alignment horizontal="center" vertical="center"/>
    </xf>
    <xf numFmtId="3" fontId="63" fillId="0" borderId="19" xfId="0" applyNumberFormat="1" applyFont="1" applyBorder="1" applyAlignment="1">
      <alignment horizontal="center" vertical="center"/>
    </xf>
    <xf numFmtId="164" fontId="63" fillId="0" borderId="31" xfId="0" applyNumberFormat="1" applyFont="1" applyBorder="1" applyAlignment="1">
      <alignment horizontal="center" vertical="center"/>
    </xf>
    <xf numFmtId="164" fontId="63" fillId="0" borderId="19" xfId="0" applyNumberFormat="1" applyFont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99" fillId="0" borderId="34" xfId="0" applyFont="1" applyBorder="1" applyAlignment="1">
      <alignment horizontal="center" vertical="center"/>
    </xf>
    <xf numFmtId="14" fontId="99" fillId="0" borderId="35" xfId="0" applyNumberFormat="1" applyFont="1" applyBorder="1" applyAlignment="1">
      <alignment horizontal="center" vertical="center" wrapText="1"/>
    </xf>
    <xf numFmtId="0" fontId="99" fillId="0" borderId="35" xfId="0" applyFont="1" applyBorder="1" applyAlignment="1">
      <alignment horizontal="center" vertical="center" wrapText="1"/>
    </xf>
    <xf numFmtId="49" fontId="99" fillId="0" borderId="35" xfId="0" applyNumberFormat="1" applyFont="1" applyBorder="1" applyAlignment="1">
      <alignment horizontal="center" vertical="center" wrapText="1"/>
    </xf>
    <xf numFmtId="1" fontId="99" fillId="0" borderId="35" xfId="0" applyNumberFormat="1" applyFont="1" applyBorder="1" applyAlignment="1">
      <alignment horizontal="center" vertical="center" wrapText="1"/>
    </xf>
    <xf numFmtId="166" fontId="99" fillId="0" borderId="35" xfId="1" applyNumberFormat="1" applyFont="1" applyFill="1" applyBorder="1" applyAlignment="1" applyProtection="1">
      <alignment horizontal="center" vertical="center"/>
      <protection locked="0"/>
    </xf>
    <xf numFmtId="169" fontId="99" fillId="0" borderId="35" xfId="0" applyNumberFormat="1" applyFont="1" applyBorder="1" applyAlignment="1">
      <alignment horizontal="center" vertical="center" wrapText="1"/>
    </xf>
    <xf numFmtId="0" fontId="99" fillId="0" borderId="36" xfId="0" applyFont="1" applyBorder="1" applyAlignment="1">
      <alignment horizontal="center" vertical="center" wrapText="1"/>
    </xf>
    <xf numFmtId="0" fontId="99" fillId="0" borderId="37" xfId="0" applyFont="1" applyBorder="1" applyAlignment="1">
      <alignment horizontal="center" vertical="center"/>
    </xf>
    <xf numFmtId="0" fontId="99" fillId="0" borderId="5" xfId="0" applyFont="1" applyBorder="1" applyAlignment="1">
      <alignment horizontal="center" vertical="center" wrapText="1"/>
    </xf>
    <xf numFmtId="165" fontId="99" fillId="0" borderId="6" xfId="0" applyNumberFormat="1" applyFont="1" applyBorder="1" applyAlignment="1">
      <alignment horizontal="center" vertical="center"/>
    </xf>
    <xf numFmtId="166" fontId="99" fillId="0" borderId="4" xfId="0" applyNumberFormat="1" applyFont="1" applyBorder="1" applyAlignment="1">
      <alignment horizontal="center" vertical="center" wrapText="1"/>
    </xf>
    <xf numFmtId="167" fontId="99" fillId="0" borderId="5" xfId="0" applyNumberFormat="1" applyFont="1" applyBorder="1" applyAlignment="1">
      <alignment horizontal="center" vertical="center" wrapText="1"/>
    </xf>
    <xf numFmtId="171" fontId="99" fillId="0" borderId="5" xfId="0" applyNumberFormat="1" applyFont="1" applyBorder="1" applyAlignment="1">
      <alignment horizontal="center" vertical="center" wrapText="1"/>
    </xf>
    <xf numFmtId="167" fontId="99" fillId="0" borderId="6" xfId="0" applyNumberFormat="1" applyFont="1" applyBorder="1" applyAlignment="1">
      <alignment horizontal="center" vertical="center" wrapText="1"/>
    </xf>
    <xf numFmtId="3" fontId="99" fillId="0" borderId="4" xfId="0" applyNumberFormat="1" applyFont="1" applyBorder="1" applyAlignment="1">
      <alignment horizontal="center" vertical="center" wrapText="1"/>
    </xf>
    <xf numFmtId="168" fontId="99" fillId="0" borderId="5" xfId="0" applyNumberFormat="1" applyFont="1" applyBorder="1" applyAlignment="1">
      <alignment horizontal="center" vertical="center" wrapText="1"/>
    </xf>
    <xf numFmtId="4" fontId="99" fillId="0" borderId="5" xfId="0" applyNumberFormat="1" applyFont="1" applyBorder="1" applyAlignment="1">
      <alignment horizontal="center" vertical="center" wrapText="1"/>
    </xf>
    <xf numFmtId="4" fontId="99" fillId="0" borderId="6" xfId="0" applyNumberFormat="1" applyFont="1" applyBorder="1" applyAlignment="1">
      <alignment horizontal="center" vertical="center" wrapText="1"/>
    </xf>
    <xf numFmtId="49" fontId="100" fillId="0" borderId="4" xfId="0" applyNumberFormat="1" applyFont="1" applyBorder="1" applyAlignment="1">
      <alignment horizontal="center" vertical="center" wrapText="1"/>
    </xf>
    <xf numFmtId="49" fontId="100" fillId="0" borderId="5" xfId="0" applyNumberFormat="1" applyFont="1" applyBorder="1" applyAlignment="1">
      <alignment horizontal="center" vertical="center" wrapText="1"/>
    </xf>
    <xf numFmtId="14" fontId="100" fillId="0" borderId="5" xfId="0" applyNumberFormat="1" applyFont="1" applyBorder="1" applyAlignment="1">
      <alignment horizontal="center" vertical="center" wrapText="1"/>
    </xf>
    <xf numFmtId="49" fontId="100" fillId="0" borderId="6" xfId="0" applyNumberFormat="1" applyFont="1" applyBorder="1" applyAlignment="1">
      <alignment horizontal="center" vertical="center" wrapText="1"/>
    </xf>
    <xf numFmtId="164" fontId="99" fillId="0" borderId="22" xfId="0" applyNumberFormat="1" applyFont="1" applyBorder="1" applyAlignment="1">
      <alignment horizontal="center" vertical="center" wrapText="1"/>
    </xf>
    <xf numFmtId="1" fontId="100" fillId="0" borderId="26" xfId="0" applyNumberFormat="1" applyFont="1" applyBorder="1" applyAlignment="1">
      <alignment horizontal="center" vertical="center" wrapText="1"/>
    </xf>
    <xf numFmtId="164" fontId="99" fillId="0" borderId="8" xfId="0" applyNumberFormat="1" applyFont="1" applyBorder="1" applyAlignment="1">
      <alignment horizontal="center" vertical="center" wrapText="1"/>
    </xf>
    <xf numFmtId="164" fontId="99" fillId="0" borderId="5" xfId="0" applyNumberFormat="1" applyFont="1" applyBorder="1" applyAlignment="1">
      <alignment horizontal="center" vertical="center" wrapText="1"/>
    </xf>
    <xf numFmtId="0" fontId="99" fillId="0" borderId="6" xfId="0" applyFont="1" applyBorder="1" applyAlignment="1">
      <alignment horizontal="center" vertical="center" wrapText="1"/>
    </xf>
    <xf numFmtId="0" fontId="101" fillId="0" borderId="0" xfId="0" applyFont="1"/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98" fillId="0" borderId="10" xfId="0" applyFont="1" applyBorder="1" applyAlignment="1">
      <alignment horizontal="center" vertical="center"/>
    </xf>
    <xf numFmtId="0" fontId="19" fillId="8" borderId="11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1" fontId="74" fillId="8" borderId="10" xfId="0" applyNumberFormat="1" applyFont="1" applyFill="1" applyBorder="1" applyAlignment="1">
      <alignment horizontal="center" vertical="center"/>
    </xf>
    <xf numFmtId="165" fontId="89" fillId="8" borderId="10" xfId="0" applyNumberFormat="1" applyFont="1" applyFill="1" applyBorder="1" applyAlignment="1">
      <alignment horizontal="center" vertical="center"/>
    </xf>
    <xf numFmtId="166" fontId="89" fillId="8" borderId="10" xfId="0" applyNumberFormat="1" applyFont="1" applyFill="1" applyBorder="1" applyAlignment="1" applyProtection="1">
      <alignment horizontal="center" vertical="center"/>
      <protection locked="0"/>
    </xf>
    <xf numFmtId="3" fontId="76" fillId="8" borderId="10" xfId="0" applyNumberFormat="1" applyFont="1" applyFill="1" applyBorder="1" applyAlignment="1" applyProtection="1">
      <alignment horizontal="center" vertical="center"/>
      <protection locked="0"/>
    </xf>
    <xf numFmtId="4" fontId="89" fillId="8" borderId="10" xfId="0" applyNumberFormat="1" applyFont="1" applyFill="1" applyBorder="1" applyAlignment="1">
      <alignment horizontal="center" vertical="center"/>
    </xf>
    <xf numFmtId="0" fontId="39" fillId="8" borderId="10" xfId="0" applyFont="1" applyFill="1" applyBorder="1" applyAlignment="1">
      <alignment horizontal="center" vertical="center"/>
    </xf>
    <xf numFmtId="0" fontId="39" fillId="8" borderId="11" xfId="0" applyFont="1" applyFill="1" applyBorder="1" applyAlignment="1">
      <alignment horizontal="center" vertical="center"/>
    </xf>
    <xf numFmtId="164" fontId="39" fillId="8" borderId="23" xfId="0" applyNumberFormat="1" applyFont="1" applyFill="1" applyBorder="1" applyAlignment="1">
      <alignment horizontal="center" vertical="center"/>
    </xf>
    <xf numFmtId="164" fontId="76" fillId="8" borderId="12" xfId="0" applyNumberFormat="1" applyFont="1" applyFill="1" applyBorder="1" applyAlignment="1">
      <alignment horizontal="center" vertical="center"/>
    </xf>
    <xf numFmtId="164" fontId="77" fillId="8" borderId="10" xfId="0" applyNumberFormat="1" applyFont="1" applyFill="1" applyBorder="1" applyAlignment="1">
      <alignment horizontal="center" vertical="center"/>
    </xf>
    <xf numFmtId="0" fontId="75" fillId="0" borderId="10" xfId="0" applyFont="1" applyBorder="1" applyAlignment="1">
      <alignment horizontal="center" vertical="center" wrapText="1"/>
    </xf>
    <xf numFmtId="0" fontId="18" fillId="12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3" fontId="89" fillId="8" borderId="10" xfId="0" applyNumberFormat="1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/>
    </xf>
    <xf numFmtId="3" fontId="37" fillId="8" borderId="10" xfId="0" applyNumberFormat="1" applyFont="1" applyFill="1" applyBorder="1" applyAlignment="1">
      <alignment horizontal="center" vertical="center"/>
    </xf>
    <xf numFmtId="14" fontId="58" fillId="8" borderId="10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65" fontId="63" fillId="0" borderId="0" xfId="0" applyNumberFormat="1" applyFont="1"/>
    <xf numFmtId="0" fontId="16" fillId="0" borderId="10" xfId="0" applyFont="1" applyBorder="1" applyAlignment="1">
      <alignment horizontal="center" vertical="center"/>
    </xf>
    <xf numFmtId="0" fontId="16" fillId="12" borderId="10" xfId="0" applyFont="1" applyFill="1" applyBorder="1" applyAlignment="1">
      <alignment horizontal="center" vertical="center"/>
    </xf>
    <xf numFmtId="14" fontId="89" fillId="8" borderId="15" xfId="0" applyNumberFormat="1" applyFont="1" applyFill="1" applyBorder="1" applyAlignment="1">
      <alignment horizontal="center" vertical="center"/>
    </xf>
    <xf numFmtId="1" fontId="74" fillId="8" borderId="18" xfId="0" applyNumberFormat="1" applyFont="1" applyFill="1" applyBorder="1" applyAlignment="1">
      <alignment horizontal="center" vertical="center"/>
    </xf>
    <xf numFmtId="0" fontId="89" fillId="8" borderId="17" xfId="0" applyFont="1" applyFill="1" applyBorder="1" applyAlignment="1">
      <alignment horizontal="center" vertical="center"/>
    </xf>
    <xf numFmtId="0" fontId="76" fillId="8" borderId="15" xfId="0" applyFont="1" applyFill="1" applyBorder="1" applyAlignment="1" applyProtection="1">
      <alignment horizontal="center" vertical="center"/>
      <protection locked="0"/>
    </xf>
    <xf numFmtId="165" fontId="89" fillId="8" borderId="18" xfId="0" applyNumberFormat="1" applyFont="1" applyFill="1" applyBorder="1" applyAlignment="1">
      <alignment horizontal="center" vertical="center"/>
    </xf>
    <xf numFmtId="166" fontId="89" fillId="8" borderId="16" xfId="0" applyNumberFormat="1" applyFont="1" applyFill="1" applyBorder="1" applyAlignment="1" applyProtection="1">
      <alignment horizontal="center" vertical="center"/>
      <protection locked="0"/>
    </xf>
    <xf numFmtId="167" fontId="89" fillId="8" borderId="15" xfId="0" applyNumberFormat="1" applyFont="1" applyFill="1" applyBorder="1" applyAlignment="1">
      <alignment horizontal="center" vertical="center"/>
    </xf>
    <xf numFmtId="171" fontId="89" fillId="8" borderId="15" xfId="0" applyNumberFormat="1" applyFont="1" applyFill="1" applyBorder="1" applyAlignment="1">
      <alignment horizontal="center" vertical="center"/>
    </xf>
    <xf numFmtId="167" fontId="89" fillId="8" borderId="18" xfId="0" applyNumberFormat="1" applyFont="1" applyFill="1" applyBorder="1" applyAlignment="1">
      <alignment horizontal="center" vertical="center"/>
    </xf>
    <xf numFmtId="3" fontId="76" fillId="8" borderId="16" xfId="0" applyNumberFormat="1" applyFont="1" applyFill="1" applyBorder="1" applyAlignment="1" applyProtection="1">
      <alignment horizontal="center" vertical="center"/>
      <protection locked="0"/>
    </xf>
    <xf numFmtId="4" fontId="76" fillId="8" borderId="15" xfId="0" applyNumberFormat="1" applyFont="1" applyFill="1" applyBorder="1" applyAlignment="1" applyProtection="1">
      <alignment horizontal="center" vertical="center"/>
      <protection locked="0"/>
    </xf>
    <xf numFmtId="4" fontId="89" fillId="8" borderId="17" xfId="0" applyNumberFormat="1" applyFont="1" applyFill="1" applyBorder="1" applyAlignment="1">
      <alignment horizontal="center" vertical="center"/>
    </xf>
    <xf numFmtId="14" fontId="76" fillId="8" borderId="15" xfId="0" applyNumberFormat="1" applyFont="1" applyFill="1" applyBorder="1" applyAlignment="1">
      <alignment horizontal="center" vertical="center"/>
    </xf>
    <xf numFmtId="0" fontId="75" fillId="8" borderId="15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49" fontId="57" fillId="8" borderId="10" xfId="0" applyNumberFormat="1" applyFont="1" applyFill="1" applyBorder="1" applyAlignment="1">
      <alignment horizontal="center" vertical="center"/>
    </xf>
    <xf numFmtId="166" fontId="63" fillId="12" borderId="10" xfId="0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57" fillId="12" borderId="9" xfId="0" applyFont="1" applyFill="1" applyBorder="1" applyAlignment="1">
      <alignment horizontal="center" vertical="center"/>
    </xf>
    <xf numFmtId="49" fontId="57" fillId="12" borderId="10" xfId="0" applyNumberFormat="1" applyFont="1" applyFill="1" applyBorder="1" applyAlignment="1">
      <alignment horizontal="center" vertical="center"/>
    </xf>
    <xf numFmtId="0" fontId="57" fillId="12" borderId="10" xfId="0" applyFont="1" applyFill="1" applyBorder="1" applyAlignment="1">
      <alignment horizontal="center" vertical="center"/>
    </xf>
    <xf numFmtId="0" fontId="15" fillId="12" borderId="10" xfId="0" applyFont="1" applyFill="1" applyBorder="1" applyAlignment="1">
      <alignment horizontal="center" vertical="center"/>
    </xf>
    <xf numFmtId="0" fontId="56" fillId="12" borderId="9" xfId="0" applyFont="1" applyFill="1" applyBorder="1" applyAlignment="1">
      <alignment horizontal="center" vertical="center"/>
    </xf>
    <xf numFmtId="49" fontId="56" fillId="12" borderId="10" xfId="0" applyNumberFormat="1" applyFont="1" applyFill="1" applyBorder="1" applyAlignment="1">
      <alignment horizontal="center" vertical="center"/>
    </xf>
    <xf numFmtId="0" fontId="56" fillId="12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164" fontId="74" fillId="8" borderId="15" xfId="0" applyNumberFormat="1" applyFont="1" applyFill="1" applyBorder="1" applyAlignment="1">
      <alignment horizontal="center" vertical="center"/>
    </xf>
    <xf numFmtId="14" fontId="51" fillId="8" borderId="10" xfId="0" applyNumberFormat="1" applyFont="1" applyFill="1" applyBorder="1" applyAlignment="1">
      <alignment horizontal="center" vertical="center"/>
    </xf>
    <xf numFmtId="166" fontId="76" fillId="12" borderId="10" xfId="0" applyNumberFormat="1" applyFont="1" applyFill="1" applyBorder="1" applyAlignment="1">
      <alignment horizontal="center" vertical="center"/>
    </xf>
    <xf numFmtId="0" fontId="77" fillId="12" borderId="10" xfId="0" applyFont="1" applyFill="1" applyBorder="1" applyAlignment="1">
      <alignment horizontal="center" vertical="center"/>
    </xf>
    <xf numFmtId="0" fontId="40" fillId="8" borderId="10" xfId="0" applyFont="1" applyFill="1" applyBorder="1" applyAlignment="1">
      <alignment horizontal="center" vertical="center"/>
    </xf>
    <xf numFmtId="0" fontId="67" fillId="8" borderId="11" xfId="0" applyFont="1" applyFill="1" applyBorder="1" applyAlignment="1">
      <alignment horizontal="center" vertical="center"/>
    </xf>
    <xf numFmtId="0" fontId="61" fillId="8" borderId="15" xfId="0" applyFont="1" applyFill="1" applyBorder="1" applyAlignment="1">
      <alignment horizontal="center" vertical="center"/>
    </xf>
    <xf numFmtId="0" fontId="89" fillId="8" borderId="14" xfId="0" applyFont="1" applyFill="1" applyBorder="1" applyAlignment="1">
      <alignment horizontal="center" vertical="center"/>
    </xf>
    <xf numFmtId="164" fontId="89" fillId="8" borderId="14" xfId="0" applyNumberFormat="1" applyFont="1" applyFill="1" applyBorder="1" applyAlignment="1">
      <alignment horizontal="center" vertical="center"/>
    </xf>
    <xf numFmtId="164" fontId="89" fillId="8" borderId="15" xfId="0" applyNumberFormat="1" applyFont="1" applyFill="1" applyBorder="1" applyAlignment="1">
      <alignment horizontal="center" vertical="center"/>
    </xf>
    <xf numFmtId="164" fontId="30" fillId="8" borderId="23" xfId="0" applyNumberFormat="1" applyFont="1" applyFill="1" applyBorder="1" applyAlignment="1">
      <alignment horizontal="center" vertical="center"/>
    </xf>
    <xf numFmtId="0" fontId="41" fillId="8" borderId="10" xfId="0" applyFont="1" applyFill="1" applyBorder="1" applyAlignment="1">
      <alignment horizontal="center" vertical="center"/>
    </xf>
    <xf numFmtId="165" fontId="62" fillId="8" borderId="10" xfId="0" applyNumberFormat="1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12" borderId="10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82" fillId="10" borderId="12" xfId="0" applyFont="1" applyFill="1" applyBorder="1" applyAlignment="1" applyProtection="1">
      <alignment horizontal="center" vertical="center"/>
      <protection locked="0"/>
    </xf>
    <xf numFmtId="0" fontId="58" fillId="8" borderId="10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61" fillId="8" borderId="12" xfId="0" applyFont="1" applyFill="1" applyBorder="1" applyAlignment="1">
      <alignment horizontal="center" vertical="center"/>
    </xf>
    <xf numFmtId="0" fontId="61" fillId="8" borderId="9" xfId="0" applyFont="1" applyFill="1" applyBorder="1" applyAlignment="1">
      <alignment horizontal="center" vertical="center"/>
    </xf>
    <xf numFmtId="49" fontId="60" fillId="8" borderId="10" xfId="0" applyNumberFormat="1" applyFont="1" applyFill="1" applyBorder="1" applyAlignment="1">
      <alignment horizontal="center" vertical="center"/>
    </xf>
    <xf numFmtId="14" fontId="49" fillId="8" borderId="10" xfId="0" applyNumberFormat="1" applyFont="1" applyFill="1" applyBorder="1" applyAlignment="1">
      <alignment horizontal="center" vertical="center"/>
    </xf>
    <xf numFmtId="14" fontId="57" fillId="8" borderId="10" xfId="0" applyNumberFormat="1" applyFont="1" applyFill="1" applyBorder="1" applyAlignment="1">
      <alignment horizontal="center" vertical="center"/>
    </xf>
    <xf numFmtId="172" fontId="21" fillId="8" borderId="10" xfId="0" applyNumberFormat="1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14" fontId="89" fillId="8" borderId="12" xfId="0" applyNumberFormat="1" applyFont="1" applyFill="1" applyBorder="1" applyAlignment="1">
      <alignment horizontal="center" vertical="center"/>
    </xf>
    <xf numFmtId="0" fontId="89" fillId="8" borderId="16" xfId="0" applyFont="1" applyFill="1" applyBorder="1" applyAlignment="1">
      <alignment horizontal="center" vertical="center"/>
    </xf>
    <xf numFmtId="49" fontId="89" fillId="8" borderId="15" xfId="0" applyNumberFormat="1" applyFont="1" applyFill="1" applyBorder="1" applyAlignment="1">
      <alignment horizontal="center" vertical="center"/>
    </xf>
    <xf numFmtId="0" fontId="75" fillId="8" borderId="15" xfId="0" applyFont="1" applyFill="1" applyBorder="1" applyAlignment="1">
      <alignment horizontal="center"/>
    </xf>
    <xf numFmtId="164" fontId="89" fillId="8" borderId="24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49" fontId="13" fillId="8" borderId="10" xfId="0" applyNumberFormat="1" applyFont="1" applyFill="1" applyBorder="1" applyAlignment="1">
      <alignment horizontal="center" vertical="center"/>
    </xf>
    <xf numFmtId="0" fontId="30" fillId="8" borderId="10" xfId="0" applyFont="1" applyFill="1" applyBorder="1" applyAlignment="1">
      <alignment horizontal="center" vertical="center"/>
    </xf>
    <xf numFmtId="0" fontId="31" fillId="8" borderId="10" xfId="0" applyFont="1" applyFill="1" applyBorder="1" applyAlignment="1">
      <alignment horizontal="center" vertical="center"/>
    </xf>
    <xf numFmtId="49" fontId="61" fillId="8" borderId="10" xfId="0" applyNumberFormat="1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horizontal="center" vertical="center"/>
    </xf>
    <xf numFmtId="166" fontId="61" fillId="8" borderId="10" xfId="0" applyNumberFormat="1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12" borderId="10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14" fontId="75" fillId="0" borderId="10" xfId="0" applyNumberFormat="1" applyFont="1" applyBorder="1" applyAlignment="1">
      <alignment horizontal="center" vertical="center"/>
    </xf>
    <xf numFmtId="49" fontId="5" fillId="8" borderId="10" xfId="0" applyNumberFormat="1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27" fillId="12" borderId="9" xfId="0" applyFont="1" applyFill="1" applyBorder="1" applyAlignment="1">
      <alignment horizontal="center" vertical="center"/>
    </xf>
    <xf numFmtId="0" fontId="61" fillId="8" borderId="16" xfId="0" applyFont="1" applyFill="1" applyBorder="1" applyAlignment="1">
      <alignment horizontal="center" vertical="center"/>
    </xf>
    <xf numFmtId="0" fontId="61" fillId="8" borderId="30" xfId="0" applyFont="1" applyFill="1" applyBorder="1" applyAlignment="1">
      <alignment horizontal="center" vertical="center"/>
    </xf>
    <xf numFmtId="14" fontId="89" fillId="8" borderId="19" xfId="0" applyNumberFormat="1" applyFont="1" applyFill="1" applyBorder="1" applyAlignment="1">
      <alignment horizontal="center" vertical="center"/>
    </xf>
    <xf numFmtId="0" fontId="89" fillId="8" borderId="19" xfId="0" applyFont="1" applyFill="1" applyBorder="1" applyAlignment="1">
      <alignment horizontal="center" vertical="center"/>
    </xf>
    <xf numFmtId="49" fontId="27" fillId="12" borderId="10" xfId="0" applyNumberFormat="1" applyFont="1" applyFill="1" applyBorder="1" applyAlignment="1">
      <alignment horizontal="center" vertical="center"/>
    </xf>
    <xf numFmtId="49" fontId="61" fillId="8" borderId="15" xfId="0" applyNumberFormat="1" applyFont="1" applyFill="1" applyBorder="1" applyAlignment="1">
      <alignment horizontal="center" vertical="center"/>
    </xf>
    <xf numFmtId="49" fontId="61" fillId="8" borderId="19" xfId="0" applyNumberFormat="1" applyFont="1" applyFill="1" applyBorder="1" applyAlignment="1">
      <alignment horizontal="center" vertical="center"/>
    </xf>
    <xf numFmtId="49" fontId="63" fillId="8" borderId="15" xfId="0" applyNumberFormat="1" applyFont="1" applyFill="1" applyBorder="1" applyAlignment="1">
      <alignment horizontal="center" vertical="center"/>
    </xf>
    <xf numFmtId="0" fontId="27" fillId="12" borderId="10" xfId="0" applyFont="1" applyFill="1" applyBorder="1" applyAlignment="1">
      <alignment horizontal="center" vertical="center"/>
    </xf>
    <xf numFmtId="0" fontId="61" fillId="8" borderId="19" xfId="0" applyFont="1" applyFill="1" applyBorder="1" applyAlignment="1">
      <alignment horizontal="center" vertical="center"/>
    </xf>
    <xf numFmtId="0" fontId="63" fillId="8" borderId="15" xfId="0" applyFont="1" applyFill="1" applyBorder="1" applyAlignment="1">
      <alignment horizontal="center" vertical="center"/>
    </xf>
    <xf numFmtId="1" fontId="74" fillId="8" borderId="32" xfId="0" applyNumberFormat="1" applyFont="1" applyFill="1" applyBorder="1" applyAlignment="1">
      <alignment horizontal="center" vertical="center"/>
    </xf>
    <xf numFmtId="0" fontId="89" fillId="14" borderId="11" xfId="0" applyFont="1" applyFill="1" applyBorder="1" applyAlignment="1">
      <alignment horizontal="center" vertical="center"/>
    </xf>
    <xf numFmtId="0" fontId="71" fillId="8" borderId="11" xfId="0" applyFont="1" applyFill="1" applyBorder="1" applyAlignment="1">
      <alignment horizontal="center" vertical="center"/>
    </xf>
    <xf numFmtId="0" fontId="89" fillId="8" borderId="31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61" fillId="8" borderId="21" xfId="0" applyFont="1" applyFill="1" applyBorder="1" applyAlignment="1">
      <alignment horizontal="center" vertical="center"/>
    </xf>
    <xf numFmtId="0" fontId="76" fillId="8" borderId="19" xfId="0" applyFont="1" applyFill="1" applyBorder="1" applyAlignment="1" applyProtection="1">
      <alignment horizontal="center" vertical="center"/>
      <protection locked="0"/>
    </xf>
    <xf numFmtId="165" fontId="89" fillId="8" borderId="32" xfId="0" applyNumberFormat="1" applyFont="1" applyFill="1" applyBorder="1" applyAlignment="1">
      <alignment horizontal="center" vertical="center"/>
    </xf>
    <xf numFmtId="166" fontId="89" fillId="8" borderId="30" xfId="0" applyNumberFormat="1" applyFont="1" applyFill="1" applyBorder="1" applyAlignment="1" applyProtection="1">
      <alignment horizontal="center" vertical="center"/>
      <protection locked="0"/>
    </xf>
    <xf numFmtId="167" fontId="89" fillId="8" borderId="19" xfId="0" applyNumberFormat="1" applyFont="1" applyFill="1" applyBorder="1" applyAlignment="1">
      <alignment horizontal="center" vertical="center"/>
    </xf>
    <xf numFmtId="167" fontId="89" fillId="8" borderId="32" xfId="0" applyNumberFormat="1" applyFont="1" applyFill="1" applyBorder="1" applyAlignment="1">
      <alignment horizontal="center" vertical="center"/>
    </xf>
    <xf numFmtId="3" fontId="76" fillId="8" borderId="30" xfId="0" applyNumberFormat="1" applyFont="1" applyFill="1" applyBorder="1" applyAlignment="1" applyProtection="1">
      <alignment horizontal="center" vertical="center"/>
      <protection locked="0"/>
    </xf>
    <xf numFmtId="168" fontId="82" fillId="10" borderId="15" xfId="0" applyNumberFormat="1" applyFont="1" applyFill="1" applyBorder="1" applyAlignment="1" applyProtection="1">
      <alignment horizontal="center" vertical="center"/>
      <protection locked="0"/>
    </xf>
    <xf numFmtId="168" fontId="76" fillId="8" borderId="19" xfId="0" applyNumberFormat="1" applyFont="1" applyFill="1" applyBorder="1" applyAlignment="1" applyProtection="1">
      <alignment horizontal="center" vertical="center"/>
      <protection locked="0"/>
    </xf>
    <xf numFmtId="4" fontId="76" fillId="8" borderId="19" xfId="0" applyNumberFormat="1" applyFont="1" applyFill="1" applyBorder="1" applyAlignment="1" applyProtection="1">
      <alignment horizontal="center" vertical="center"/>
      <protection locked="0"/>
    </xf>
    <xf numFmtId="4" fontId="89" fillId="8" borderId="31" xfId="0" applyNumberFormat="1" applyFont="1" applyFill="1" applyBorder="1" applyAlignment="1">
      <alignment horizontal="center" vertical="center"/>
    </xf>
    <xf numFmtId="0" fontId="102" fillId="0" borderId="12" xfId="0" applyFont="1" applyBorder="1" applyAlignment="1">
      <alignment horizontal="center" vertical="center"/>
    </xf>
    <xf numFmtId="0" fontId="89" fillId="8" borderId="15" xfId="0" applyFont="1" applyFill="1" applyBorder="1" applyAlignment="1" applyProtection="1">
      <alignment horizontal="center" vertical="center"/>
      <protection locked="0"/>
    </xf>
    <xf numFmtId="0" fontId="89" fillId="8" borderId="19" xfId="0" applyFont="1" applyFill="1" applyBorder="1" applyAlignment="1" applyProtection="1">
      <alignment horizontal="center" vertical="center"/>
      <protection locked="0"/>
    </xf>
    <xf numFmtId="0" fontId="75" fillId="8" borderId="19" xfId="0" applyFont="1" applyFill="1" applyBorder="1" applyAlignment="1">
      <alignment horizontal="center" vertical="center"/>
    </xf>
    <xf numFmtId="14" fontId="76" fillId="8" borderId="19" xfId="0" applyNumberFormat="1" applyFont="1" applyFill="1" applyBorder="1" applyAlignment="1">
      <alignment horizontal="center" vertical="center"/>
    </xf>
    <xf numFmtId="0" fontId="80" fillId="8" borderId="15" xfId="0" applyFont="1" applyFill="1" applyBorder="1" applyAlignment="1">
      <alignment horizontal="center" vertical="center"/>
    </xf>
    <xf numFmtId="0" fontId="75" fillId="8" borderId="0" xfId="0" applyFont="1" applyFill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164" fontId="76" fillId="8" borderId="24" xfId="0" applyNumberFormat="1" applyFont="1" applyFill="1" applyBorder="1" applyAlignment="1">
      <alignment horizontal="center" vertical="center"/>
    </xf>
    <xf numFmtId="164" fontId="76" fillId="8" borderId="33" xfId="0" applyNumberFormat="1" applyFont="1" applyFill="1" applyBorder="1" applyAlignment="1">
      <alignment horizontal="center" vertical="center"/>
    </xf>
    <xf numFmtId="164" fontId="89" fillId="8" borderId="21" xfId="0" applyNumberFormat="1" applyFont="1" applyFill="1" applyBorder="1" applyAlignment="1">
      <alignment horizontal="center" vertical="center"/>
    </xf>
    <xf numFmtId="164" fontId="89" fillId="8" borderId="19" xfId="0" applyNumberFormat="1" applyFont="1" applyFill="1" applyBorder="1" applyAlignment="1">
      <alignment horizontal="center" vertical="center"/>
    </xf>
    <xf numFmtId="164" fontId="74" fillId="8" borderId="19" xfId="0" applyNumberFormat="1" applyFont="1" applyFill="1" applyBorder="1" applyAlignment="1">
      <alignment horizontal="center" vertical="center"/>
    </xf>
    <xf numFmtId="0" fontId="55" fillId="8" borderId="10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40" fillId="8" borderId="15" xfId="0" applyFont="1" applyFill="1" applyBorder="1" applyAlignment="1">
      <alignment horizontal="center" vertical="center"/>
    </xf>
    <xf numFmtId="0" fontId="40" fillId="8" borderId="1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99" fillId="0" borderId="8" xfId="0" applyFont="1" applyBorder="1" applyAlignment="1">
      <alignment horizontal="center" vertical="center" wrapText="1"/>
    </xf>
    <xf numFmtId="0" fontId="71" fillId="6" borderId="11" xfId="0" applyFont="1" applyFill="1" applyBorder="1" applyAlignment="1">
      <alignment horizontal="center" vertical="center"/>
    </xf>
    <xf numFmtId="0" fontId="65" fillId="8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63" fillId="0" borderId="44" xfId="0" applyFont="1" applyBorder="1"/>
    <xf numFmtId="0" fontId="74" fillId="0" borderId="0" xfId="0" applyFont="1"/>
    <xf numFmtId="0" fontId="63" fillId="0" borderId="45" xfId="0" applyFont="1" applyBorder="1"/>
    <xf numFmtId="0" fontId="2" fillId="5" borderId="10" xfId="0" applyFont="1" applyFill="1" applyBorder="1" applyAlignment="1">
      <alignment horizontal="center" vertical="center"/>
    </xf>
    <xf numFmtId="14" fontId="27" fillId="8" borderId="10" xfId="0" applyNumberFormat="1" applyFont="1" applyFill="1" applyBorder="1" applyAlignment="1">
      <alignment horizontal="center" vertical="center"/>
    </xf>
    <xf numFmtId="14" fontId="12" fillId="8" borderId="10" xfId="0" applyNumberFormat="1" applyFont="1" applyFill="1" applyBorder="1" applyAlignment="1">
      <alignment horizontal="center" vertical="center"/>
    </xf>
    <xf numFmtId="14" fontId="56" fillId="8" borderId="10" xfId="0" applyNumberFormat="1" applyFont="1" applyFill="1" applyBorder="1" applyAlignment="1">
      <alignment horizontal="center" vertical="center"/>
    </xf>
    <xf numFmtId="0" fontId="72" fillId="8" borderId="12" xfId="0" applyFont="1" applyFill="1" applyBorder="1" applyAlignment="1">
      <alignment horizontal="center" vertical="center"/>
    </xf>
    <xf numFmtId="0" fontId="63" fillId="8" borderId="16" xfId="0" applyFont="1" applyFill="1" applyBorder="1" applyAlignment="1">
      <alignment horizontal="center" vertical="center"/>
    </xf>
    <xf numFmtId="0" fontId="67" fillId="8" borderId="15" xfId="0" applyFont="1" applyFill="1" applyBorder="1" applyAlignment="1">
      <alignment horizontal="center" vertical="center"/>
    </xf>
    <xf numFmtId="0" fontId="76" fillId="8" borderId="14" xfId="0" applyFont="1" applyFill="1" applyBorder="1" applyAlignment="1">
      <alignment horizontal="center" vertical="center"/>
    </xf>
    <xf numFmtId="0" fontId="76" fillId="8" borderId="15" xfId="0" applyFont="1" applyFill="1" applyBorder="1" applyAlignment="1">
      <alignment horizontal="center" vertical="center"/>
    </xf>
    <xf numFmtId="1" fontId="76" fillId="8" borderId="28" xfId="0" applyNumberFormat="1" applyFont="1" applyFill="1" applyBorder="1" applyAlignment="1">
      <alignment horizontal="center" vertical="center"/>
    </xf>
    <xf numFmtId="0" fontId="34" fillId="8" borderId="15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164" fontId="24" fillId="8" borderId="10" xfId="0" applyNumberFormat="1" applyFont="1" applyFill="1" applyBorder="1" applyAlignment="1">
      <alignment horizontal="center" vertical="center"/>
    </xf>
    <xf numFmtId="14" fontId="13" fillId="8" borderId="10" xfId="0" applyNumberFormat="1" applyFont="1" applyFill="1" applyBorder="1" applyAlignment="1">
      <alignment horizontal="center" vertical="center"/>
    </xf>
    <xf numFmtId="0" fontId="51" fillId="8" borderId="9" xfId="0" applyFont="1" applyFill="1" applyBorder="1" applyAlignment="1">
      <alignment horizontal="center" vertical="center"/>
    </xf>
    <xf numFmtId="49" fontId="51" fillId="8" borderId="10" xfId="0" applyNumberFormat="1" applyFont="1" applyFill="1" applyBorder="1" applyAlignment="1">
      <alignment horizontal="center" vertical="center"/>
    </xf>
    <xf numFmtId="0" fontId="51" fillId="8" borderId="10" xfId="0" applyFont="1" applyFill="1" applyBorder="1" applyAlignment="1">
      <alignment horizontal="center" vertical="center"/>
    </xf>
    <xf numFmtId="0" fontId="97" fillId="8" borderId="10" xfId="0" applyFont="1" applyFill="1" applyBorder="1" applyAlignment="1">
      <alignment horizontal="center"/>
    </xf>
    <xf numFmtId="0" fontId="56" fillId="8" borderId="10" xfId="0" applyFont="1" applyFill="1" applyBorder="1" applyAlignment="1">
      <alignment horizontal="center" vertical="center"/>
    </xf>
    <xf numFmtId="0" fontId="17" fillId="8" borderId="10" xfId="0" applyFont="1" applyFill="1" applyBorder="1" applyAlignment="1">
      <alignment horizontal="center" vertical="center"/>
    </xf>
    <xf numFmtId="165" fontId="51" fillId="8" borderId="13" xfId="0" applyNumberFormat="1" applyFont="1" applyFill="1" applyBorder="1" applyAlignment="1">
      <alignment horizontal="center" vertical="center"/>
    </xf>
    <xf numFmtId="164" fontId="63" fillId="0" borderId="32" xfId="0" applyNumberFormat="1" applyFont="1" applyBorder="1" applyAlignment="1">
      <alignment horizontal="center" vertical="center"/>
    </xf>
    <xf numFmtId="164" fontId="63" fillId="0" borderId="21" xfId="0" applyNumberFormat="1" applyFont="1" applyBorder="1" applyAlignment="1">
      <alignment horizontal="center" vertical="center"/>
    </xf>
    <xf numFmtId="164" fontId="74" fillId="3" borderId="29" xfId="0" applyNumberFormat="1" applyFont="1" applyFill="1" applyBorder="1" applyAlignment="1">
      <alignment horizontal="center" vertical="center"/>
    </xf>
    <xf numFmtId="164" fontId="74" fillId="3" borderId="7" xfId="0" applyNumberFormat="1" applyFont="1" applyFill="1" applyBorder="1" applyAlignment="1">
      <alignment horizontal="center" vertical="center"/>
    </xf>
    <xf numFmtId="164" fontId="53" fillId="0" borderId="32" xfId="0" applyNumberFormat="1" applyFont="1" applyBorder="1" applyAlignment="1">
      <alignment horizontal="center" vertical="center"/>
    </xf>
    <xf numFmtId="0" fontId="77" fillId="9" borderId="1" xfId="0" applyFont="1" applyFill="1" applyBorder="1" applyAlignment="1">
      <alignment horizontal="center" vertical="center" wrapText="1"/>
    </xf>
    <xf numFmtId="0" fontId="76" fillId="9" borderId="25" xfId="0" applyFont="1" applyFill="1" applyBorder="1" applyAlignment="1">
      <alignment horizontal="center" vertical="center" wrapText="1"/>
    </xf>
    <xf numFmtId="164" fontId="77" fillId="9" borderId="2" xfId="0" applyNumberFormat="1" applyFont="1" applyFill="1" applyBorder="1" applyAlignment="1">
      <alignment horizontal="center" vertical="center" wrapText="1"/>
    </xf>
    <xf numFmtId="0" fontId="77" fillId="9" borderId="2" xfId="0" applyFont="1" applyFill="1" applyBorder="1" applyAlignment="1">
      <alignment horizontal="center" vertical="center" wrapText="1"/>
    </xf>
    <xf numFmtId="0" fontId="77" fillId="9" borderId="3" xfId="0" applyFont="1" applyFill="1" applyBorder="1" applyAlignment="1">
      <alignment horizontal="center" vertical="center" wrapText="1"/>
    </xf>
    <xf numFmtId="49" fontId="74" fillId="2" borderId="1" xfId="0" applyNumberFormat="1" applyFont="1" applyFill="1" applyBorder="1" applyAlignment="1">
      <alignment horizontal="center" vertical="center"/>
    </xf>
    <xf numFmtId="49" fontId="74" fillId="2" borderId="30" xfId="0" applyNumberFormat="1" applyFont="1" applyFill="1" applyBorder="1" applyAlignment="1">
      <alignment horizontal="center" vertical="center"/>
    </xf>
    <xf numFmtId="0" fontId="77" fillId="4" borderId="38" xfId="0" applyFont="1" applyFill="1" applyBorder="1" applyAlignment="1">
      <alignment horizontal="center" vertical="center" wrapText="1"/>
    </xf>
    <xf numFmtId="0" fontId="77" fillId="4" borderId="39" xfId="0" applyFont="1" applyFill="1" applyBorder="1" applyAlignment="1">
      <alignment horizontal="center" vertical="center" wrapText="1"/>
    </xf>
    <xf numFmtId="49" fontId="77" fillId="4" borderId="39" xfId="0" applyNumberFormat="1" applyFont="1" applyFill="1" applyBorder="1" applyAlignment="1">
      <alignment horizontal="center" vertical="center" wrapText="1"/>
    </xf>
    <xf numFmtId="0" fontId="77" fillId="4" borderId="40" xfId="0" applyFont="1" applyFill="1" applyBorder="1" applyAlignment="1">
      <alignment horizontal="center" vertical="center" wrapText="1"/>
    </xf>
    <xf numFmtId="0" fontId="77" fillId="4" borderId="41" xfId="0" applyFont="1" applyFill="1" applyBorder="1" applyAlignment="1">
      <alignment horizontal="center" vertical="center" wrapText="1"/>
    </xf>
    <xf numFmtId="0" fontId="77" fillId="5" borderId="16" xfId="0" applyFont="1" applyFill="1" applyBorder="1" applyAlignment="1">
      <alignment horizontal="center" vertical="center" wrapText="1"/>
    </xf>
    <xf numFmtId="0" fontId="77" fillId="5" borderId="2" xfId="0" applyFont="1" applyFill="1" applyBorder="1" applyAlignment="1">
      <alignment horizontal="center" vertical="center" wrapText="1"/>
    </xf>
    <xf numFmtId="165" fontId="77" fillId="5" borderId="3" xfId="0" applyNumberFormat="1" applyFont="1" applyFill="1" applyBorder="1" applyAlignment="1">
      <alignment horizontal="center" vertical="center" wrapText="1"/>
    </xf>
    <xf numFmtId="166" fontId="77" fillId="6" borderId="1" xfId="0" applyNumberFormat="1" applyFont="1" applyFill="1" applyBorder="1" applyAlignment="1">
      <alignment horizontal="center" vertical="center" wrapText="1"/>
    </xf>
    <xf numFmtId="166" fontId="77" fillId="6" borderId="2" xfId="0" applyNumberFormat="1" applyFont="1" applyFill="1" applyBorder="1" applyAlignment="1">
      <alignment horizontal="center" vertical="center" wrapText="1"/>
    </xf>
    <xf numFmtId="166" fontId="77" fillId="6" borderId="3" xfId="0" applyNumberFormat="1" applyFont="1" applyFill="1" applyBorder="1" applyAlignment="1">
      <alignment horizontal="center" vertical="center" wrapText="1"/>
    </xf>
    <xf numFmtId="3" fontId="77" fillId="7" borderId="1" xfId="0" applyNumberFormat="1" applyFont="1" applyFill="1" applyBorder="1" applyAlignment="1">
      <alignment horizontal="center" vertical="center" wrapText="1"/>
    </xf>
    <xf numFmtId="3" fontId="77" fillId="7" borderId="2" xfId="0" applyNumberFormat="1" applyFont="1" applyFill="1" applyBorder="1" applyAlignment="1">
      <alignment horizontal="center" vertical="center" wrapText="1"/>
    </xf>
    <xf numFmtId="3" fontId="77" fillId="7" borderId="3" xfId="0" applyNumberFormat="1" applyFont="1" applyFill="1" applyBorder="1" applyAlignment="1">
      <alignment horizontal="center" vertical="center" wrapText="1"/>
    </xf>
    <xf numFmtId="49" fontId="77" fillId="8" borderId="1" xfId="0" applyNumberFormat="1" applyFont="1" applyFill="1" applyBorder="1" applyAlignment="1">
      <alignment horizontal="center" vertical="center" wrapText="1"/>
    </xf>
    <xf numFmtId="49" fontId="77" fillId="8" borderId="2" xfId="0" applyNumberFormat="1" applyFont="1" applyFill="1" applyBorder="1" applyAlignment="1">
      <alignment horizontal="center" vertical="center" wrapText="1"/>
    </xf>
    <xf numFmtId="14" fontId="77" fillId="8" borderId="2" xfId="0" applyNumberFormat="1" applyFont="1" applyFill="1" applyBorder="1" applyAlignment="1">
      <alignment horizontal="center" vertical="center" wrapText="1"/>
    </xf>
    <xf numFmtId="49" fontId="75" fillId="8" borderId="2" xfId="0" applyNumberFormat="1" applyFont="1" applyFill="1" applyBorder="1" applyAlignment="1">
      <alignment horizontal="center" vertical="center" wrapText="1"/>
    </xf>
    <xf numFmtId="49" fontId="77" fillId="8" borderId="3" xfId="0" applyNumberFormat="1" applyFont="1" applyFill="1" applyBorder="1" applyAlignment="1">
      <alignment horizontal="center" vertical="center" wrapText="1"/>
    </xf>
    <xf numFmtId="164" fontId="63" fillId="0" borderId="43" xfId="0" applyNumberFormat="1" applyFont="1" applyBorder="1" applyAlignment="1">
      <alignment horizontal="center" vertical="center"/>
    </xf>
    <xf numFmtId="164" fontId="63" fillId="0" borderId="8" xfId="0" applyNumberFormat="1" applyFont="1" applyBorder="1" applyAlignment="1">
      <alignment horizontal="center" vertical="center"/>
    </xf>
    <xf numFmtId="164" fontId="74" fillId="3" borderId="42" xfId="0" applyNumberFormat="1" applyFont="1" applyFill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19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8" xfId="0" applyNumberFormat="1" applyBorder="1" applyAlignment="1">
      <alignment horizontal="center" vertical="center"/>
    </xf>
    <xf numFmtId="0" fontId="50" fillId="8" borderId="10" xfId="0" applyFont="1" applyFill="1" applyBorder="1" applyAlignment="1">
      <alignment horizontal="center" vertical="center"/>
    </xf>
    <xf numFmtId="164" fontId="63" fillId="8" borderId="12" xfId="0" applyNumberFormat="1" applyFont="1" applyFill="1" applyBorder="1" applyAlignment="1">
      <alignment horizontal="center" vertical="center"/>
    </xf>
    <xf numFmtId="164" fontId="63" fillId="8" borderId="10" xfId="0" applyNumberFormat="1" applyFont="1" applyFill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</cellXfs>
  <cellStyles count="5">
    <cellStyle name="Lien hypertexte" xfId="2" builtinId="8"/>
    <cellStyle name="Normal" xfId="0" builtinId="0"/>
    <cellStyle name="Normal 2" xfId="4" xr:uid="{D56DD7EA-234C-4E8A-8D63-C9B2976AF8D2}"/>
    <cellStyle name="Normal 3" xfId="3" xr:uid="{9D51FDF8-DB24-4DBB-AC5A-28717FBEFE20}"/>
    <cellStyle name="Pourcentage" xfId="1" builtinId="5"/>
  </cellStyles>
  <dxfs count="1">
    <dxf>
      <font>
        <b/>
        <i val="0"/>
        <color rgb="FFC0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PRODUITS/Base%20article%20dimensions%20volume.xlsx" TargetMode="External"/><Relationship Id="rId1" Type="http://schemas.openxmlformats.org/officeDocument/2006/relationships/externalLinkPath" Target="/ADA/METIER/SUIVI%20CDES%20IMPORT/PRODUITS/Base%20article%20dimensions%20volum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RANSITAIRE/2026%20SUIVI%20MARITIM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5/TRANSITAIRE/2025%20SUIVI%20MARITIME.xlsx" TargetMode="External"/><Relationship Id="rId1" Type="http://schemas.openxmlformats.org/officeDocument/2006/relationships/externalLinkPath" Target="/ADA/METIER/SUIVI%20CDES%20IMPORT/2025/TRANSITAIRE/2025%20SUIVI%20MARITI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uil2"/>
    </sheetNames>
    <sheetDataSet>
      <sheetData sheetId="0">
        <row r="1">
          <cell r="A1" t="str">
            <v>Référence</v>
          </cell>
          <cell r="B1" t="str">
            <v>EAN 13</v>
          </cell>
          <cell r="C1" t="str">
            <v>EAN 14 SPCB</v>
          </cell>
          <cell r="D1" t="str">
            <v>EAN 14 PCB</v>
          </cell>
          <cell r="E1" t="str">
            <v>Désignation</v>
          </cell>
          <cell r="F1" t="str">
            <v>PCB</v>
          </cell>
          <cell r="G1" t="str">
            <v>SPCB</v>
          </cell>
          <cell r="H1" t="str">
            <v>Longueur PCB (cm)</v>
          </cell>
          <cell r="I1" t="str">
            <v>Largeur PCB (cm)</v>
          </cell>
          <cell r="J1" t="str">
            <v>Hauteur PCB (cm)</v>
          </cell>
          <cell r="K1" t="str">
            <v>Poids PCB (kg)</v>
          </cell>
          <cell r="L1" t="str">
            <v>Poids UVC</v>
          </cell>
          <cell r="M1" t="str">
            <v>Volume (m3)</v>
          </cell>
        </row>
        <row r="2">
          <cell r="A2">
            <v>4181</v>
          </cell>
          <cell r="B2">
            <v>3118220041813</v>
          </cell>
          <cell r="E2" t="str">
            <v>TIRE BOUCHON LAG ABS BLEU ML</v>
          </cell>
          <cell r="F2">
            <v>24</v>
          </cell>
          <cell r="G2">
            <v>24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</row>
        <row r="3">
          <cell r="A3">
            <v>4182</v>
          </cell>
          <cell r="B3">
            <v>3118220041820</v>
          </cell>
          <cell r="E3" t="str">
            <v>DECAPSULATEUR LAGUIOLE MARBRE GRIS</v>
          </cell>
          <cell r="F3">
            <v>400</v>
          </cell>
          <cell r="G3">
            <v>100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</row>
        <row r="4">
          <cell r="A4">
            <v>5012</v>
          </cell>
          <cell r="B4">
            <v>3118220050129</v>
          </cell>
          <cell r="E4" t="str">
            <v>BLOC DROIT EN PIN 6CX GRILLADE</v>
          </cell>
          <cell r="F4">
            <v>40</v>
          </cell>
          <cell r="G4">
            <v>4</v>
          </cell>
          <cell r="H4">
            <v>60</v>
          </cell>
          <cell r="I4">
            <v>42</v>
          </cell>
          <cell r="J4">
            <v>33</v>
          </cell>
          <cell r="K4">
            <v>12.298999999999999</v>
          </cell>
          <cell r="L4">
            <v>0.307475</v>
          </cell>
          <cell r="M4">
            <v>8.3160000000000012E-2</v>
          </cell>
        </row>
        <row r="5">
          <cell r="A5">
            <v>19524</v>
          </cell>
          <cell r="B5">
            <v>3118220012462</v>
          </cell>
          <cell r="E5" t="str">
            <v>BOITE DE 12 STEAK MANCHE BOIS PRO MUNDI AUSTRALIE</v>
          </cell>
          <cell r="F5">
            <v>12</v>
          </cell>
          <cell r="G5">
            <v>12</v>
          </cell>
          <cell r="H5">
            <v>26</v>
          </cell>
          <cell r="I5">
            <v>24</v>
          </cell>
          <cell r="J5">
            <v>29</v>
          </cell>
          <cell r="K5">
            <v>16.46</v>
          </cell>
          <cell r="L5">
            <v>1.3716666666666668</v>
          </cell>
          <cell r="M5">
            <v>1.8096000000000001E-2</v>
          </cell>
        </row>
        <row r="6">
          <cell r="A6">
            <v>40300</v>
          </cell>
          <cell r="B6">
            <v>3118224030004</v>
          </cell>
          <cell r="E6" t="str">
            <v>BIVOUAC EN COFFRET BOIS</v>
          </cell>
          <cell r="F6">
            <v>6</v>
          </cell>
          <cell r="G6">
            <v>6</v>
          </cell>
          <cell r="H6">
            <v>31.5</v>
          </cell>
          <cell r="I6">
            <v>29</v>
          </cell>
          <cell r="J6">
            <v>13</v>
          </cell>
          <cell r="K6">
            <v>3.2930000000000001</v>
          </cell>
          <cell r="L6">
            <v>0.5488333333333334</v>
          </cell>
          <cell r="M6">
            <v>1.1875500000000001E-2</v>
          </cell>
        </row>
        <row r="7">
          <cell r="A7">
            <v>99540</v>
          </cell>
          <cell r="B7">
            <v>3118220570993</v>
          </cell>
          <cell r="E7" t="str">
            <v>COUTEAU GRILLADE BOIS VRAC</v>
          </cell>
          <cell r="F7">
            <v>240</v>
          </cell>
          <cell r="G7">
            <v>12</v>
          </cell>
          <cell r="H7">
            <v>35</v>
          </cell>
          <cell r="I7">
            <v>26</v>
          </cell>
          <cell r="J7">
            <v>35.5</v>
          </cell>
          <cell r="K7">
            <v>9.64</v>
          </cell>
          <cell r="L7">
            <v>4.016666666666667E-2</v>
          </cell>
          <cell r="M7">
            <v>3.2305E-2</v>
          </cell>
        </row>
        <row r="8">
          <cell r="A8">
            <v>108780</v>
          </cell>
          <cell r="B8">
            <v>3118221087803</v>
          </cell>
          <cell r="E8" t="str">
            <v>POT PET VIDE POUR M24 BISTROT</v>
          </cell>
          <cell r="F8">
            <v>9</v>
          </cell>
          <cell r="G8">
            <v>9</v>
          </cell>
          <cell r="H8">
            <v>22</v>
          </cell>
          <cell r="I8">
            <v>8.5</v>
          </cell>
          <cell r="J8">
            <v>8.5</v>
          </cell>
          <cell r="K8">
            <v>0.72</v>
          </cell>
          <cell r="L8">
            <v>0.08</v>
          </cell>
          <cell r="M8">
            <v>1.5895E-3</v>
          </cell>
        </row>
        <row r="9">
          <cell r="A9">
            <v>123738</v>
          </cell>
          <cell r="B9">
            <v>3118221237383</v>
          </cell>
          <cell r="E9" t="str">
            <v>COFFRET CARTON VIDE POUR 6 COUT LAG TRADITION MANCHE NOIR</v>
          </cell>
          <cell r="F9">
            <v>6</v>
          </cell>
          <cell r="G9">
            <v>6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136062</v>
          </cell>
          <cell r="B10">
            <v>3118221360623</v>
          </cell>
          <cell r="E10" t="str">
            <v>BOITE VIDE M16 LISA ALBAN COLLECTION INOX</v>
          </cell>
          <cell r="F10">
            <v>30</v>
          </cell>
          <cell r="G10">
            <v>30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A11">
            <v>136221</v>
          </cell>
          <cell r="B11">
            <v>3118221362214</v>
          </cell>
          <cell r="E11" t="str">
            <v>COFFRET VIDE M16 ACIDULE BEE ABS BTE LARGE 38*30*5.4</v>
          </cell>
          <cell r="F11">
            <v>20</v>
          </cell>
          <cell r="G11">
            <v>20</v>
          </cell>
          <cell r="H11">
            <v>0</v>
          </cell>
          <cell r="I11">
            <v>0</v>
          </cell>
          <cell r="J11">
            <v>0</v>
          </cell>
          <cell r="K11">
            <v>26.18</v>
          </cell>
          <cell r="L11">
            <v>1.3089999999999999</v>
          </cell>
          <cell r="M11">
            <v>0</v>
          </cell>
        </row>
        <row r="12">
          <cell r="A12">
            <v>136560</v>
          </cell>
          <cell r="B12">
            <v>3118221365604</v>
          </cell>
          <cell r="E12" t="str">
            <v>POT PRESENTATION COUVERTS POUR LINEAIRE H14.6*D8.8CM</v>
          </cell>
          <cell r="F12">
            <v>24</v>
          </cell>
          <cell r="G12">
            <v>24</v>
          </cell>
          <cell r="H12">
            <v>38</v>
          </cell>
          <cell r="I12">
            <v>28</v>
          </cell>
          <cell r="J12">
            <v>16</v>
          </cell>
          <cell r="K12">
            <v>10.56</v>
          </cell>
          <cell r="L12">
            <v>0.44</v>
          </cell>
          <cell r="M12">
            <v>1.7024000000000001E-2</v>
          </cell>
        </row>
        <row r="13">
          <cell r="A13">
            <v>136561</v>
          </cell>
          <cell r="B13">
            <v>3118221365611</v>
          </cell>
          <cell r="E13" t="str">
            <v>POT PRESENTATION COUVERTS POUR LINEAIRE H12.7*D7.5CM</v>
          </cell>
          <cell r="F13">
            <v>12</v>
          </cell>
          <cell r="G13">
            <v>12</v>
          </cell>
          <cell r="H13">
            <v>32</v>
          </cell>
          <cell r="I13">
            <v>24</v>
          </cell>
          <cell r="J13">
            <v>13.5</v>
          </cell>
          <cell r="K13">
            <v>5.16</v>
          </cell>
          <cell r="L13">
            <v>0.43</v>
          </cell>
          <cell r="M13">
            <v>1.0367999999999999E-2</v>
          </cell>
        </row>
        <row r="14">
          <cell r="A14">
            <v>238955</v>
          </cell>
          <cell r="B14">
            <v>3222472389552</v>
          </cell>
          <cell r="E14" t="str">
            <v>FUSIL POLYPRO</v>
          </cell>
          <cell r="F14">
            <v>48</v>
          </cell>
          <cell r="G14">
            <v>3</v>
          </cell>
          <cell r="H14">
            <v>60.5</v>
          </cell>
          <cell r="I14">
            <v>41</v>
          </cell>
          <cell r="J14">
            <v>14.5</v>
          </cell>
          <cell r="K14">
            <v>17.992000000000001</v>
          </cell>
          <cell r="L14">
            <v>0.37483333333333335</v>
          </cell>
          <cell r="M14">
            <v>3.5967249999999999E-2</v>
          </cell>
        </row>
        <row r="15">
          <cell r="A15">
            <v>238956</v>
          </cell>
          <cell r="B15">
            <v>3222472389569</v>
          </cell>
          <cell r="E15" t="str">
            <v>PIERRE A AIGUISER</v>
          </cell>
          <cell r="F15">
            <v>60</v>
          </cell>
          <cell r="G15">
            <v>6</v>
          </cell>
          <cell r="H15">
            <v>40.4</v>
          </cell>
          <cell r="I15">
            <v>29.7</v>
          </cell>
          <cell r="J15">
            <v>20.5</v>
          </cell>
          <cell r="K15">
            <v>11.09</v>
          </cell>
          <cell r="L15">
            <v>0.18483333333333332</v>
          </cell>
          <cell r="M15">
            <v>2.4597539999999998E-2</v>
          </cell>
        </row>
        <row r="16">
          <cell r="A16">
            <v>238961</v>
          </cell>
          <cell r="B16">
            <v>3222472389613</v>
          </cell>
          <cell r="E16" t="str">
            <v>LOT 2 OFFICES POLYPRO</v>
          </cell>
          <cell r="F16">
            <v>180</v>
          </cell>
          <cell r="G16">
            <v>6</v>
          </cell>
          <cell r="H16">
            <v>40</v>
          </cell>
          <cell r="I16">
            <v>30</v>
          </cell>
          <cell r="J16">
            <v>40</v>
          </cell>
          <cell r="K16">
            <v>12.48</v>
          </cell>
          <cell r="L16">
            <v>6.933333333333333E-2</v>
          </cell>
          <cell r="M16">
            <v>4.8000000000000001E-2</v>
          </cell>
        </row>
        <row r="17">
          <cell r="A17">
            <v>238963</v>
          </cell>
          <cell r="B17">
            <v>3222472389637</v>
          </cell>
          <cell r="E17" t="str">
            <v>LOT 2 EPLUCHEURS POLYPRO</v>
          </cell>
          <cell r="F17">
            <v>120</v>
          </cell>
          <cell r="G17">
            <v>12</v>
          </cell>
          <cell r="H17">
            <v>40</v>
          </cell>
          <cell r="I17">
            <v>30</v>
          </cell>
          <cell r="J17">
            <v>40</v>
          </cell>
          <cell r="K17">
            <v>7.8</v>
          </cell>
          <cell r="L17">
            <v>6.5000000000000002E-2</v>
          </cell>
          <cell r="M17">
            <v>4.8000000000000001E-2</v>
          </cell>
        </row>
        <row r="18">
          <cell r="A18">
            <v>238966</v>
          </cell>
          <cell r="B18">
            <v>3222472389668</v>
          </cell>
          <cell r="E18" t="str">
            <v>LOT 2 GRILLADES POLYPRO</v>
          </cell>
          <cell r="F18">
            <v>180</v>
          </cell>
          <cell r="G18">
            <v>6</v>
          </cell>
          <cell r="H18">
            <v>40</v>
          </cell>
          <cell r="I18">
            <v>30</v>
          </cell>
          <cell r="J18">
            <v>40</v>
          </cell>
          <cell r="K18">
            <v>15.61</v>
          </cell>
          <cell r="L18">
            <v>8.6722222222222214E-2</v>
          </cell>
          <cell r="M18">
            <v>4.8000000000000001E-2</v>
          </cell>
        </row>
        <row r="19">
          <cell r="A19">
            <v>238989</v>
          </cell>
          <cell r="B19">
            <v>3222472389897</v>
          </cell>
          <cell r="E19" t="str">
            <v>CT STEAK NEW RECORD</v>
          </cell>
          <cell r="F19">
            <v>252</v>
          </cell>
          <cell r="G19">
            <v>18</v>
          </cell>
          <cell r="H19">
            <v>41</v>
          </cell>
          <cell r="I19">
            <v>29</v>
          </cell>
          <cell r="J19">
            <v>20.5</v>
          </cell>
          <cell r="K19">
            <v>6.9409999999999998</v>
          </cell>
          <cell r="L19">
            <v>2.7543650793650794E-2</v>
          </cell>
          <cell r="M19">
            <v>2.4374499999999997E-2</v>
          </cell>
        </row>
        <row r="20">
          <cell r="A20">
            <v>260448</v>
          </cell>
          <cell r="B20">
            <v>3222472604488</v>
          </cell>
          <cell r="E20" t="str">
            <v>GRILLADE BOIS RIVETS CASINO</v>
          </cell>
          <cell r="F20">
            <v>240</v>
          </cell>
          <cell r="G20">
            <v>12</v>
          </cell>
          <cell r="H20">
            <v>34.5</v>
          </cell>
          <cell r="I20">
            <v>26</v>
          </cell>
          <cell r="J20">
            <v>36</v>
          </cell>
          <cell r="K20">
            <v>9.84</v>
          </cell>
          <cell r="L20">
            <v>4.1000000000000002E-2</v>
          </cell>
          <cell r="M20">
            <v>3.2291999999999994E-2</v>
          </cell>
        </row>
        <row r="21">
          <cell r="A21">
            <v>300330</v>
          </cell>
          <cell r="B21">
            <v>3118223003306</v>
          </cell>
          <cell r="C21">
            <v>13118223003303</v>
          </cell>
          <cell r="D21">
            <v>23118223003300</v>
          </cell>
          <cell r="E21" t="str">
            <v>COUTEAU CLEO 10/10</v>
          </cell>
          <cell r="F21">
            <v>432</v>
          </cell>
          <cell r="G21">
            <v>12</v>
          </cell>
          <cell r="H21">
            <v>31</v>
          </cell>
          <cell r="I21">
            <v>26.5</v>
          </cell>
          <cell r="J21">
            <v>14.5</v>
          </cell>
          <cell r="K21">
            <v>18.576000000000001</v>
          </cell>
          <cell r="L21">
            <v>4.3000000000000003E-2</v>
          </cell>
          <cell r="M21">
            <v>1.191175E-2</v>
          </cell>
        </row>
        <row r="22">
          <cell r="A22">
            <v>302104</v>
          </cell>
          <cell r="B22">
            <v>3118223021041</v>
          </cell>
          <cell r="E22" t="str">
            <v>COUTEAU TABLE TROQUET ROUGE PS</v>
          </cell>
          <cell r="F22">
            <v>120</v>
          </cell>
          <cell r="G22">
            <v>12</v>
          </cell>
          <cell r="H22">
            <v>31.5</v>
          </cell>
          <cell r="I22">
            <v>29</v>
          </cell>
          <cell r="J22">
            <v>13.5</v>
          </cell>
          <cell r="K22">
            <v>4.26</v>
          </cell>
          <cell r="L22">
            <v>3.5499999999999997E-2</v>
          </cell>
          <cell r="M22">
            <v>1.2332249999999999E-2</v>
          </cell>
        </row>
        <row r="23">
          <cell r="A23">
            <v>302134</v>
          </cell>
          <cell r="B23">
            <v>3118223021348</v>
          </cell>
          <cell r="E23" t="str">
            <v>CUILLERE CAFE TROQUET ROUGE PS</v>
          </cell>
          <cell r="F23">
            <v>120</v>
          </cell>
          <cell r="G23">
            <v>12</v>
          </cell>
          <cell r="H23">
            <v>31.5</v>
          </cell>
          <cell r="I23">
            <v>29</v>
          </cell>
          <cell r="J23">
            <v>13.5</v>
          </cell>
          <cell r="K23">
            <v>3.5</v>
          </cell>
          <cell r="L23">
            <v>2.9166666666666667E-2</v>
          </cell>
          <cell r="M23">
            <v>1.2332249999999999E-2</v>
          </cell>
        </row>
        <row r="24">
          <cell r="A24">
            <v>302280</v>
          </cell>
          <cell r="B24">
            <v>3118223022802</v>
          </cell>
          <cell r="E24" t="str">
            <v>FOURCHETTE A DECOUPER FORGE</v>
          </cell>
          <cell r="F24">
            <v>144</v>
          </cell>
          <cell r="G24">
            <v>12</v>
          </cell>
          <cell r="H24">
            <v>35.5</v>
          </cell>
          <cell r="I24">
            <v>25</v>
          </cell>
          <cell r="J24">
            <v>36.5</v>
          </cell>
          <cell r="K24">
            <v>22.251999999999999</v>
          </cell>
          <cell r="L24">
            <v>0.15452777777777776</v>
          </cell>
          <cell r="M24">
            <v>3.2393749999999999E-2</v>
          </cell>
        </row>
        <row r="25">
          <cell r="A25">
            <v>302539</v>
          </cell>
          <cell r="B25">
            <v>3118223025308</v>
          </cell>
          <cell r="E25" t="str">
            <v>OFFICE 9CM CHALET SOUS SLEEVE +GENCOD</v>
          </cell>
          <cell r="F25">
            <v>360</v>
          </cell>
          <cell r="G25">
            <v>12</v>
          </cell>
          <cell r="H25">
            <v>40.5</v>
          </cell>
          <cell r="I25">
            <v>32</v>
          </cell>
          <cell r="J25">
            <v>20</v>
          </cell>
          <cell r="K25">
            <v>15.18</v>
          </cell>
          <cell r="L25">
            <v>4.2166666666666665E-2</v>
          </cell>
          <cell r="M25">
            <v>2.5920000000000006E-2</v>
          </cell>
        </row>
        <row r="26">
          <cell r="A26">
            <v>302900</v>
          </cell>
          <cell r="B26">
            <v>3118223029009</v>
          </cell>
          <cell r="E26" t="str">
            <v>TARTINEUR 6CM RECORD</v>
          </cell>
          <cell r="F26">
            <v>360</v>
          </cell>
          <cell r="G26">
            <v>12</v>
          </cell>
          <cell r="H26">
            <v>40</v>
          </cell>
          <cell r="I26">
            <v>30</v>
          </cell>
          <cell r="J26">
            <v>20</v>
          </cell>
          <cell r="K26">
            <v>8.94</v>
          </cell>
          <cell r="L26">
            <v>2.4833333333333332E-2</v>
          </cell>
          <cell r="M26">
            <v>2.4E-2</v>
          </cell>
        </row>
        <row r="27">
          <cell r="A27">
            <v>303130</v>
          </cell>
          <cell r="B27">
            <v>3118223031309</v>
          </cell>
          <cell r="E27" t="str">
            <v>COUTEAU OFFICE CHEF</v>
          </cell>
          <cell r="F27">
            <v>150</v>
          </cell>
          <cell r="G27">
            <v>150</v>
          </cell>
          <cell r="H27">
            <v>36</v>
          </cell>
          <cell r="I27">
            <v>30</v>
          </cell>
          <cell r="J27">
            <v>18.5</v>
          </cell>
          <cell r="K27">
            <v>5.4</v>
          </cell>
          <cell r="L27">
            <v>3.6000000000000004E-2</v>
          </cell>
          <cell r="M27">
            <v>1.9979999999999998E-2</v>
          </cell>
        </row>
        <row r="28">
          <cell r="A28">
            <v>303160</v>
          </cell>
          <cell r="B28">
            <v>3118223031606</v>
          </cell>
          <cell r="E28" t="str">
            <v>LANCETTE HUITRE BOIS</v>
          </cell>
          <cell r="F28">
            <v>180</v>
          </cell>
          <cell r="G28">
            <v>30</v>
          </cell>
          <cell r="H28">
            <v>28</v>
          </cell>
          <cell r="I28">
            <v>24.5</v>
          </cell>
          <cell r="J28">
            <v>20.5</v>
          </cell>
          <cell r="K28">
            <v>11.88</v>
          </cell>
          <cell r="L28">
            <v>6.6000000000000003E-2</v>
          </cell>
          <cell r="M28">
            <v>1.4063000000000001E-2</v>
          </cell>
        </row>
        <row r="29">
          <cell r="A29">
            <v>303178</v>
          </cell>
          <cell r="B29">
            <v>3118223031781</v>
          </cell>
          <cell r="E29" t="str">
            <v>CT HUITRE PLASTIQUE GARDE NOIR</v>
          </cell>
          <cell r="F29">
            <v>96</v>
          </cell>
          <cell r="G29">
            <v>6</v>
          </cell>
          <cell r="H29">
            <v>40</v>
          </cell>
          <cell r="I29">
            <v>30</v>
          </cell>
          <cell r="J29">
            <v>20</v>
          </cell>
          <cell r="K29">
            <v>4.9139999999999997</v>
          </cell>
          <cell r="L29">
            <v>5.1187499999999997E-2</v>
          </cell>
          <cell r="M29">
            <v>2.4E-2</v>
          </cell>
        </row>
        <row r="30">
          <cell r="A30">
            <v>303180</v>
          </cell>
          <cell r="B30">
            <v>3118223031804</v>
          </cell>
          <cell r="E30" t="str">
            <v>CT HUITRE POLYPRO SANS GARDE NOIR</v>
          </cell>
          <cell r="F30">
            <v>300</v>
          </cell>
          <cell r="G30">
            <v>300</v>
          </cell>
          <cell r="H30">
            <v>30</v>
          </cell>
          <cell r="I30">
            <v>30</v>
          </cell>
          <cell r="J30">
            <v>20</v>
          </cell>
          <cell r="K30">
            <v>11.4</v>
          </cell>
          <cell r="L30">
            <v>3.7999999999999999E-2</v>
          </cell>
          <cell r="M30">
            <v>1.7999999999999999E-2</v>
          </cell>
        </row>
        <row r="31">
          <cell r="A31">
            <v>303230</v>
          </cell>
          <cell r="B31">
            <v>3118220007574</v>
          </cell>
          <cell r="E31" t="str">
            <v>AIGUISEUR PROFESSIONNEL</v>
          </cell>
          <cell r="F31">
            <v>36</v>
          </cell>
          <cell r="G31">
            <v>6</v>
          </cell>
          <cell r="H31">
            <v>48</v>
          </cell>
          <cell r="I31">
            <v>26.5</v>
          </cell>
          <cell r="J31">
            <v>23.5</v>
          </cell>
          <cell r="K31">
            <v>14.263</v>
          </cell>
          <cell r="L31">
            <v>0.39619444444444446</v>
          </cell>
          <cell r="M31">
            <v>2.9891999999999995E-2</v>
          </cell>
        </row>
        <row r="32">
          <cell r="A32">
            <v>303239</v>
          </cell>
          <cell r="B32">
            <v>3118223032306</v>
          </cell>
          <cell r="E32" t="str">
            <v>AIGUISEUR PROFESSIONNEL + GENCOD</v>
          </cell>
          <cell r="F32">
            <v>48</v>
          </cell>
          <cell r="G32">
            <v>6</v>
          </cell>
          <cell r="H32">
            <v>61</v>
          </cell>
          <cell r="I32">
            <v>41</v>
          </cell>
          <cell r="J32">
            <v>14.5</v>
          </cell>
          <cell r="K32">
            <v>17.905999999999999</v>
          </cell>
          <cell r="L32">
            <v>0.37304166666666666</v>
          </cell>
          <cell r="M32">
            <v>3.6264499999999998E-2</v>
          </cell>
        </row>
        <row r="33">
          <cell r="A33">
            <v>303250</v>
          </cell>
          <cell r="B33">
            <v>3118223032504</v>
          </cell>
          <cell r="E33" t="str">
            <v>BARRETTE AIMANTEE</v>
          </cell>
          <cell r="F33">
            <v>36</v>
          </cell>
          <cell r="G33">
            <v>12</v>
          </cell>
          <cell r="H33">
            <v>36</v>
          </cell>
          <cell r="I33">
            <v>26</v>
          </cell>
          <cell r="J33">
            <v>10</v>
          </cell>
          <cell r="K33">
            <v>9.9670000000000005</v>
          </cell>
          <cell r="L33">
            <v>0.27686111111111111</v>
          </cell>
          <cell r="M33">
            <v>9.3600000000000003E-3</v>
          </cell>
        </row>
        <row r="34">
          <cell r="A34">
            <v>303260</v>
          </cell>
          <cell r="B34">
            <v>3118223032603</v>
          </cell>
          <cell r="C34" t="str">
            <v>13118223032600</v>
          </cell>
          <cell r="D34" t="str">
            <v>23118223032607</v>
          </cell>
          <cell r="E34" t="str">
            <v>PIERRE A AIGUISER</v>
          </cell>
          <cell r="F34">
            <v>50</v>
          </cell>
          <cell r="G34">
            <v>50</v>
          </cell>
          <cell r="H34">
            <v>22</v>
          </cell>
          <cell r="I34">
            <v>22</v>
          </cell>
          <cell r="J34">
            <v>27.5</v>
          </cell>
          <cell r="K34">
            <v>9.5250000000000004</v>
          </cell>
          <cell r="L34">
            <v>0.1905</v>
          </cell>
          <cell r="M34">
            <v>1.3309999999999999E-2</v>
          </cell>
        </row>
        <row r="35">
          <cell r="A35">
            <v>303380</v>
          </cell>
          <cell r="B35">
            <v>3118223033808</v>
          </cell>
          <cell r="E35" t="str">
            <v>LAGUIOLE 12CM ABS BOISE VERT</v>
          </cell>
          <cell r="F35">
            <v>60</v>
          </cell>
          <cell r="G35">
            <v>60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A36">
            <v>304040</v>
          </cell>
          <cell r="B36">
            <v>3118223040400</v>
          </cell>
          <cell r="E36" t="str">
            <v>SOMMELIER DESIGN</v>
          </cell>
          <cell r="F36">
            <v>120</v>
          </cell>
          <cell r="G36">
            <v>120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>
            <v>304109</v>
          </cell>
          <cell r="B37">
            <v>3118223041018</v>
          </cell>
          <cell r="C37">
            <v>13118223041015</v>
          </cell>
          <cell r="D37">
            <v>23118223041012</v>
          </cell>
          <cell r="E37" t="str">
            <v>BEURRE LAG PALIS 12/10 MI GENCOD</v>
          </cell>
          <cell r="F37">
            <v>360</v>
          </cell>
          <cell r="G37">
            <v>12</v>
          </cell>
          <cell r="H37">
            <v>23.5</v>
          </cell>
          <cell r="I37">
            <v>20</v>
          </cell>
          <cell r="J37">
            <v>30</v>
          </cell>
          <cell r="K37">
            <v>9.69</v>
          </cell>
          <cell r="L37">
            <v>2.6916666666666665E-2</v>
          </cell>
          <cell r="M37">
            <v>1.4099999999999996E-2</v>
          </cell>
        </row>
        <row r="38">
          <cell r="A38">
            <v>306230</v>
          </cell>
          <cell r="B38">
            <v>3118223062303</v>
          </cell>
          <cell r="E38" t="str">
            <v>COUTEAU BIVOUAC</v>
          </cell>
          <cell r="F38">
            <v>100</v>
          </cell>
          <cell r="G38">
            <v>100</v>
          </cell>
          <cell r="H38">
            <v>36.5</v>
          </cell>
          <cell r="I38">
            <v>27.5</v>
          </cell>
          <cell r="J38">
            <v>18</v>
          </cell>
          <cell r="K38">
            <v>13.407</v>
          </cell>
          <cell r="L38">
            <v>0.13406999999999999</v>
          </cell>
          <cell r="M38">
            <v>1.80675E-2</v>
          </cell>
        </row>
        <row r="39">
          <cell r="A39">
            <v>311506</v>
          </cell>
          <cell r="B39">
            <v>3118223115061</v>
          </cell>
          <cell r="E39" t="str">
            <v>FOURCHETTE LAG LUXE BOIS CLAIR VRAC</v>
          </cell>
          <cell r="F39">
            <v>120</v>
          </cell>
          <cell r="G39">
            <v>120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A40">
            <v>313778</v>
          </cell>
          <cell r="B40">
            <v>3118223137780</v>
          </cell>
          <cell r="E40" t="str">
            <v>EMINCEUR 13CM LAG EXPRESSION LAG EVOLUTION</v>
          </cell>
          <cell r="F40">
            <v>120</v>
          </cell>
          <cell r="G40">
            <v>120</v>
          </cell>
          <cell r="H40">
            <v>30</v>
          </cell>
          <cell r="I40">
            <v>22</v>
          </cell>
          <cell r="J40">
            <v>30</v>
          </cell>
          <cell r="K40">
            <v>14.887</v>
          </cell>
          <cell r="L40">
            <v>0.12405833333333334</v>
          </cell>
          <cell r="M40">
            <v>1.9799999999999998E-2</v>
          </cell>
        </row>
        <row r="41">
          <cell r="A41">
            <v>313788</v>
          </cell>
          <cell r="B41">
            <v>3118223137889</v>
          </cell>
          <cell r="C41" t="str">
            <v>13118223137886</v>
          </cell>
          <cell r="D41" t="str">
            <v>23118223137883</v>
          </cell>
          <cell r="E41" t="str">
            <v>STEAK 11CM LAG EXPRESSION LAG EVOLUTION</v>
          </cell>
          <cell r="F41">
            <v>120</v>
          </cell>
          <cell r="G41">
            <v>120</v>
          </cell>
          <cell r="H41">
            <v>26.7</v>
          </cell>
          <cell r="I41">
            <v>6</v>
          </cell>
          <cell r="J41">
            <v>7</v>
          </cell>
          <cell r="K41">
            <v>1.2</v>
          </cell>
          <cell r="L41">
            <v>0.01</v>
          </cell>
          <cell r="M41">
            <v>1.1213999999999998E-3</v>
          </cell>
        </row>
        <row r="42">
          <cell r="A42">
            <v>313798</v>
          </cell>
          <cell r="B42">
            <v>3118223137988</v>
          </cell>
          <cell r="E42" t="str">
            <v>SANTUKO 18CM LAG EXPRESSION LAG EVOLUTION</v>
          </cell>
          <cell r="F42">
            <v>48</v>
          </cell>
          <cell r="G42">
            <v>12</v>
          </cell>
          <cell r="H42">
            <v>37</v>
          </cell>
          <cell r="I42">
            <v>22</v>
          </cell>
          <cell r="J42">
            <v>17</v>
          </cell>
          <cell r="K42">
            <v>14.688000000000001</v>
          </cell>
          <cell r="L42">
            <v>0.30599999999999999</v>
          </cell>
          <cell r="M42">
            <v>1.3838E-2</v>
          </cell>
        </row>
        <row r="43">
          <cell r="A43">
            <v>313808</v>
          </cell>
          <cell r="B43">
            <v>3118223138084</v>
          </cell>
          <cell r="E43" t="str">
            <v>CUISINE 16CM LAG EXPRESSION LAG EVOLUTION</v>
          </cell>
          <cell r="F43">
            <v>48</v>
          </cell>
          <cell r="G43">
            <v>12</v>
          </cell>
          <cell r="H43">
            <v>37</v>
          </cell>
          <cell r="I43">
            <v>22</v>
          </cell>
          <cell r="J43">
            <v>17</v>
          </cell>
          <cell r="K43">
            <v>14.754</v>
          </cell>
          <cell r="L43">
            <v>0.30737500000000001</v>
          </cell>
          <cell r="M43">
            <v>1.3838E-2</v>
          </cell>
        </row>
        <row r="44">
          <cell r="A44">
            <v>313818</v>
          </cell>
          <cell r="B44">
            <v>3118223138183</v>
          </cell>
          <cell r="E44" t="str">
            <v>TRANCHER 22CM LAG EXPRESSION LAG EVOLUTION</v>
          </cell>
          <cell r="F44">
            <v>120</v>
          </cell>
          <cell r="G44">
            <v>120</v>
          </cell>
          <cell r="H44">
            <v>26.7</v>
          </cell>
          <cell r="I44">
            <v>6</v>
          </cell>
          <cell r="J44">
            <v>7</v>
          </cell>
          <cell r="K44">
            <v>12</v>
          </cell>
          <cell r="L44">
            <v>0.1</v>
          </cell>
          <cell r="M44">
            <v>1.1213999999999998E-3</v>
          </cell>
        </row>
        <row r="45">
          <cell r="A45">
            <v>314410</v>
          </cell>
          <cell r="B45" t="str">
            <v>3118223144108</v>
          </cell>
          <cell r="C45" t="str">
            <v>13118223144105</v>
          </cell>
          <cell r="D45" t="str">
            <v>23118223144102</v>
          </cell>
          <cell r="E45" t="str">
            <v>STEAK 11CM  LAG EXPRESSION MANCHE BOIS NOIR</v>
          </cell>
          <cell r="F45">
            <v>120</v>
          </cell>
          <cell r="G45">
            <v>120</v>
          </cell>
          <cell r="H45">
            <v>29.5</v>
          </cell>
          <cell r="I45">
            <v>22.5</v>
          </cell>
          <cell r="J45">
            <v>33</v>
          </cell>
          <cell r="K45">
            <v>13.99</v>
          </cell>
          <cell r="L45">
            <v>0.11658333333333333</v>
          </cell>
          <cell r="M45">
            <v>2.1903749999999996E-2</v>
          </cell>
        </row>
        <row r="46">
          <cell r="A46">
            <v>314428</v>
          </cell>
          <cell r="B46">
            <v>3118223144283</v>
          </cell>
          <cell r="E46" t="str">
            <v>SANTUKO LAG EXPRESSION MANCHE BOIS NOIR LAG EVOLUTION</v>
          </cell>
          <cell r="F46">
            <v>48</v>
          </cell>
          <cell r="G46">
            <v>48</v>
          </cell>
          <cell r="H46">
            <v>39.5</v>
          </cell>
          <cell r="I46">
            <v>19</v>
          </cell>
          <cell r="J46">
            <v>18.5</v>
          </cell>
          <cell r="K46">
            <v>14.971</v>
          </cell>
          <cell r="L46">
            <v>0.31189583333333332</v>
          </cell>
          <cell r="M46">
            <v>1.3884250000000001E-2</v>
          </cell>
        </row>
        <row r="47">
          <cell r="A47">
            <v>314438</v>
          </cell>
          <cell r="B47">
            <v>3118223144382</v>
          </cell>
          <cell r="E47" t="str">
            <v>CUISINE 16CM LAG EXPRESSION MANCHE BOIS NOIR LAG EVOLUTION</v>
          </cell>
          <cell r="F47">
            <v>60</v>
          </cell>
          <cell r="G47">
            <v>60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A48">
            <v>314448</v>
          </cell>
          <cell r="B48">
            <v>3118223144481</v>
          </cell>
          <cell r="E48" t="str">
            <v>TRANCHER 22CM LAG EXPRESSION MANCHE BOIS NOIR LAG EVOLUTION</v>
          </cell>
          <cell r="F48">
            <v>48</v>
          </cell>
          <cell r="G48">
            <v>48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A49">
            <v>314450</v>
          </cell>
          <cell r="B49">
            <v>3118223144504</v>
          </cell>
          <cell r="E49" t="str">
            <v>JAMBON 25CM LAG EXPRESSION POM</v>
          </cell>
          <cell r="F49">
            <v>120</v>
          </cell>
          <cell r="G49">
            <v>120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A50">
            <v>314460</v>
          </cell>
          <cell r="B50">
            <v>3118223144603</v>
          </cell>
          <cell r="E50" t="str">
            <v>HUITRE POLYPRO GARDE NOIR NOUVEAU DESIGN</v>
          </cell>
          <cell r="F50">
            <v>320</v>
          </cell>
          <cell r="G50">
            <v>320</v>
          </cell>
          <cell r="H50">
            <v>40</v>
          </cell>
          <cell r="I50">
            <v>30</v>
          </cell>
          <cell r="J50">
            <v>40</v>
          </cell>
          <cell r="K50">
            <v>15.04</v>
          </cell>
          <cell r="L50">
            <v>4.7E-2</v>
          </cell>
          <cell r="M50">
            <v>4.8000000000000001E-2</v>
          </cell>
        </row>
        <row r="51">
          <cell r="A51">
            <v>314640</v>
          </cell>
          <cell r="B51"/>
          <cell r="C51"/>
          <cell r="D51"/>
          <cell r="E51" t="str">
            <v>DOUBLE AIGUISEUR DIAMANT VRAC COULEUR NOIR</v>
          </cell>
          <cell r="F51">
            <v>100</v>
          </cell>
          <cell r="G51">
            <v>100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A52">
            <v>314720</v>
          </cell>
          <cell r="B52">
            <v>3118223147208</v>
          </cell>
          <cell r="E52" t="str">
            <v>COUTEAU ACIDULE BEE BLEU 286C VRAC</v>
          </cell>
          <cell r="F52">
            <v>240</v>
          </cell>
          <cell r="G52">
            <v>240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A53">
            <v>314843</v>
          </cell>
          <cell r="B53">
            <v>3118223148434</v>
          </cell>
          <cell r="E53" t="str">
            <v>CAFE ACIDULE BEE VIOLET 5145C VRAC</v>
          </cell>
          <cell r="F53">
            <v>240</v>
          </cell>
          <cell r="G53">
            <v>240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A54">
            <v>315398</v>
          </cell>
          <cell r="B54">
            <v>3118223153988</v>
          </cell>
          <cell r="E54" t="str">
            <v>PAIN 20 LAG EXPRESSION MANCHE BOIS NOIR LAG EVOLUTION</v>
          </cell>
          <cell r="F54">
            <v>60</v>
          </cell>
          <cell r="G54">
            <v>60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A55">
            <v>315458</v>
          </cell>
          <cell r="B55">
            <v>3118223154589</v>
          </cell>
          <cell r="E55" t="str">
            <v>JAMBON LAG EXPRESSION MANCHE BOIS NOIR LAG EVOLUTION</v>
          </cell>
          <cell r="F55">
            <v>120</v>
          </cell>
          <cell r="G55">
            <v>120</v>
          </cell>
          <cell r="H55">
            <v>38</v>
          </cell>
          <cell r="I55">
            <v>12</v>
          </cell>
          <cell r="J55">
            <v>26</v>
          </cell>
          <cell r="K55">
            <v>14.619</v>
          </cell>
          <cell r="L55">
            <v>0.121825</v>
          </cell>
          <cell r="M55">
            <v>1.1856E-2</v>
          </cell>
        </row>
        <row r="56">
          <cell r="A56">
            <v>315910</v>
          </cell>
          <cell r="B56">
            <v>3118223159102</v>
          </cell>
          <cell r="E56" t="str">
            <v>HUITRE POLYPRO ANCIEN MOD SS GARDE BLEU 3135C</v>
          </cell>
          <cell r="F56">
            <v>300</v>
          </cell>
          <cell r="G56">
            <v>300</v>
          </cell>
          <cell r="H56">
            <v>40</v>
          </cell>
          <cell r="I56">
            <v>30</v>
          </cell>
          <cell r="J56">
            <v>20</v>
          </cell>
          <cell r="K56">
            <v>11.5</v>
          </cell>
          <cell r="L56">
            <v>3.833333333333333E-2</v>
          </cell>
          <cell r="M56">
            <v>2.4E-2</v>
          </cell>
        </row>
        <row r="57">
          <cell r="A57">
            <v>315912</v>
          </cell>
          <cell r="B57">
            <v>3118223159126</v>
          </cell>
          <cell r="E57" t="str">
            <v>HUITRE POLYPRO ANCIEN MOD SS GARDE VERT 376C</v>
          </cell>
          <cell r="F57">
            <v>300</v>
          </cell>
          <cell r="G57">
            <v>300</v>
          </cell>
          <cell r="H57">
            <v>40</v>
          </cell>
          <cell r="I57">
            <v>30</v>
          </cell>
          <cell r="J57">
            <v>20</v>
          </cell>
          <cell r="K57">
            <v>9</v>
          </cell>
          <cell r="L57">
            <v>0.03</v>
          </cell>
          <cell r="M57">
            <v>2.4E-2</v>
          </cell>
        </row>
        <row r="58">
          <cell r="A58">
            <v>315982</v>
          </cell>
          <cell r="B58">
            <v>3118223159829</v>
          </cell>
          <cell r="E58" t="str">
            <v>FRUIT/LEG 14 ACIDULE BEE MANCHE NOIR CARBONE LAME INOX</v>
          </cell>
          <cell r="F58">
            <v>120</v>
          </cell>
          <cell r="G58">
            <v>120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A59">
            <v>315983</v>
          </cell>
          <cell r="B59">
            <v>3118223159836</v>
          </cell>
          <cell r="E59" t="str">
            <v>FRUIT/LEG 14 ACIDULE BEE MANCHE ROUGE LAME INOX</v>
          </cell>
          <cell r="F59">
            <v>120</v>
          </cell>
          <cell r="G59">
            <v>120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A60">
            <v>315993</v>
          </cell>
          <cell r="B60">
            <v>3118223159935</v>
          </cell>
          <cell r="E60" t="str">
            <v>CUISINE 17 ACIDULE BEE MANCHE ROUGE LAME INOX</v>
          </cell>
          <cell r="F60">
            <v>120</v>
          </cell>
          <cell r="G60">
            <v>120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A61">
            <v>316003</v>
          </cell>
          <cell r="B61">
            <v>3118223160030</v>
          </cell>
          <cell r="E61" t="str">
            <v>CHEF 19 ACIDULE BEE MANCHE ROUGE LAME INOX</v>
          </cell>
          <cell r="F61">
            <v>120</v>
          </cell>
          <cell r="G61">
            <v>120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A62">
            <v>316013</v>
          </cell>
          <cell r="B62">
            <v>3118223160139</v>
          </cell>
          <cell r="E62" t="str">
            <v>PAIN 19 ACIDULE BEE MANCHE ROUGE LAME INOX</v>
          </cell>
          <cell r="F62">
            <v>120</v>
          </cell>
          <cell r="G62">
            <v>120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A63">
            <v>316023</v>
          </cell>
          <cell r="B63">
            <v>3118223160238</v>
          </cell>
          <cell r="E63" t="str">
            <v>UNIVERSEL LAME LISSE 13 ACIDULE BEE MANCHE ROUGE LAME INOX</v>
          </cell>
          <cell r="F63">
            <v>120</v>
          </cell>
          <cell r="G63">
            <v>120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A64">
            <v>400052</v>
          </cell>
          <cell r="B64">
            <v>3118224000526</v>
          </cell>
          <cell r="E64" t="str">
            <v>M24 LAG NACRE IVOIRE COF + BAND.MI</v>
          </cell>
          <cell r="F64">
            <v>6</v>
          </cell>
          <cell r="G64">
            <v>6</v>
          </cell>
          <cell r="H64">
            <v>33.5</v>
          </cell>
          <cell r="I64">
            <v>28.5</v>
          </cell>
          <cell r="J64">
            <v>29</v>
          </cell>
          <cell r="K64">
            <v>7.992</v>
          </cell>
          <cell r="L64">
            <v>1.3320000000000001</v>
          </cell>
          <cell r="M64">
            <v>2.7687750000000007E-2</v>
          </cell>
        </row>
        <row r="65">
          <cell r="A65">
            <v>400080</v>
          </cell>
          <cell r="B65">
            <v>3118224000809</v>
          </cell>
          <cell r="E65" t="str">
            <v>M24 VIEUX PARIS EN BOITE TB COLLECTION</v>
          </cell>
          <cell r="F65">
            <v>6</v>
          </cell>
          <cell r="G65">
            <v>6</v>
          </cell>
          <cell r="H65">
            <v>30.5</v>
          </cell>
          <cell r="I65">
            <v>27.5</v>
          </cell>
          <cell r="J65">
            <v>31.5</v>
          </cell>
          <cell r="K65">
            <v>8.6829999999999998</v>
          </cell>
          <cell r="L65">
            <v>1.4471666666666667</v>
          </cell>
          <cell r="M65">
            <v>2.6420624999999996E-2</v>
          </cell>
        </row>
        <row r="66">
          <cell r="A66">
            <v>400520</v>
          </cell>
          <cell r="B66">
            <v>3118224005200</v>
          </cell>
          <cell r="E66" t="str">
            <v>COUTEAU VIEUX PARIS + GENCOD</v>
          </cell>
          <cell r="F66">
            <v>240</v>
          </cell>
          <cell r="G66">
            <v>6</v>
          </cell>
          <cell r="H66">
            <v>44.5</v>
          </cell>
          <cell r="I66">
            <v>26</v>
          </cell>
          <cell r="J66">
            <v>24</v>
          </cell>
          <cell r="K66">
            <v>21.332999999999998</v>
          </cell>
          <cell r="L66">
            <v>8.8887499999999994E-2</v>
          </cell>
          <cell r="M66">
            <v>2.7767999999999998E-2</v>
          </cell>
        </row>
        <row r="67">
          <cell r="A67">
            <v>400530</v>
          </cell>
          <cell r="B67">
            <v>3118224005309</v>
          </cell>
          <cell r="E67" t="str">
            <v>FOURCHETTE VIEUX PARIS + GENCOD</v>
          </cell>
          <cell r="F67">
            <v>240</v>
          </cell>
          <cell r="G67">
            <v>6</v>
          </cell>
          <cell r="H67">
            <v>44.5</v>
          </cell>
          <cell r="I67">
            <v>25.5</v>
          </cell>
          <cell r="J67">
            <v>24</v>
          </cell>
          <cell r="K67">
            <v>10.16</v>
          </cell>
          <cell r="L67">
            <v>4.2333333333333334E-2</v>
          </cell>
          <cell r="M67">
            <v>2.7234000000000001E-2</v>
          </cell>
        </row>
        <row r="68">
          <cell r="A68">
            <v>400540</v>
          </cell>
          <cell r="B68">
            <v>3118224005408</v>
          </cell>
          <cell r="E68" t="str">
            <v>CUILLERE VIEUX PARIS + GENCOD</v>
          </cell>
          <cell r="F68">
            <v>240</v>
          </cell>
          <cell r="G68">
            <v>6</v>
          </cell>
          <cell r="H68">
            <v>44.5</v>
          </cell>
          <cell r="I68">
            <v>25.5</v>
          </cell>
          <cell r="J68">
            <v>24.5</v>
          </cell>
          <cell r="K68">
            <v>15.747999999999999</v>
          </cell>
          <cell r="L68">
            <v>6.561666666666667E-2</v>
          </cell>
          <cell r="M68">
            <v>2.7801375000000003E-2</v>
          </cell>
        </row>
        <row r="69">
          <cell r="A69">
            <v>400550</v>
          </cell>
          <cell r="B69">
            <v>3118224005507</v>
          </cell>
          <cell r="C69">
            <v>13118224005504</v>
          </cell>
          <cell r="D69">
            <v>23118224005501</v>
          </cell>
          <cell r="E69" t="str">
            <v>CAFE VIEUX PARIS + GENCOD</v>
          </cell>
          <cell r="F69">
            <v>240</v>
          </cell>
          <cell r="G69">
            <v>6</v>
          </cell>
          <cell r="H69">
            <v>45</v>
          </cell>
          <cell r="I69">
            <v>18.5</v>
          </cell>
          <cell r="J69">
            <v>22</v>
          </cell>
          <cell r="K69">
            <v>7.1630000000000003</v>
          </cell>
          <cell r="L69">
            <v>2.9845833333333335E-2</v>
          </cell>
          <cell r="M69">
            <v>1.8315000000000001E-2</v>
          </cell>
        </row>
        <row r="70">
          <cell r="A70">
            <v>401720</v>
          </cell>
          <cell r="B70">
            <v>3118224017203</v>
          </cell>
          <cell r="E70" t="str">
            <v>COUPERET ABS 3 RIVETS SUR CARTE</v>
          </cell>
          <cell r="F70">
            <v>42</v>
          </cell>
          <cell r="G70">
            <v>6</v>
          </cell>
          <cell r="H70">
            <v>36</v>
          </cell>
          <cell r="I70">
            <v>28</v>
          </cell>
          <cell r="J70">
            <v>19</v>
          </cell>
          <cell r="K70">
            <v>9.3559999999999999</v>
          </cell>
          <cell r="L70">
            <v>0.22276190476190477</v>
          </cell>
          <cell r="M70">
            <v>1.9151999999999999E-2</v>
          </cell>
        </row>
        <row r="71">
          <cell r="A71">
            <v>401730</v>
          </cell>
          <cell r="B71">
            <v>3118224017302</v>
          </cell>
          <cell r="E71" t="str">
            <v>FUSIL A AIGUISER</v>
          </cell>
          <cell r="F71">
            <v>90</v>
          </cell>
          <cell r="G71">
            <v>6</v>
          </cell>
          <cell r="H71">
            <v>35</v>
          </cell>
          <cell r="I71">
            <v>35</v>
          </cell>
          <cell r="J71">
            <v>37</v>
          </cell>
          <cell r="K71">
            <v>14.45</v>
          </cell>
          <cell r="L71">
            <v>0.16055555555555553</v>
          </cell>
          <cell r="M71">
            <v>4.5324999999999997E-2</v>
          </cell>
        </row>
        <row r="72">
          <cell r="A72">
            <v>401740</v>
          </cell>
          <cell r="B72">
            <v>3118224017401</v>
          </cell>
          <cell r="E72" t="str">
            <v>PIERRE A AIGUISER EN BOITE TB COLLECTION</v>
          </cell>
          <cell r="F72">
            <v>60</v>
          </cell>
          <cell r="G72">
            <v>6</v>
          </cell>
          <cell r="H72">
            <v>36</v>
          </cell>
          <cell r="I72">
            <v>28.5</v>
          </cell>
          <cell r="J72">
            <v>19</v>
          </cell>
          <cell r="K72">
            <v>11.79</v>
          </cell>
          <cell r="L72">
            <v>0.19649999999999998</v>
          </cell>
          <cell r="M72">
            <v>1.9494000000000001E-2</v>
          </cell>
        </row>
        <row r="73">
          <cell r="A73">
            <v>402010</v>
          </cell>
          <cell r="B73">
            <v>3118224020104</v>
          </cell>
          <cell r="C73">
            <v>13118224020101</v>
          </cell>
          <cell r="D73">
            <v>23118224020108</v>
          </cell>
          <cell r="E73" t="str">
            <v>M24 LAG METAL COF. + BANDEAU</v>
          </cell>
          <cell r="F73">
            <v>6</v>
          </cell>
          <cell r="G73">
            <v>6</v>
          </cell>
          <cell r="H73">
            <v>33.5</v>
          </cell>
          <cell r="I73">
            <v>28</v>
          </cell>
          <cell r="J73">
            <v>28.5</v>
          </cell>
          <cell r="K73">
            <v>8.76</v>
          </cell>
          <cell r="L73">
            <v>1.46</v>
          </cell>
          <cell r="M73">
            <v>2.6733000000000003E-2</v>
          </cell>
        </row>
        <row r="74">
          <cell r="A74">
            <v>402620</v>
          </cell>
          <cell r="B74">
            <v>3118224026205</v>
          </cell>
          <cell r="C74">
            <v>13118224026202</v>
          </cell>
          <cell r="D74">
            <v>23118224026209</v>
          </cell>
          <cell r="E74" t="str">
            <v>LOT 6 FTTES CLEO 18% 10/10</v>
          </cell>
          <cell r="F74">
            <v>120</v>
          </cell>
          <cell r="G74">
            <v>10</v>
          </cell>
          <cell r="H74">
            <v>29</v>
          </cell>
          <cell r="I74">
            <v>22</v>
          </cell>
          <cell r="J74">
            <v>17</v>
          </cell>
          <cell r="K74">
            <v>17.135999999999999</v>
          </cell>
          <cell r="L74">
            <v>0.14279999999999998</v>
          </cell>
          <cell r="M74">
            <v>1.0846E-2</v>
          </cell>
        </row>
        <row r="75">
          <cell r="A75">
            <v>402630</v>
          </cell>
          <cell r="B75">
            <v>3118224026304</v>
          </cell>
          <cell r="C75">
            <v>13118224026301</v>
          </cell>
          <cell r="D75">
            <v>23118224026308</v>
          </cell>
          <cell r="E75" t="str">
            <v>LOT 6 CUILL CLEO 18% 10/10</v>
          </cell>
          <cell r="F75">
            <v>120</v>
          </cell>
          <cell r="G75">
            <v>10</v>
          </cell>
          <cell r="H75">
            <v>28.5</v>
          </cell>
          <cell r="I75">
            <v>22.5</v>
          </cell>
          <cell r="J75">
            <v>22.5</v>
          </cell>
          <cell r="K75">
            <v>22.94</v>
          </cell>
          <cell r="L75">
            <v>0.19116666666666668</v>
          </cell>
          <cell r="M75">
            <v>1.4428125E-2</v>
          </cell>
        </row>
        <row r="76">
          <cell r="A76">
            <v>402640</v>
          </cell>
          <cell r="B76">
            <v>3118224026403</v>
          </cell>
          <cell r="C76">
            <v>13118224026400</v>
          </cell>
          <cell r="D76">
            <v>23118224026407</v>
          </cell>
          <cell r="E76" t="str">
            <v>LOT 6 CAFES CLEO 18% 10/10</v>
          </cell>
          <cell r="F76">
            <v>200</v>
          </cell>
          <cell r="G76">
            <v>20</v>
          </cell>
          <cell r="H76">
            <v>19</v>
          </cell>
          <cell r="I76">
            <v>17</v>
          </cell>
          <cell r="J76">
            <v>25</v>
          </cell>
          <cell r="K76">
            <v>16.27</v>
          </cell>
          <cell r="L76">
            <v>8.1349999999999992E-2</v>
          </cell>
          <cell r="M76">
            <v>8.0750000000000006E-3</v>
          </cell>
        </row>
        <row r="77">
          <cell r="A77">
            <v>402650</v>
          </cell>
          <cell r="B77">
            <v>3118224026502</v>
          </cell>
          <cell r="C77">
            <v>13118224026509</v>
          </cell>
          <cell r="D77">
            <v>23118224026506</v>
          </cell>
          <cell r="E77" t="str">
            <v>LOT 6 CUILL MOKA CLEO 18% 10/10</v>
          </cell>
          <cell r="F77">
            <v>200</v>
          </cell>
          <cell r="G77">
            <v>20</v>
          </cell>
          <cell r="H77">
            <v>20</v>
          </cell>
          <cell r="I77">
            <v>13.5</v>
          </cell>
          <cell r="J77">
            <v>22.3</v>
          </cell>
          <cell r="K77">
            <v>10.606</v>
          </cell>
          <cell r="L77">
            <v>5.3030000000000001E-2</v>
          </cell>
          <cell r="M77">
            <v>6.0210000000000012E-3</v>
          </cell>
        </row>
        <row r="78">
          <cell r="A78">
            <v>402660</v>
          </cell>
          <cell r="B78">
            <v>3118224026601</v>
          </cell>
          <cell r="C78">
            <v>13118224026608</v>
          </cell>
          <cell r="D78">
            <v>23118224026605</v>
          </cell>
          <cell r="E78" t="str">
            <v>LOT 6 CUILL MAZAGRAN CLEO</v>
          </cell>
          <cell r="F78">
            <v>200</v>
          </cell>
          <cell r="G78">
            <v>10</v>
          </cell>
          <cell r="H78">
            <v>23.5</v>
          </cell>
          <cell r="I78">
            <v>22.5</v>
          </cell>
          <cell r="J78">
            <v>28</v>
          </cell>
          <cell r="K78">
            <v>19.548999999999999</v>
          </cell>
          <cell r="L78">
            <v>9.7744999999999999E-2</v>
          </cell>
          <cell r="M78">
            <v>1.4804999999999999E-2</v>
          </cell>
        </row>
        <row r="79">
          <cell r="A79">
            <v>402711</v>
          </cell>
          <cell r="B79">
            <v>3118224027110</v>
          </cell>
          <cell r="C79">
            <v>13118224027117</v>
          </cell>
          <cell r="D79">
            <v>23118224027114</v>
          </cell>
          <cell r="E79" t="str">
            <v>COUTEAU DE POCHE NATU /CQUE CDF LAME 9CM</v>
          </cell>
          <cell r="F79">
            <v>36</v>
          </cell>
          <cell r="G79">
            <v>6</v>
          </cell>
          <cell r="H79">
            <v>48</v>
          </cell>
          <cell r="I79">
            <v>31.5</v>
          </cell>
          <cell r="J79">
            <v>25.5</v>
          </cell>
          <cell r="K79">
            <v>3.42</v>
          </cell>
          <cell r="L79">
            <v>9.5000000000000001E-2</v>
          </cell>
          <cell r="M79">
            <v>3.8556E-2</v>
          </cell>
        </row>
        <row r="80">
          <cell r="A80">
            <v>402961</v>
          </cell>
          <cell r="B80">
            <v>3118224029619</v>
          </cell>
          <cell r="E80" t="str">
            <v>CUISINE 25 FORGE FX COUTEAU DU CHEF</v>
          </cell>
          <cell r="F80">
            <v>96</v>
          </cell>
          <cell r="G80">
            <v>6</v>
          </cell>
          <cell r="H80">
            <v>44</v>
          </cell>
          <cell r="I80">
            <v>29</v>
          </cell>
          <cell r="J80">
            <v>229</v>
          </cell>
          <cell r="K80">
            <v>25.169</v>
          </cell>
          <cell r="L80">
            <v>0.26217708333333334</v>
          </cell>
          <cell r="M80">
            <v>0.29220399999999996</v>
          </cell>
        </row>
        <row r="81">
          <cell r="A81">
            <v>402971</v>
          </cell>
          <cell r="B81">
            <v>3118224029718</v>
          </cell>
          <cell r="E81" t="str">
            <v>JAMBON 25CM FORGE FX COUTEAU DU CHEF</v>
          </cell>
          <cell r="F81">
            <v>96</v>
          </cell>
          <cell r="G81">
            <v>6</v>
          </cell>
          <cell r="H81">
            <v>43</v>
          </cell>
          <cell r="I81">
            <v>28.5</v>
          </cell>
          <cell r="J81">
            <v>29.5</v>
          </cell>
          <cell r="K81">
            <v>16.032</v>
          </cell>
          <cell r="L81">
            <v>0.16700000000000001</v>
          </cell>
          <cell r="M81">
            <v>3.6152249999999997E-2</v>
          </cell>
        </row>
        <row r="82">
          <cell r="A82">
            <v>402981</v>
          </cell>
          <cell r="B82">
            <v>3118224029817</v>
          </cell>
          <cell r="E82" t="str">
            <v>BOUCHER 21 CM FORGE FX COUTEAU DU CHEF</v>
          </cell>
          <cell r="F82">
            <v>72</v>
          </cell>
          <cell r="G82">
            <v>6</v>
          </cell>
          <cell r="H82">
            <v>40</v>
          </cell>
          <cell r="I82">
            <v>30</v>
          </cell>
          <cell r="J82">
            <v>20</v>
          </cell>
          <cell r="K82">
            <v>18.288</v>
          </cell>
          <cell r="L82">
            <v>0.254</v>
          </cell>
          <cell r="M82">
            <v>2.4E-2</v>
          </cell>
        </row>
        <row r="83">
          <cell r="A83">
            <v>402991</v>
          </cell>
          <cell r="B83">
            <v>3118224029916</v>
          </cell>
          <cell r="E83" t="str">
            <v>CHEF 19CM FORGE FX COUTEAU DU CHEF</v>
          </cell>
          <cell r="F83">
            <v>72</v>
          </cell>
          <cell r="G83">
            <v>6</v>
          </cell>
          <cell r="H83">
            <v>40</v>
          </cell>
          <cell r="I83">
            <v>35</v>
          </cell>
          <cell r="J83">
            <v>20</v>
          </cell>
          <cell r="K83">
            <v>18.648</v>
          </cell>
          <cell r="L83">
            <v>0.25900000000000001</v>
          </cell>
          <cell r="M83">
            <v>2.8000000000000004E-2</v>
          </cell>
        </row>
        <row r="84">
          <cell r="A84">
            <v>403001</v>
          </cell>
          <cell r="B84">
            <v>3118224030011</v>
          </cell>
          <cell r="E84" t="str">
            <v>CT PAIN 20CM FORGE FX COUTEAU DU CHEF</v>
          </cell>
          <cell r="F84">
            <v>72</v>
          </cell>
          <cell r="G84">
            <v>6</v>
          </cell>
          <cell r="H84">
            <v>40</v>
          </cell>
          <cell r="I84">
            <v>30</v>
          </cell>
          <cell r="J84">
            <v>20</v>
          </cell>
          <cell r="K84">
            <v>12.456</v>
          </cell>
          <cell r="L84">
            <v>0.17299999999999999</v>
          </cell>
          <cell r="M84">
            <v>2.4E-2</v>
          </cell>
        </row>
        <row r="85">
          <cell r="A85">
            <v>403011</v>
          </cell>
          <cell r="B85">
            <v>3118224030110</v>
          </cell>
          <cell r="E85" t="str">
            <v>CUISINE 17CM FORGE FX COUTEAU DU CHEF</v>
          </cell>
          <cell r="F85">
            <v>72</v>
          </cell>
          <cell r="G85">
            <v>6</v>
          </cell>
          <cell r="H85">
            <v>40</v>
          </cell>
          <cell r="I85">
            <v>30</v>
          </cell>
          <cell r="J85">
            <v>20</v>
          </cell>
          <cell r="K85">
            <v>16.056000000000001</v>
          </cell>
          <cell r="L85">
            <v>0.223</v>
          </cell>
          <cell r="M85">
            <v>2.4E-2</v>
          </cell>
        </row>
        <row r="86">
          <cell r="A86">
            <v>403021</v>
          </cell>
          <cell r="B86">
            <v>3118224030219</v>
          </cell>
          <cell r="E86" t="str">
            <v>DESOSSER 15CM FORGE FX COUTEAU DU CHEF</v>
          </cell>
          <cell r="F86">
            <v>90</v>
          </cell>
          <cell r="G86">
            <v>6</v>
          </cell>
          <cell r="H86">
            <v>40</v>
          </cell>
          <cell r="I86">
            <v>30</v>
          </cell>
          <cell r="J86">
            <v>20</v>
          </cell>
          <cell r="K86">
            <v>12.42</v>
          </cell>
          <cell r="L86">
            <v>0.13800000000000001</v>
          </cell>
          <cell r="M86">
            <v>2.4E-2</v>
          </cell>
        </row>
        <row r="87">
          <cell r="A87">
            <v>403031</v>
          </cell>
          <cell r="B87">
            <v>3118224030318</v>
          </cell>
          <cell r="E87" t="str">
            <v>STEAK 12CM FORGE FX COUTEAU DU CHEF</v>
          </cell>
          <cell r="F87">
            <v>150</v>
          </cell>
          <cell r="G87">
            <v>6</v>
          </cell>
          <cell r="H87">
            <v>40</v>
          </cell>
          <cell r="I87">
            <v>30</v>
          </cell>
          <cell r="J87">
            <v>20</v>
          </cell>
          <cell r="K87">
            <v>12.25</v>
          </cell>
          <cell r="L87">
            <v>8.1666666666666665E-2</v>
          </cell>
          <cell r="M87">
            <v>2.4E-2</v>
          </cell>
        </row>
        <row r="88">
          <cell r="A88">
            <v>403032</v>
          </cell>
          <cell r="B88">
            <v>3118224030325</v>
          </cell>
          <cell r="E88" t="str">
            <v>STEAK 12CM FORGE POM FX TB</v>
          </cell>
          <cell r="F88">
            <v>150</v>
          </cell>
          <cell r="G88">
            <v>6</v>
          </cell>
          <cell r="H88">
            <v>40</v>
          </cell>
          <cell r="I88">
            <v>30</v>
          </cell>
          <cell r="J88">
            <v>20</v>
          </cell>
          <cell r="K88">
            <v>12.4</v>
          </cell>
          <cell r="L88">
            <v>8.2666666666666666E-2</v>
          </cell>
          <cell r="M88">
            <v>2.4E-2</v>
          </cell>
        </row>
        <row r="89">
          <cell r="A89">
            <v>403041</v>
          </cell>
          <cell r="B89">
            <v>3118224030417</v>
          </cell>
          <cell r="E89" t="str">
            <v>OFFICE 9CM FORGE FX COUTEAU DU CHEF</v>
          </cell>
          <cell r="F89">
            <v>150</v>
          </cell>
          <cell r="G89">
            <v>6</v>
          </cell>
          <cell r="H89">
            <v>40</v>
          </cell>
          <cell r="I89">
            <v>30</v>
          </cell>
          <cell r="J89">
            <v>20</v>
          </cell>
          <cell r="K89">
            <v>12.6</v>
          </cell>
          <cell r="L89">
            <v>8.3999999999999991E-2</v>
          </cell>
          <cell r="M89">
            <v>2.4E-2</v>
          </cell>
        </row>
        <row r="90">
          <cell r="A90">
            <v>403042</v>
          </cell>
          <cell r="B90">
            <v>3118224030424</v>
          </cell>
          <cell r="E90" t="str">
            <v>OFFICE 9CM FORGE POM FX TB</v>
          </cell>
          <cell r="F90">
            <v>150</v>
          </cell>
          <cell r="G90">
            <v>6</v>
          </cell>
          <cell r="H90">
            <v>40</v>
          </cell>
          <cell r="I90">
            <v>30</v>
          </cell>
          <cell r="J90">
            <v>20</v>
          </cell>
          <cell r="K90">
            <v>12.37</v>
          </cell>
          <cell r="L90">
            <v>8.246666666666666E-2</v>
          </cell>
          <cell r="M90">
            <v>2.4E-2</v>
          </cell>
        </row>
        <row r="91">
          <cell r="A91">
            <v>403050</v>
          </cell>
          <cell r="B91">
            <v>3118224030509</v>
          </cell>
          <cell r="E91" t="str">
            <v>FOURCHETTE DECOUPER FORGE /CARTE COUTEAU DU CHEF</v>
          </cell>
          <cell r="F91">
            <v>60</v>
          </cell>
          <cell r="G91">
            <v>6</v>
          </cell>
          <cell r="H91">
            <v>43.5</v>
          </cell>
          <cell r="I91">
            <v>29</v>
          </cell>
          <cell r="J91">
            <v>29.3</v>
          </cell>
          <cell r="K91">
            <v>10.007</v>
          </cell>
          <cell r="L91">
            <v>0.16678333333333334</v>
          </cell>
          <cell r="M91">
            <v>3.696195E-2</v>
          </cell>
        </row>
        <row r="92">
          <cell r="A92">
            <v>403261</v>
          </cell>
          <cell r="B92">
            <v>3118224032619</v>
          </cell>
          <cell r="E92" t="str">
            <v>PAIN 21CM CHALET FX CDF</v>
          </cell>
          <cell r="F92">
            <v>120</v>
          </cell>
          <cell r="G92">
            <v>6</v>
          </cell>
          <cell r="H92">
            <v>44</v>
          </cell>
          <cell r="I92">
            <v>28</v>
          </cell>
          <cell r="J92">
            <v>29.5</v>
          </cell>
          <cell r="K92">
            <v>16.687999999999999</v>
          </cell>
          <cell r="L92">
            <v>0.13906666666666664</v>
          </cell>
          <cell r="M92">
            <v>3.6344000000000001E-2</v>
          </cell>
        </row>
        <row r="93">
          <cell r="A93">
            <v>403271</v>
          </cell>
          <cell r="B93">
            <v>3118224032718</v>
          </cell>
          <cell r="E93" t="str">
            <v>CUISINE 19CM CHALET FX CDF</v>
          </cell>
          <cell r="F93">
            <v>96</v>
          </cell>
          <cell r="G93">
            <v>6</v>
          </cell>
          <cell r="H93">
            <v>43</v>
          </cell>
          <cell r="I93">
            <v>29.5</v>
          </cell>
          <cell r="J93">
            <v>28.5</v>
          </cell>
          <cell r="K93">
            <v>16</v>
          </cell>
          <cell r="L93">
            <v>0.16666666666666666</v>
          </cell>
          <cell r="M93">
            <v>3.6152250000000004E-2</v>
          </cell>
        </row>
        <row r="94">
          <cell r="A94">
            <v>403301</v>
          </cell>
          <cell r="B94">
            <v>3118224033012</v>
          </cell>
          <cell r="E94" t="str">
            <v>OFFICE 9CM CHALET FX CDF</v>
          </cell>
          <cell r="F94">
            <v>150</v>
          </cell>
          <cell r="G94">
            <v>6</v>
          </cell>
          <cell r="H94">
            <v>40</v>
          </cell>
          <cell r="I94">
            <v>30</v>
          </cell>
          <cell r="J94">
            <v>20</v>
          </cell>
          <cell r="K94">
            <v>8.843</v>
          </cell>
          <cell r="L94">
            <v>5.895333333333333E-2</v>
          </cell>
          <cell r="M94">
            <v>2.4E-2</v>
          </cell>
        </row>
        <row r="95">
          <cell r="A95">
            <v>403371</v>
          </cell>
          <cell r="B95">
            <v>3118224033715</v>
          </cell>
          <cell r="E95" t="str">
            <v>CHEF 21CM SENSIO FX COUTEAU DU CHEF</v>
          </cell>
          <cell r="F95">
            <v>72</v>
          </cell>
          <cell r="G95">
            <v>6</v>
          </cell>
          <cell r="H95">
            <v>40</v>
          </cell>
          <cell r="I95">
            <v>30</v>
          </cell>
          <cell r="J95">
            <v>20</v>
          </cell>
          <cell r="K95">
            <v>10.295999999999999</v>
          </cell>
          <cell r="L95">
            <v>0.14299999999999999</v>
          </cell>
          <cell r="M95">
            <v>2.4E-2</v>
          </cell>
        </row>
        <row r="96">
          <cell r="A96">
            <v>403381</v>
          </cell>
          <cell r="B96">
            <v>3118224033814</v>
          </cell>
          <cell r="E96" t="str">
            <v>PAIN 21CM SENSIO FX COUTEAU DU CHEF</v>
          </cell>
          <cell r="F96">
            <v>72</v>
          </cell>
          <cell r="G96">
            <v>6</v>
          </cell>
          <cell r="H96">
            <v>44</v>
          </cell>
          <cell r="I96">
            <v>28</v>
          </cell>
          <cell r="J96">
            <v>29.5</v>
          </cell>
          <cell r="K96">
            <v>11.744999999999999</v>
          </cell>
          <cell r="L96">
            <v>0.16312499999999999</v>
          </cell>
          <cell r="M96">
            <v>3.6344000000000001E-2</v>
          </cell>
        </row>
        <row r="97">
          <cell r="A97">
            <v>403391</v>
          </cell>
          <cell r="B97">
            <v>3118224033913</v>
          </cell>
          <cell r="E97" t="str">
            <v>CUISINE 19CM SENSIO FX COUTEAU DU CHEF</v>
          </cell>
          <cell r="F97">
            <v>54</v>
          </cell>
          <cell r="G97">
            <v>6</v>
          </cell>
          <cell r="H97">
            <v>40</v>
          </cell>
          <cell r="I97">
            <v>30</v>
          </cell>
          <cell r="J97">
            <v>20</v>
          </cell>
          <cell r="K97">
            <v>7.56</v>
          </cell>
          <cell r="L97">
            <v>0.13999999999999999</v>
          </cell>
          <cell r="M97">
            <v>2.4E-2</v>
          </cell>
        </row>
        <row r="98">
          <cell r="A98">
            <v>403411</v>
          </cell>
          <cell r="B98">
            <v>3118224034118</v>
          </cell>
          <cell r="E98" t="str">
            <v>STEAK 12CM SENSIO FX COUTEAU DU CHEF</v>
          </cell>
          <cell r="F98">
            <v>120</v>
          </cell>
          <cell r="G98">
            <v>6</v>
          </cell>
          <cell r="H98">
            <v>40</v>
          </cell>
          <cell r="I98">
            <v>30</v>
          </cell>
          <cell r="J98">
            <v>20</v>
          </cell>
          <cell r="K98">
            <v>6.74</v>
          </cell>
          <cell r="L98">
            <v>5.616666666666667E-2</v>
          </cell>
          <cell r="M98">
            <v>2.4E-2</v>
          </cell>
        </row>
        <row r="99">
          <cell r="A99">
            <v>403421</v>
          </cell>
          <cell r="B99">
            <v>3118224034217</v>
          </cell>
          <cell r="E99" t="str">
            <v>OFFICE 9CM SENSIO FX COUTEAU DU CHEF</v>
          </cell>
          <cell r="F99">
            <v>120</v>
          </cell>
          <cell r="G99">
            <v>6</v>
          </cell>
          <cell r="H99">
            <v>40</v>
          </cell>
          <cell r="I99">
            <v>30</v>
          </cell>
          <cell r="J99">
            <v>20</v>
          </cell>
          <cell r="K99">
            <v>6.14</v>
          </cell>
          <cell r="L99">
            <v>5.1166666666666666E-2</v>
          </cell>
          <cell r="M99">
            <v>2.4E-2</v>
          </cell>
        </row>
        <row r="100">
          <cell r="A100">
            <v>403431</v>
          </cell>
          <cell r="B100">
            <v>3118224034316</v>
          </cell>
          <cell r="E100" t="str">
            <v>BOUCHER 21CM PRADEL FX COUTEAU DU CHEF</v>
          </cell>
          <cell r="F100">
            <v>72</v>
          </cell>
          <cell r="G100">
            <v>6</v>
          </cell>
          <cell r="H100">
            <v>40</v>
          </cell>
          <cell r="I100">
            <v>30</v>
          </cell>
          <cell r="J100">
            <v>20</v>
          </cell>
          <cell r="K100">
            <v>11.016</v>
          </cell>
          <cell r="L100">
            <v>0.153</v>
          </cell>
          <cell r="M100">
            <v>2.4E-2</v>
          </cell>
        </row>
        <row r="101">
          <cell r="A101">
            <v>403441</v>
          </cell>
          <cell r="B101">
            <v>3118224034415</v>
          </cell>
          <cell r="E101" t="str">
            <v>PAIN 21CM PRADEL FX COUTEAU DU CHEF</v>
          </cell>
          <cell r="F101">
            <v>90</v>
          </cell>
          <cell r="G101">
            <v>6</v>
          </cell>
          <cell r="H101">
            <v>44</v>
          </cell>
          <cell r="I101">
            <v>30</v>
          </cell>
          <cell r="J101">
            <v>29</v>
          </cell>
          <cell r="K101">
            <v>13.89</v>
          </cell>
          <cell r="L101">
            <v>0.15433333333333335</v>
          </cell>
          <cell r="M101">
            <v>3.8280000000000002E-2</v>
          </cell>
        </row>
        <row r="102">
          <cell r="A102">
            <v>403451</v>
          </cell>
          <cell r="B102">
            <v>3118224034514</v>
          </cell>
          <cell r="E102" t="str">
            <v>SANTUKO 19 PRADEL FX COUTEAU DU CHEF</v>
          </cell>
          <cell r="F102">
            <v>72</v>
          </cell>
          <cell r="G102">
            <v>6</v>
          </cell>
          <cell r="H102">
            <v>40</v>
          </cell>
          <cell r="I102">
            <v>30</v>
          </cell>
          <cell r="J102">
            <v>20</v>
          </cell>
          <cell r="K102">
            <v>11.448</v>
          </cell>
          <cell r="L102">
            <v>0.159</v>
          </cell>
          <cell r="M102">
            <v>2.4E-2</v>
          </cell>
        </row>
        <row r="103">
          <cell r="A103">
            <v>403461</v>
          </cell>
          <cell r="B103">
            <v>3118224034613</v>
          </cell>
          <cell r="E103" t="str">
            <v>CUISINE 17CM PRADEL FX COUTEAU DU CHEF</v>
          </cell>
          <cell r="F103">
            <v>72</v>
          </cell>
          <cell r="G103">
            <v>6</v>
          </cell>
          <cell r="H103">
            <v>40</v>
          </cell>
          <cell r="I103">
            <v>30</v>
          </cell>
          <cell r="J103">
            <v>20</v>
          </cell>
          <cell r="K103">
            <v>10.396000000000001</v>
          </cell>
          <cell r="L103">
            <v>0.1443888888888889</v>
          </cell>
          <cell r="M103">
            <v>2.4E-2</v>
          </cell>
        </row>
        <row r="104">
          <cell r="A104">
            <v>403481</v>
          </cell>
          <cell r="B104">
            <v>3118224034811</v>
          </cell>
          <cell r="E104" t="str">
            <v>DESOSSER 15CM PRADEL FX COUTEAU DU CHEF</v>
          </cell>
          <cell r="F104">
            <v>90</v>
          </cell>
          <cell r="G104">
            <v>6</v>
          </cell>
          <cell r="H104">
            <v>40</v>
          </cell>
          <cell r="I104">
            <v>30</v>
          </cell>
          <cell r="J104">
            <v>20</v>
          </cell>
          <cell r="K104">
            <v>10.095000000000001</v>
          </cell>
          <cell r="L104">
            <v>0.11216666666666668</v>
          </cell>
          <cell r="M104">
            <v>2.4E-2</v>
          </cell>
        </row>
        <row r="105">
          <cell r="A105">
            <v>403571</v>
          </cell>
          <cell r="B105">
            <v>3118224035719</v>
          </cell>
          <cell r="E105" t="str">
            <v>BOUCHER 17CM RECORD FX COUTEAU DU CHEF</v>
          </cell>
          <cell r="F105">
            <v>72</v>
          </cell>
          <cell r="G105">
            <v>6</v>
          </cell>
          <cell r="H105">
            <v>40</v>
          </cell>
          <cell r="I105">
            <v>30</v>
          </cell>
          <cell r="J105">
            <v>20</v>
          </cell>
          <cell r="K105">
            <v>8.3520000000000003</v>
          </cell>
          <cell r="L105">
            <v>0.11600000000000001</v>
          </cell>
          <cell r="M105">
            <v>2.4E-2</v>
          </cell>
        </row>
        <row r="106">
          <cell r="A106">
            <v>403591</v>
          </cell>
          <cell r="B106">
            <v>3118224035917</v>
          </cell>
          <cell r="E106" t="str">
            <v>PAIN SURG 17CM RECORD FX COUTEAU DU CHEF</v>
          </cell>
          <cell r="F106">
            <v>72</v>
          </cell>
          <cell r="G106">
            <v>6</v>
          </cell>
          <cell r="H106">
            <v>40</v>
          </cell>
          <cell r="I106">
            <v>30</v>
          </cell>
          <cell r="J106">
            <v>20</v>
          </cell>
          <cell r="K106">
            <v>7.7759999999999998</v>
          </cell>
          <cell r="L106">
            <v>0.108</v>
          </cell>
          <cell r="M106">
            <v>2.4E-2</v>
          </cell>
        </row>
        <row r="107">
          <cell r="A107">
            <v>403601</v>
          </cell>
          <cell r="B107">
            <v>3118224036013</v>
          </cell>
          <cell r="E107" t="str">
            <v>CUISINE 16CM RECORD FX COUTEAU DU CHEF</v>
          </cell>
          <cell r="F107">
            <v>90</v>
          </cell>
          <cell r="G107">
            <v>6</v>
          </cell>
          <cell r="H107">
            <v>40</v>
          </cell>
          <cell r="I107">
            <v>30</v>
          </cell>
          <cell r="J107">
            <v>20</v>
          </cell>
          <cell r="K107">
            <v>8.2940000000000005</v>
          </cell>
          <cell r="L107">
            <v>9.215555555555556E-2</v>
          </cell>
          <cell r="M107">
            <v>2.4E-2</v>
          </cell>
        </row>
        <row r="108">
          <cell r="A108">
            <v>403631</v>
          </cell>
          <cell r="B108">
            <v>3118224036310</v>
          </cell>
          <cell r="E108" t="str">
            <v>STEAK FIN 10CM RECORD / SLEEVE</v>
          </cell>
          <cell r="F108">
            <v>240</v>
          </cell>
          <cell r="G108">
            <v>12</v>
          </cell>
          <cell r="H108">
            <v>40</v>
          </cell>
          <cell r="I108">
            <v>30</v>
          </cell>
          <cell r="J108">
            <v>20</v>
          </cell>
          <cell r="K108">
            <v>6.26</v>
          </cell>
          <cell r="L108">
            <v>2.6083333333333333E-2</v>
          </cell>
          <cell r="M108">
            <v>2.4E-2</v>
          </cell>
        </row>
        <row r="109">
          <cell r="A109">
            <v>404370</v>
          </cell>
          <cell r="B109">
            <v>3118224043707</v>
          </cell>
          <cell r="E109" t="str">
            <v>SERV DECOUP LAG METAL EN BERLINGOT</v>
          </cell>
          <cell r="F109">
            <v>12</v>
          </cell>
          <cell r="G109">
            <v>12</v>
          </cell>
          <cell r="H109">
            <v>43.5</v>
          </cell>
          <cell r="I109">
            <v>16.5</v>
          </cell>
          <cell r="J109">
            <v>11</v>
          </cell>
          <cell r="K109">
            <v>1.92</v>
          </cell>
          <cell r="L109">
            <v>0.16</v>
          </cell>
          <cell r="M109">
            <v>7.8952499999999995E-3</v>
          </cell>
        </row>
        <row r="110">
          <cell r="A110">
            <v>404510</v>
          </cell>
          <cell r="B110">
            <v>3118224045107</v>
          </cell>
          <cell r="E110" t="str">
            <v>COUTEAU OFFICE CHEF + SLEEVE</v>
          </cell>
          <cell r="F110">
            <v>300</v>
          </cell>
          <cell r="G110">
            <v>12</v>
          </cell>
          <cell r="H110">
            <v>20</v>
          </cell>
          <cell r="I110">
            <v>30</v>
          </cell>
          <cell r="J110">
            <v>20</v>
          </cell>
          <cell r="K110">
            <v>11.6</v>
          </cell>
          <cell r="L110">
            <v>3.8666666666666669E-2</v>
          </cell>
          <cell r="M110">
            <v>1.2E-2</v>
          </cell>
        </row>
        <row r="111">
          <cell r="A111">
            <v>404520</v>
          </cell>
          <cell r="B111">
            <v>3118224045206</v>
          </cell>
          <cell r="E111" t="str">
            <v>CT OFFICE BOIS RIVET+ SLEEVE</v>
          </cell>
          <cell r="F111">
            <v>360</v>
          </cell>
          <cell r="G111">
            <v>12</v>
          </cell>
          <cell r="H111">
            <v>40</v>
          </cell>
          <cell r="I111">
            <v>21.5</v>
          </cell>
          <cell r="J111">
            <v>30</v>
          </cell>
          <cell r="K111">
            <v>9.06</v>
          </cell>
          <cell r="L111">
            <v>2.5166666666666667E-2</v>
          </cell>
          <cell r="M111">
            <v>2.5799999999999997E-2</v>
          </cell>
        </row>
        <row r="112">
          <cell r="A112">
            <v>404530</v>
          </cell>
          <cell r="B112">
            <v>3118224045305</v>
          </cell>
          <cell r="C112">
            <v>13118224045302</v>
          </cell>
          <cell r="D112">
            <v>23118224045309</v>
          </cell>
          <cell r="E112" t="str">
            <v>CT OFFICE BOIS COULEUR RIV + SLV</v>
          </cell>
          <cell r="F112">
            <v>360</v>
          </cell>
          <cell r="G112">
            <v>12</v>
          </cell>
          <cell r="H112">
            <v>39.5</v>
          </cell>
          <cell r="I112">
            <v>22.5</v>
          </cell>
          <cell r="J112">
            <v>31</v>
          </cell>
          <cell r="K112">
            <v>9.66</v>
          </cell>
          <cell r="L112">
            <v>2.6833333333333334E-2</v>
          </cell>
          <cell r="M112">
            <v>2.7551250000000006E-2</v>
          </cell>
        </row>
        <row r="113">
          <cell r="A113">
            <v>404537</v>
          </cell>
          <cell r="B113">
            <v>3222475201370</v>
          </cell>
          <cell r="E113" t="str">
            <v>CT OFFICE BOIS COULEUR RIV + SLV CASINO</v>
          </cell>
          <cell r="F113">
            <v>360</v>
          </cell>
          <cell r="G113">
            <v>12</v>
          </cell>
          <cell r="H113">
            <v>41</v>
          </cell>
          <cell r="I113">
            <v>22.5</v>
          </cell>
          <cell r="J113">
            <v>32.5</v>
          </cell>
          <cell r="K113">
            <v>9.7200000000000006</v>
          </cell>
          <cell r="L113">
            <v>2.7000000000000003E-2</v>
          </cell>
          <cell r="M113">
            <v>2.9981250000000001E-2</v>
          </cell>
        </row>
        <row r="114">
          <cell r="A114">
            <v>404550</v>
          </cell>
          <cell r="B114">
            <v>3118224045503</v>
          </cell>
          <cell r="E114" t="str">
            <v>OFFICE 9CM PRADEL + SLEEVE</v>
          </cell>
          <cell r="F114">
            <v>360</v>
          </cell>
          <cell r="G114">
            <v>12</v>
          </cell>
          <cell r="H114">
            <v>40</v>
          </cell>
          <cell r="I114">
            <v>30</v>
          </cell>
          <cell r="J114">
            <v>20</v>
          </cell>
          <cell r="K114">
            <v>10.8</v>
          </cell>
          <cell r="L114">
            <v>3.0000000000000002E-2</v>
          </cell>
          <cell r="M114">
            <v>2.4E-2</v>
          </cell>
        </row>
        <row r="115">
          <cell r="A115">
            <v>404560</v>
          </cell>
          <cell r="B115">
            <v>3118224045602</v>
          </cell>
          <cell r="E115" t="str">
            <v>OFFICE 8CM RECORD + SLEEVE</v>
          </cell>
          <cell r="F115">
            <v>360</v>
          </cell>
          <cell r="G115">
            <v>12</v>
          </cell>
          <cell r="H115">
            <v>40</v>
          </cell>
          <cell r="I115">
            <v>30</v>
          </cell>
          <cell r="J115">
            <v>20</v>
          </cell>
          <cell r="K115">
            <v>9.2949999999999999</v>
          </cell>
          <cell r="L115">
            <v>2.5819444444444443E-2</v>
          </cell>
          <cell r="M115">
            <v>2.4E-2</v>
          </cell>
        </row>
        <row r="116">
          <cell r="A116">
            <v>404580</v>
          </cell>
          <cell r="B116">
            <v>3118224045800</v>
          </cell>
          <cell r="E116" t="str">
            <v>CT OFFICE ERGO COL. PANACHE+ SLV</v>
          </cell>
          <cell r="F116">
            <v>252</v>
          </cell>
          <cell r="G116">
            <v>12</v>
          </cell>
          <cell r="H116">
            <v>40</v>
          </cell>
          <cell r="I116">
            <v>30</v>
          </cell>
          <cell r="J116">
            <v>20</v>
          </cell>
          <cell r="K116">
            <v>7.7080000000000002</v>
          </cell>
          <cell r="L116">
            <v>3.0587301587301587E-2</v>
          </cell>
          <cell r="M116">
            <v>2.4E-2</v>
          </cell>
        </row>
        <row r="117">
          <cell r="A117">
            <v>404600</v>
          </cell>
          <cell r="B117">
            <v>3118224046005</v>
          </cell>
          <cell r="C117">
            <v>13118224046002</v>
          </cell>
          <cell r="D117">
            <v>23118224046009</v>
          </cell>
          <cell r="E117" t="str">
            <v>EPLU BOIS COULEUR AVEC RIV + SLV</v>
          </cell>
          <cell r="F117">
            <v>360</v>
          </cell>
          <cell r="G117">
            <v>12</v>
          </cell>
          <cell r="H117">
            <v>38.5</v>
          </cell>
          <cell r="I117">
            <v>18</v>
          </cell>
          <cell r="J117">
            <v>32.5</v>
          </cell>
          <cell r="K117">
            <v>7.71</v>
          </cell>
          <cell r="L117">
            <v>2.1416666666666667E-2</v>
          </cell>
          <cell r="M117">
            <v>2.2522500000000001E-2</v>
          </cell>
        </row>
        <row r="118">
          <cell r="A118">
            <v>404610</v>
          </cell>
          <cell r="B118">
            <v>3118224046104</v>
          </cell>
          <cell r="C118" t="str">
            <v>13118224046101</v>
          </cell>
          <cell r="D118" t="str">
            <v>23118224046108</v>
          </cell>
          <cell r="E118" t="str">
            <v>EPLUCHEUR BOIS ECO NATUREL</v>
          </cell>
          <cell r="F118">
            <v>360</v>
          </cell>
          <cell r="G118">
            <v>12</v>
          </cell>
          <cell r="H118">
            <v>20</v>
          </cell>
          <cell r="I118">
            <v>18</v>
          </cell>
          <cell r="J118">
            <v>20</v>
          </cell>
          <cell r="K118">
            <v>6.96</v>
          </cell>
          <cell r="L118">
            <v>1.9333333333333334E-2</v>
          </cell>
          <cell r="M118">
            <v>7.2000000000000007E-3</v>
          </cell>
        </row>
        <row r="119">
          <cell r="A119">
            <v>404630</v>
          </cell>
          <cell r="B119">
            <v>3118224046302</v>
          </cell>
          <cell r="E119" t="str">
            <v>EPLUCHEUR ERGO NOIR + SLEEVE</v>
          </cell>
          <cell r="F119">
            <v>252</v>
          </cell>
          <cell r="G119">
            <v>12</v>
          </cell>
          <cell r="H119">
            <v>40</v>
          </cell>
          <cell r="I119">
            <v>30</v>
          </cell>
          <cell r="J119">
            <v>20</v>
          </cell>
          <cell r="K119">
            <v>6.8040000000000003</v>
          </cell>
          <cell r="L119">
            <v>2.7E-2</v>
          </cell>
          <cell r="M119">
            <v>2.4E-2</v>
          </cell>
        </row>
        <row r="120">
          <cell r="A120">
            <v>404631</v>
          </cell>
          <cell r="B120">
            <v>3118224046319</v>
          </cell>
          <cell r="E120" t="str">
            <v>EPLUCHEUR ERGO NOIR + GENCOD</v>
          </cell>
          <cell r="F120">
            <v>252</v>
          </cell>
          <cell r="G120">
            <v>12</v>
          </cell>
          <cell r="H120">
            <v>40</v>
          </cell>
          <cell r="I120">
            <v>30</v>
          </cell>
          <cell r="J120">
            <v>20</v>
          </cell>
          <cell r="K120">
            <v>7.1390000000000002</v>
          </cell>
          <cell r="L120">
            <v>2.8329365079365079E-2</v>
          </cell>
          <cell r="M120">
            <v>2.4E-2</v>
          </cell>
        </row>
        <row r="121">
          <cell r="A121">
            <v>404641</v>
          </cell>
          <cell r="B121">
            <v>3118224046418</v>
          </cell>
          <cell r="E121" t="str">
            <v>EPLUCHEUR ERGO COLORIS PANACHE</v>
          </cell>
          <cell r="F121">
            <v>252</v>
          </cell>
          <cell r="G121">
            <v>12</v>
          </cell>
          <cell r="H121">
            <v>40</v>
          </cell>
          <cell r="I121">
            <v>30</v>
          </cell>
          <cell r="J121">
            <v>20</v>
          </cell>
          <cell r="K121">
            <v>6.5519999999999996</v>
          </cell>
          <cell r="L121">
            <v>2.5999999999999999E-2</v>
          </cell>
          <cell r="M121">
            <v>2.4E-2</v>
          </cell>
        </row>
        <row r="122">
          <cell r="A122">
            <v>404700</v>
          </cell>
          <cell r="B122">
            <v>3118224047002</v>
          </cell>
          <cell r="E122" t="str">
            <v>CT HUITRE PROFESS. BOIS</v>
          </cell>
          <cell r="F122">
            <v>300</v>
          </cell>
          <cell r="G122">
            <v>6</v>
          </cell>
          <cell r="H122">
            <v>25</v>
          </cell>
          <cell r="I122">
            <v>19</v>
          </cell>
          <cell r="J122">
            <v>9</v>
          </cell>
          <cell r="K122">
            <v>19.5</v>
          </cell>
          <cell r="L122">
            <v>6.5000000000000002E-2</v>
          </cell>
          <cell r="M122">
            <v>4.2750000000000002E-3</v>
          </cell>
        </row>
        <row r="123">
          <cell r="A123">
            <v>404710</v>
          </cell>
          <cell r="B123">
            <v>3118224047101</v>
          </cell>
          <cell r="E123" t="str">
            <v>CT HUITRE MANCHE PLAST GARDE</v>
          </cell>
          <cell r="F123">
            <v>96</v>
          </cell>
          <cell r="G123">
            <v>6</v>
          </cell>
          <cell r="H123">
            <v>40</v>
          </cell>
          <cell r="I123">
            <v>30</v>
          </cell>
          <cell r="J123">
            <v>20</v>
          </cell>
          <cell r="K123">
            <v>4.5119999999999996</v>
          </cell>
          <cell r="L123">
            <v>4.6999999999999993E-2</v>
          </cell>
          <cell r="M123">
            <v>2.4E-2</v>
          </cell>
        </row>
        <row r="124">
          <cell r="A124">
            <v>404730</v>
          </cell>
          <cell r="B124">
            <v>3118224047309</v>
          </cell>
          <cell r="E124" t="str">
            <v>COUTEAU GRILLADE PRADEL + SLEEV</v>
          </cell>
          <cell r="F124">
            <v>240</v>
          </cell>
          <cell r="G124">
            <v>12</v>
          </cell>
          <cell r="H124">
            <v>40</v>
          </cell>
          <cell r="I124">
            <v>30</v>
          </cell>
          <cell r="J124">
            <v>20</v>
          </cell>
          <cell r="K124">
            <v>8.0399999999999991</v>
          </cell>
          <cell r="L124">
            <v>3.3499999999999995E-2</v>
          </cell>
          <cell r="M124">
            <v>2.4E-2</v>
          </cell>
        </row>
        <row r="125">
          <cell r="A125">
            <v>404732</v>
          </cell>
          <cell r="B125">
            <v>3118224047323</v>
          </cell>
          <cell r="E125" t="str">
            <v>COUTEAU GRILLADE NATURA + SLEEV</v>
          </cell>
          <cell r="F125">
            <v>240</v>
          </cell>
          <cell r="G125">
            <v>12</v>
          </cell>
          <cell r="H125">
            <v>40</v>
          </cell>
          <cell r="I125">
            <v>30</v>
          </cell>
          <cell r="J125">
            <v>20</v>
          </cell>
          <cell r="K125">
            <v>9.1199999999999992</v>
          </cell>
          <cell r="L125">
            <v>3.7999999999999999E-2</v>
          </cell>
          <cell r="M125">
            <v>2.4E-2</v>
          </cell>
        </row>
        <row r="126">
          <cell r="A126">
            <v>404735</v>
          </cell>
          <cell r="B126">
            <v>3118224047354</v>
          </cell>
          <cell r="E126" t="str">
            <v>COUTEAU GRILLADE PRADEL+GENCOD</v>
          </cell>
          <cell r="F126">
            <v>252</v>
          </cell>
          <cell r="G126">
            <v>12</v>
          </cell>
          <cell r="H126">
            <v>40</v>
          </cell>
          <cell r="I126">
            <v>30</v>
          </cell>
          <cell r="J126">
            <v>20</v>
          </cell>
          <cell r="K126">
            <v>8.8949999999999996</v>
          </cell>
          <cell r="L126">
            <v>3.5297619047619043E-2</v>
          </cell>
          <cell r="M126">
            <v>2.4E-2</v>
          </cell>
        </row>
        <row r="127">
          <cell r="A127">
            <v>404760</v>
          </cell>
          <cell r="B127">
            <v>3118224047606</v>
          </cell>
          <cell r="E127" t="str">
            <v>BARRE AIMANTEE S/COQUE COUTEAU DU CHEF</v>
          </cell>
          <cell r="F127">
            <v>60</v>
          </cell>
          <cell r="G127">
            <v>6</v>
          </cell>
          <cell r="H127">
            <v>40</v>
          </cell>
          <cell r="I127">
            <v>30</v>
          </cell>
          <cell r="J127">
            <v>20</v>
          </cell>
          <cell r="K127">
            <v>15.47</v>
          </cell>
          <cell r="L127">
            <v>0.25783333333333336</v>
          </cell>
          <cell r="M127">
            <v>2.4E-2</v>
          </cell>
        </row>
        <row r="128">
          <cell r="A128">
            <v>404850</v>
          </cell>
          <cell r="B128">
            <v>3118224048504</v>
          </cell>
          <cell r="E128" t="str">
            <v>CT STEAK LAGUIOLE BOIS+ SLEEVE</v>
          </cell>
          <cell r="F128">
            <v>360</v>
          </cell>
          <cell r="G128">
            <v>12</v>
          </cell>
          <cell r="H128">
            <v>36</v>
          </cell>
          <cell r="I128">
            <v>26</v>
          </cell>
          <cell r="J128">
            <v>33.5</v>
          </cell>
          <cell r="K128">
            <v>10.663</v>
          </cell>
          <cell r="L128">
            <v>2.9619444444444445E-2</v>
          </cell>
          <cell r="M128">
            <v>3.1355999999999995E-2</v>
          </cell>
        </row>
        <row r="129">
          <cell r="A129">
            <v>404860</v>
          </cell>
          <cell r="B129">
            <v>3118224048603</v>
          </cell>
          <cell r="E129" t="str">
            <v>CT STEAK MANCHE BOIS + SLEEVE</v>
          </cell>
          <cell r="F129">
            <v>360</v>
          </cell>
          <cell r="G129">
            <v>12</v>
          </cell>
          <cell r="H129">
            <v>40.5</v>
          </cell>
          <cell r="I129">
            <v>25</v>
          </cell>
          <cell r="J129">
            <v>30</v>
          </cell>
          <cell r="K129">
            <v>10.737</v>
          </cell>
          <cell r="L129">
            <v>2.9825000000000001E-2</v>
          </cell>
          <cell r="M129">
            <v>3.0374999999999999E-2</v>
          </cell>
        </row>
        <row r="130">
          <cell r="A130">
            <v>404870</v>
          </cell>
          <cell r="B130">
            <v>3118224048702</v>
          </cell>
          <cell r="E130" t="str">
            <v>STEAK 11CM PRADEL + SLEEVE</v>
          </cell>
          <cell r="F130">
            <v>252</v>
          </cell>
          <cell r="G130">
            <v>12</v>
          </cell>
          <cell r="H130">
            <v>40</v>
          </cell>
          <cell r="I130">
            <v>30</v>
          </cell>
          <cell r="J130">
            <v>20</v>
          </cell>
          <cell r="K130">
            <v>7.8120000000000003</v>
          </cell>
          <cell r="L130">
            <v>3.1E-2</v>
          </cell>
          <cell r="M130">
            <v>2.4E-2</v>
          </cell>
        </row>
        <row r="131">
          <cell r="A131">
            <v>405091</v>
          </cell>
          <cell r="B131">
            <v>3118224050910</v>
          </cell>
          <cell r="E131" t="str">
            <v>S.FROM 3P LAG BLEU MARBRE COF BOIS</v>
          </cell>
          <cell r="F131">
            <v>12</v>
          </cell>
          <cell r="G131">
            <v>12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405110</v>
          </cell>
          <cell r="B132">
            <v>3118224051108</v>
          </cell>
          <cell r="E132" t="str">
            <v>COUTEAUX STEAK RECORD COUL + SL</v>
          </cell>
          <cell r="F132">
            <v>240</v>
          </cell>
          <cell r="G132">
            <v>12</v>
          </cell>
          <cell r="H132">
            <v>40</v>
          </cell>
          <cell r="I132">
            <v>30</v>
          </cell>
          <cell r="J132">
            <v>20</v>
          </cell>
          <cell r="K132">
            <v>6.5750000000000002</v>
          </cell>
          <cell r="L132">
            <v>2.7395833333333335E-2</v>
          </cell>
          <cell r="M132">
            <v>2.4E-2</v>
          </cell>
        </row>
        <row r="133">
          <cell r="A133">
            <v>405784</v>
          </cell>
          <cell r="B133">
            <v>3118224057841</v>
          </cell>
          <cell r="C133">
            <v>13118224057848</v>
          </cell>
          <cell r="D133">
            <v>23118224057845</v>
          </cell>
          <cell r="E133" t="str">
            <v>M24 LAG ANTHRACITE MI COF. + BAND</v>
          </cell>
          <cell r="F133">
            <v>6</v>
          </cell>
          <cell r="G133">
            <v>6</v>
          </cell>
          <cell r="H133">
            <v>33.5</v>
          </cell>
          <cell r="I133">
            <v>28.5</v>
          </cell>
          <cell r="J133">
            <v>29.5</v>
          </cell>
          <cell r="K133">
            <v>8.2629999999999999</v>
          </cell>
          <cell r="L133">
            <v>1.3771666666666667</v>
          </cell>
          <cell r="M133">
            <v>2.8165125000000003E-2</v>
          </cell>
        </row>
        <row r="134">
          <cell r="A134">
            <v>406220</v>
          </cell>
          <cell r="B134">
            <v>3118224062203</v>
          </cell>
          <cell r="E134" t="str">
            <v>BAROUDEUR KAKI AVEC COUVERTS SOUS GAINE EN SACHET PLASTIQUE</v>
          </cell>
          <cell r="F134">
            <v>6</v>
          </cell>
          <cell r="G134">
            <v>6</v>
          </cell>
          <cell r="H134">
            <v>40</v>
          </cell>
          <cell r="I134">
            <v>30</v>
          </cell>
          <cell r="J134">
            <v>20</v>
          </cell>
          <cell r="K134">
            <v>1.958</v>
          </cell>
          <cell r="L134">
            <v>0.32633333333333331</v>
          </cell>
          <cell r="M134">
            <v>2.4E-2</v>
          </cell>
        </row>
        <row r="135">
          <cell r="A135">
            <v>406240</v>
          </cell>
          <cell r="B135">
            <v>3118224062401</v>
          </cell>
          <cell r="C135">
            <v>13118224062408</v>
          </cell>
          <cell r="D135">
            <v>23118224062405</v>
          </cell>
          <cell r="E135" t="str">
            <v>LOT 3 CTX CLEO</v>
          </cell>
          <cell r="F135">
            <v>120</v>
          </cell>
          <cell r="G135">
            <v>12</v>
          </cell>
          <cell r="H135">
            <v>28</v>
          </cell>
          <cell r="I135">
            <v>28</v>
          </cell>
          <cell r="J135">
            <v>12</v>
          </cell>
          <cell r="K135">
            <v>12.246</v>
          </cell>
          <cell r="L135">
            <v>0.10205</v>
          </cell>
          <cell r="M135">
            <v>9.4080000000000014E-3</v>
          </cell>
        </row>
        <row r="136">
          <cell r="A136">
            <v>406840</v>
          </cell>
          <cell r="B136">
            <v>3118224068403</v>
          </cell>
          <cell r="C136">
            <v>13118224068400</v>
          </cell>
          <cell r="D136">
            <v>23118224068407</v>
          </cell>
          <cell r="E136" t="str">
            <v>LOT 6 CTX STEAK ECO NOIRS</v>
          </cell>
          <cell r="F136">
            <v>72</v>
          </cell>
          <cell r="G136">
            <v>24</v>
          </cell>
          <cell r="H136">
            <v>27</v>
          </cell>
          <cell r="I136">
            <v>25</v>
          </cell>
          <cell r="J136">
            <v>33.5</v>
          </cell>
          <cell r="K136">
            <v>13.464</v>
          </cell>
          <cell r="L136">
            <v>0.187</v>
          </cell>
          <cell r="M136">
            <v>2.2612500000000001E-2</v>
          </cell>
        </row>
        <row r="137">
          <cell r="A137">
            <v>406841</v>
          </cell>
          <cell r="B137">
            <v>3118224068410</v>
          </cell>
          <cell r="E137" t="str">
            <v>LOT 6 CTX STEAK ECO NOIRS EN DISPLAY</v>
          </cell>
          <cell r="F137">
            <v>48</v>
          </cell>
          <cell r="G137">
            <v>48</v>
          </cell>
          <cell r="H137">
            <v>25</v>
          </cell>
          <cell r="I137">
            <v>25.5</v>
          </cell>
          <cell r="J137">
            <v>23.5</v>
          </cell>
          <cell r="K137">
            <v>9.2949999999999999</v>
          </cell>
          <cell r="L137">
            <v>0.19364583333333332</v>
          </cell>
          <cell r="M137">
            <v>1.498125E-2</v>
          </cell>
        </row>
        <row r="138">
          <cell r="A138">
            <v>407400</v>
          </cell>
          <cell r="B138">
            <v>3118224074008</v>
          </cell>
          <cell r="C138">
            <v>13118224074005</v>
          </cell>
          <cell r="D138">
            <v>23118224074002</v>
          </cell>
          <cell r="E138" t="str">
            <v>M24 ROMANE BOITE TB COLLECTION</v>
          </cell>
          <cell r="F138">
            <v>6</v>
          </cell>
          <cell r="G138">
            <v>6</v>
          </cell>
          <cell r="H138">
            <v>30</v>
          </cell>
          <cell r="I138">
            <v>27</v>
          </cell>
          <cell r="J138">
            <v>31</v>
          </cell>
          <cell r="K138">
            <v>6.82</v>
          </cell>
          <cell r="L138">
            <v>1.1366666666666667</v>
          </cell>
          <cell r="M138">
            <v>2.511E-2</v>
          </cell>
        </row>
        <row r="139">
          <cell r="A139">
            <v>408661</v>
          </cell>
          <cell r="B139">
            <v>3118224086612</v>
          </cell>
          <cell r="E139" t="str">
            <v>M24 TROQUET METAL EN POT PET</v>
          </cell>
          <cell r="F139">
            <v>9</v>
          </cell>
          <cell r="G139">
            <v>9</v>
          </cell>
          <cell r="H139">
            <v>28</v>
          </cell>
          <cell r="I139">
            <v>28</v>
          </cell>
          <cell r="J139">
            <v>24</v>
          </cell>
          <cell r="K139">
            <v>7.29</v>
          </cell>
          <cell r="L139">
            <v>0.81</v>
          </cell>
          <cell r="M139">
            <v>1.8816000000000003E-2</v>
          </cell>
        </row>
        <row r="140">
          <cell r="A140">
            <v>409050</v>
          </cell>
          <cell r="B140">
            <v>3118224090503</v>
          </cell>
          <cell r="C140">
            <v>13118224090500</v>
          </cell>
          <cell r="D140">
            <v>23118224090507</v>
          </cell>
          <cell r="E140" t="str">
            <v>COUTEAU PIZZA MANCHE POLYPRO SOUS SLEEVE + GENCOD</v>
          </cell>
          <cell r="F140">
            <v>300</v>
          </cell>
          <cell r="G140">
            <v>6</v>
          </cell>
          <cell r="H140">
            <v>50.5</v>
          </cell>
          <cell r="I140">
            <v>23</v>
          </cell>
          <cell r="J140">
            <v>58</v>
          </cell>
          <cell r="K140">
            <v>12</v>
          </cell>
          <cell r="L140">
            <v>0.04</v>
          </cell>
          <cell r="M140">
            <v>6.7366999999999996E-2</v>
          </cell>
        </row>
        <row r="141">
          <cell r="A141">
            <v>412410</v>
          </cell>
          <cell r="B141">
            <v>3118224124109</v>
          </cell>
          <cell r="E141" t="str">
            <v>M16 SOHO FORGE EN BOITE TB COLLECTION</v>
          </cell>
          <cell r="F141">
            <v>6</v>
          </cell>
          <cell r="G141">
            <v>6</v>
          </cell>
          <cell r="H141">
            <v>30.5</v>
          </cell>
          <cell r="I141">
            <v>27</v>
          </cell>
          <cell r="J141">
            <v>31</v>
          </cell>
          <cell r="K141">
            <v>6.5220000000000002</v>
          </cell>
          <cell r="L141">
            <v>1.087</v>
          </cell>
          <cell r="M141">
            <v>2.5528499999999999E-2</v>
          </cell>
        </row>
        <row r="142">
          <cell r="A142">
            <v>412931</v>
          </cell>
          <cell r="B142">
            <v>3118224129319</v>
          </cell>
          <cell r="E142" t="str">
            <v>COUTEAU LAGUIOLE TABLE ABS ML GRIS</v>
          </cell>
          <cell r="F142">
            <v>240</v>
          </cell>
          <cell r="G142">
            <v>12</v>
          </cell>
          <cell r="H142">
            <v>40</v>
          </cell>
          <cell r="I142">
            <v>30</v>
          </cell>
          <cell r="J142">
            <v>20</v>
          </cell>
          <cell r="K142">
            <v>10.7</v>
          </cell>
          <cell r="L142">
            <v>4.4583333333333329E-2</v>
          </cell>
          <cell r="M142">
            <v>2.4E-2</v>
          </cell>
        </row>
        <row r="143">
          <cell r="A143">
            <v>412940</v>
          </cell>
          <cell r="B143">
            <v>3118224129401</v>
          </cell>
          <cell r="E143" t="str">
            <v>COUTEAU LAGUIOLE TABLE METAL</v>
          </cell>
          <cell r="F143">
            <v>240</v>
          </cell>
          <cell r="G143">
            <v>12</v>
          </cell>
          <cell r="H143">
            <v>32</v>
          </cell>
          <cell r="I143">
            <v>26</v>
          </cell>
          <cell r="J143">
            <v>27</v>
          </cell>
          <cell r="K143">
            <v>12.62</v>
          </cell>
          <cell r="L143">
            <v>5.2583333333333329E-2</v>
          </cell>
          <cell r="M143">
            <v>2.2463999999999998E-2</v>
          </cell>
        </row>
        <row r="144">
          <cell r="A144">
            <v>416970</v>
          </cell>
          <cell r="B144">
            <v>3118224169704</v>
          </cell>
          <cell r="E144" t="str">
            <v>SERVICE A DECOUPER LAG ABS MARBRE GRIS COFFRET BOIS</v>
          </cell>
          <cell r="F144">
            <v>12</v>
          </cell>
          <cell r="G144">
            <v>12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417610</v>
          </cell>
          <cell r="B145">
            <v>3118224176108</v>
          </cell>
          <cell r="E145" t="str">
            <v>LAGUIOLE BOX 6 CAFES ABS MARBRE</v>
          </cell>
          <cell r="F145">
            <v>48</v>
          </cell>
          <cell r="G145">
            <v>48</v>
          </cell>
          <cell r="H145">
            <v>37</v>
          </cell>
          <cell r="I145">
            <v>31</v>
          </cell>
          <cell r="J145">
            <v>26</v>
          </cell>
          <cell r="K145">
            <v>9.8510000000000009</v>
          </cell>
          <cell r="L145">
            <v>0.20522916666666668</v>
          </cell>
          <cell r="M145">
            <v>2.9822000000000001E-2</v>
          </cell>
        </row>
        <row r="146">
          <cell r="A146">
            <v>419200</v>
          </cell>
          <cell r="B146">
            <v>3118220106604</v>
          </cell>
          <cell r="E146" t="str">
            <v>COUTEAU STEAK MICRODENTE</v>
          </cell>
          <cell r="F146">
            <v>600</v>
          </cell>
          <cell r="G146">
            <v>12</v>
          </cell>
          <cell r="H146">
            <v>40</v>
          </cell>
          <cell r="I146">
            <v>30</v>
          </cell>
          <cell r="J146">
            <v>40</v>
          </cell>
          <cell r="K146">
            <v>19.559999999999999</v>
          </cell>
          <cell r="L146">
            <v>3.2599999999999997E-2</v>
          </cell>
          <cell r="M146">
            <v>4.8000000000000001E-2</v>
          </cell>
        </row>
        <row r="147">
          <cell r="A147">
            <v>419420</v>
          </cell>
          <cell r="B147">
            <v>3118224194201</v>
          </cell>
          <cell r="E147" t="str">
            <v>COUTEAU OFFICE BACKELISE FX COUTEAU DU CHEF</v>
          </cell>
          <cell r="F147">
            <v>150</v>
          </cell>
          <cell r="G147">
            <v>6</v>
          </cell>
          <cell r="H147">
            <v>40</v>
          </cell>
          <cell r="I147">
            <v>30</v>
          </cell>
          <cell r="J147">
            <v>20</v>
          </cell>
          <cell r="K147">
            <v>12</v>
          </cell>
          <cell r="L147">
            <v>0.08</v>
          </cell>
          <cell r="M147">
            <v>2.4E-2</v>
          </cell>
        </row>
        <row r="148">
          <cell r="A148">
            <v>419440</v>
          </cell>
          <cell r="B148">
            <v>3118224194409</v>
          </cell>
          <cell r="E148" t="str">
            <v>COUTEAU STEAK BACKELISE FX COUTEAU DU CHEF</v>
          </cell>
          <cell r="F148">
            <v>150</v>
          </cell>
          <cell r="G148">
            <v>6</v>
          </cell>
          <cell r="H148">
            <v>40</v>
          </cell>
          <cell r="I148">
            <v>30</v>
          </cell>
          <cell r="J148">
            <v>20</v>
          </cell>
          <cell r="K148">
            <v>12.15</v>
          </cell>
          <cell r="L148">
            <v>8.1000000000000003E-2</v>
          </cell>
          <cell r="M148">
            <v>2.4E-2</v>
          </cell>
        </row>
        <row r="149">
          <cell r="A149">
            <v>419460</v>
          </cell>
          <cell r="B149">
            <v>3118224194607</v>
          </cell>
          <cell r="E149" t="str">
            <v>COUTEAU CUISINE BACKELISE FX COUTEAU DU CHEF</v>
          </cell>
          <cell r="F149">
            <v>54</v>
          </cell>
          <cell r="G149">
            <v>6</v>
          </cell>
          <cell r="H149">
            <v>40</v>
          </cell>
          <cell r="I149">
            <v>30</v>
          </cell>
          <cell r="J149">
            <v>20</v>
          </cell>
          <cell r="K149">
            <v>10.746</v>
          </cell>
          <cell r="L149">
            <v>0.19900000000000001</v>
          </cell>
          <cell r="M149">
            <v>2.4E-2</v>
          </cell>
        </row>
        <row r="150">
          <cell r="A150">
            <v>419470</v>
          </cell>
          <cell r="B150">
            <v>3118224194706</v>
          </cell>
          <cell r="E150" t="str">
            <v>COUTEAU VIANDE BACKELISE FX COUTEAU DU CHEF</v>
          </cell>
          <cell r="F150">
            <v>72</v>
          </cell>
          <cell r="G150">
            <v>6</v>
          </cell>
          <cell r="H150">
            <v>44</v>
          </cell>
          <cell r="I150">
            <v>28</v>
          </cell>
          <cell r="J150">
            <v>28.5</v>
          </cell>
          <cell r="K150">
            <v>18.29</v>
          </cell>
          <cell r="L150">
            <v>0.25402777777777774</v>
          </cell>
          <cell r="M150">
            <v>3.5112000000000004E-2</v>
          </cell>
        </row>
        <row r="151">
          <cell r="A151">
            <v>419480</v>
          </cell>
          <cell r="B151">
            <v>3118224194805</v>
          </cell>
          <cell r="E151" t="str">
            <v>COUTEAU PAIN BACKELISE FX COUTEAU DU CHEF</v>
          </cell>
          <cell r="F151">
            <v>108</v>
          </cell>
          <cell r="G151">
            <v>6</v>
          </cell>
          <cell r="H151">
            <v>43</v>
          </cell>
          <cell r="I151">
            <v>28</v>
          </cell>
          <cell r="J151">
            <v>29</v>
          </cell>
          <cell r="K151">
            <v>22.356000000000002</v>
          </cell>
          <cell r="L151">
            <v>0.20700000000000002</v>
          </cell>
          <cell r="M151">
            <v>3.4915999999999996E-2</v>
          </cell>
        </row>
        <row r="152">
          <cell r="A152">
            <v>419911</v>
          </cell>
          <cell r="B152">
            <v>3118224199114</v>
          </cell>
          <cell r="E152" t="str">
            <v>M24 TROQUET ORANGE VIF 165C POT PET</v>
          </cell>
          <cell r="F152">
            <v>9</v>
          </cell>
          <cell r="G152">
            <v>9</v>
          </cell>
          <cell r="H152">
            <v>28</v>
          </cell>
          <cell r="I152">
            <v>28</v>
          </cell>
          <cell r="J152">
            <v>24</v>
          </cell>
          <cell r="K152">
            <v>7.67</v>
          </cell>
          <cell r="L152">
            <v>0.85222222222222221</v>
          </cell>
          <cell r="M152">
            <v>1.8816000000000003E-2</v>
          </cell>
        </row>
        <row r="153">
          <cell r="A153">
            <v>420100</v>
          </cell>
          <cell r="B153">
            <v>3118224201008</v>
          </cell>
          <cell r="E153" t="str">
            <v>M16 PC BAROQUE</v>
          </cell>
          <cell r="F153">
            <v>6</v>
          </cell>
          <cell r="G153">
            <v>6</v>
          </cell>
          <cell r="H153">
            <v>40</v>
          </cell>
          <cell r="I153">
            <v>30</v>
          </cell>
          <cell r="J153">
            <v>20</v>
          </cell>
          <cell r="K153">
            <v>7.74</v>
          </cell>
          <cell r="L153">
            <v>1.29</v>
          </cell>
          <cell r="M153">
            <v>2.4E-2</v>
          </cell>
        </row>
        <row r="154">
          <cell r="A154">
            <v>420160</v>
          </cell>
          <cell r="B154">
            <v>3118224201602</v>
          </cell>
          <cell r="E154" t="str">
            <v>OFFICE BI-MAT FX COUTEAU DU CHEF</v>
          </cell>
          <cell r="F154">
            <v>120</v>
          </cell>
          <cell r="G154">
            <v>6</v>
          </cell>
          <cell r="H154">
            <v>40</v>
          </cell>
          <cell r="I154">
            <v>30</v>
          </cell>
          <cell r="J154">
            <v>20</v>
          </cell>
          <cell r="K154">
            <v>6.64</v>
          </cell>
          <cell r="L154">
            <v>5.5333333333333332E-2</v>
          </cell>
          <cell r="M154">
            <v>2.4E-2</v>
          </cell>
        </row>
        <row r="155">
          <cell r="A155">
            <v>420170</v>
          </cell>
          <cell r="B155">
            <v>3118224201701</v>
          </cell>
          <cell r="E155" t="str">
            <v>STEAK BI-MAT FX COUTEAU DU CHEF</v>
          </cell>
          <cell r="F155">
            <v>120</v>
          </cell>
          <cell r="G155">
            <v>6</v>
          </cell>
          <cell r="H155">
            <v>40</v>
          </cell>
          <cell r="I155">
            <v>30</v>
          </cell>
          <cell r="J155">
            <v>20</v>
          </cell>
          <cell r="K155">
            <v>6.72</v>
          </cell>
          <cell r="L155">
            <v>5.6000000000000001E-2</v>
          </cell>
          <cell r="M155">
            <v>2.4E-2</v>
          </cell>
        </row>
        <row r="156">
          <cell r="A156">
            <v>420180</v>
          </cell>
          <cell r="B156">
            <v>3118224201800</v>
          </cell>
          <cell r="E156" t="str">
            <v>FRUIT/LEG BI-MAT FX COUTEAU DU CHEF</v>
          </cell>
          <cell r="F156">
            <v>60</v>
          </cell>
          <cell r="G156">
            <v>6</v>
          </cell>
          <cell r="H156">
            <v>20</v>
          </cell>
          <cell r="I156">
            <v>30</v>
          </cell>
          <cell r="J156">
            <v>20</v>
          </cell>
          <cell r="K156">
            <v>6</v>
          </cell>
          <cell r="L156">
            <v>0.1</v>
          </cell>
          <cell r="M156">
            <v>1.2E-2</v>
          </cell>
        </row>
        <row r="157">
          <cell r="A157">
            <v>420190</v>
          </cell>
          <cell r="B157">
            <v>3118224201909</v>
          </cell>
          <cell r="E157" t="str">
            <v>CUISINE 17 BI-MAT FX COUTEAU DU CHEF</v>
          </cell>
          <cell r="F157">
            <v>54</v>
          </cell>
          <cell r="G157">
            <v>6</v>
          </cell>
          <cell r="H157">
            <v>40</v>
          </cell>
          <cell r="I157">
            <v>30</v>
          </cell>
          <cell r="J157">
            <v>20</v>
          </cell>
          <cell r="K157">
            <v>7.0650000000000004</v>
          </cell>
          <cell r="L157">
            <v>0.13083333333333333</v>
          </cell>
          <cell r="M157">
            <v>2.4E-2</v>
          </cell>
        </row>
        <row r="158">
          <cell r="A158">
            <v>420200</v>
          </cell>
          <cell r="B158">
            <v>3118224202005</v>
          </cell>
          <cell r="E158" t="str">
            <v>BOUCHER 21 BI-MAT FX COUTEAU DU CHEF</v>
          </cell>
          <cell r="F158">
            <v>60</v>
          </cell>
          <cell r="G158">
            <v>6</v>
          </cell>
          <cell r="H158">
            <v>40</v>
          </cell>
          <cell r="I158">
            <v>30</v>
          </cell>
          <cell r="J158">
            <v>20</v>
          </cell>
          <cell r="K158">
            <v>8.2799999999999994</v>
          </cell>
          <cell r="L158">
            <v>0.13799999999999998</v>
          </cell>
          <cell r="M158">
            <v>2.4E-2</v>
          </cell>
        </row>
        <row r="159">
          <cell r="A159">
            <v>421310</v>
          </cell>
          <cell r="B159">
            <v>3118224213100</v>
          </cell>
          <cell r="C159">
            <v>13118224213107</v>
          </cell>
          <cell r="D159">
            <v>23118224213104</v>
          </cell>
          <cell r="E159" t="str">
            <v>LOT SCOTCHE 2 STEAKS ECO IMPORT</v>
          </cell>
          <cell r="F159">
            <v>240</v>
          </cell>
          <cell r="G159">
            <v>12</v>
          </cell>
          <cell r="H159">
            <v>43</v>
          </cell>
          <cell r="I159">
            <v>23.8</v>
          </cell>
          <cell r="J159">
            <v>24.5</v>
          </cell>
          <cell r="K159">
            <v>14.86</v>
          </cell>
          <cell r="L159">
            <v>6.1916666666666662E-2</v>
          </cell>
          <cell r="M159">
            <v>2.50733E-2</v>
          </cell>
        </row>
        <row r="160">
          <cell r="A160">
            <v>421320</v>
          </cell>
          <cell r="B160">
            <v>3118224213209</v>
          </cell>
          <cell r="E160" t="str">
            <v>LOT SCOTCHE 2 CTX OFFICE RECORD</v>
          </cell>
          <cell r="F160">
            <v>240</v>
          </cell>
          <cell r="G160">
            <v>12</v>
          </cell>
          <cell r="H160">
            <v>40</v>
          </cell>
          <cell r="I160">
            <v>30</v>
          </cell>
          <cell r="J160">
            <v>20</v>
          </cell>
          <cell r="K160">
            <v>12.096</v>
          </cell>
          <cell r="L160">
            <v>5.04E-2</v>
          </cell>
          <cell r="M160">
            <v>2.4E-2</v>
          </cell>
        </row>
        <row r="161">
          <cell r="A161">
            <v>421610</v>
          </cell>
          <cell r="B161">
            <v>3118224216101</v>
          </cell>
          <cell r="E161" t="str">
            <v>LAG EVOLUTION NATUREL EN BTE</v>
          </cell>
          <cell r="F161">
            <v>96</v>
          </cell>
          <cell r="G161">
            <v>12</v>
          </cell>
          <cell r="H161">
            <v>29</v>
          </cell>
          <cell r="I161">
            <v>29</v>
          </cell>
          <cell r="J161">
            <v>23</v>
          </cell>
          <cell r="K161">
            <v>13.44</v>
          </cell>
          <cell r="L161">
            <v>0.13999999999999999</v>
          </cell>
          <cell r="M161">
            <v>1.9343000000000003E-2</v>
          </cell>
        </row>
        <row r="162">
          <cell r="A162">
            <v>421612</v>
          </cell>
          <cell r="B162">
            <v>3118224216125</v>
          </cell>
          <cell r="E162" t="str">
            <v>LAG EVOLUTION NOIR EN BTE</v>
          </cell>
          <cell r="F162">
            <v>96</v>
          </cell>
          <cell r="G162">
            <v>12</v>
          </cell>
          <cell r="H162">
            <v>29</v>
          </cell>
          <cell r="I162">
            <v>29</v>
          </cell>
          <cell r="J162">
            <v>23</v>
          </cell>
          <cell r="K162">
            <v>13.44</v>
          </cell>
          <cell r="L162">
            <v>0.13999999999999999</v>
          </cell>
          <cell r="M162">
            <v>1.9343000000000003E-2</v>
          </cell>
        </row>
        <row r="163">
          <cell r="A163">
            <v>421620</v>
          </cell>
          <cell r="B163">
            <v>3118224216200</v>
          </cell>
          <cell r="E163" t="str">
            <v>EPLUCHEUR LUXE M.OLIVIER CDF</v>
          </cell>
          <cell r="F163">
            <v>360</v>
          </cell>
          <cell r="G163">
            <v>12</v>
          </cell>
          <cell r="H163">
            <v>40</v>
          </cell>
          <cell r="I163">
            <v>30</v>
          </cell>
          <cell r="J163">
            <v>20</v>
          </cell>
          <cell r="K163">
            <v>8.2929999999999993</v>
          </cell>
          <cell r="L163">
            <v>2.3036111111111108E-2</v>
          </cell>
          <cell r="M163">
            <v>2.4E-2</v>
          </cell>
        </row>
        <row r="164">
          <cell r="A164">
            <v>421630</v>
          </cell>
          <cell r="B164">
            <v>3118224216309</v>
          </cell>
          <cell r="E164" t="str">
            <v>OFFICE LUXE TT M.OLIVIER CDF</v>
          </cell>
          <cell r="F164">
            <v>360</v>
          </cell>
          <cell r="G164">
            <v>12</v>
          </cell>
          <cell r="H164">
            <v>40</v>
          </cell>
          <cell r="I164">
            <v>30</v>
          </cell>
          <cell r="J164">
            <v>20</v>
          </cell>
          <cell r="K164">
            <v>11.11</v>
          </cell>
          <cell r="L164">
            <v>3.086111111111111E-2</v>
          </cell>
          <cell r="M164">
            <v>2.4E-2</v>
          </cell>
        </row>
        <row r="165">
          <cell r="A165">
            <v>421650</v>
          </cell>
          <cell r="B165">
            <v>3118224216507</v>
          </cell>
          <cell r="E165" t="str">
            <v>STEAK LUXE M.OLIVIER CDF</v>
          </cell>
          <cell r="F165">
            <v>360</v>
          </cell>
          <cell r="G165">
            <v>12</v>
          </cell>
          <cell r="H165">
            <v>40</v>
          </cell>
          <cell r="I165">
            <v>30</v>
          </cell>
          <cell r="J165">
            <v>20</v>
          </cell>
          <cell r="K165">
            <v>13.68</v>
          </cell>
          <cell r="L165">
            <v>3.7999999999999999E-2</v>
          </cell>
          <cell r="M165">
            <v>2.4E-2</v>
          </cell>
        </row>
        <row r="166">
          <cell r="A166">
            <v>421690</v>
          </cell>
          <cell r="B166">
            <v>3118224216903</v>
          </cell>
          <cell r="E166" t="str">
            <v>STEAK LUXE M.ADFLEX/SLEEVE</v>
          </cell>
          <cell r="F166">
            <v>360</v>
          </cell>
          <cell r="G166">
            <v>12</v>
          </cell>
          <cell r="H166">
            <v>40</v>
          </cell>
          <cell r="I166">
            <v>30</v>
          </cell>
          <cell r="J166">
            <v>20</v>
          </cell>
          <cell r="K166">
            <v>10.44</v>
          </cell>
          <cell r="L166">
            <v>2.8999999999999998E-2</v>
          </cell>
          <cell r="M166">
            <v>2.4E-2</v>
          </cell>
        </row>
        <row r="167">
          <cell r="A167">
            <v>421940</v>
          </cell>
          <cell r="B167">
            <v>3605757253074</v>
          </cell>
          <cell r="E167" t="str">
            <v>M16 MIKADO BOITE ALINEA(KOBE)</v>
          </cell>
          <cell r="F167">
            <v>6</v>
          </cell>
          <cell r="G167">
            <v>6</v>
          </cell>
          <cell r="H167">
            <v>30.5</v>
          </cell>
          <cell r="I167">
            <v>24</v>
          </cell>
          <cell r="J167">
            <v>30</v>
          </cell>
          <cell r="K167">
            <v>6.5620000000000003</v>
          </cell>
          <cell r="L167">
            <v>1.0936666666666668</v>
          </cell>
          <cell r="M167">
            <v>2.196E-2</v>
          </cell>
        </row>
        <row r="168">
          <cell r="A168">
            <v>422030</v>
          </cell>
          <cell r="B168">
            <v>3118224220306</v>
          </cell>
          <cell r="E168" t="str">
            <v>LOT 1 OFFI + 1 EPLU ERGO COULEUR (VENDU EN BOX PROMO) PCB144</v>
          </cell>
          <cell r="F168">
            <v>144</v>
          </cell>
          <cell r="G168">
            <v>144</v>
          </cell>
          <cell r="H168">
            <v>37</v>
          </cell>
          <cell r="I168">
            <v>32</v>
          </cell>
          <cell r="J168">
            <v>54</v>
          </cell>
          <cell r="K168">
            <v>8.64</v>
          </cell>
          <cell r="L168">
            <v>6.0000000000000005E-2</v>
          </cell>
          <cell r="M168">
            <v>6.3936000000000007E-2</v>
          </cell>
        </row>
        <row r="169">
          <cell r="A169">
            <v>422031</v>
          </cell>
          <cell r="B169">
            <v>3118224220313</v>
          </cell>
          <cell r="E169" t="str">
            <v>LOT 1 OFFI + 1 EPLU ERGO COULEUR (VENDU EN BOX PROMO) PCB72</v>
          </cell>
          <cell r="F169">
            <v>72</v>
          </cell>
          <cell r="G169">
            <v>72</v>
          </cell>
          <cell r="H169">
            <v>37</v>
          </cell>
          <cell r="I169">
            <v>31.5</v>
          </cell>
          <cell r="J169">
            <v>54</v>
          </cell>
          <cell r="K169">
            <v>3.96</v>
          </cell>
          <cell r="L169">
            <v>5.5E-2</v>
          </cell>
          <cell r="M169">
            <v>6.2936999999999993E-2</v>
          </cell>
        </row>
        <row r="170">
          <cell r="A170">
            <v>422290</v>
          </cell>
          <cell r="B170">
            <v>3222472389682</v>
          </cell>
          <cell r="E170" t="str">
            <v>CT HUITRE PLASTIQUE GARDE NOIR CASINO</v>
          </cell>
          <cell r="F170">
            <v>54</v>
          </cell>
          <cell r="G170">
            <v>6</v>
          </cell>
          <cell r="H170">
            <v>40</v>
          </cell>
          <cell r="I170">
            <v>30</v>
          </cell>
          <cell r="J170">
            <v>20</v>
          </cell>
          <cell r="K170">
            <v>3.0419999999999998</v>
          </cell>
          <cell r="L170">
            <v>5.6333333333333332E-2</v>
          </cell>
          <cell r="M170">
            <v>2.4E-2</v>
          </cell>
        </row>
        <row r="171">
          <cell r="A171">
            <v>422390</v>
          </cell>
          <cell r="B171">
            <v>3118224223901</v>
          </cell>
          <cell r="E171" t="str">
            <v>VALISE BARBECUE METAL 12 PCES</v>
          </cell>
          <cell r="F171">
            <v>6</v>
          </cell>
          <cell r="G171">
            <v>6</v>
          </cell>
          <cell r="H171">
            <v>50</v>
          </cell>
          <cell r="I171">
            <v>20</v>
          </cell>
          <cell r="J171">
            <v>54</v>
          </cell>
          <cell r="K171">
            <v>10</v>
          </cell>
          <cell r="L171">
            <v>1.6666666666666667</v>
          </cell>
          <cell r="M171">
            <v>5.4000000000000006E-2</v>
          </cell>
        </row>
        <row r="172">
          <cell r="A172">
            <v>422410</v>
          </cell>
          <cell r="B172">
            <v>3390509952274</v>
          </cell>
          <cell r="E172" t="str">
            <v>COUTEAU OFFICE 9 CM BASIC</v>
          </cell>
          <cell r="F172">
            <v>152</v>
          </cell>
          <cell r="G172">
            <v>4</v>
          </cell>
          <cell r="H172">
            <v>40</v>
          </cell>
          <cell r="I172">
            <v>30</v>
          </cell>
          <cell r="J172">
            <v>20</v>
          </cell>
          <cell r="K172">
            <v>8.8160000000000007</v>
          </cell>
          <cell r="L172">
            <v>5.8000000000000003E-2</v>
          </cell>
          <cell r="M172">
            <v>2.4E-2</v>
          </cell>
        </row>
        <row r="173">
          <cell r="A173">
            <v>422420</v>
          </cell>
          <cell r="B173">
            <v>3390509952281</v>
          </cell>
          <cell r="E173" t="str">
            <v>COUTEAU TABLE 11CM BASIC</v>
          </cell>
          <cell r="F173">
            <v>152</v>
          </cell>
          <cell r="G173">
            <v>4</v>
          </cell>
          <cell r="H173">
            <v>40</v>
          </cell>
          <cell r="I173">
            <v>30</v>
          </cell>
          <cell r="J173">
            <v>20</v>
          </cell>
          <cell r="K173">
            <v>9.1199999999999992</v>
          </cell>
          <cell r="L173">
            <v>0.06</v>
          </cell>
          <cell r="M173">
            <v>2.4E-2</v>
          </cell>
        </row>
        <row r="174">
          <cell r="A174">
            <v>422430</v>
          </cell>
          <cell r="B174">
            <v>3390509952298</v>
          </cell>
          <cell r="E174" t="str">
            <v>COUTEAU STEAK 12 CM BASIC</v>
          </cell>
          <cell r="F174">
            <v>152</v>
          </cell>
          <cell r="G174">
            <v>4</v>
          </cell>
          <cell r="H174">
            <v>40</v>
          </cell>
          <cell r="I174">
            <v>30</v>
          </cell>
          <cell r="J174">
            <v>20</v>
          </cell>
          <cell r="K174">
            <v>9.2720000000000002</v>
          </cell>
          <cell r="L174">
            <v>6.0999999999999999E-2</v>
          </cell>
          <cell r="M174">
            <v>2.4E-2</v>
          </cell>
        </row>
        <row r="175">
          <cell r="A175">
            <v>422440</v>
          </cell>
          <cell r="B175">
            <v>3390509952304</v>
          </cell>
          <cell r="E175" t="str">
            <v>COUTEAU F/LEG 14 CM BASIC</v>
          </cell>
          <cell r="F175">
            <v>90</v>
          </cell>
          <cell r="G175">
            <v>6</v>
          </cell>
          <cell r="H175">
            <v>40</v>
          </cell>
          <cell r="I175">
            <v>30</v>
          </cell>
          <cell r="J175">
            <v>20</v>
          </cell>
          <cell r="K175">
            <v>11.49</v>
          </cell>
          <cell r="L175">
            <v>0.12766666666666668</v>
          </cell>
          <cell r="M175">
            <v>2.4E-2</v>
          </cell>
        </row>
        <row r="176">
          <cell r="A176">
            <v>422460</v>
          </cell>
          <cell r="B176">
            <v>3390509952328</v>
          </cell>
          <cell r="E176" t="str">
            <v>COUTEAU VIANDE 21 CM BASIC</v>
          </cell>
          <cell r="F176">
            <v>60</v>
          </cell>
          <cell r="G176">
            <v>4</v>
          </cell>
          <cell r="H176">
            <v>40</v>
          </cell>
          <cell r="I176">
            <v>30</v>
          </cell>
          <cell r="J176">
            <v>20</v>
          </cell>
          <cell r="K176">
            <v>10.5</v>
          </cell>
          <cell r="L176">
            <v>0.17499999999999999</v>
          </cell>
          <cell r="M176">
            <v>2.4E-2</v>
          </cell>
        </row>
        <row r="177">
          <cell r="A177">
            <v>422480</v>
          </cell>
          <cell r="B177">
            <v>3390509952342</v>
          </cell>
          <cell r="E177" t="str">
            <v>COUTEAU PAIN 20CM BASIC</v>
          </cell>
          <cell r="F177">
            <v>104</v>
          </cell>
          <cell r="G177">
            <v>4</v>
          </cell>
          <cell r="H177">
            <v>20</v>
          </cell>
          <cell r="I177">
            <v>20</v>
          </cell>
          <cell r="J177">
            <v>30</v>
          </cell>
          <cell r="K177">
            <v>16.64</v>
          </cell>
          <cell r="L177">
            <v>0.16</v>
          </cell>
          <cell r="M177">
            <v>1.2E-2</v>
          </cell>
        </row>
        <row r="178">
          <cell r="A178">
            <v>422580</v>
          </cell>
          <cell r="B178">
            <v>3390509952441</v>
          </cell>
          <cell r="E178" t="str">
            <v>COUTEAU OFFICE 9CM CLASSIC</v>
          </cell>
          <cell r="F178">
            <v>152</v>
          </cell>
          <cell r="G178">
            <v>4</v>
          </cell>
          <cell r="H178">
            <v>40</v>
          </cell>
          <cell r="I178">
            <v>30</v>
          </cell>
          <cell r="J178">
            <v>20</v>
          </cell>
          <cell r="K178">
            <v>12.311999999999999</v>
          </cell>
          <cell r="L178">
            <v>8.1000000000000003E-2</v>
          </cell>
          <cell r="M178">
            <v>2.4E-2</v>
          </cell>
        </row>
        <row r="179">
          <cell r="A179">
            <v>422600</v>
          </cell>
          <cell r="B179">
            <v>3390509952465</v>
          </cell>
          <cell r="E179" t="str">
            <v>COUTEAU STEAK 12CM CLASSIC</v>
          </cell>
          <cell r="F179">
            <v>152</v>
          </cell>
          <cell r="G179">
            <v>4</v>
          </cell>
          <cell r="H179">
            <v>40</v>
          </cell>
          <cell r="I179">
            <v>28</v>
          </cell>
          <cell r="J179">
            <v>20</v>
          </cell>
          <cell r="K179">
            <v>12.464</v>
          </cell>
          <cell r="L179">
            <v>8.2000000000000003E-2</v>
          </cell>
          <cell r="M179">
            <v>2.2400000000000003E-2</v>
          </cell>
        </row>
        <row r="180">
          <cell r="A180">
            <v>422630</v>
          </cell>
          <cell r="B180">
            <v>3390509952496</v>
          </cell>
          <cell r="E180" t="str">
            <v>COUTEAU VIANDE 21 CM CLASSIC</v>
          </cell>
          <cell r="F180">
            <v>56</v>
          </cell>
          <cell r="G180">
            <v>4</v>
          </cell>
          <cell r="H180">
            <v>40</v>
          </cell>
          <cell r="I180">
            <v>30</v>
          </cell>
          <cell r="J180">
            <v>20</v>
          </cell>
          <cell r="K180">
            <v>14.224</v>
          </cell>
          <cell r="L180">
            <v>0.254</v>
          </cell>
          <cell r="M180">
            <v>2.4E-2</v>
          </cell>
        </row>
        <row r="181">
          <cell r="A181">
            <v>422640</v>
          </cell>
          <cell r="B181">
            <v>3390509945504</v>
          </cell>
          <cell r="E181" t="str">
            <v>COUTEAU CUISINE 17CM CLASSIC</v>
          </cell>
          <cell r="F181">
            <v>60</v>
          </cell>
          <cell r="G181">
            <v>4</v>
          </cell>
          <cell r="H181">
            <v>40</v>
          </cell>
          <cell r="I181">
            <v>30</v>
          </cell>
          <cell r="J181">
            <v>20</v>
          </cell>
          <cell r="K181">
            <v>12.478</v>
          </cell>
          <cell r="L181">
            <v>0.20796666666666666</v>
          </cell>
          <cell r="M181">
            <v>2.4E-2</v>
          </cell>
        </row>
        <row r="182">
          <cell r="A182">
            <v>422650</v>
          </cell>
          <cell r="B182">
            <v>3390509945511</v>
          </cell>
          <cell r="E182" t="str">
            <v>COUTEAU PAIN 20CM CLASSIC</v>
          </cell>
          <cell r="F182">
            <v>108</v>
          </cell>
          <cell r="G182">
            <v>4</v>
          </cell>
          <cell r="H182">
            <v>44</v>
          </cell>
          <cell r="I182">
            <v>30</v>
          </cell>
          <cell r="J182">
            <v>41</v>
          </cell>
          <cell r="K182">
            <v>21.87</v>
          </cell>
          <cell r="L182">
            <v>0.20250000000000001</v>
          </cell>
          <cell r="M182">
            <v>5.4120000000000001E-2</v>
          </cell>
        </row>
        <row r="183">
          <cell r="A183">
            <v>422660</v>
          </cell>
          <cell r="B183">
            <v>3390509945528</v>
          </cell>
          <cell r="E183" t="str">
            <v>COUTEAU OFFICE 10CM INOX</v>
          </cell>
          <cell r="F183">
            <v>152</v>
          </cell>
          <cell r="G183">
            <v>4</v>
          </cell>
          <cell r="H183">
            <v>40</v>
          </cell>
          <cell r="I183">
            <v>30</v>
          </cell>
          <cell r="J183">
            <v>20</v>
          </cell>
          <cell r="K183">
            <v>15.048</v>
          </cell>
          <cell r="L183">
            <v>9.9000000000000005E-2</v>
          </cell>
          <cell r="M183">
            <v>2.4E-2</v>
          </cell>
        </row>
        <row r="184">
          <cell r="A184">
            <v>422690</v>
          </cell>
          <cell r="B184">
            <v>3390509945559</v>
          </cell>
          <cell r="E184" t="str">
            <v>COUTEAU FRUIT/LEG 15CM INOX</v>
          </cell>
          <cell r="F184">
            <v>90</v>
          </cell>
          <cell r="G184">
            <v>6</v>
          </cell>
          <cell r="H184">
            <v>40</v>
          </cell>
          <cell r="I184">
            <v>30</v>
          </cell>
          <cell r="J184">
            <v>20</v>
          </cell>
          <cell r="K184">
            <v>15.34</v>
          </cell>
          <cell r="L184">
            <v>0.17044444444444445</v>
          </cell>
          <cell r="M184">
            <v>2.4E-2</v>
          </cell>
        </row>
        <row r="185">
          <cell r="A185">
            <v>422700</v>
          </cell>
          <cell r="B185">
            <v>3390509945566</v>
          </cell>
          <cell r="E185" t="str">
            <v>COUTEAU VIANDE 21CM INOX</v>
          </cell>
          <cell r="F185">
            <v>60</v>
          </cell>
          <cell r="G185">
            <v>4</v>
          </cell>
          <cell r="H185">
            <v>40</v>
          </cell>
          <cell r="I185">
            <v>30</v>
          </cell>
          <cell r="J185">
            <v>20</v>
          </cell>
          <cell r="K185">
            <v>13.98</v>
          </cell>
          <cell r="L185">
            <v>0.23300000000000001</v>
          </cell>
          <cell r="M185">
            <v>2.4E-2</v>
          </cell>
        </row>
        <row r="186">
          <cell r="A186">
            <v>422710</v>
          </cell>
          <cell r="B186">
            <v>3390509945573</v>
          </cell>
          <cell r="E186" t="str">
            <v>COUTEAU CUISINE 18CM INOX</v>
          </cell>
          <cell r="F186">
            <v>60</v>
          </cell>
          <cell r="G186">
            <v>4</v>
          </cell>
          <cell r="H186">
            <v>40</v>
          </cell>
          <cell r="I186">
            <v>30</v>
          </cell>
          <cell r="J186">
            <v>20</v>
          </cell>
          <cell r="K186">
            <v>11.28</v>
          </cell>
          <cell r="L186">
            <v>0.188</v>
          </cell>
          <cell r="M186">
            <v>2.4E-2</v>
          </cell>
        </row>
        <row r="187">
          <cell r="A187">
            <v>422720</v>
          </cell>
          <cell r="B187">
            <v>3390509945580</v>
          </cell>
          <cell r="E187" t="str">
            <v>COUTEAU PAIN 21CM INOX</v>
          </cell>
          <cell r="F187">
            <v>60</v>
          </cell>
          <cell r="G187">
            <v>6</v>
          </cell>
          <cell r="H187">
            <v>40</v>
          </cell>
          <cell r="I187">
            <v>30</v>
          </cell>
          <cell r="J187">
            <v>20</v>
          </cell>
          <cell r="K187">
            <v>15.47</v>
          </cell>
          <cell r="L187">
            <v>0.25783333333333336</v>
          </cell>
          <cell r="M187">
            <v>2.4E-2</v>
          </cell>
        </row>
        <row r="188">
          <cell r="A188">
            <v>422730</v>
          </cell>
          <cell r="B188">
            <v>3390509945597</v>
          </cell>
          <cell r="E188" t="str">
            <v>COUTEAU OFFICE 10CM CHEF</v>
          </cell>
          <cell r="F188">
            <v>152</v>
          </cell>
          <cell r="G188">
            <v>4</v>
          </cell>
          <cell r="H188">
            <v>45</v>
          </cell>
          <cell r="I188">
            <v>31.5</v>
          </cell>
          <cell r="J188">
            <v>19</v>
          </cell>
          <cell r="K188">
            <v>12.281000000000001</v>
          </cell>
          <cell r="L188">
            <v>8.0796052631578949E-2</v>
          </cell>
          <cell r="M188">
            <v>2.6932500000000005E-2</v>
          </cell>
        </row>
        <row r="189">
          <cell r="A189">
            <v>422740</v>
          </cell>
          <cell r="B189">
            <v>3390509945603</v>
          </cell>
          <cell r="E189" t="str">
            <v>COUTEAU STEAK 12.5CM CHEF</v>
          </cell>
          <cell r="F189">
            <v>152</v>
          </cell>
          <cell r="G189">
            <v>4</v>
          </cell>
          <cell r="H189">
            <v>45</v>
          </cell>
          <cell r="I189">
            <v>31.5</v>
          </cell>
          <cell r="J189">
            <v>19</v>
          </cell>
          <cell r="K189">
            <v>12.25</v>
          </cell>
          <cell r="L189">
            <v>8.0592105263157895E-2</v>
          </cell>
          <cell r="M189">
            <v>2.6932500000000005E-2</v>
          </cell>
        </row>
        <row r="190">
          <cell r="A190">
            <v>422750</v>
          </cell>
          <cell r="B190">
            <v>3390509945610</v>
          </cell>
          <cell r="E190" t="str">
            <v>COUTEAU DESOSSER 15CM CHEF</v>
          </cell>
          <cell r="F190">
            <v>92</v>
          </cell>
          <cell r="G190">
            <v>4</v>
          </cell>
          <cell r="H190">
            <v>45</v>
          </cell>
          <cell r="I190">
            <v>31.5</v>
          </cell>
          <cell r="J190">
            <v>19</v>
          </cell>
          <cell r="K190">
            <v>11.78</v>
          </cell>
          <cell r="L190">
            <v>0.12804347826086956</v>
          </cell>
          <cell r="M190">
            <v>2.6932500000000005E-2</v>
          </cell>
        </row>
        <row r="191">
          <cell r="A191">
            <v>422760</v>
          </cell>
          <cell r="B191">
            <v>3390509945627</v>
          </cell>
          <cell r="E191" t="str">
            <v>COUTEAU CUISINE 17CM FORGE CHEF</v>
          </cell>
          <cell r="F191">
            <v>72</v>
          </cell>
          <cell r="G191">
            <v>4</v>
          </cell>
          <cell r="H191">
            <v>40.5</v>
          </cell>
          <cell r="I191">
            <v>31.5</v>
          </cell>
          <cell r="J191">
            <v>26</v>
          </cell>
          <cell r="K191">
            <v>14.712</v>
          </cell>
          <cell r="L191">
            <v>0.20433333333333334</v>
          </cell>
          <cell r="M191">
            <v>3.3169499999999998E-2</v>
          </cell>
        </row>
        <row r="192">
          <cell r="A192">
            <v>422770</v>
          </cell>
          <cell r="B192">
            <v>3390509945634</v>
          </cell>
          <cell r="E192" t="str">
            <v>COUTEAU SANTUKO CHEF</v>
          </cell>
          <cell r="F192">
            <v>72</v>
          </cell>
          <cell r="G192">
            <v>4</v>
          </cell>
          <cell r="H192">
            <v>40</v>
          </cell>
          <cell r="I192">
            <v>30</v>
          </cell>
          <cell r="J192">
            <v>20</v>
          </cell>
          <cell r="K192">
            <v>15.327999999999999</v>
          </cell>
          <cell r="L192">
            <v>0.21288888888888888</v>
          </cell>
          <cell r="M192">
            <v>2.4E-2</v>
          </cell>
        </row>
        <row r="193">
          <cell r="A193">
            <v>422780</v>
          </cell>
          <cell r="B193">
            <v>3390509945641</v>
          </cell>
          <cell r="E193" t="str">
            <v>COUTEAU BOUCHER 21CM CHEF</v>
          </cell>
          <cell r="F193">
            <v>72</v>
          </cell>
          <cell r="G193">
            <v>4</v>
          </cell>
          <cell r="H193">
            <v>40.5</v>
          </cell>
          <cell r="I193">
            <v>31.5</v>
          </cell>
          <cell r="J193">
            <v>26</v>
          </cell>
          <cell r="K193">
            <v>16.056999999999999</v>
          </cell>
          <cell r="L193">
            <v>0.22301388888888887</v>
          </cell>
          <cell r="M193">
            <v>3.3169499999999998E-2</v>
          </cell>
        </row>
        <row r="194">
          <cell r="A194">
            <v>422790</v>
          </cell>
          <cell r="B194">
            <v>3390509945658</v>
          </cell>
          <cell r="E194" t="str">
            <v>COUTEAU CUISINE 25CM CHEF</v>
          </cell>
          <cell r="F194">
            <v>92</v>
          </cell>
          <cell r="G194">
            <v>4</v>
          </cell>
          <cell r="H194">
            <v>44.5</v>
          </cell>
          <cell r="I194">
            <v>32.5</v>
          </cell>
          <cell r="J194">
            <v>25</v>
          </cell>
          <cell r="K194">
            <v>22.146000000000001</v>
          </cell>
          <cell r="L194">
            <v>0.24071739130434783</v>
          </cell>
          <cell r="M194">
            <v>3.6156250000000001E-2</v>
          </cell>
        </row>
        <row r="195">
          <cell r="A195">
            <v>422800</v>
          </cell>
          <cell r="B195">
            <v>3390509945665</v>
          </cell>
          <cell r="E195" t="str">
            <v>COUTEAU PAIN 20CM CHEF</v>
          </cell>
          <cell r="F195">
            <v>72</v>
          </cell>
          <cell r="G195">
            <v>4</v>
          </cell>
          <cell r="H195">
            <v>40</v>
          </cell>
          <cell r="I195">
            <v>30</v>
          </cell>
          <cell r="J195">
            <v>20</v>
          </cell>
          <cell r="K195">
            <v>11.358000000000001</v>
          </cell>
          <cell r="L195">
            <v>0.15775</v>
          </cell>
          <cell r="M195">
            <v>2.4E-2</v>
          </cell>
        </row>
        <row r="196">
          <cell r="A196">
            <v>422810</v>
          </cell>
          <cell r="B196">
            <v>3390509945672</v>
          </cell>
          <cell r="E196" t="str">
            <v>COUTEAU JAMBON 25CM CHEF</v>
          </cell>
          <cell r="F196">
            <v>96</v>
          </cell>
          <cell r="G196">
            <v>4</v>
          </cell>
          <cell r="H196">
            <v>44.5</v>
          </cell>
          <cell r="I196">
            <v>32.5</v>
          </cell>
          <cell r="J196">
            <v>22</v>
          </cell>
          <cell r="K196">
            <v>15.071999999999999</v>
          </cell>
          <cell r="L196">
            <v>0.157</v>
          </cell>
          <cell r="M196">
            <v>3.1817499999999999E-2</v>
          </cell>
        </row>
        <row r="197">
          <cell r="A197">
            <v>422820</v>
          </cell>
          <cell r="B197">
            <v>3390509945689</v>
          </cell>
          <cell r="E197" t="str">
            <v>FOURCHETTE DECOUPER CHEF</v>
          </cell>
          <cell r="F197">
            <v>60</v>
          </cell>
          <cell r="G197">
            <v>4</v>
          </cell>
          <cell r="H197">
            <v>43</v>
          </cell>
          <cell r="I197">
            <v>29</v>
          </cell>
          <cell r="J197">
            <v>29.5</v>
          </cell>
          <cell r="K197">
            <v>9.7799999999999994</v>
          </cell>
          <cell r="L197">
            <v>0.16299999999999998</v>
          </cell>
          <cell r="M197">
            <v>3.67865E-2</v>
          </cell>
        </row>
        <row r="198">
          <cell r="A198">
            <v>422830</v>
          </cell>
          <cell r="B198">
            <v>3390509945696</v>
          </cell>
          <cell r="E198" t="str">
            <v>EPLUCHEUR BOIS VRAC CRF</v>
          </cell>
          <cell r="F198">
            <v>360</v>
          </cell>
          <cell r="G198">
            <v>24</v>
          </cell>
          <cell r="H198">
            <v>40</v>
          </cell>
          <cell r="I198">
            <v>18.5</v>
          </cell>
          <cell r="J198">
            <v>25.5</v>
          </cell>
          <cell r="K198">
            <v>6.8929999999999998</v>
          </cell>
          <cell r="L198">
            <v>1.9147222222222222E-2</v>
          </cell>
          <cell r="M198">
            <v>1.8870000000000001E-2</v>
          </cell>
        </row>
        <row r="199">
          <cell r="A199">
            <v>422840</v>
          </cell>
          <cell r="B199">
            <v>3390509945702</v>
          </cell>
          <cell r="E199" t="str">
            <v>EPLUCHEUR BOIS COULEUR VRAC</v>
          </cell>
          <cell r="F199">
            <v>360</v>
          </cell>
          <cell r="G199">
            <v>24</v>
          </cell>
          <cell r="H199">
            <v>40</v>
          </cell>
          <cell r="I199">
            <v>18.5</v>
          </cell>
          <cell r="J199">
            <v>25.5</v>
          </cell>
          <cell r="K199">
            <v>7.0350000000000001</v>
          </cell>
          <cell r="L199">
            <v>1.9541666666666666E-2</v>
          </cell>
          <cell r="M199">
            <v>1.8870000000000001E-2</v>
          </cell>
        </row>
        <row r="200">
          <cell r="A200">
            <v>422842</v>
          </cell>
          <cell r="B200">
            <v>5414663364297</v>
          </cell>
          <cell r="E200" t="str">
            <v>EPLUCHEUR BOIS COULEUR VRAC CORA</v>
          </cell>
          <cell r="F200">
            <v>360</v>
          </cell>
          <cell r="G200">
            <v>36</v>
          </cell>
          <cell r="H200">
            <v>24</v>
          </cell>
          <cell r="I200">
            <v>18.5</v>
          </cell>
          <cell r="J200">
            <v>46</v>
          </cell>
          <cell r="K200">
            <v>7.6020000000000003</v>
          </cell>
          <cell r="L200">
            <v>2.1116666666666669E-2</v>
          </cell>
          <cell r="M200">
            <v>2.0423999999999998E-2</v>
          </cell>
        </row>
        <row r="201">
          <cell r="A201">
            <v>422850</v>
          </cell>
          <cell r="B201">
            <v>3390509945719</v>
          </cell>
          <cell r="E201" t="str">
            <v>OFFICE BOIS VRAC CRF</v>
          </cell>
          <cell r="F201">
            <v>360</v>
          </cell>
          <cell r="G201">
            <v>12</v>
          </cell>
          <cell r="H201">
            <v>40</v>
          </cell>
          <cell r="I201">
            <v>22</v>
          </cell>
          <cell r="J201">
            <v>31</v>
          </cell>
          <cell r="K201">
            <v>8.2799999999999994</v>
          </cell>
          <cell r="L201">
            <v>2.3E-2</v>
          </cell>
          <cell r="M201">
            <v>2.7280000000000002E-2</v>
          </cell>
        </row>
        <row r="202">
          <cell r="A202">
            <v>422860</v>
          </cell>
          <cell r="B202">
            <v>3390509945726</v>
          </cell>
          <cell r="E202" t="str">
            <v>OFFICE BOIS COULEUR VRAC</v>
          </cell>
          <cell r="F202">
            <v>360</v>
          </cell>
          <cell r="G202">
            <v>12</v>
          </cell>
          <cell r="H202">
            <v>40</v>
          </cell>
          <cell r="I202">
            <v>22</v>
          </cell>
          <cell r="J202">
            <v>31</v>
          </cell>
          <cell r="K202">
            <v>9.1609999999999996</v>
          </cell>
          <cell r="L202">
            <v>2.5447222222222222E-2</v>
          </cell>
          <cell r="M202">
            <v>2.7280000000000002E-2</v>
          </cell>
        </row>
        <row r="203">
          <cell r="A203">
            <v>422862</v>
          </cell>
          <cell r="B203">
            <v>5414663364303</v>
          </cell>
          <cell r="E203" t="str">
            <v>OFFICE BOIS COULEUR VRAC CORA</v>
          </cell>
          <cell r="F203">
            <v>360</v>
          </cell>
          <cell r="G203">
            <v>24</v>
          </cell>
          <cell r="H203">
            <v>40.5</v>
          </cell>
          <cell r="I203">
            <v>23</v>
          </cell>
          <cell r="J203">
            <v>25.5</v>
          </cell>
          <cell r="K203">
            <v>8.9849999999999994</v>
          </cell>
          <cell r="L203">
            <v>2.4958333333333332E-2</v>
          </cell>
          <cell r="M203">
            <v>2.375325E-2</v>
          </cell>
        </row>
        <row r="204">
          <cell r="A204">
            <v>422870</v>
          </cell>
          <cell r="B204">
            <v>3390509945733</v>
          </cell>
          <cell r="E204" t="str">
            <v>STEAK BOIS VRAC CRF</v>
          </cell>
          <cell r="F204">
            <v>360</v>
          </cell>
          <cell r="G204">
            <v>12</v>
          </cell>
          <cell r="H204">
            <v>40</v>
          </cell>
          <cell r="I204">
            <v>25.5</v>
          </cell>
          <cell r="J204">
            <v>30</v>
          </cell>
          <cell r="K204">
            <v>10.71</v>
          </cell>
          <cell r="L204">
            <v>2.9750000000000002E-2</v>
          </cell>
          <cell r="M204">
            <v>3.0600000000000002E-2</v>
          </cell>
        </row>
        <row r="205">
          <cell r="A205">
            <v>422880</v>
          </cell>
          <cell r="B205">
            <v>3390509945740</v>
          </cell>
          <cell r="E205" t="str">
            <v>GRILLADE BOIS VRAC CRF</v>
          </cell>
          <cell r="F205">
            <v>240</v>
          </cell>
          <cell r="G205">
            <v>12</v>
          </cell>
          <cell r="H205">
            <v>32</v>
          </cell>
          <cell r="I205">
            <v>25</v>
          </cell>
          <cell r="J205">
            <v>36.5</v>
          </cell>
          <cell r="K205">
            <v>9.48</v>
          </cell>
          <cell r="L205">
            <v>3.95E-2</v>
          </cell>
          <cell r="M205">
            <v>2.92E-2</v>
          </cell>
        </row>
        <row r="206">
          <cell r="A206">
            <v>422890</v>
          </cell>
          <cell r="B206">
            <v>3390509945757</v>
          </cell>
          <cell r="E206" t="str">
            <v>EPLUCHEUR POLYPRO VRAC</v>
          </cell>
          <cell r="F206">
            <v>240</v>
          </cell>
          <cell r="G206">
            <v>24</v>
          </cell>
          <cell r="H206">
            <v>40</v>
          </cell>
          <cell r="I206">
            <v>30</v>
          </cell>
          <cell r="J206">
            <v>20</v>
          </cell>
          <cell r="K206">
            <v>6.48</v>
          </cell>
          <cell r="L206">
            <v>2.7000000000000003E-2</v>
          </cell>
          <cell r="M206">
            <v>2.4E-2</v>
          </cell>
        </row>
        <row r="207">
          <cell r="A207">
            <v>422920</v>
          </cell>
          <cell r="B207">
            <v>3390509945788</v>
          </cell>
          <cell r="E207" t="str">
            <v>STEAK POLYPRO VRAC</v>
          </cell>
          <cell r="F207">
            <v>240</v>
          </cell>
          <cell r="G207">
            <v>24</v>
          </cell>
          <cell r="H207">
            <v>40</v>
          </cell>
          <cell r="I207">
            <v>30</v>
          </cell>
          <cell r="J207">
            <v>20</v>
          </cell>
          <cell r="K207">
            <v>7.68</v>
          </cell>
          <cell r="L207">
            <v>3.2000000000000001E-2</v>
          </cell>
          <cell r="M207">
            <v>2.4E-2</v>
          </cell>
        </row>
        <row r="208">
          <cell r="A208">
            <v>422930</v>
          </cell>
          <cell r="B208">
            <v>3390509945795</v>
          </cell>
          <cell r="E208" t="str">
            <v>GRILLADE POLYPRO VRAC</v>
          </cell>
          <cell r="F208">
            <v>240</v>
          </cell>
          <cell r="G208">
            <v>12</v>
          </cell>
          <cell r="H208">
            <v>40</v>
          </cell>
          <cell r="I208">
            <v>30</v>
          </cell>
          <cell r="J208">
            <v>20</v>
          </cell>
          <cell r="K208">
            <v>8.1999999999999993</v>
          </cell>
          <cell r="L208">
            <v>3.4166666666666665E-2</v>
          </cell>
          <cell r="M208">
            <v>2.4E-2</v>
          </cell>
        </row>
        <row r="209">
          <cell r="A209">
            <v>422940</v>
          </cell>
          <cell r="B209">
            <v>3390509945801</v>
          </cell>
          <cell r="E209" t="str">
            <v>OFFICE COULEUR POLYPRO VRAC</v>
          </cell>
          <cell r="F209">
            <v>240</v>
          </cell>
          <cell r="G209">
            <v>24</v>
          </cell>
          <cell r="H209">
            <v>40</v>
          </cell>
          <cell r="I209">
            <v>30</v>
          </cell>
          <cell r="J209">
            <v>20</v>
          </cell>
          <cell r="K209">
            <v>6</v>
          </cell>
          <cell r="L209">
            <v>2.5000000000000001E-2</v>
          </cell>
          <cell r="M209">
            <v>2.4E-2</v>
          </cell>
        </row>
        <row r="210">
          <cell r="A210">
            <v>422950</v>
          </cell>
          <cell r="B210">
            <v>3390509945818</v>
          </cell>
          <cell r="E210" t="str">
            <v>EPLUCHEUR POLYPRO ERGO COULEUR PANACHE VRAC</v>
          </cell>
          <cell r="F210">
            <v>240</v>
          </cell>
          <cell r="G210">
            <v>24</v>
          </cell>
          <cell r="H210">
            <v>40</v>
          </cell>
          <cell r="I210">
            <v>30</v>
          </cell>
          <cell r="J210">
            <v>20</v>
          </cell>
          <cell r="K210">
            <v>6.48</v>
          </cell>
          <cell r="L210">
            <v>2.7000000000000003E-2</v>
          </cell>
          <cell r="M210">
            <v>2.4E-2</v>
          </cell>
        </row>
        <row r="211">
          <cell r="A211">
            <v>422980</v>
          </cell>
          <cell r="B211">
            <v>3390509945849</v>
          </cell>
          <cell r="E211" t="str">
            <v>PIERRE A AIGUISER</v>
          </cell>
          <cell r="F211">
            <v>60</v>
          </cell>
          <cell r="G211">
            <v>4</v>
          </cell>
          <cell r="H211">
            <v>36</v>
          </cell>
          <cell r="I211">
            <v>28.5</v>
          </cell>
          <cell r="J211">
            <v>12</v>
          </cell>
          <cell r="K211">
            <v>11.055</v>
          </cell>
          <cell r="L211">
            <v>0.18425</v>
          </cell>
          <cell r="M211">
            <v>1.2311999999999998E-2</v>
          </cell>
        </row>
        <row r="212">
          <cell r="A212">
            <v>422990</v>
          </cell>
          <cell r="B212">
            <v>3390509945856</v>
          </cell>
          <cell r="E212" t="str">
            <v>BARRE MAGNETIQUE</v>
          </cell>
          <cell r="F212">
            <v>60</v>
          </cell>
          <cell r="G212">
            <v>4</v>
          </cell>
          <cell r="H212">
            <v>40</v>
          </cell>
          <cell r="I212">
            <v>30</v>
          </cell>
          <cell r="J212">
            <v>33</v>
          </cell>
          <cell r="K212">
            <v>16.68</v>
          </cell>
          <cell r="L212">
            <v>0.27799999999999997</v>
          </cell>
          <cell r="M212">
            <v>3.9599999999999996E-2</v>
          </cell>
        </row>
        <row r="213">
          <cell r="A213">
            <v>423010</v>
          </cell>
          <cell r="B213">
            <v>3390509945870</v>
          </cell>
          <cell r="E213" t="str">
            <v>FUSIL A AIGUISER MECHE RONDE</v>
          </cell>
          <cell r="F213">
            <v>48</v>
          </cell>
          <cell r="G213">
            <v>4</v>
          </cell>
          <cell r="H213">
            <v>60</v>
          </cell>
          <cell r="I213">
            <v>42.5</v>
          </cell>
          <cell r="J213">
            <v>14</v>
          </cell>
          <cell r="K213">
            <v>17.52</v>
          </cell>
          <cell r="L213">
            <v>0.36499999999999999</v>
          </cell>
          <cell r="M213">
            <v>3.5700000000000003E-2</v>
          </cell>
        </row>
        <row r="214">
          <cell r="A214">
            <v>423020</v>
          </cell>
          <cell r="B214">
            <v>3390509945887</v>
          </cell>
          <cell r="E214" t="str">
            <v>COUTEAU A HUITRE POLYPRO</v>
          </cell>
          <cell r="F214">
            <v>54</v>
          </cell>
          <cell r="G214">
            <v>6</v>
          </cell>
          <cell r="H214">
            <v>30</v>
          </cell>
          <cell r="I214">
            <v>20</v>
          </cell>
          <cell r="J214">
            <v>10</v>
          </cell>
          <cell r="K214">
            <v>3.3090000000000002</v>
          </cell>
          <cell r="L214">
            <v>6.1277777777777778E-2</v>
          </cell>
          <cell r="M214">
            <v>6.0000000000000001E-3</v>
          </cell>
        </row>
        <row r="215">
          <cell r="A215">
            <v>423030</v>
          </cell>
          <cell r="B215">
            <v>3390509945894</v>
          </cell>
          <cell r="E215" t="str">
            <v>COUTEAU A HUITRE BOIS</v>
          </cell>
          <cell r="F215">
            <v>54</v>
          </cell>
          <cell r="G215">
            <v>6</v>
          </cell>
          <cell r="H215">
            <v>32</v>
          </cell>
          <cell r="I215">
            <v>19</v>
          </cell>
          <cell r="J215">
            <v>9.5</v>
          </cell>
          <cell r="K215">
            <v>3.645</v>
          </cell>
          <cell r="L215">
            <v>6.7500000000000004E-2</v>
          </cell>
          <cell r="M215">
            <v>5.7759999999999999E-3</v>
          </cell>
        </row>
        <row r="216">
          <cell r="A216">
            <v>424340</v>
          </cell>
          <cell r="B216">
            <v>3118224243404</v>
          </cell>
          <cell r="C216" t="str">
            <v>13118224243401</v>
          </cell>
          <cell r="D216" t="str">
            <v>23118224243408</v>
          </cell>
          <cell r="E216" t="str">
            <v>M24 TROQUET NOIR POT PET</v>
          </cell>
          <cell r="F216">
            <v>9</v>
          </cell>
          <cell r="G216">
            <v>9</v>
          </cell>
          <cell r="H216">
            <v>28</v>
          </cell>
          <cell r="I216">
            <v>28</v>
          </cell>
          <cell r="J216">
            <v>24</v>
          </cell>
          <cell r="K216">
            <v>7.73</v>
          </cell>
          <cell r="L216">
            <v>0.85888888888888892</v>
          </cell>
          <cell r="M216">
            <v>1.8816000000000003E-2</v>
          </cell>
        </row>
        <row r="217">
          <cell r="A217">
            <v>426300</v>
          </cell>
          <cell r="B217">
            <v>3118224263006</v>
          </cell>
          <cell r="E217" t="str">
            <v>BOUCHER21 FORGE BOIS OLIVIER EN BERLINGOT</v>
          </cell>
          <cell r="F217">
            <v>72</v>
          </cell>
          <cell r="G217">
            <v>72</v>
          </cell>
          <cell r="H217">
            <v>44</v>
          </cell>
          <cell r="I217">
            <v>28</v>
          </cell>
          <cell r="J217">
            <v>28.5</v>
          </cell>
          <cell r="K217">
            <v>14.042</v>
          </cell>
          <cell r="L217">
            <v>0.19502777777777777</v>
          </cell>
          <cell r="M217">
            <v>3.5112000000000004E-2</v>
          </cell>
        </row>
        <row r="218">
          <cell r="A218">
            <v>426320</v>
          </cell>
          <cell r="B218">
            <v>3118224263204</v>
          </cell>
          <cell r="E218" t="str">
            <v>SANTUKO FORGE FX COUTEAU DU CHEF</v>
          </cell>
          <cell r="F218">
            <v>72</v>
          </cell>
          <cell r="G218">
            <v>6</v>
          </cell>
          <cell r="H218">
            <v>38</v>
          </cell>
          <cell r="I218">
            <v>30</v>
          </cell>
          <cell r="J218">
            <v>20</v>
          </cell>
          <cell r="K218">
            <v>16.559999999999999</v>
          </cell>
          <cell r="L218">
            <v>0.22999999999999998</v>
          </cell>
          <cell r="M218">
            <v>2.2800000000000001E-2</v>
          </cell>
        </row>
        <row r="219">
          <cell r="A219">
            <v>426330</v>
          </cell>
          <cell r="B219">
            <v>3222472842071</v>
          </cell>
          <cell r="E219" t="str">
            <v>EPLUCHEUR HG OLIVIER CASINO</v>
          </cell>
          <cell r="F219">
            <v>360</v>
          </cell>
          <cell r="G219">
            <v>6</v>
          </cell>
          <cell r="H219">
            <v>40</v>
          </cell>
          <cell r="I219">
            <v>30</v>
          </cell>
          <cell r="J219">
            <v>20</v>
          </cell>
          <cell r="K219">
            <v>8.41</v>
          </cell>
          <cell r="L219">
            <v>2.336111111111111E-2</v>
          </cell>
          <cell r="M219">
            <v>2.4E-2</v>
          </cell>
        </row>
        <row r="220">
          <cell r="A220">
            <v>426340</v>
          </cell>
          <cell r="B220">
            <v>3222472842088</v>
          </cell>
          <cell r="E220" t="str">
            <v>OFFICE HG MIC.OLIVIER CASINO</v>
          </cell>
          <cell r="F220">
            <v>360</v>
          </cell>
          <cell r="G220">
            <v>6</v>
          </cell>
          <cell r="H220">
            <v>40</v>
          </cell>
          <cell r="I220">
            <v>30</v>
          </cell>
          <cell r="J220">
            <v>20</v>
          </cell>
          <cell r="K220">
            <v>10.92</v>
          </cell>
          <cell r="L220">
            <v>3.0333333333333334E-2</v>
          </cell>
          <cell r="M220">
            <v>2.4E-2</v>
          </cell>
        </row>
        <row r="221">
          <cell r="A221">
            <v>426350</v>
          </cell>
          <cell r="B221">
            <v>3222472842095</v>
          </cell>
          <cell r="E221" t="str">
            <v>STEAK HG OLIVIER CASINO</v>
          </cell>
          <cell r="F221">
            <v>360</v>
          </cell>
          <cell r="G221">
            <v>6</v>
          </cell>
          <cell r="H221">
            <v>40</v>
          </cell>
          <cell r="I221">
            <v>30</v>
          </cell>
          <cell r="J221">
            <v>20</v>
          </cell>
          <cell r="K221">
            <v>14.5</v>
          </cell>
          <cell r="L221">
            <v>4.027777777777778E-2</v>
          </cell>
          <cell r="M221">
            <v>2.4E-2</v>
          </cell>
        </row>
        <row r="222">
          <cell r="A222">
            <v>426360</v>
          </cell>
          <cell r="B222">
            <v>3222472842101</v>
          </cell>
          <cell r="E222" t="str">
            <v>EPLUCHEUR HG ADFLEX CASINO</v>
          </cell>
          <cell r="F222">
            <v>360</v>
          </cell>
          <cell r="G222">
            <v>9</v>
          </cell>
          <cell r="H222">
            <v>40</v>
          </cell>
          <cell r="I222">
            <v>30</v>
          </cell>
          <cell r="J222">
            <v>8.23</v>
          </cell>
          <cell r="K222">
            <v>8.1219999999999999</v>
          </cell>
          <cell r="L222">
            <v>2.2561111111111112E-2</v>
          </cell>
          <cell r="M222">
            <v>9.8760000000000011E-3</v>
          </cell>
        </row>
        <row r="223">
          <cell r="A223">
            <v>426370</v>
          </cell>
          <cell r="B223">
            <v>3222472842118</v>
          </cell>
          <cell r="E223" t="str">
            <v>OFFICE HG TT ADFLEX CASINO</v>
          </cell>
          <cell r="F223">
            <v>360</v>
          </cell>
          <cell r="G223">
            <v>6</v>
          </cell>
          <cell r="H223">
            <v>40</v>
          </cell>
          <cell r="I223">
            <v>30</v>
          </cell>
          <cell r="J223">
            <v>20</v>
          </cell>
          <cell r="K223">
            <v>9.94</v>
          </cell>
          <cell r="L223">
            <v>2.7611111111111111E-2</v>
          </cell>
          <cell r="M223">
            <v>2.4E-2</v>
          </cell>
        </row>
        <row r="224">
          <cell r="A224">
            <v>426380</v>
          </cell>
          <cell r="B224">
            <v>3222472842125</v>
          </cell>
          <cell r="E224" t="str">
            <v>STEAK HG ADFLEX CASINO</v>
          </cell>
          <cell r="F224">
            <v>360</v>
          </cell>
          <cell r="G224">
            <v>6</v>
          </cell>
          <cell r="H224">
            <v>40</v>
          </cell>
          <cell r="I224">
            <v>30</v>
          </cell>
          <cell r="J224">
            <v>20</v>
          </cell>
          <cell r="K224">
            <v>12.3</v>
          </cell>
          <cell r="L224">
            <v>3.4166666666666672E-2</v>
          </cell>
          <cell r="M224">
            <v>2.4E-2</v>
          </cell>
        </row>
        <row r="225">
          <cell r="A225">
            <v>426620</v>
          </cell>
          <cell r="B225">
            <v>3118224266205</v>
          </cell>
          <cell r="E225" t="str">
            <v>TABLE SENSIO / FRX CDF</v>
          </cell>
          <cell r="F225">
            <v>120</v>
          </cell>
          <cell r="G225">
            <v>6</v>
          </cell>
          <cell r="H225">
            <v>40</v>
          </cell>
          <cell r="I225">
            <v>30</v>
          </cell>
          <cell r="J225">
            <v>20</v>
          </cell>
          <cell r="K225">
            <v>8.01</v>
          </cell>
          <cell r="L225">
            <v>6.6750000000000004E-2</v>
          </cell>
          <cell r="M225">
            <v>2.4E-2</v>
          </cell>
        </row>
        <row r="226">
          <cell r="A226">
            <v>427480</v>
          </cell>
          <cell r="B226">
            <v>3118224274804</v>
          </cell>
          <cell r="E226" t="str">
            <v>M24 KINGSTONE BORDEAU</v>
          </cell>
          <cell r="F226">
            <v>6</v>
          </cell>
          <cell r="G226">
            <v>6</v>
          </cell>
          <cell r="H226">
            <v>40</v>
          </cell>
          <cell r="I226">
            <v>30</v>
          </cell>
          <cell r="J226">
            <v>20</v>
          </cell>
          <cell r="K226">
            <v>6.7</v>
          </cell>
          <cell r="L226">
            <v>1.1166666666666667</v>
          </cell>
          <cell r="M226">
            <v>2.4E-2</v>
          </cell>
        </row>
        <row r="227">
          <cell r="A227">
            <v>427530</v>
          </cell>
          <cell r="B227">
            <v>3118224275306</v>
          </cell>
          <cell r="E227" t="str">
            <v>LOT 2 OFFICES PRADEL NOIR EN BOX PROMO</v>
          </cell>
          <cell r="F227">
            <v>144</v>
          </cell>
          <cell r="G227">
            <v>144</v>
          </cell>
          <cell r="H227">
            <v>37.5</v>
          </cell>
          <cell r="I227">
            <v>32</v>
          </cell>
          <cell r="J227">
            <v>54.5</v>
          </cell>
          <cell r="K227">
            <v>8.3520000000000003</v>
          </cell>
          <cell r="L227">
            <v>5.8000000000000003E-2</v>
          </cell>
          <cell r="M227">
            <v>6.54E-2</v>
          </cell>
        </row>
        <row r="228">
          <cell r="A228">
            <v>427560</v>
          </cell>
          <cell r="B228" t="str">
            <v>3118224275603</v>
          </cell>
          <cell r="C228" t="str">
            <v>13118224275600</v>
          </cell>
          <cell r="D228" t="str">
            <v>23118224275607</v>
          </cell>
          <cell r="E228" t="str">
            <v>CT LAG TABLE METAL+GENCOD</v>
          </cell>
          <cell r="F228">
            <v>144</v>
          </cell>
          <cell r="G228">
            <v>12</v>
          </cell>
          <cell r="H228">
            <v>27</v>
          </cell>
          <cell r="I228">
            <v>27</v>
          </cell>
          <cell r="J228">
            <v>20</v>
          </cell>
          <cell r="K228">
            <v>7.4880000000000004</v>
          </cell>
          <cell r="L228">
            <v>5.2000000000000005E-2</v>
          </cell>
          <cell r="M228">
            <v>1.4580000000000003E-2</v>
          </cell>
        </row>
        <row r="229">
          <cell r="A229">
            <v>427562</v>
          </cell>
          <cell r="B229">
            <v>3118224275627</v>
          </cell>
          <cell r="E229" t="str">
            <v>CT LAG NACRE CHAMP MI+GENCOD</v>
          </cell>
          <cell r="F229">
            <v>360</v>
          </cell>
          <cell r="G229">
            <v>12</v>
          </cell>
          <cell r="H229">
            <v>40</v>
          </cell>
          <cell r="I229">
            <v>30</v>
          </cell>
          <cell r="J229">
            <v>20</v>
          </cell>
          <cell r="K229">
            <v>15.37</v>
          </cell>
          <cell r="L229">
            <v>4.2694444444444445E-2</v>
          </cell>
          <cell r="M229">
            <v>2.4E-2</v>
          </cell>
        </row>
        <row r="230">
          <cell r="A230">
            <v>427590</v>
          </cell>
          <cell r="B230">
            <v>3118224275900</v>
          </cell>
          <cell r="E230" t="str">
            <v>CAFE LAG METAL 12/10+GENCOD</v>
          </cell>
          <cell r="F230">
            <v>240</v>
          </cell>
          <cell r="G230">
            <v>12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A231">
            <v>427593</v>
          </cell>
          <cell r="B231">
            <v>3118224275931</v>
          </cell>
          <cell r="E231" t="str">
            <v>CAFE LAG NACRE BLEU MI+GENCOD</v>
          </cell>
          <cell r="F231">
            <v>120</v>
          </cell>
          <cell r="G231">
            <v>12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</row>
        <row r="232">
          <cell r="A232">
            <v>427620</v>
          </cell>
          <cell r="B232">
            <v>3118224276204</v>
          </cell>
          <cell r="C232" t="str">
            <v>13118224276201</v>
          </cell>
          <cell r="D232" t="str">
            <v>23118224276208</v>
          </cell>
          <cell r="E232" t="str">
            <v>COUTEAU TABLE ROMANE+GENCOD</v>
          </cell>
          <cell r="F232">
            <v>144</v>
          </cell>
          <cell r="G232">
            <v>12</v>
          </cell>
          <cell r="H232">
            <v>24.5</v>
          </cell>
          <cell r="I232">
            <v>23.5</v>
          </cell>
          <cell r="J232">
            <v>18</v>
          </cell>
          <cell r="K232">
            <v>9.0719999999999992</v>
          </cell>
          <cell r="L232">
            <v>6.3E-2</v>
          </cell>
          <cell r="M232">
            <v>1.0363500000000001E-2</v>
          </cell>
        </row>
        <row r="233">
          <cell r="A233">
            <v>427630</v>
          </cell>
          <cell r="B233">
            <v>3118224276303</v>
          </cell>
          <cell r="C233" t="str">
            <v>13118224276300</v>
          </cell>
          <cell r="D233" t="str">
            <v>23118224276307</v>
          </cell>
          <cell r="E233" t="str">
            <v>FOURCHETTE TABLE ROMANE+GENCOD</v>
          </cell>
          <cell r="F233">
            <v>144</v>
          </cell>
          <cell r="G233">
            <v>12</v>
          </cell>
          <cell r="H233">
            <v>25</v>
          </cell>
          <cell r="I233">
            <v>23.5</v>
          </cell>
          <cell r="J233">
            <v>17</v>
          </cell>
          <cell r="K233">
            <v>6.1920000000000002</v>
          </cell>
          <cell r="L233">
            <v>4.3000000000000003E-2</v>
          </cell>
          <cell r="M233">
            <v>9.9874999999999999E-3</v>
          </cell>
        </row>
        <row r="234">
          <cell r="A234">
            <v>427640</v>
          </cell>
          <cell r="B234">
            <v>3118224276402</v>
          </cell>
          <cell r="C234" t="str">
            <v>13118224276409</v>
          </cell>
          <cell r="D234" t="str">
            <v>23118224276406</v>
          </cell>
          <cell r="E234" t="str">
            <v>CUILLERE TABLE ROMANE+GENCOD</v>
          </cell>
          <cell r="F234">
            <v>144</v>
          </cell>
          <cell r="G234">
            <v>12</v>
          </cell>
          <cell r="H234">
            <v>26</v>
          </cell>
          <cell r="I234">
            <v>23.5</v>
          </cell>
          <cell r="J234">
            <v>17.5</v>
          </cell>
          <cell r="K234">
            <v>7.2</v>
          </cell>
          <cell r="L234">
            <v>0.05</v>
          </cell>
          <cell r="M234">
            <v>1.0692500000000001E-2</v>
          </cell>
        </row>
        <row r="235">
          <cell r="A235">
            <v>427650</v>
          </cell>
          <cell r="B235">
            <v>3118224276501</v>
          </cell>
          <cell r="C235" t="str">
            <v>13118224276508</v>
          </cell>
          <cell r="D235" t="str">
            <v>23118224276505</v>
          </cell>
          <cell r="E235" t="str">
            <v>CUILLERE CAFE ROMANE+GENCOD</v>
          </cell>
          <cell r="F235">
            <v>144</v>
          </cell>
          <cell r="G235">
            <v>12</v>
          </cell>
          <cell r="H235">
            <v>22</v>
          </cell>
          <cell r="I235">
            <v>17</v>
          </cell>
          <cell r="J235">
            <v>17</v>
          </cell>
          <cell r="K235">
            <v>3.6360000000000001</v>
          </cell>
          <cell r="L235">
            <v>2.5250000000000002E-2</v>
          </cell>
          <cell r="M235">
            <v>6.3579999999999999E-3</v>
          </cell>
        </row>
        <row r="236">
          <cell r="A236">
            <v>427930</v>
          </cell>
          <cell r="B236">
            <v>3118224279304</v>
          </cell>
          <cell r="E236" t="str">
            <v>COUTEAU TABLE DIANE+GENCOD</v>
          </cell>
          <cell r="F236">
            <v>120</v>
          </cell>
          <cell r="G236">
            <v>6</v>
          </cell>
          <cell r="H236">
            <v>27.5</v>
          </cell>
          <cell r="I236">
            <v>26</v>
          </cell>
          <cell r="J236">
            <v>20.5</v>
          </cell>
          <cell r="K236">
            <v>10.84</v>
          </cell>
          <cell r="L236">
            <v>9.0333333333333335E-2</v>
          </cell>
          <cell r="M236">
            <v>1.46575E-2</v>
          </cell>
        </row>
        <row r="237">
          <cell r="A237">
            <v>427940</v>
          </cell>
          <cell r="B237">
            <v>3118224279403</v>
          </cell>
          <cell r="E237" t="str">
            <v>FOURCHETTE TABLE DIANE+GENCOD</v>
          </cell>
          <cell r="F237">
            <v>120</v>
          </cell>
          <cell r="G237">
            <v>6</v>
          </cell>
          <cell r="H237">
            <v>28</v>
          </cell>
          <cell r="I237">
            <v>25.5</v>
          </cell>
          <cell r="J237">
            <v>21.5</v>
          </cell>
          <cell r="K237">
            <v>9.1199999999999992</v>
          </cell>
          <cell r="L237">
            <v>7.5999999999999998E-2</v>
          </cell>
          <cell r="M237">
            <v>1.5351000000000002E-2</v>
          </cell>
        </row>
        <row r="238">
          <cell r="A238">
            <v>427950</v>
          </cell>
          <cell r="B238">
            <v>3118224279502</v>
          </cell>
          <cell r="E238" t="str">
            <v>CUILLERE TABLE DIANE+GENCOD</v>
          </cell>
          <cell r="F238">
            <v>120</v>
          </cell>
          <cell r="G238">
            <v>6</v>
          </cell>
          <cell r="H238">
            <v>32.5</v>
          </cell>
          <cell r="I238">
            <v>25</v>
          </cell>
          <cell r="J238">
            <v>21</v>
          </cell>
          <cell r="K238">
            <v>11.444000000000001</v>
          </cell>
          <cell r="L238">
            <v>9.5366666666666669E-2</v>
          </cell>
          <cell r="M238">
            <v>1.7062500000000001E-2</v>
          </cell>
        </row>
        <row r="239">
          <cell r="A239">
            <v>427960</v>
          </cell>
          <cell r="B239">
            <v>3118224279601</v>
          </cell>
          <cell r="E239" t="str">
            <v>CUILLERE CAFE DIANE+GENCOD</v>
          </cell>
          <cell r="F239">
            <v>240</v>
          </cell>
          <cell r="G239">
            <v>6</v>
          </cell>
          <cell r="H239">
            <v>44.5</v>
          </cell>
          <cell r="I239">
            <v>18</v>
          </cell>
          <cell r="J239">
            <v>21</v>
          </cell>
          <cell r="K239">
            <v>13.862</v>
          </cell>
          <cell r="L239">
            <v>5.7758333333333335E-2</v>
          </cell>
          <cell r="M239">
            <v>1.6821000000000003E-2</v>
          </cell>
        </row>
        <row r="240">
          <cell r="A240">
            <v>428830</v>
          </cell>
          <cell r="B240">
            <v>3118224288306</v>
          </cell>
          <cell r="E240" t="str">
            <v>COUTEAU TABLE SOHO +GENCOD</v>
          </cell>
          <cell r="F240">
            <v>120</v>
          </cell>
          <cell r="G240">
            <v>6</v>
          </cell>
          <cell r="H240">
            <v>31.5</v>
          </cell>
          <cell r="I240">
            <v>19</v>
          </cell>
          <cell r="J240">
            <v>95</v>
          </cell>
          <cell r="K240">
            <v>12.6</v>
          </cell>
          <cell r="L240">
            <v>0.105</v>
          </cell>
          <cell r="M240">
            <v>5.6857499999999998E-2</v>
          </cell>
        </row>
        <row r="241">
          <cell r="A241">
            <v>428840</v>
          </cell>
          <cell r="B241">
            <v>3118224288405</v>
          </cell>
          <cell r="E241" t="str">
            <v>FETTE TABLE SOHO +GENCOD</v>
          </cell>
          <cell r="F241">
            <v>120</v>
          </cell>
          <cell r="G241">
            <v>6</v>
          </cell>
          <cell r="H241">
            <v>31.5</v>
          </cell>
          <cell r="I241">
            <v>19</v>
          </cell>
          <cell r="J241">
            <v>9.5</v>
          </cell>
          <cell r="K241">
            <v>6.48</v>
          </cell>
          <cell r="L241">
            <v>5.4000000000000006E-2</v>
          </cell>
          <cell r="M241">
            <v>5.6857500000000007E-3</v>
          </cell>
        </row>
        <row r="242">
          <cell r="A242">
            <v>428850</v>
          </cell>
          <cell r="B242">
            <v>3118224288504</v>
          </cell>
          <cell r="E242" t="str">
            <v>CUILLERE TABLE SOHO +GENCOD</v>
          </cell>
          <cell r="F242">
            <v>120</v>
          </cell>
          <cell r="G242">
            <v>6</v>
          </cell>
          <cell r="H242">
            <v>31.5</v>
          </cell>
          <cell r="I242">
            <v>19</v>
          </cell>
          <cell r="J242">
            <v>9.5</v>
          </cell>
          <cell r="K242">
            <v>7.95</v>
          </cell>
          <cell r="L242">
            <v>6.6250000000000003E-2</v>
          </cell>
          <cell r="M242">
            <v>5.6857500000000007E-3</v>
          </cell>
        </row>
        <row r="243">
          <cell r="A243">
            <v>428860</v>
          </cell>
          <cell r="B243">
            <v>3118224288603</v>
          </cell>
          <cell r="E243" t="str">
            <v>CAFE SOHO +GENCOD</v>
          </cell>
          <cell r="F243">
            <v>240</v>
          </cell>
          <cell r="G243">
            <v>6</v>
          </cell>
          <cell r="H243">
            <v>31.5</v>
          </cell>
          <cell r="I243">
            <v>19</v>
          </cell>
          <cell r="J243">
            <v>95</v>
          </cell>
          <cell r="K243">
            <v>5.04</v>
          </cell>
          <cell r="L243">
            <v>2.1000000000000001E-2</v>
          </cell>
          <cell r="M243">
            <v>5.6857499999999998E-2</v>
          </cell>
        </row>
        <row r="244">
          <cell r="A244">
            <v>428920</v>
          </cell>
          <cell r="B244">
            <v>3118224289204</v>
          </cell>
          <cell r="E244" t="str">
            <v>OFFICE POLYPRO FX COUTEAU DU CHEF</v>
          </cell>
          <cell r="F244">
            <v>150</v>
          </cell>
          <cell r="G244">
            <v>6</v>
          </cell>
          <cell r="H244">
            <v>40</v>
          </cell>
          <cell r="I244">
            <v>30</v>
          </cell>
          <cell r="J244">
            <v>20</v>
          </cell>
          <cell r="K244">
            <v>8.5500000000000007</v>
          </cell>
          <cell r="L244">
            <v>5.7000000000000002E-2</v>
          </cell>
          <cell r="M244">
            <v>2.4E-2</v>
          </cell>
        </row>
        <row r="245">
          <cell r="A245">
            <v>428935</v>
          </cell>
          <cell r="B245">
            <v>3118224289358</v>
          </cell>
          <cell r="E245" t="str">
            <v>TABLE POLYPRO FX COUTEAU DU CHEF</v>
          </cell>
          <cell r="F245">
            <v>150</v>
          </cell>
          <cell r="G245">
            <v>6</v>
          </cell>
          <cell r="H245">
            <v>40</v>
          </cell>
          <cell r="I245">
            <v>30</v>
          </cell>
          <cell r="J245">
            <v>20</v>
          </cell>
          <cell r="K245">
            <v>8.99</v>
          </cell>
          <cell r="L245">
            <v>5.9933333333333332E-2</v>
          </cell>
          <cell r="M245">
            <v>2.4E-2</v>
          </cell>
        </row>
        <row r="246">
          <cell r="A246">
            <v>428960</v>
          </cell>
          <cell r="B246">
            <v>3118224289600</v>
          </cell>
          <cell r="E246" t="str">
            <v>CHEF POLYPRO FX COUTEAU DU CHEF</v>
          </cell>
          <cell r="F246">
            <v>60</v>
          </cell>
          <cell r="G246">
            <v>6</v>
          </cell>
          <cell r="H246">
            <v>40</v>
          </cell>
          <cell r="I246">
            <v>30</v>
          </cell>
          <cell r="J246">
            <v>20</v>
          </cell>
          <cell r="K246">
            <v>9.1199999999999992</v>
          </cell>
          <cell r="L246">
            <v>0.152</v>
          </cell>
          <cell r="M246">
            <v>2.4E-2</v>
          </cell>
        </row>
        <row r="247">
          <cell r="A247">
            <v>429640</v>
          </cell>
          <cell r="B247">
            <v>3118224296400</v>
          </cell>
          <cell r="C247" t="str">
            <v>13118224296407</v>
          </cell>
          <cell r="D247" t="str">
            <v>23118224296404</v>
          </cell>
          <cell r="E247" t="str">
            <v>LOT 3 CTX TROQUET PANACHE ANIS-TURQ-AUBERG-ORANGE EN DISPLAY</v>
          </cell>
          <cell r="F247">
            <v>96</v>
          </cell>
          <cell r="G247">
            <v>96</v>
          </cell>
          <cell r="H247">
            <v>56</v>
          </cell>
          <cell r="I247">
            <v>39.5</v>
          </cell>
          <cell r="J247">
            <v>31</v>
          </cell>
          <cell r="K247">
            <v>9.2159999999999993</v>
          </cell>
          <cell r="L247">
            <v>9.5999999999999988E-2</v>
          </cell>
          <cell r="M247">
            <v>6.8572000000000008E-2</v>
          </cell>
        </row>
        <row r="248">
          <cell r="A248">
            <v>429650</v>
          </cell>
          <cell r="B248">
            <v>3118224296509</v>
          </cell>
          <cell r="C248" t="str">
            <v>13118224296506</v>
          </cell>
          <cell r="D248" t="str">
            <v>23118224296503</v>
          </cell>
          <cell r="E248" t="str">
            <v>LOT 3 FETTES TROQUET PANACHE ANIS-TURQ-AUBERG-ORANGE EN DISP</v>
          </cell>
          <cell r="F248">
            <v>96</v>
          </cell>
          <cell r="G248">
            <v>96</v>
          </cell>
          <cell r="H248">
            <v>56</v>
          </cell>
          <cell r="I248">
            <v>39.5</v>
          </cell>
          <cell r="J248">
            <v>31</v>
          </cell>
          <cell r="K248">
            <v>10.08</v>
          </cell>
          <cell r="L248">
            <v>0.105</v>
          </cell>
          <cell r="M248">
            <v>6.8572000000000008E-2</v>
          </cell>
        </row>
        <row r="249">
          <cell r="A249">
            <v>429660</v>
          </cell>
          <cell r="B249">
            <v>3118224296608</v>
          </cell>
          <cell r="C249" t="str">
            <v>13118224296605</v>
          </cell>
          <cell r="D249" t="str">
            <v>23118224296602</v>
          </cell>
          <cell r="E249" t="str">
            <v>LOT 3 CUILL TROQUET PANACHE ANIS-TURQ-AUBERG-ORANGE EN DISPL</v>
          </cell>
          <cell r="F249">
            <v>96</v>
          </cell>
          <cell r="G249">
            <v>96</v>
          </cell>
          <cell r="H249">
            <v>56</v>
          </cell>
          <cell r="I249">
            <v>39.5</v>
          </cell>
          <cell r="J249">
            <v>31</v>
          </cell>
          <cell r="K249">
            <v>9.4079999999999995</v>
          </cell>
          <cell r="L249">
            <v>9.799999999999999E-2</v>
          </cell>
          <cell r="M249">
            <v>6.8572000000000008E-2</v>
          </cell>
        </row>
        <row r="250">
          <cell r="A250">
            <v>429670</v>
          </cell>
          <cell r="B250">
            <v>3118224296707</v>
          </cell>
          <cell r="C250" t="str">
            <v>13118224296704</v>
          </cell>
          <cell r="D250" t="str">
            <v>23118224296701</v>
          </cell>
          <cell r="E250" t="str">
            <v>LOT 3 CAFES TROQUET PANACHE ANIS-TURQ-AUBERG-ORANGE EN DISPL</v>
          </cell>
          <cell r="F250">
            <v>96</v>
          </cell>
          <cell r="G250">
            <v>96</v>
          </cell>
          <cell r="H250">
            <v>41</v>
          </cell>
          <cell r="I250">
            <v>22.5</v>
          </cell>
          <cell r="J250">
            <v>27</v>
          </cell>
          <cell r="K250">
            <v>7.2</v>
          </cell>
          <cell r="L250">
            <v>7.4999999999999997E-2</v>
          </cell>
          <cell r="M250">
            <v>2.4907499999999999E-2</v>
          </cell>
        </row>
        <row r="251">
          <cell r="A251">
            <v>430276</v>
          </cell>
          <cell r="B251">
            <v>3118224302767</v>
          </cell>
          <cell r="E251" t="str">
            <v>6 STEAKS ANIS BLOC INCLINE LOT 1OF 1 EPLU ERGO BLEU</v>
          </cell>
          <cell r="F251">
            <v>12</v>
          </cell>
          <cell r="G251">
            <v>12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</row>
        <row r="252">
          <cell r="A252">
            <v>430278</v>
          </cell>
          <cell r="B252">
            <v>3118224302781</v>
          </cell>
          <cell r="E252" t="str">
            <v>6 STEAKS SOLEIL BLOC INCLINE LOT 1OF 1 EPLU ERGO BLEU</v>
          </cell>
          <cell r="F252">
            <v>12</v>
          </cell>
          <cell r="G252">
            <v>12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</row>
        <row r="253">
          <cell r="A253">
            <v>430320</v>
          </cell>
          <cell r="B253">
            <v>3118224303207</v>
          </cell>
          <cell r="E253" t="str">
            <v>CX HUITRE GARDE EN BOURRICHE X120</v>
          </cell>
          <cell r="F253">
            <v>120</v>
          </cell>
          <cell r="G253">
            <v>120</v>
          </cell>
          <cell r="H253">
            <v>45.5</v>
          </cell>
          <cell r="I253">
            <v>32.5</v>
          </cell>
          <cell r="J253">
            <v>26.5</v>
          </cell>
          <cell r="K253">
            <v>6.64</v>
          </cell>
          <cell r="L253">
            <v>5.5333333333333332E-2</v>
          </cell>
          <cell r="M253">
            <v>3.9186875000000003E-2</v>
          </cell>
        </row>
        <row r="254">
          <cell r="A254">
            <v>430370</v>
          </cell>
          <cell r="B254">
            <v>3118224303702</v>
          </cell>
          <cell r="E254" t="str">
            <v>M24 TROQUET ANIS 390C POT PET</v>
          </cell>
          <cell r="F254">
            <v>9</v>
          </cell>
          <cell r="G254">
            <v>9</v>
          </cell>
          <cell r="H254">
            <v>28</v>
          </cell>
          <cell r="I254">
            <v>28</v>
          </cell>
          <cell r="J254">
            <v>24</v>
          </cell>
          <cell r="K254">
            <v>7.3620000000000001</v>
          </cell>
          <cell r="L254">
            <v>0.81800000000000006</v>
          </cell>
          <cell r="M254">
            <v>1.8816000000000003E-2</v>
          </cell>
        </row>
        <row r="255">
          <cell r="A255">
            <v>430521</v>
          </cell>
          <cell r="B255">
            <v>3118224305218</v>
          </cell>
          <cell r="C255" t="str">
            <v>13118224305215</v>
          </cell>
          <cell r="D255" t="str">
            <v>23118224305212</v>
          </cell>
          <cell r="E255" t="str">
            <v>COUTEAU AMANDE BLANC+GENCOD</v>
          </cell>
          <cell r="F255">
            <v>240</v>
          </cell>
          <cell r="G255">
            <v>12</v>
          </cell>
          <cell r="H255">
            <v>35</v>
          </cell>
          <cell r="I255">
            <v>27.5</v>
          </cell>
          <cell r="J255">
            <v>26</v>
          </cell>
          <cell r="K255">
            <v>12.2</v>
          </cell>
          <cell r="L255">
            <v>5.0833333333333328E-2</v>
          </cell>
          <cell r="M255">
            <v>2.5024999999999999E-2</v>
          </cell>
        </row>
        <row r="256">
          <cell r="A256">
            <v>430522</v>
          </cell>
          <cell r="B256">
            <v>3118224305225</v>
          </cell>
          <cell r="C256">
            <v>13118224305222</v>
          </cell>
          <cell r="D256">
            <v>23118224305229</v>
          </cell>
          <cell r="E256" t="str">
            <v>COUTEAU AMANDE JAUNE+GENCOD</v>
          </cell>
          <cell r="F256">
            <v>240</v>
          </cell>
          <cell r="G256">
            <v>12</v>
          </cell>
          <cell r="H256">
            <v>32.5</v>
          </cell>
          <cell r="I256">
            <v>27.5</v>
          </cell>
          <cell r="J256">
            <v>26</v>
          </cell>
          <cell r="K256">
            <v>12.657999999999999</v>
          </cell>
          <cell r="L256">
            <v>5.2741666666666666E-2</v>
          </cell>
          <cell r="M256">
            <v>2.3237500000000001E-2</v>
          </cell>
        </row>
        <row r="257">
          <cell r="A257">
            <v>430523</v>
          </cell>
          <cell r="B257">
            <v>3118224305232</v>
          </cell>
          <cell r="C257" t="str">
            <v xml:space="preserve"> ?</v>
          </cell>
          <cell r="D257" t="str">
            <v xml:space="preserve"> ?</v>
          </cell>
          <cell r="E257" t="str">
            <v>COUTEAU AMANDE PRUNE+GENCOD</v>
          </cell>
          <cell r="F257">
            <v>240</v>
          </cell>
          <cell r="G257">
            <v>12</v>
          </cell>
          <cell r="H257">
            <v>32.5</v>
          </cell>
          <cell r="I257">
            <v>27.5</v>
          </cell>
          <cell r="J257">
            <v>26</v>
          </cell>
          <cell r="K257">
            <v>12.657999999999999</v>
          </cell>
          <cell r="L257">
            <v>5.2741666666666666E-2</v>
          </cell>
          <cell r="M257">
            <v>2.3237500000000001E-2</v>
          </cell>
        </row>
        <row r="258">
          <cell r="A258">
            <v>430524</v>
          </cell>
          <cell r="B258">
            <v>3118224305249</v>
          </cell>
          <cell r="C258" t="str">
            <v>13118224305246</v>
          </cell>
          <cell r="D258" t="str">
            <v>23118224305243</v>
          </cell>
          <cell r="E258" t="str">
            <v>COUTEAU AMANDE ROUGE+GENCOD</v>
          </cell>
          <cell r="F258">
            <v>240</v>
          </cell>
          <cell r="G258">
            <v>12</v>
          </cell>
          <cell r="H258">
            <v>32.5</v>
          </cell>
          <cell r="I258">
            <v>27.5</v>
          </cell>
          <cell r="J258">
            <v>26</v>
          </cell>
          <cell r="K258">
            <v>13.46</v>
          </cell>
          <cell r="L258">
            <v>5.6083333333333339E-2</v>
          </cell>
          <cell r="M258">
            <v>2.3237500000000001E-2</v>
          </cell>
        </row>
        <row r="259">
          <cell r="A259">
            <v>430525</v>
          </cell>
          <cell r="B259">
            <v>3118224305256</v>
          </cell>
          <cell r="C259" t="str">
            <v>13118224305253</v>
          </cell>
          <cell r="D259" t="str">
            <v>23118224305250</v>
          </cell>
          <cell r="E259" t="str">
            <v>COUTEAU AMANDE BLEU+GENCOD</v>
          </cell>
          <cell r="F259">
            <v>240</v>
          </cell>
          <cell r="G259">
            <v>12</v>
          </cell>
          <cell r="H259">
            <v>37</v>
          </cell>
          <cell r="I259">
            <v>25</v>
          </cell>
          <cell r="J259">
            <v>26</v>
          </cell>
          <cell r="K259">
            <v>11.76</v>
          </cell>
          <cell r="L259">
            <v>4.9000000000000002E-2</v>
          </cell>
          <cell r="M259">
            <v>2.4049999999999998E-2</v>
          </cell>
        </row>
        <row r="260">
          <cell r="A260">
            <v>430526</v>
          </cell>
          <cell r="B260">
            <v>3118224305263</v>
          </cell>
          <cell r="C260" t="str">
            <v>13118224305260</v>
          </cell>
          <cell r="D260" t="str">
            <v>23118224305267</v>
          </cell>
          <cell r="E260" t="str">
            <v>COUTEAU AMANDE ANIS+GENCOD</v>
          </cell>
          <cell r="F260">
            <v>240</v>
          </cell>
          <cell r="G260">
            <v>12</v>
          </cell>
          <cell r="H260">
            <v>32.5</v>
          </cell>
          <cell r="I260">
            <v>27.5</v>
          </cell>
          <cell r="J260">
            <v>26</v>
          </cell>
          <cell r="K260">
            <v>11.76</v>
          </cell>
          <cell r="L260">
            <v>4.9000000000000002E-2</v>
          </cell>
          <cell r="M260">
            <v>2.3237500000000001E-2</v>
          </cell>
        </row>
        <row r="261">
          <cell r="A261">
            <v>430527</v>
          </cell>
          <cell r="B261">
            <v>3118224305270</v>
          </cell>
          <cell r="C261">
            <v>13118224305277</v>
          </cell>
          <cell r="D261">
            <v>23118224305274</v>
          </cell>
          <cell r="E261" t="str">
            <v>COUTEAU AMANDE NOIR+GENCOD</v>
          </cell>
          <cell r="F261">
            <v>240</v>
          </cell>
          <cell r="G261">
            <v>12</v>
          </cell>
          <cell r="H261">
            <v>26.5</v>
          </cell>
          <cell r="I261">
            <v>26.5</v>
          </cell>
          <cell r="J261">
            <v>33</v>
          </cell>
          <cell r="K261">
            <v>11.52</v>
          </cell>
          <cell r="L261">
            <v>4.8000000000000001E-2</v>
          </cell>
          <cell r="M261">
            <v>2.317425E-2</v>
          </cell>
        </row>
        <row r="262">
          <cell r="A262">
            <v>430528</v>
          </cell>
          <cell r="B262">
            <v>3118224305287</v>
          </cell>
          <cell r="C262">
            <v>13118224305284</v>
          </cell>
          <cell r="D262">
            <v>23118224305281</v>
          </cell>
          <cell r="E262" t="str">
            <v>COUTEAU AMANDE ORANGE+GENCOD</v>
          </cell>
          <cell r="F262">
            <v>240</v>
          </cell>
          <cell r="G262">
            <v>12</v>
          </cell>
          <cell r="H262">
            <v>32.5</v>
          </cell>
          <cell r="I262">
            <v>27.5</v>
          </cell>
          <cell r="J262">
            <v>26</v>
          </cell>
          <cell r="K262">
            <v>12.657999999999999</v>
          </cell>
          <cell r="L262">
            <v>5.2741666666666666E-2</v>
          </cell>
          <cell r="M262">
            <v>2.3237500000000001E-2</v>
          </cell>
        </row>
        <row r="263">
          <cell r="A263">
            <v>430531</v>
          </cell>
          <cell r="B263">
            <v>3118224305317</v>
          </cell>
          <cell r="C263" t="str">
            <v>13118224305314</v>
          </cell>
          <cell r="D263" t="str">
            <v>23118224305311</v>
          </cell>
          <cell r="E263" t="str">
            <v>FETTE AMANDE BLANC+GENCOD</v>
          </cell>
          <cell r="F263">
            <v>240</v>
          </cell>
          <cell r="G263">
            <v>12</v>
          </cell>
          <cell r="H263">
            <v>28</v>
          </cell>
          <cell r="I263">
            <v>24</v>
          </cell>
          <cell r="J263">
            <v>36.5</v>
          </cell>
          <cell r="K263">
            <v>10.84</v>
          </cell>
          <cell r="L263">
            <v>4.5166666666666667E-2</v>
          </cell>
          <cell r="M263">
            <v>2.4528000000000005E-2</v>
          </cell>
        </row>
        <row r="264">
          <cell r="A264">
            <v>430532</v>
          </cell>
          <cell r="B264">
            <v>3118224305324</v>
          </cell>
          <cell r="C264">
            <v>13118224305321</v>
          </cell>
          <cell r="D264">
            <v>23118224305328</v>
          </cell>
          <cell r="E264" t="str">
            <v>FETTE AMANDE JAUNE+GENCOD</v>
          </cell>
          <cell r="F264">
            <v>240</v>
          </cell>
          <cell r="G264">
            <v>12</v>
          </cell>
          <cell r="H264">
            <v>28</v>
          </cell>
          <cell r="I264">
            <v>24</v>
          </cell>
          <cell r="J264">
            <v>36.5</v>
          </cell>
          <cell r="K264">
            <v>10.14</v>
          </cell>
          <cell r="L264">
            <v>4.2250000000000003E-2</v>
          </cell>
          <cell r="M264">
            <v>2.4528000000000005E-2</v>
          </cell>
        </row>
        <row r="265">
          <cell r="A265">
            <v>430533</v>
          </cell>
          <cell r="B265">
            <v>3118224305331</v>
          </cell>
          <cell r="C265" t="str">
            <v xml:space="preserve"> ?</v>
          </cell>
          <cell r="D265" t="str">
            <v xml:space="preserve"> ?</v>
          </cell>
          <cell r="E265" t="str">
            <v>FTTE AMANDE PRUNE+GENCOD</v>
          </cell>
          <cell r="F265">
            <v>240</v>
          </cell>
          <cell r="G265">
            <v>12</v>
          </cell>
          <cell r="H265">
            <v>28</v>
          </cell>
          <cell r="I265">
            <v>24</v>
          </cell>
          <cell r="J265">
            <v>36.5</v>
          </cell>
          <cell r="K265">
            <v>10.14</v>
          </cell>
          <cell r="L265">
            <v>4.2250000000000003E-2</v>
          </cell>
          <cell r="M265">
            <v>2.4528000000000005E-2</v>
          </cell>
        </row>
        <row r="266">
          <cell r="A266">
            <v>430534</v>
          </cell>
          <cell r="B266">
            <v>3118224305348</v>
          </cell>
          <cell r="C266" t="str">
            <v>13118224305345</v>
          </cell>
          <cell r="D266" t="str">
            <v>23118224305342</v>
          </cell>
          <cell r="E266" t="str">
            <v>FETTE AMANDE ROUGE+GENCOD</v>
          </cell>
          <cell r="F266">
            <v>240</v>
          </cell>
          <cell r="G266">
            <v>12</v>
          </cell>
          <cell r="H266">
            <v>28</v>
          </cell>
          <cell r="I266">
            <v>24</v>
          </cell>
          <cell r="J266">
            <v>36.5</v>
          </cell>
          <cell r="K266">
            <v>10.585000000000001</v>
          </cell>
          <cell r="L266">
            <v>4.4104166666666673E-2</v>
          </cell>
          <cell r="M266">
            <v>2.4528000000000005E-2</v>
          </cell>
        </row>
        <row r="267">
          <cell r="A267">
            <v>430535</v>
          </cell>
          <cell r="B267">
            <v>3118224305355</v>
          </cell>
          <cell r="C267" t="str">
            <v>13118224305352</v>
          </cell>
          <cell r="D267" t="str">
            <v>23118224305359</v>
          </cell>
          <cell r="E267" t="str">
            <v>FETTE AMANDE BLEU+GENCOD</v>
          </cell>
          <cell r="F267">
            <v>240</v>
          </cell>
          <cell r="G267">
            <v>12</v>
          </cell>
          <cell r="H267">
            <v>28</v>
          </cell>
          <cell r="I267">
            <v>24</v>
          </cell>
          <cell r="J267">
            <v>36.5</v>
          </cell>
          <cell r="K267">
            <v>10.08</v>
          </cell>
          <cell r="L267">
            <v>4.2000000000000003E-2</v>
          </cell>
          <cell r="M267">
            <v>2.4528000000000005E-2</v>
          </cell>
        </row>
        <row r="268">
          <cell r="A268">
            <v>430536</v>
          </cell>
          <cell r="B268">
            <v>3118224305362</v>
          </cell>
          <cell r="C268" t="str">
            <v>13118224305369</v>
          </cell>
          <cell r="D268" t="str">
            <v>23118224305366</v>
          </cell>
          <cell r="E268" t="str">
            <v>FETTE AMANDE ANIS+GENCOD</v>
          </cell>
          <cell r="F268">
            <v>240</v>
          </cell>
          <cell r="G268">
            <v>12</v>
          </cell>
          <cell r="H268">
            <v>28</v>
          </cell>
          <cell r="I268">
            <v>24</v>
          </cell>
          <cell r="J268">
            <v>37.5</v>
          </cell>
          <cell r="K268">
            <v>9.84</v>
          </cell>
          <cell r="L268">
            <v>4.1000000000000002E-2</v>
          </cell>
          <cell r="M268">
            <v>2.5200000000000004E-2</v>
          </cell>
        </row>
        <row r="269">
          <cell r="A269">
            <v>430537</v>
          </cell>
          <cell r="B269">
            <v>3118224305379</v>
          </cell>
          <cell r="C269">
            <v>13118224305376</v>
          </cell>
          <cell r="D269">
            <v>23118224305373</v>
          </cell>
          <cell r="E269" t="str">
            <v>FTTE AMANDE NOIR+GENCOD</v>
          </cell>
          <cell r="F269">
            <v>240</v>
          </cell>
          <cell r="G269">
            <v>12</v>
          </cell>
          <cell r="H269">
            <v>28</v>
          </cell>
          <cell r="I269">
            <v>24</v>
          </cell>
          <cell r="J269">
            <v>37.5</v>
          </cell>
          <cell r="K269">
            <v>9.84</v>
          </cell>
          <cell r="L269">
            <v>4.1000000000000002E-2</v>
          </cell>
          <cell r="M269">
            <v>2.5200000000000004E-2</v>
          </cell>
        </row>
        <row r="270">
          <cell r="A270">
            <v>430538</v>
          </cell>
          <cell r="B270">
            <v>3118224305386</v>
          </cell>
          <cell r="C270">
            <v>13118224305383</v>
          </cell>
          <cell r="D270">
            <v>23118224305380</v>
          </cell>
          <cell r="E270" t="str">
            <v>FETTE AMANDE ORANGE+GENCOD</v>
          </cell>
          <cell r="F270">
            <v>240</v>
          </cell>
          <cell r="G270">
            <v>12</v>
          </cell>
          <cell r="H270">
            <v>28</v>
          </cell>
          <cell r="I270">
            <v>24</v>
          </cell>
          <cell r="J270">
            <v>36.5</v>
          </cell>
          <cell r="K270">
            <v>10.585000000000001</v>
          </cell>
          <cell r="L270">
            <v>4.4104166666666673E-2</v>
          </cell>
          <cell r="M270">
            <v>2.4528000000000005E-2</v>
          </cell>
        </row>
        <row r="271">
          <cell r="A271">
            <v>430541</v>
          </cell>
          <cell r="B271">
            <v>3118224305416</v>
          </cell>
          <cell r="C271" t="str">
            <v>13118224305413</v>
          </cell>
          <cell r="D271" t="str">
            <v>23118224305410</v>
          </cell>
          <cell r="E271" t="str">
            <v>CUIL. AMANDE BLANC+GENCOD</v>
          </cell>
          <cell r="F271">
            <v>240</v>
          </cell>
          <cell r="G271">
            <v>12</v>
          </cell>
          <cell r="H271">
            <v>37</v>
          </cell>
          <cell r="I271">
            <v>24.5</v>
          </cell>
          <cell r="J271">
            <v>27.5</v>
          </cell>
          <cell r="K271">
            <v>11.76</v>
          </cell>
          <cell r="L271">
            <v>4.9000000000000002E-2</v>
          </cell>
          <cell r="M271">
            <v>2.4928749999999996E-2</v>
          </cell>
        </row>
        <row r="272">
          <cell r="A272">
            <v>430542</v>
          </cell>
          <cell r="B272">
            <v>3118224305423</v>
          </cell>
          <cell r="C272">
            <v>13118224305420</v>
          </cell>
          <cell r="D272">
            <v>23118224305427</v>
          </cell>
          <cell r="E272" t="str">
            <v>CUIL. AMANDE JAUNE+GENCOD</v>
          </cell>
          <cell r="F272">
            <v>240</v>
          </cell>
          <cell r="G272">
            <v>12</v>
          </cell>
          <cell r="H272">
            <v>37</v>
          </cell>
          <cell r="I272">
            <v>24.5</v>
          </cell>
          <cell r="J272">
            <v>27.5</v>
          </cell>
          <cell r="K272">
            <v>12.843999999999999</v>
          </cell>
          <cell r="L272">
            <v>5.3516666666666664E-2</v>
          </cell>
          <cell r="M272">
            <v>2.4928749999999996E-2</v>
          </cell>
        </row>
        <row r="273">
          <cell r="A273">
            <v>430543</v>
          </cell>
          <cell r="B273">
            <v>3118224305430</v>
          </cell>
          <cell r="C273" t="str">
            <v xml:space="preserve"> ?</v>
          </cell>
          <cell r="D273" t="str">
            <v xml:space="preserve"> ?</v>
          </cell>
          <cell r="E273" t="str">
            <v>CUIL. AMANDE PRUNE+GENCOD</v>
          </cell>
          <cell r="F273">
            <v>240</v>
          </cell>
          <cell r="G273">
            <v>12</v>
          </cell>
          <cell r="H273">
            <v>37</v>
          </cell>
          <cell r="I273">
            <v>24.5</v>
          </cell>
          <cell r="J273">
            <v>27.5</v>
          </cell>
          <cell r="K273">
            <v>12.843999999999999</v>
          </cell>
          <cell r="L273">
            <v>5.3516666666666664E-2</v>
          </cell>
          <cell r="M273">
            <v>2.4928749999999996E-2</v>
          </cell>
        </row>
        <row r="274">
          <cell r="A274">
            <v>430544</v>
          </cell>
          <cell r="B274">
            <v>3118224305447</v>
          </cell>
          <cell r="C274" t="str">
            <v>13118224305444</v>
          </cell>
          <cell r="D274" t="str">
            <v>23118224305441</v>
          </cell>
          <cell r="E274" t="str">
            <v>CUIL. AMANDE ROUGE+GENCOD</v>
          </cell>
          <cell r="F274">
            <v>240</v>
          </cell>
          <cell r="G274">
            <v>12</v>
          </cell>
          <cell r="H274">
            <v>37</v>
          </cell>
          <cell r="I274">
            <v>24.5</v>
          </cell>
          <cell r="J274">
            <v>27.5</v>
          </cell>
          <cell r="K274">
            <v>12.04</v>
          </cell>
          <cell r="L274">
            <v>5.0166666666666665E-2</v>
          </cell>
          <cell r="M274">
            <v>2.4928749999999996E-2</v>
          </cell>
        </row>
        <row r="275">
          <cell r="A275">
            <v>430545</v>
          </cell>
          <cell r="B275">
            <v>3118224305454</v>
          </cell>
          <cell r="C275" t="str">
            <v>13118224305451</v>
          </cell>
          <cell r="D275" t="str">
            <v>23118224305458</v>
          </cell>
          <cell r="E275" t="str">
            <v>CUIL. AMANDE BLEU+GENCOD</v>
          </cell>
          <cell r="F275">
            <v>240</v>
          </cell>
          <cell r="G275">
            <v>12</v>
          </cell>
          <cell r="H275">
            <v>37</v>
          </cell>
          <cell r="I275">
            <v>24.5</v>
          </cell>
          <cell r="J275">
            <v>27.5</v>
          </cell>
          <cell r="K275">
            <v>12.04</v>
          </cell>
          <cell r="L275">
            <v>5.0166666666666665E-2</v>
          </cell>
          <cell r="M275">
            <v>2.4928749999999996E-2</v>
          </cell>
        </row>
        <row r="276">
          <cell r="A276">
            <v>430546</v>
          </cell>
          <cell r="B276">
            <v>3118224305461</v>
          </cell>
          <cell r="C276" t="str">
            <v>13118224305468</v>
          </cell>
          <cell r="D276" t="str">
            <v>23118224305465</v>
          </cell>
          <cell r="E276" t="str">
            <v>CUIL. AMANDE ANIS+GENCOD</v>
          </cell>
          <cell r="F276">
            <v>240</v>
          </cell>
          <cell r="G276">
            <v>12</v>
          </cell>
          <cell r="H276">
            <v>37</v>
          </cell>
          <cell r="I276">
            <v>24.5</v>
          </cell>
          <cell r="J276">
            <v>27.5</v>
          </cell>
          <cell r="K276">
            <v>11.76</v>
          </cell>
          <cell r="L276">
            <v>4.9000000000000002E-2</v>
          </cell>
          <cell r="M276">
            <v>2.4928749999999996E-2</v>
          </cell>
        </row>
        <row r="277">
          <cell r="A277">
            <v>430547</v>
          </cell>
          <cell r="B277">
            <v>3118224305478</v>
          </cell>
          <cell r="C277">
            <v>13118224305475</v>
          </cell>
          <cell r="D277">
            <v>23118224305472</v>
          </cell>
          <cell r="E277" t="str">
            <v>CUIL. AMANDE NOIR+GENCOD</v>
          </cell>
          <cell r="F277">
            <v>240</v>
          </cell>
          <cell r="G277">
            <v>12</v>
          </cell>
          <cell r="H277">
            <v>37</v>
          </cell>
          <cell r="I277">
            <v>24.5</v>
          </cell>
          <cell r="J277">
            <v>27.5</v>
          </cell>
          <cell r="K277">
            <v>11.76</v>
          </cell>
          <cell r="L277">
            <v>4.9000000000000002E-2</v>
          </cell>
          <cell r="M277">
            <v>2.4928749999999996E-2</v>
          </cell>
        </row>
        <row r="278">
          <cell r="A278">
            <v>430548</v>
          </cell>
          <cell r="B278">
            <v>3118224305485</v>
          </cell>
          <cell r="C278">
            <v>13118224305482</v>
          </cell>
          <cell r="D278">
            <v>23118224305489</v>
          </cell>
          <cell r="E278" t="str">
            <v>CUILLERE AMANDE ORANGE+GENCOD</v>
          </cell>
          <cell r="F278">
            <v>240</v>
          </cell>
          <cell r="G278">
            <v>12</v>
          </cell>
          <cell r="H278">
            <v>37</v>
          </cell>
          <cell r="I278">
            <v>24.5</v>
          </cell>
          <cell r="J278">
            <v>27.5</v>
          </cell>
          <cell r="K278">
            <v>12.843999999999999</v>
          </cell>
          <cell r="L278">
            <v>5.3516666666666664E-2</v>
          </cell>
          <cell r="M278">
            <v>2.4928749999999996E-2</v>
          </cell>
        </row>
        <row r="279">
          <cell r="A279">
            <v>430551</v>
          </cell>
          <cell r="B279">
            <v>3118224305515</v>
          </cell>
          <cell r="C279" t="str">
            <v>13118224305512</v>
          </cell>
          <cell r="D279" t="str">
            <v>23118224305519</v>
          </cell>
          <cell r="E279" t="str">
            <v>CAFE AMANDE BLANC+GENCOD</v>
          </cell>
          <cell r="F279">
            <v>240</v>
          </cell>
          <cell r="G279">
            <v>12</v>
          </cell>
          <cell r="H279">
            <v>25</v>
          </cell>
          <cell r="I279">
            <v>18</v>
          </cell>
          <cell r="J279">
            <v>30</v>
          </cell>
          <cell r="K279">
            <v>7.0880000000000001</v>
          </cell>
          <cell r="L279">
            <v>2.9533333333333335E-2</v>
          </cell>
          <cell r="M279">
            <v>1.3499999999999998E-2</v>
          </cell>
        </row>
        <row r="280">
          <cell r="A280">
            <v>430552</v>
          </cell>
          <cell r="B280">
            <v>3118224305522</v>
          </cell>
          <cell r="C280">
            <v>13118224305529</v>
          </cell>
          <cell r="D280">
            <v>23118224305526</v>
          </cell>
          <cell r="E280" t="str">
            <v>CAFE AMANDE JAUNE+GENCOD</v>
          </cell>
          <cell r="F280">
            <v>240</v>
          </cell>
          <cell r="G280">
            <v>12</v>
          </cell>
          <cell r="H280">
            <v>25</v>
          </cell>
          <cell r="I280">
            <v>18</v>
          </cell>
          <cell r="J280">
            <v>30</v>
          </cell>
          <cell r="K280">
            <v>6.9</v>
          </cell>
          <cell r="L280">
            <v>2.8750000000000001E-2</v>
          </cell>
          <cell r="M280">
            <v>1.3499999999999998E-2</v>
          </cell>
        </row>
        <row r="281">
          <cell r="A281">
            <v>430553</v>
          </cell>
          <cell r="B281" t="str">
            <v>?</v>
          </cell>
          <cell r="C281" t="str">
            <v xml:space="preserve"> ?</v>
          </cell>
          <cell r="D281" t="str">
            <v xml:space="preserve"> ?</v>
          </cell>
          <cell r="E281" t="str">
            <v>CAFE AMANDE PRUNE+GENCOD</v>
          </cell>
          <cell r="F281">
            <v>240</v>
          </cell>
          <cell r="G281">
            <v>12</v>
          </cell>
          <cell r="H281">
            <v>25</v>
          </cell>
          <cell r="I281">
            <v>18</v>
          </cell>
          <cell r="J281">
            <v>30</v>
          </cell>
          <cell r="K281">
            <v>6.9</v>
          </cell>
          <cell r="L281">
            <v>2.8750000000000001E-2</v>
          </cell>
          <cell r="M281">
            <v>1.3499999999999998E-2</v>
          </cell>
        </row>
        <row r="282">
          <cell r="A282">
            <v>430554</v>
          </cell>
          <cell r="B282">
            <v>3118224305546</v>
          </cell>
          <cell r="C282" t="str">
            <v>13118224305543</v>
          </cell>
          <cell r="D282" t="str">
            <v>23118224305540</v>
          </cell>
          <cell r="E282" t="str">
            <v>CAFE AMANDE ROUGE+GENCOD</v>
          </cell>
          <cell r="F282">
            <v>240</v>
          </cell>
          <cell r="G282">
            <v>12</v>
          </cell>
          <cell r="H282">
            <v>25</v>
          </cell>
          <cell r="I282">
            <v>18</v>
          </cell>
          <cell r="J282">
            <v>30</v>
          </cell>
          <cell r="K282">
            <v>6.24</v>
          </cell>
          <cell r="L282">
            <v>2.6000000000000002E-2</v>
          </cell>
          <cell r="M282">
            <v>1.3499999999999998E-2</v>
          </cell>
        </row>
        <row r="283">
          <cell r="A283">
            <v>430555</v>
          </cell>
          <cell r="B283">
            <v>3118224305553</v>
          </cell>
          <cell r="C283" t="str">
            <v>13118224305550</v>
          </cell>
          <cell r="D283" t="str">
            <v>23118224305557</v>
          </cell>
          <cell r="E283" t="str">
            <v>CAFE AMANDE BLEU+GENCOD</v>
          </cell>
          <cell r="F283">
            <v>240</v>
          </cell>
          <cell r="G283">
            <v>12</v>
          </cell>
          <cell r="H283">
            <v>25</v>
          </cell>
          <cell r="I283">
            <v>18</v>
          </cell>
          <cell r="J283">
            <v>30</v>
          </cell>
          <cell r="K283">
            <v>7.0880000000000001</v>
          </cell>
          <cell r="L283">
            <v>2.9533333333333335E-2</v>
          </cell>
          <cell r="M283">
            <v>1.3499999999999998E-2</v>
          </cell>
        </row>
        <row r="284">
          <cell r="A284">
            <v>430556</v>
          </cell>
          <cell r="B284">
            <v>3118224305560</v>
          </cell>
          <cell r="C284" t="str">
            <v>13118224305567</v>
          </cell>
          <cell r="D284" t="str">
            <v>23118224305564</v>
          </cell>
          <cell r="E284" t="str">
            <v>CAFE AMANDE ANIS+GENCOD</v>
          </cell>
          <cell r="F284">
            <v>240</v>
          </cell>
          <cell r="G284">
            <v>12</v>
          </cell>
          <cell r="H284">
            <v>25</v>
          </cell>
          <cell r="I284">
            <v>18</v>
          </cell>
          <cell r="J284">
            <v>30</v>
          </cell>
          <cell r="K284">
            <v>6.72</v>
          </cell>
          <cell r="L284">
            <v>2.8000000000000001E-2</v>
          </cell>
          <cell r="M284">
            <v>1.3499999999999998E-2</v>
          </cell>
        </row>
        <row r="285">
          <cell r="A285">
            <v>430557</v>
          </cell>
          <cell r="B285">
            <v>3118224305577</v>
          </cell>
          <cell r="C285">
            <v>13118224305574</v>
          </cell>
          <cell r="D285">
            <v>23118224305571</v>
          </cell>
          <cell r="E285" t="str">
            <v>CAFE AMANDE NOIR+GENCOD</v>
          </cell>
          <cell r="F285">
            <v>240</v>
          </cell>
          <cell r="G285">
            <v>12</v>
          </cell>
          <cell r="H285">
            <v>25</v>
          </cell>
          <cell r="I285">
            <v>18</v>
          </cell>
          <cell r="J285">
            <v>30</v>
          </cell>
          <cell r="K285">
            <v>7.0880000000000001</v>
          </cell>
          <cell r="L285">
            <v>2.9533333333333335E-2</v>
          </cell>
          <cell r="M285">
            <v>1.3499999999999998E-2</v>
          </cell>
        </row>
        <row r="286">
          <cell r="A286">
            <v>430558</v>
          </cell>
          <cell r="B286">
            <v>3118224305584</v>
          </cell>
          <cell r="C286">
            <v>13118224305581</v>
          </cell>
          <cell r="D286">
            <v>23118224305588</v>
          </cell>
          <cell r="E286" t="str">
            <v>CAFE AMANDE ORANGE+GENCOD</v>
          </cell>
          <cell r="F286">
            <v>240</v>
          </cell>
          <cell r="G286">
            <v>12</v>
          </cell>
          <cell r="H286">
            <v>25</v>
          </cell>
          <cell r="I286">
            <v>18</v>
          </cell>
          <cell r="J286">
            <v>30</v>
          </cell>
          <cell r="K286">
            <v>6.9</v>
          </cell>
          <cell r="L286">
            <v>2.8750000000000001E-2</v>
          </cell>
          <cell r="M286">
            <v>1.3499999999999998E-2</v>
          </cell>
        </row>
        <row r="287">
          <cell r="A287">
            <v>430570</v>
          </cell>
          <cell r="B287">
            <v>3118224305706</v>
          </cell>
          <cell r="C287" t="str">
            <v>13118224305703</v>
          </cell>
          <cell r="D287" t="str">
            <v>23118224305700</v>
          </cell>
          <cell r="E287" t="str">
            <v>LAG FERMANT LAME 10CM BOIS COUL ASSORTIES</v>
          </cell>
          <cell r="F287">
            <v>36</v>
          </cell>
          <cell r="G287">
            <v>6</v>
          </cell>
          <cell r="H287">
            <v>32</v>
          </cell>
          <cell r="I287">
            <v>27</v>
          </cell>
          <cell r="J287">
            <v>36.5</v>
          </cell>
          <cell r="K287">
            <v>12.816000000000001</v>
          </cell>
          <cell r="L287">
            <v>0.35600000000000004</v>
          </cell>
          <cell r="M287">
            <v>3.1536000000000002E-2</v>
          </cell>
        </row>
        <row r="288">
          <cell r="A288">
            <v>430630</v>
          </cell>
          <cell r="B288">
            <v>3118224306307</v>
          </cell>
          <cell r="E288" t="str">
            <v>LAG EVOLUTION BOIS ASSORTI BLISTER</v>
          </cell>
          <cell r="F288">
            <v>36</v>
          </cell>
          <cell r="G288">
            <v>6</v>
          </cell>
          <cell r="H288">
            <v>46</v>
          </cell>
          <cell r="I288">
            <v>30</v>
          </cell>
          <cell r="J288">
            <v>25</v>
          </cell>
          <cell r="K288">
            <v>6.15</v>
          </cell>
          <cell r="L288">
            <v>0.17083333333333334</v>
          </cell>
          <cell r="M288">
            <v>3.4500000000000003E-2</v>
          </cell>
        </row>
        <row r="289">
          <cell r="A289">
            <v>431240</v>
          </cell>
          <cell r="B289">
            <v>3118224312407</v>
          </cell>
          <cell r="E289" t="str">
            <v>COUTEAU CURVING SATINE+GENCOD</v>
          </cell>
          <cell r="F289">
            <v>240</v>
          </cell>
          <cell r="G289">
            <v>6</v>
          </cell>
          <cell r="H289">
            <v>44.5</v>
          </cell>
          <cell r="I289">
            <v>26</v>
          </cell>
          <cell r="J289">
            <v>24.5</v>
          </cell>
          <cell r="K289">
            <v>20.309999999999999</v>
          </cell>
          <cell r="L289">
            <v>8.4624999999999992E-2</v>
          </cell>
          <cell r="M289">
            <v>2.83465E-2</v>
          </cell>
        </row>
        <row r="290">
          <cell r="A290">
            <v>431250</v>
          </cell>
          <cell r="B290">
            <v>3118224312506</v>
          </cell>
          <cell r="E290" t="str">
            <v>FETTE CURVING SATINE+GENCOD</v>
          </cell>
          <cell r="F290">
            <v>240</v>
          </cell>
          <cell r="G290">
            <v>6</v>
          </cell>
          <cell r="H290">
            <v>44.5</v>
          </cell>
          <cell r="I290">
            <v>26</v>
          </cell>
          <cell r="J290">
            <v>24.5</v>
          </cell>
          <cell r="K290">
            <v>17.04</v>
          </cell>
          <cell r="L290">
            <v>7.0999999999999994E-2</v>
          </cell>
          <cell r="M290">
            <v>2.83465E-2</v>
          </cell>
        </row>
        <row r="291">
          <cell r="A291">
            <v>431260</v>
          </cell>
          <cell r="B291">
            <v>3118224312605</v>
          </cell>
          <cell r="E291" t="str">
            <v>CUILLERE CURVING SATINE+GENCOD</v>
          </cell>
          <cell r="F291">
            <v>240</v>
          </cell>
          <cell r="G291">
            <v>6</v>
          </cell>
          <cell r="H291">
            <v>43</v>
          </cell>
          <cell r="I291">
            <v>28</v>
          </cell>
          <cell r="J291">
            <v>20.5</v>
          </cell>
          <cell r="K291">
            <v>20.399999999999999</v>
          </cell>
          <cell r="L291">
            <v>8.4999999999999992E-2</v>
          </cell>
          <cell r="M291">
            <v>2.4681999999999999E-2</v>
          </cell>
        </row>
        <row r="292">
          <cell r="A292">
            <v>431270</v>
          </cell>
          <cell r="B292">
            <v>3118224312704</v>
          </cell>
          <cell r="E292" t="str">
            <v>CAFE CURVING SATINE+GENCOD</v>
          </cell>
          <cell r="F292">
            <v>240</v>
          </cell>
          <cell r="G292">
            <v>6</v>
          </cell>
          <cell r="H292">
            <v>45</v>
          </cell>
          <cell r="I292">
            <v>18.5</v>
          </cell>
          <cell r="J292">
            <v>23</v>
          </cell>
          <cell r="K292">
            <v>7.68</v>
          </cell>
          <cell r="L292">
            <v>3.2000000000000001E-2</v>
          </cell>
          <cell r="M292">
            <v>1.9147500000000001E-2</v>
          </cell>
        </row>
        <row r="293">
          <cell r="A293">
            <v>431730</v>
          </cell>
          <cell r="B293">
            <v>3118224317303</v>
          </cell>
          <cell r="E293" t="str">
            <v>PAIN FUSION/ADFLEX FX CDF</v>
          </cell>
          <cell r="F293">
            <v>96</v>
          </cell>
          <cell r="G293">
            <v>6</v>
          </cell>
          <cell r="H293">
            <v>43.5</v>
          </cell>
          <cell r="I293">
            <v>28</v>
          </cell>
          <cell r="J293">
            <v>29</v>
          </cell>
          <cell r="K293">
            <v>15.54</v>
          </cell>
          <cell r="L293">
            <v>0.16187499999999999</v>
          </cell>
          <cell r="M293">
            <v>3.5321999999999992E-2</v>
          </cell>
        </row>
        <row r="294">
          <cell r="A294">
            <v>431740</v>
          </cell>
          <cell r="B294">
            <v>3118224317402</v>
          </cell>
          <cell r="E294" t="str">
            <v>CHEF FUSION/ADFLEX FX CDF</v>
          </cell>
          <cell r="F294">
            <v>54</v>
          </cell>
          <cell r="G294">
            <v>6</v>
          </cell>
          <cell r="H294">
            <v>40</v>
          </cell>
          <cell r="I294">
            <v>30</v>
          </cell>
          <cell r="J294">
            <v>20</v>
          </cell>
          <cell r="K294">
            <v>8.0399999999999991</v>
          </cell>
          <cell r="L294">
            <v>0.14888888888888888</v>
          </cell>
          <cell r="M294">
            <v>2.4E-2</v>
          </cell>
        </row>
        <row r="295">
          <cell r="A295">
            <v>431760</v>
          </cell>
          <cell r="B295">
            <v>3118224317600</v>
          </cell>
          <cell r="E295" t="str">
            <v>CUISINE 16CM FUSION/ADFLEX FX CDF</v>
          </cell>
          <cell r="F295">
            <v>54</v>
          </cell>
          <cell r="G295">
            <v>6</v>
          </cell>
          <cell r="H295">
            <v>0</v>
          </cell>
          <cell r="I295">
            <v>0</v>
          </cell>
          <cell r="J295">
            <v>0</v>
          </cell>
          <cell r="K295">
            <v>8.1</v>
          </cell>
          <cell r="L295">
            <v>0.15</v>
          </cell>
          <cell r="M295">
            <v>0</v>
          </cell>
        </row>
        <row r="296">
          <cell r="A296">
            <v>431770</v>
          </cell>
          <cell r="B296">
            <v>3118224317709</v>
          </cell>
          <cell r="E296" t="str">
            <v>FRUIT/LEG FUSION/ADFLEX FX CDF</v>
          </cell>
          <cell r="F296">
            <v>54</v>
          </cell>
          <cell r="G296">
            <v>6</v>
          </cell>
          <cell r="H296">
            <v>40</v>
          </cell>
          <cell r="I296">
            <v>30</v>
          </cell>
          <cell r="J296">
            <v>20</v>
          </cell>
          <cell r="K296">
            <v>7.07</v>
          </cell>
          <cell r="L296">
            <v>0.13092592592592592</v>
          </cell>
          <cell r="M296">
            <v>2.4E-2</v>
          </cell>
        </row>
        <row r="297">
          <cell r="A297">
            <v>431790</v>
          </cell>
          <cell r="B297">
            <v>3118224317907</v>
          </cell>
          <cell r="E297" t="str">
            <v>OFFICE FUSION/ADFLEX FX CDF</v>
          </cell>
          <cell r="F297">
            <v>150</v>
          </cell>
          <cell r="G297">
            <v>6</v>
          </cell>
          <cell r="H297">
            <v>40</v>
          </cell>
          <cell r="I297">
            <v>30</v>
          </cell>
          <cell r="J297">
            <v>20</v>
          </cell>
          <cell r="K297">
            <v>9</v>
          </cell>
          <cell r="L297">
            <v>0.06</v>
          </cell>
          <cell r="M297">
            <v>2.4E-2</v>
          </cell>
        </row>
        <row r="298">
          <cell r="A298">
            <v>432081</v>
          </cell>
          <cell r="B298">
            <v>3118224320815</v>
          </cell>
          <cell r="E298" t="str">
            <v>TUBO 6 STEAK RECORD COUL.ASSORTI EN BARQUETTE DE45</v>
          </cell>
          <cell r="F298">
            <v>45</v>
          </cell>
          <cell r="G298">
            <v>45</v>
          </cell>
          <cell r="H298">
            <v>60</v>
          </cell>
          <cell r="I298">
            <v>41</v>
          </cell>
          <cell r="J298">
            <v>31</v>
          </cell>
          <cell r="K298">
            <v>7.5149999999999997</v>
          </cell>
          <cell r="L298">
            <v>0.16699999999999998</v>
          </cell>
          <cell r="M298">
            <v>7.6259999999999994E-2</v>
          </cell>
        </row>
        <row r="299">
          <cell r="A299">
            <v>432240</v>
          </cell>
          <cell r="B299">
            <v>3118224322406</v>
          </cell>
          <cell r="E299" t="str">
            <v>MARAICHER ABSOLU MANCHE EBENE EN BERLINGOT</v>
          </cell>
          <cell r="F299">
            <v>150</v>
          </cell>
          <cell r="G299">
            <v>150</v>
          </cell>
          <cell r="H299">
            <v>40</v>
          </cell>
          <cell r="I299">
            <v>30</v>
          </cell>
          <cell r="J299">
            <v>20</v>
          </cell>
          <cell r="K299">
            <v>16.2</v>
          </cell>
          <cell r="L299">
            <v>0.108</v>
          </cell>
          <cell r="M299">
            <v>2.4E-2</v>
          </cell>
        </row>
        <row r="300">
          <cell r="A300">
            <v>432250</v>
          </cell>
          <cell r="B300">
            <v>3118224322505</v>
          </cell>
          <cell r="E300" t="str">
            <v>GRILLADIN ABSOLU MANCH EBENE/BTE</v>
          </cell>
          <cell r="F300">
            <v>6</v>
          </cell>
          <cell r="G300">
            <v>6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</row>
        <row r="301">
          <cell r="A301">
            <v>432260</v>
          </cell>
          <cell r="B301">
            <v>3118224322604</v>
          </cell>
          <cell r="E301" t="str">
            <v>EMINCEUR ABSOLU MANCHE EBENE EN BERLINGOT</v>
          </cell>
          <cell r="F301">
            <v>75</v>
          </cell>
          <cell r="G301">
            <v>75</v>
          </cell>
          <cell r="H301">
            <v>43</v>
          </cell>
          <cell r="I301">
            <v>16.5</v>
          </cell>
          <cell r="J301">
            <v>11</v>
          </cell>
          <cell r="K301">
            <v>0.96</v>
          </cell>
          <cell r="L301">
            <v>1.2799999999999999E-2</v>
          </cell>
          <cell r="M301">
            <v>7.8044999999999998E-3</v>
          </cell>
        </row>
        <row r="302">
          <cell r="A302">
            <v>432280</v>
          </cell>
          <cell r="B302">
            <v>3118224322802</v>
          </cell>
          <cell r="E302" t="str">
            <v>CUISINIER ABSOLU MANCHE EBENE EN BERLINGOT</v>
          </cell>
          <cell r="F302">
            <v>72</v>
          </cell>
          <cell r="G302">
            <v>72</v>
          </cell>
          <cell r="H302">
            <v>43</v>
          </cell>
          <cell r="I302">
            <v>16.5</v>
          </cell>
          <cell r="J302">
            <v>11</v>
          </cell>
          <cell r="K302">
            <v>1.74</v>
          </cell>
          <cell r="L302">
            <v>2.4166666666666666E-2</v>
          </cell>
          <cell r="M302">
            <v>7.8044999999999998E-3</v>
          </cell>
        </row>
        <row r="303">
          <cell r="A303">
            <v>432290</v>
          </cell>
          <cell r="B303">
            <v>3118224322901</v>
          </cell>
          <cell r="E303" t="str">
            <v>BOULANGER ABSOLU MANCHE EBENE EN BERLINGOT</v>
          </cell>
          <cell r="F303">
            <v>75</v>
          </cell>
          <cell r="G303">
            <v>1</v>
          </cell>
          <cell r="H303">
            <v>0</v>
          </cell>
          <cell r="I303">
            <v>0</v>
          </cell>
          <cell r="J303">
            <v>0</v>
          </cell>
          <cell r="K303">
            <v>2.04</v>
          </cell>
          <cell r="L303">
            <v>2.7200000000000002E-2</v>
          </cell>
          <cell r="M303">
            <v>0</v>
          </cell>
        </row>
        <row r="304">
          <cell r="A304">
            <v>432470</v>
          </cell>
          <cell r="B304">
            <v>3118224324707</v>
          </cell>
          <cell r="E304" t="str">
            <v>PLANCHE BI-MAT +7 CTX SENSIO</v>
          </cell>
          <cell r="F304">
            <v>10</v>
          </cell>
          <cell r="G304">
            <v>10</v>
          </cell>
          <cell r="H304">
            <v>60</v>
          </cell>
          <cell r="I304">
            <v>40</v>
          </cell>
          <cell r="J304">
            <v>30</v>
          </cell>
          <cell r="K304">
            <v>15.88</v>
          </cell>
          <cell r="L304">
            <v>1.5880000000000001</v>
          </cell>
          <cell r="M304">
            <v>7.1999999999999995E-2</v>
          </cell>
        </row>
        <row r="305">
          <cell r="A305">
            <v>433000</v>
          </cell>
          <cell r="B305">
            <v>3118224330005</v>
          </cell>
          <cell r="E305" t="str">
            <v>M16 SELECT INOX BOITE TB COLLECTION</v>
          </cell>
          <cell r="F305">
            <v>3</v>
          </cell>
          <cell r="G305">
            <v>3</v>
          </cell>
          <cell r="H305">
            <v>28.5</v>
          </cell>
          <cell r="I305">
            <v>17</v>
          </cell>
          <cell r="J305">
            <v>33</v>
          </cell>
          <cell r="K305">
            <v>4.1760000000000002</v>
          </cell>
          <cell r="L305">
            <v>1.3920000000000001</v>
          </cell>
          <cell r="M305">
            <v>1.5988500000000003E-2</v>
          </cell>
        </row>
        <row r="306">
          <cell r="A306">
            <v>433340</v>
          </cell>
          <cell r="B306">
            <v>3118224333402</v>
          </cell>
          <cell r="E306" t="str">
            <v>COF.LUXE 6 CAFE LAG BOIS NOIR GS</v>
          </cell>
          <cell r="F306">
            <v>12</v>
          </cell>
          <cell r="G306">
            <v>12</v>
          </cell>
          <cell r="H306">
            <v>36</v>
          </cell>
          <cell r="I306">
            <v>27</v>
          </cell>
          <cell r="J306">
            <v>18</v>
          </cell>
          <cell r="K306">
            <v>6.9</v>
          </cell>
          <cell r="L306">
            <v>0.57500000000000007</v>
          </cell>
          <cell r="M306">
            <v>1.7495999999999998E-2</v>
          </cell>
        </row>
        <row r="307">
          <cell r="A307">
            <v>433400</v>
          </cell>
          <cell r="B307">
            <v>3118224334003</v>
          </cell>
          <cell r="E307" t="str">
            <v>PAIN TRANSITION+ BTE GRISE+ STICKER</v>
          </cell>
          <cell r="F307">
            <v>6</v>
          </cell>
          <cell r="G307">
            <v>6</v>
          </cell>
          <cell r="H307">
            <v>45.5</v>
          </cell>
          <cell r="I307">
            <v>16.5</v>
          </cell>
          <cell r="J307">
            <v>10.8</v>
          </cell>
          <cell r="K307">
            <v>1.5</v>
          </cell>
          <cell r="L307">
            <v>0.25</v>
          </cell>
          <cell r="M307">
            <v>8.1081E-3</v>
          </cell>
        </row>
        <row r="308">
          <cell r="A308">
            <v>433481</v>
          </cell>
          <cell r="B308">
            <v>3222473119288</v>
          </cell>
          <cell r="E308" t="str">
            <v>CISEAU CUISINE 21.3CM BI MAT CAS</v>
          </cell>
          <cell r="F308">
            <v>72</v>
          </cell>
          <cell r="G308">
            <v>6</v>
          </cell>
          <cell r="H308">
            <v>38</v>
          </cell>
          <cell r="I308">
            <v>27</v>
          </cell>
          <cell r="J308">
            <v>30</v>
          </cell>
          <cell r="K308">
            <v>9.36</v>
          </cell>
          <cell r="L308">
            <v>0.13</v>
          </cell>
          <cell r="M308">
            <v>3.0779999999999998E-2</v>
          </cell>
        </row>
        <row r="309">
          <cell r="A309">
            <v>433491</v>
          </cell>
          <cell r="B309">
            <v>3222473119318</v>
          </cell>
          <cell r="E309" t="str">
            <v>CISEAU UNIVERSEL 20.3CM BI M CAS</v>
          </cell>
          <cell r="F309">
            <v>96</v>
          </cell>
          <cell r="G309">
            <v>6</v>
          </cell>
          <cell r="H309">
            <v>32.5</v>
          </cell>
          <cell r="I309">
            <v>26</v>
          </cell>
          <cell r="J309">
            <v>35</v>
          </cell>
          <cell r="K309">
            <v>8.3480000000000008</v>
          </cell>
          <cell r="L309">
            <v>8.6958333333333346E-2</v>
          </cell>
          <cell r="M309">
            <v>2.9575000000000001E-2</v>
          </cell>
        </row>
        <row r="310">
          <cell r="A310">
            <v>433501</v>
          </cell>
          <cell r="B310">
            <v>3222473119332</v>
          </cell>
          <cell r="E310" t="str">
            <v>CISEAU LINGERE BI MAT CASINO</v>
          </cell>
          <cell r="F310">
            <v>240</v>
          </cell>
          <cell r="G310">
            <v>6</v>
          </cell>
          <cell r="H310">
            <v>52</v>
          </cell>
          <cell r="I310">
            <v>24</v>
          </cell>
          <cell r="J310">
            <v>37</v>
          </cell>
          <cell r="K310">
            <v>13.672000000000001</v>
          </cell>
          <cell r="L310">
            <v>5.6966666666666672E-2</v>
          </cell>
          <cell r="M310">
            <v>4.6176000000000002E-2</v>
          </cell>
        </row>
        <row r="311">
          <cell r="A311">
            <v>433511</v>
          </cell>
          <cell r="B311">
            <v>3222473119349</v>
          </cell>
          <cell r="E311" t="str">
            <v>CISEAU ECOLIER BI MAT15CM CAS</v>
          </cell>
          <cell r="F311">
            <v>240</v>
          </cell>
          <cell r="G311">
            <v>6</v>
          </cell>
          <cell r="H311">
            <v>54</v>
          </cell>
          <cell r="I311">
            <v>24</v>
          </cell>
          <cell r="J311">
            <v>40</v>
          </cell>
          <cell r="K311">
            <v>12.092000000000001</v>
          </cell>
          <cell r="L311">
            <v>5.0383333333333336E-2</v>
          </cell>
          <cell r="M311">
            <v>5.1840000000000011E-2</v>
          </cell>
        </row>
        <row r="312">
          <cell r="A312">
            <v>433560</v>
          </cell>
          <cell r="B312">
            <v>3118224335604</v>
          </cell>
          <cell r="C312" t="str">
            <v>13118224335601</v>
          </cell>
          <cell r="D312" t="str">
            <v>23118224335608</v>
          </cell>
          <cell r="E312" t="str">
            <v>COUTEAU BAROQUE+GENCOD</v>
          </cell>
          <cell r="F312">
            <v>120</v>
          </cell>
          <cell r="G312">
            <v>6</v>
          </cell>
          <cell r="H312">
            <v>35</v>
          </cell>
          <cell r="I312">
            <v>29.5</v>
          </cell>
          <cell r="J312">
            <v>22</v>
          </cell>
          <cell r="K312">
            <v>10.72</v>
          </cell>
          <cell r="L312">
            <v>8.9333333333333334E-2</v>
          </cell>
          <cell r="M312">
            <v>2.2714999999999999E-2</v>
          </cell>
        </row>
        <row r="313">
          <cell r="A313">
            <v>433570</v>
          </cell>
          <cell r="B313">
            <v>3118224335703</v>
          </cell>
          <cell r="C313" t="str">
            <v>13118224335700</v>
          </cell>
          <cell r="D313" t="str">
            <v>23118224335707</v>
          </cell>
          <cell r="E313" t="str">
            <v>FOURCHETTE BAROQUE+GENCOD</v>
          </cell>
          <cell r="F313">
            <v>120</v>
          </cell>
          <cell r="G313">
            <v>6</v>
          </cell>
          <cell r="H313">
            <v>34</v>
          </cell>
          <cell r="I313">
            <v>25</v>
          </cell>
          <cell r="J313">
            <v>20</v>
          </cell>
          <cell r="K313">
            <v>10.6</v>
          </cell>
          <cell r="L313">
            <v>8.8333333333333333E-2</v>
          </cell>
          <cell r="M313">
            <v>1.7000000000000001E-2</v>
          </cell>
        </row>
        <row r="314">
          <cell r="A314">
            <v>433580</v>
          </cell>
          <cell r="B314">
            <v>3118224335802</v>
          </cell>
          <cell r="C314" t="str">
            <v>13118224335809</v>
          </cell>
          <cell r="D314" t="str">
            <v>23118224335806</v>
          </cell>
          <cell r="E314" t="str">
            <v>CUILLERE BAROQUE+GENCOD</v>
          </cell>
          <cell r="F314">
            <v>120</v>
          </cell>
          <cell r="G314">
            <v>6</v>
          </cell>
          <cell r="H314">
            <v>32.5</v>
          </cell>
          <cell r="I314">
            <v>25</v>
          </cell>
          <cell r="J314">
            <v>21.5</v>
          </cell>
          <cell r="K314">
            <v>11.48</v>
          </cell>
          <cell r="L314">
            <v>9.5666666666666664E-2</v>
          </cell>
          <cell r="M314">
            <v>1.7468749999999998E-2</v>
          </cell>
        </row>
        <row r="315">
          <cell r="A315">
            <v>433590</v>
          </cell>
          <cell r="B315">
            <v>3118224335901</v>
          </cell>
          <cell r="C315" t="str">
            <v>13118224335908</v>
          </cell>
          <cell r="D315" t="str">
            <v>23118224335905</v>
          </cell>
          <cell r="E315" t="str">
            <v>CAFE BAROQUE+GENCOD</v>
          </cell>
          <cell r="F315">
            <v>120</v>
          </cell>
          <cell r="G315">
            <v>6</v>
          </cell>
          <cell r="H315">
            <v>30</v>
          </cell>
          <cell r="I315">
            <v>23</v>
          </cell>
          <cell r="J315">
            <v>22</v>
          </cell>
          <cell r="K315">
            <v>6.52</v>
          </cell>
          <cell r="L315">
            <v>5.4333333333333331E-2</v>
          </cell>
          <cell r="M315">
            <v>1.5179999999999997E-2</v>
          </cell>
        </row>
        <row r="316">
          <cell r="A316">
            <v>433610</v>
          </cell>
          <cell r="B316">
            <v>3118224336106</v>
          </cell>
          <cell r="C316" t="str">
            <v>13118224336103</v>
          </cell>
          <cell r="D316" t="str">
            <v>23118224336100</v>
          </cell>
          <cell r="E316" t="str">
            <v>COUTEAU KOBE+GENCOD</v>
          </cell>
          <cell r="F316">
            <v>144</v>
          </cell>
          <cell r="G316">
            <v>6</v>
          </cell>
          <cell r="H316">
            <v>31.5</v>
          </cell>
          <cell r="I316">
            <v>19</v>
          </cell>
          <cell r="J316">
            <v>9.5</v>
          </cell>
          <cell r="K316">
            <v>9.6</v>
          </cell>
          <cell r="L316">
            <v>6.6666666666666666E-2</v>
          </cell>
          <cell r="M316">
            <v>5.6857500000000007E-3</v>
          </cell>
        </row>
        <row r="317">
          <cell r="A317">
            <v>433620</v>
          </cell>
          <cell r="B317">
            <v>3118224336205</v>
          </cell>
          <cell r="C317" t="str">
            <v>13118224336202</v>
          </cell>
          <cell r="D317" t="str">
            <v>23118224336209</v>
          </cell>
          <cell r="E317" t="str">
            <v>FOURCHETTE KOBE+GENCOD</v>
          </cell>
          <cell r="F317">
            <v>144</v>
          </cell>
          <cell r="G317">
            <v>6</v>
          </cell>
          <cell r="H317">
            <v>31.5</v>
          </cell>
          <cell r="I317">
            <v>19</v>
          </cell>
          <cell r="J317">
            <v>9.5</v>
          </cell>
          <cell r="K317">
            <v>9.3840000000000003</v>
          </cell>
          <cell r="L317">
            <v>6.5166666666666664E-2</v>
          </cell>
          <cell r="M317">
            <v>5.6857500000000007E-3</v>
          </cell>
        </row>
        <row r="318">
          <cell r="A318">
            <v>433630</v>
          </cell>
          <cell r="B318">
            <v>3118224336304</v>
          </cell>
          <cell r="C318" t="str">
            <v>13118224336301</v>
          </cell>
          <cell r="D318" t="str">
            <v>23118224336308</v>
          </cell>
          <cell r="E318" t="str">
            <v>CUILLERE KOBE+GENCOD</v>
          </cell>
          <cell r="F318">
            <v>144</v>
          </cell>
          <cell r="G318">
            <v>6</v>
          </cell>
          <cell r="H318">
            <v>31.5</v>
          </cell>
          <cell r="I318">
            <v>29</v>
          </cell>
          <cell r="J318">
            <v>13.5</v>
          </cell>
          <cell r="K318">
            <v>10.39</v>
          </cell>
          <cell r="L318">
            <v>7.2152777777777788E-2</v>
          </cell>
          <cell r="M318">
            <v>1.2332249999999999E-2</v>
          </cell>
        </row>
        <row r="319">
          <cell r="A319">
            <v>433640</v>
          </cell>
          <cell r="B319">
            <v>3118224336403</v>
          </cell>
          <cell r="C319" t="str">
            <v>13118224336400</v>
          </cell>
          <cell r="D319" t="str">
            <v>23118224336407</v>
          </cell>
          <cell r="E319" t="str">
            <v>CAFE KOBE+GENCOD</v>
          </cell>
          <cell r="F319">
            <v>144</v>
          </cell>
          <cell r="G319">
            <v>6</v>
          </cell>
          <cell r="H319">
            <v>36.5</v>
          </cell>
          <cell r="I319">
            <v>18</v>
          </cell>
          <cell r="J319">
            <v>18</v>
          </cell>
          <cell r="K319">
            <v>5.8319999999999999</v>
          </cell>
          <cell r="L319">
            <v>4.0500000000000001E-2</v>
          </cell>
          <cell r="M319">
            <v>1.1826000000000001E-2</v>
          </cell>
        </row>
        <row r="320">
          <cell r="A320">
            <v>433650</v>
          </cell>
          <cell r="B320">
            <v>3118224336502</v>
          </cell>
          <cell r="E320" t="str">
            <v>M24 KOBE BOITE LISA</v>
          </cell>
          <cell r="F320">
            <v>6</v>
          </cell>
          <cell r="G320">
            <v>6</v>
          </cell>
          <cell r="H320">
            <v>29.5</v>
          </cell>
          <cell r="I320">
            <v>24</v>
          </cell>
          <cell r="J320">
            <v>31</v>
          </cell>
          <cell r="K320">
            <v>0.18</v>
          </cell>
          <cell r="L320">
            <v>0.03</v>
          </cell>
          <cell r="M320">
            <v>2.1947999999999999E-2</v>
          </cell>
        </row>
        <row r="321">
          <cell r="A321">
            <v>433651</v>
          </cell>
          <cell r="B321">
            <v>3118224336519</v>
          </cell>
          <cell r="C321" t="str">
            <v>13118224336516</v>
          </cell>
          <cell r="D321" t="str">
            <v>23118224336513</v>
          </cell>
          <cell r="E321" t="str">
            <v>M16 KOBE BOITE COLLECTION INOX</v>
          </cell>
          <cell r="F321">
            <v>3</v>
          </cell>
          <cell r="G321">
            <v>3</v>
          </cell>
          <cell r="H321">
            <v>23.5</v>
          </cell>
          <cell r="I321">
            <v>26.5</v>
          </cell>
          <cell r="J321">
            <v>29.5</v>
          </cell>
          <cell r="K321">
            <v>3.3010000000000002</v>
          </cell>
          <cell r="L321">
            <v>1.1003333333333334</v>
          </cell>
          <cell r="M321">
            <v>1.8371124999999999E-2</v>
          </cell>
        </row>
        <row r="322">
          <cell r="A322">
            <v>433660</v>
          </cell>
          <cell r="B322">
            <v>3118224336601</v>
          </cell>
          <cell r="E322" t="str">
            <v>COUTEAU ALIZE+GENCOD</v>
          </cell>
          <cell r="F322">
            <v>240</v>
          </cell>
          <cell r="G322">
            <v>6</v>
          </cell>
          <cell r="H322">
            <v>31.5</v>
          </cell>
          <cell r="I322">
            <v>29</v>
          </cell>
          <cell r="J322">
            <v>13.5</v>
          </cell>
          <cell r="K322">
            <v>18.48</v>
          </cell>
          <cell r="L322">
            <v>7.6999999999999999E-2</v>
          </cell>
          <cell r="M322">
            <v>1.2332249999999999E-2</v>
          </cell>
        </row>
        <row r="323">
          <cell r="A323">
            <v>433670</v>
          </cell>
          <cell r="B323">
            <v>3118224336700</v>
          </cell>
          <cell r="E323" t="str">
            <v>FOURCHETTE ALIZE+GENCOD</v>
          </cell>
          <cell r="F323">
            <v>240</v>
          </cell>
          <cell r="G323">
            <v>6</v>
          </cell>
          <cell r="H323">
            <v>31.5</v>
          </cell>
          <cell r="I323">
            <v>29</v>
          </cell>
          <cell r="J323">
            <v>13.5</v>
          </cell>
          <cell r="K323">
            <v>19.920000000000002</v>
          </cell>
          <cell r="L323">
            <v>8.3000000000000004E-2</v>
          </cell>
          <cell r="M323">
            <v>1.2332249999999999E-2</v>
          </cell>
        </row>
        <row r="324">
          <cell r="A324">
            <v>433680</v>
          </cell>
          <cell r="B324">
            <v>3118224336809</v>
          </cell>
          <cell r="E324" t="str">
            <v>CUILLERE ALIZE+GENCOD</v>
          </cell>
          <cell r="F324">
            <v>240</v>
          </cell>
          <cell r="G324">
            <v>6</v>
          </cell>
          <cell r="H324">
            <v>31.5</v>
          </cell>
          <cell r="I324">
            <v>29</v>
          </cell>
          <cell r="J324">
            <v>13.5</v>
          </cell>
          <cell r="K324">
            <v>19.39</v>
          </cell>
          <cell r="L324">
            <v>8.0791666666666664E-2</v>
          </cell>
          <cell r="M324">
            <v>1.2332249999999999E-2</v>
          </cell>
        </row>
        <row r="325">
          <cell r="A325">
            <v>433690</v>
          </cell>
          <cell r="B325">
            <v>3118224336908</v>
          </cell>
          <cell r="E325" t="str">
            <v>CAFE ALIZE+GENCOD</v>
          </cell>
          <cell r="F325">
            <v>240</v>
          </cell>
          <cell r="G325">
            <v>6</v>
          </cell>
          <cell r="H325">
            <v>31.5</v>
          </cell>
          <cell r="I325">
            <v>19</v>
          </cell>
          <cell r="J325">
            <v>13.5</v>
          </cell>
          <cell r="K325">
            <v>15.16</v>
          </cell>
          <cell r="L325">
            <v>6.3166666666666663E-2</v>
          </cell>
          <cell r="M325">
            <v>8.0797500000000001E-3</v>
          </cell>
        </row>
        <row r="326">
          <cell r="A326">
            <v>433710</v>
          </cell>
          <cell r="B326">
            <v>3118224337103</v>
          </cell>
          <cell r="C326" t="str">
            <v>13118224337100</v>
          </cell>
          <cell r="D326" t="str">
            <v>23118224337107</v>
          </cell>
          <cell r="E326" t="str">
            <v>COUTEAU SELECT+GENCOD</v>
          </cell>
          <cell r="F326">
            <v>120</v>
          </cell>
          <cell r="G326">
            <v>6</v>
          </cell>
          <cell r="H326">
            <v>29</v>
          </cell>
          <cell r="I326">
            <v>28</v>
          </cell>
          <cell r="J326">
            <v>23</v>
          </cell>
          <cell r="K326">
            <v>11.4</v>
          </cell>
          <cell r="L326">
            <v>9.5000000000000001E-2</v>
          </cell>
          <cell r="M326">
            <v>1.8675999999999998E-2</v>
          </cell>
        </row>
        <row r="327">
          <cell r="A327">
            <v>433720</v>
          </cell>
          <cell r="B327">
            <v>3118224337202</v>
          </cell>
          <cell r="C327" t="str">
            <v>13118224337209</v>
          </cell>
          <cell r="D327" t="str">
            <v>23118224337206</v>
          </cell>
          <cell r="E327" t="str">
            <v>FOURCHETTE SELECT+GENCOD</v>
          </cell>
          <cell r="F327">
            <v>240</v>
          </cell>
          <cell r="G327">
            <v>6</v>
          </cell>
          <cell r="H327">
            <v>45</v>
          </cell>
          <cell r="I327">
            <v>25</v>
          </cell>
          <cell r="J327">
            <v>18.5</v>
          </cell>
          <cell r="K327">
            <v>20.399999999999999</v>
          </cell>
          <cell r="L327">
            <v>8.4999999999999992E-2</v>
          </cell>
          <cell r="M327">
            <v>2.0812500000000001E-2</v>
          </cell>
        </row>
        <row r="328">
          <cell r="A328">
            <v>433730</v>
          </cell>
          <cell r="B328">
            <v>3118224337301</v>
          </cell>
          <cell r="C328" t="str">
            <v>13118224337308</v>
          </cell>
          <cell r="D328" t="str">
            <v>23118224337305</v>
          </cell>
          <cell r="E328" t="str">
            <v>CUILLERE SELECT+GENCOD</v>
          </cell>
          <cell r="F328">
            <v>240</v>
          </cell>
          <cell r="G328">
            <v>6</v>
          </cell>
          <cell r="H328">
            <v>48</v>
          </cell>
          <cell r="I328">
            <v>23</v>
          </cell>
          <cell r="J328">
            <v>19</v>
          </cell>
          <cell r="K328">
            <v>25.32</v>
          </cell>
          <cell r="L328">
            <v>0.1055</v>
          </cell>
          <cell r="M328">
            <v>2.0975999999999998E-2</v>
          </cell>
        </row>
        <row r="329">
          <cell r="A329">
            <v>433740</v>
          </cell>
          <cell r="B329">
            <v>3118224337400</v>
          </cell>
          <cell r="C329" t="str">
            <v>13118224337407</v>
          </cell>
          <cell r="D329" t="str">
            <v>23118224337404</v>
          </cell>
          <cell r="E329" t="str">
            <v>CAFE SELECT+GENCOD</v>
          </cell>
          <cell r="F329">
            <v>240</v>
          </cell>
          <cell r="G329">
            <v>6</v>
          </cell>
          <cell r="H329">
            <v>36</v>
          </cell>
          <cell r="I329">
            <v>18</v>
          </cell>
          <cell r="J329">
            <v>23.5</v>
          </cell>
          <cell r="K329">
            <v>10.92</v>
          </cell>
          <cell r="L329">
            <v>4.5499999999999999E-2</v>
          </cell>
          <cell r="M329">
            <v>1.5227999999999998E-2</v>
          </cell>
        </row>
        <row r="330">
          <cell r="A330">
            <v>433810</v>
          </cell>
          <cell r="B330">
            <v>3118224338100</v>
          </cell>
          <cell r="E330" t="str">
            <v>COUTEAU SAN REMO+GENCOD</v>
          </cell>
          <cell r="F330">
            <v>120</v>
          </cell>
          <cell r="G330">
            <v>12</v>
          </cell>
          <cell r="H330">
            <v>28</v>
          </cell>
          <cell r="I330">
            <v>28</v>
          </cell>
          <cell r="J330">
            <v>16.5</v>
          </cell>
          <cell r="K330">
            <v>11.28</v>
          </cell>
          <cell r="L330">
            <v>9.4E-2</v>
          </cell>
          <cell r="M330">
            <v>1.2936000000000001E-2</v>
          </cell>
        </row>
        <row r="331">
          <cell r="A331">
            <v>433820</v>
          </cell>
          <cell r="B331">
            <v>3118224338209</v>
          </cell>
          <cell r="E331" t="str">
            <v>FETTE SAN REMO+GENCOD</v>
          </cell>
          <cell r="F331">
            <v>240</v>
          </cell>
          <cell r="G331">
            <v>12</v>
          </cell>
          <cell r="H331">
            <v>29</v>
          </cell>
          <cell r="I331">
            <v>25.5</v>
          </cell>
          <cell r="J331">
            <v>25</v>
          </cell>
          <cell r="K331">
            <v>18.515999999999998</v>
          </cell>
          <cell r="L331">
            <v>7.7149999999999996E-2</v>
          </cell>
          <cell r="M331">
            <v>1.84875E-2</v>
          </cell>
        </row>
        <row r="332">
          <cell r="A332">
            <v>433830</v>
          </cell>
          <cell r="B332">
            <v>3118224338308</v>
          </cell>
          <cell r="E332" t="str">
            <v>CUILLERE SAN REMO+GENCOD</v>
          </cell>
          <cell r="F332">
            <v>240</v>
          </cell>
          <cell r="G332">
            <v>12</v>
          </cell>
          <cell r="H332">
            <v>28</v>
          </cell>
          <cell r="I332">
            <v>25.5</v>
          </cell>
          <cell r="J332">
            <v>21</v>
          </cell>
          <cell r="K332">
            <v>20.797999999999998</v>
          </cell>
          <cell r="L332">
            <v>8.6658333333333323E-2</v>
          </cell>
          <cell r="M332">
            <v>1.4994E-2</v>
          </cell>
        </row>
        <row r="333">
          <cell r="A333">
            <v>433840</v>
          </cell>
          <cell r="B333">
            <v>3118224338407</v>
          </cell>
          <cell r="E333" t="str">
            <v>CAFE SAN REMO+GENCOD</v>
          </cell>
          <cell r="F333">
            <v>240</v>
          </cell>
          <cell r="G333">
            <v>12</v>
          </cell>
          <cell r="H333">
            <v>28</v>
          </cell>
          <cell r="I333">
            <v>18</v>
          </cell>
          <cell r="J333">
            <v>17.5</v>
          </cell>
          <cell r="K333">
            <v>11.28</v>
          </cell>
          <cell r="L333">
            <v>4.7E-2</v>
          </cell>
          <cell r="M333">
            <v>8.8200000000000014E-3</v>
          </cell>
        </row>
        <row r="334">
          <cell r="A334">
            <v>433860</v>
          </cell>
          <cell r="B334">
            <v>3118224338605</v>
          </cell>
          <cell r="C334" t="str">
            <v>13118224338602</v>
          </cell>
          <cell r="D334" t="str">
            <v>23118224338609</v>
          </cell>
          <cell r="E334" t="str">
            <v>COUTEAU KOS(TOSCANE SATINE)+GENC</v>
          </cell>
          <cell r="F334">
            <v>144</v>
          </cell>
          <cell r="G334">
            <v>12</v>
          </cell>
          <cell r="H334">
            <v>27</v>
          </cell>
          <cell r="I334">
            <v>24.5</v>
          </cell>
          <cell r="J334">
            <v>19.5</v>
          </cell>
          <cell r="K334">
            <v>10.44</v>
          </cell>
          <cell r="L334">
            <v>7.2499999999999995E-2</v>
          </cell>
          <cell r="M334">
            <v>1.2899249999999999E-2</v>
          </cell>
        </row>
        <row r="335">
          <cell r="A335">
            <v>433870</v>
          </cell>
          <cell r="B335">
            <v>3118224338704</v>
          </cell>
          <cell r="C335" t="str">
            <v>13118224338701</v>
          </cell>
          <cell r="D335" t="str">
            <v>23118224338708</v>
          </cell>
          <cell r="E335" t="str">
            <v>FETTE KOS(TOSCANE SATINE)+GENC</v>
          </cell>
          <cell r="F335">
            <v>144</v>
          </cell>
          <cell r="G335">
            <v>12</v>
          </cell>
          <cell r="H335">
            <v>25</v>
          </cell>
          <cell r="I335">
            <v>23.5</v>
          </cell>
          <cell r="J335">
            <v>16.5</v>
          </cell>
          <cell r="K335">
            <v>8.4960000000000004</v>
          </cell>
          <cell r="L335">
            <v>5.9000000000000004E-2</v>
          </cell>
          <cell r="M335">
            <v>9.6937499999999992E-3</v>
          </cell>
        </row>
        <row r="336">
          <cell r="A336">
            <v>433880</v>
          </cell>
          <cell r="B336">
            <v>3118224338803</v>
          </cell>
          <cell r="C336" t="str">
            <v>13118224338800</v>
          </cell>
          <cell r="D336" t="str">
            <v>23118224338807</v>
          </cell>
          <cell r="E336" t="str">
            <v>CUIL KOS(TOSCANE SATINE)+GENC</v>
          </cell>
          <cell r="F336">
            <v>144</v>
          </cell>
          <cell r="G336">
            <v>12</v>
          </cell>
          <cell r="H336">
            <v>25</v>
          </cell>
          <cell r="I336">
            <v>22.5</v>
          </cell>
          <cell r="J336">
            <v>18</v>
          </cell>
          <cell r="K336">
            <v>10.656000000000001</v>
          </cell>
          <cell r="L336">
            <v>7.400000000000001E-2</v>
          </cell>
          <cell r="M336">
            <v>1.0125E-2</v>
          </cell>
        </row>
        <row r="337">
          <cell r="A337">
            <v>433890</v>
          </cell>
          <cell r="B337">
            <v>3118224338902</v>
          </cell>
          <cell r="C337" t="str">
            <v>13118224338909</v>
          </cell>
          <cell r="D337" t="str">
            <v>23118224338906</v>
          </cell>
          <cell r="E337" t="str">
            <v>CAFE KOS(TOSCANE SATINE)+GENC</v>
          </cell>
          <cell r="F337">
            <v>144</v>
          </cell>
          <cell r="G337">
            <v>12</v>
          </cell>
          <cell r="H337">
            <v>21.5</v>
          </cell>
          <cell r="I337">
            <v>20</v>
          </cell>
          <cell r="J337">
            <v>17</v>
          </cell>
          <cell r="K337">
            <v>4.0019999999999998</v>
          </cell>
          <cell r="L337">
            <v>2.7791666666666666E-2</v>
          </cell>
          <cell r="M337">
            <v>7.3099999999999997E-3</v>
          </cell>
        </row>
        <row r="338">
          <cell r="A338">
            <v>434511</v>
          </cell>
          <cell r="B338">
            <v>3118224345115</v>
          </cell>
          <cell r="E338" t="str">
            <v>BLOC 6 CX LAG ABS MI MULTICOLOR CLAIR</v>
          </cell>
          <cell r="F338">
            <v>6</v>
          </cell>
          <cell r="G338">
            <v>6</v>
          </cell>
          <cell r="H338">
            <v>20.5</v>
          </cell>
          <cell r="I338">
            <v>14.5</v>
          </cell>
          <cell r="J338">
            <v>28</v>
          </cell>
          <cell r="K338">
            <v>2.4239999999999999</v>
          </cell>
          <cell r="L338">
            <v>0.40399999999999997</v>
          </cell>
          <cell r="M338">
            <v>8.3229999999999988E-3</v>
          </cell>
        </row>
        <row r="339">
          <cell r="A339">
            <v>434910</v>
          </cell>
          <cell r="B339">
            <v>3222473119455</v>
          </cell>
          <cell r="E339" t="str">
            <v>BLOC 5 CX BI-MAT CASINO</v>
          </cell>
          <cell r="F339">
            <v>12</v>
          </cell>
          <cell r="G339">
            <v>2</v>
          </cell>
          <cell r="H339">
            <v>40</v>
          </cell>
          <cell r="I339">
            <v>30</v>
          </cell>
          <cell r="J339">
            <v>39</v>
          </cell>
          <cell r="K339">
            <v>17.3</v>
          </cell>
          <cell r="L339">
            <v>1.4416666666666667</v>
          </cell>
          <cell r="M339">
            <v>4.6799999999999994E-2</v>
          </cell>
        </row>
        <row r="340">
          <cell r="A340">
            <v>435300</v>
          </cell>
          <cell r="B340">
            <v>3118224353004</v>
          </cell>
          <cell r="E340" t="str">
            <v>FOURCHETTE OSLO+GENCOD</v>
          </cell>
          <cell r="F340">
            <v>240</v>
          </cell>
          <cell r="G340">
            <v>12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</row>
        <row r="341">
          <cell r="A341">
            <v>435361</v>
          </cell>
          <cell r="B341">
            <v>3118224353615</v>
          </cell>
          <cell r="E341" t="str">
            <v>COUTEAU BOLERO IVOIRE+GENCOD</v>
          </cell>
          <cell r="F341">
            <v>240</v>
          </cell>
          <cell r="G341">
            <v>6</v>
          </cell>
          <cell r="H341">
            <v>40</v>
          </cell>
          <cell r="I341">
            <v>30</v>
          </cell>
          <cell r="J341">
            <v>20</v>
          </cell>
          <cell r="K341">
            <v>9.0329999999999995</v>
          </cell>
          <cell r="L341">
            <v>3.7637499999999997E-2</v>
          </cell>
          <cell r="M341">
            <v>2.4E-2</v>
          </cell>
        </row>
        <row r="342">
          <cell r="A342">
            <v>435363</v>
          </cell>
          <cell r="B342">
            <v>3118224353639</v>
          </cell>
          <cell r="E342" t="str">
            <v>COUTEAU BOLERO ARDOISE+GENCOD</v>
          </cell>
          <cell r="F342">
            <v>240</v>
          </cell>
          <cell r="G342">
            <v>6</v>
          </cell>
          <cell r="H342">
            <v>40</v>
          </cell>
          <cell r="I342">
            <v>30</v>
          </cell>
          <cell r="J342">
            <v>20</v>
          </cell>
          <cell r="K342">
            <v>9.0329999999999995</v>
          </cell>
          <cell r="L342">
            <v>3.7637499999999997E-2</v>
          </cell>
          <cell r="M342">
            <v>2.4E-2</v>
          </cell>
        </row>
        <row r="343">
          <cell r="A343">
            <v>435371</v>
          </cell>
          <cell r="B343">
            <v>3118224353714</v>
          </cell>
          <cell r="E343" t="str">
            <v>FOURCHETTE BOLERO IVOIRE+GENCOD</v>
          </cell>
          <cell r="F343">
            <v>240</v>
          </cell>
          <cell r="G343">
            <v>6</v>
          </cell>
          <cell r="H343">
            <v>36</v>
          </cell>
          <cell r="I343">
            <v>24</v>
          </cell>
          <cell r="J343">
            <v>32</v>
          </cell>
          <cell r="K343">
            <v>9.67</v>
          </cell>
          <cell r="L343">
            <v>4.0291666666666663E-2</v>
          </cell>
          <cell r="M343">
            <v>2.7648000000000002E-2</v>
          </cell>
        </row>
        <row r="344">
          <cell r="A344">
            <v>435373</v>
          </cell>
          <cell r="B344">
            <v>3118224353738</v>
          </cell>
          <cell r="E344" t="str">
            <v>FOURCHETTE BOLERO ARDOISE+GENCOD</v>
          </cell>
          <cell r="F344">
            <v>240</v>
          </cell>
          <cell r="G344">
            <v>6</v>
          </cell>
          <cell r="H344">
            <v>36</v>
          </cell>
          <cell r="I344">
            <v>24</v>
          </cell>
          <cell r="J344">
            <v>32</v>
          </cell>
          <cell r="K344">
            <v>9.67</v>
          </cell>
          <cell r="L344">
            <v>4.0291666666666663E-2</v>
          </cell>
          <cell r="M344">
            <v>2.7648000000000002E-2</v>
          </cell>
        </row>
        <row r="345">
          <cell r="A345">
            <v>435381</v>
          </cell>
          <cell r="B345">
            <v>3118224353813</v>
          </cell>
          <cell r="E345" t="str">
            <v>CUILLERE BOLERO IVOIRE+GENCOD</v>
          </cell>
          <cell r="F345">
            <v>240</v>
          </cell>
          <cell r="G345">
            <v>6</v>
          </cell>
          <cell r="H345">
            <v>35</v>
          </cell>
          <cell r="I345">
            <v>26</v>
          </cell>
          <cell r="J345">
            <v>32</v>
          </cell>
          <cell r="K345">
            <v>10.24</v>
          </cell>
          <cell r="L345">
            <v>4.2666666666666665E-2</v>
          </cell>
          <cell r="M345">
            <v>2.912E-2</v>
          </cell>
        </row>
        <row r="346">
          <cell r="A346">
            <v>435383</v>
          </cell>
          <cell r="B346">
            <v>3118224353837</v>
          </cell>
          <cell r="E346" t="str">
            <v>CUILLERE BOLERO ARDOISE+GENCOD</v>
          </cell>
          <cell r="F346">
            <v>240</v>
          </cell>
          <cell r="G346">
            <v>6</v>
          </cell>
          <cell r="H346">
            <v>35</v>
          </cell>
          <cell r="I346">
            <v>26</v>
          </cell>
          <cell r="J346">
            <v>32</v>
          </cell>
          <cell r="K346">
            <v>10.24</v>
          </cell>
          <cell r="L346">
            <v>4.2666666666666665E-2</v>
          </cell>
          <cell r="M346">
            <v>2.912E-2</v>
          </cell>
        </row>
        <row r="347">
          <cell r="A347">
            <v>435391</v>
          </cell>
          <cell r="B347">
            <v>3118224353912</v>
          </cell>
          <cell r="E347" t="str">
            <v>CAFE BOLERO IVOIRE+GENCOD</v>
          </cell>
          <cell r="F347">
            <v>240</v>
          </cell>
          <cell r="G347">
            <v>6</v>
          </cell>
          <cell r="H347">
            <v>31</v>
          </cell>
          <cell r="I347">
            <v>17.5</v>
          </cell>
          <cell r="J347">
            <v>26</v>
          </cell>
          <cell r="K347">
            <v>6.8959999999999999</v>
          </cell>
          <cell r="L347">
            <v>2.8733333333333333E-2</v>
          </cell>
          <cell r="M347">
            <v>1.4105000000000001E-2</v>
          </cell>
        </row>
        <row r="348">
          <cell r="A348">
            <v>435393</v>
          </cell>
          <cell r="B348">
            <v>3118224353936</v>
          </cell>
          <cell r="E348" t="str">
            <v>CAFE BOLERO ARDOISE+GENCOD</v>
          </cell>
          <cell r="F348">
            <v>240</v>
          </cell>
          <cell r="G348">
            <v>6</v>
          </cell>
          <cell r="H348">
            <v>31</v>
          </cell>
          <cell r="I348">
            <v>17.5</v>
          </cell>
          <cell r="J348">
            <v>26</v>
          </cell>
          <cell r="K348">
            <v>6.8959999999999999</v>
          </cell>
          <cell r="L348">
            <v>2.8733333333333333E-2</v>
          </cell>
          <cell r="M348">
            <v>1.4105000000000001E-2</v>
          </cell>
        </row>
        <row r="349">
          <cell r="A349">
            <v>435660</v>
          </cell>
          <cell r="B349">
            <v>3118224356609</v>
          </cell>
          <cell r="E349" t="str">
            <v>CUISINE 17 FORGE OLIVIER EN BERLINGOT</v>
          </cell>
          <cell r="F349">
            <v>6</v>
          </cell>
          <cell r="G349">
            <v>6</v>
          </cell>
          <cell r="H349">
            <v>43</v>
          </cell>
          <cell r="I349">
            <v>16.5</v>
          </cell>
          <cell r="J349">
            <v>10.7</v>
          </cell>
          <cell r="K349">
            <v>1.216</v>
          </cell>
          <cell r="L349">
            <v>0.20266666666666666</v>
          </cell>
          <cell r="M349">
            <v>7.5916500000000001E-3</v>
          </cell>
        </row>
        <row r="350">
          <cell r="A350">
            <v>435730</v>
          </cell>
          <cell r="B350">
            <v>3118224357309</v>
          </cell>
          <cell r="E350" t="str">
            <v>CUISINE 17 SENSIO+BTE DETAILLANT TB CLASSIC</v>
          </cell>
          <cell r="F350">
            <v>6</v>
          </cell>
          <cell r="G350">
            <v>6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</row>
        <row r="351">
          <cell r="A351">
            <v>435740</v>
          </cell>
          <cell r="B351">
            <v>3118224357408</v>
          </cell>
          <cell r="E351" t="str">
            <v>STEAK SENSIO+BTE DETAILLANT TB CLASSIC</v>
          </cell>
          <cell r="F351">
            <v>6</v>
          </cell>
          <cell r="G351">
            <v>6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</row>
        <row r="352">
          <cell r="A352">
            <v>436061</v>
          </cell>
          <cell r="B352">
            <v>3118224360613</v>
          </cell>
          <cell r="E352" t="str">
            <v>BOULANGER SEDUCTION BERLINGOT</v>
          </cell>
          <cell r="F352">
            <v>75</v>
          </cell>
          <cell r="G352">
            <v>75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</row>
        <row r="353">
          <cell r="A353">
            <v>436070</v>
          </cell>
          <cell r="B353">
            <v>3118224360705</v>
          </cell>
          <cell r="E353" t="str">
            <v>SANTUKO SEDUCTION BTE</v>
          </cell>
          <cell r="F353">
            <v>6</v>
          </cell>
          <cell r="G353">
            <v>6</v>
          </cell>
          <cell r="H353">
            <v>43.5</v>
          </cell>
          <cell r="I353">
            <v>16.600000000000001</v>
          </cell>
          <cell r="J353">
            <v>11.2</v>
          </cell>
          <cell r="K353">
            <v>2.16</v>
          </cell>
          <cell r="L353">
            <v>0.36000000000000004</v>
          </cell>
          <cell r="M353">
            <v>8.0875200000000008E-3</v>
          </cell>
        </row>
        <row r="354">
          <cell r="A354">
            <v>436170</v>
          </cell>
          <cell r="B354">
            <v>3118224361702</v>
          </cell>
          <cell r="E354" t="str">
            <v>PAIN BAMBOO STICK FX CDF</v>
          </cell>
          <cell r="F354">
            <v>42</v>
          </cell>
          <cell r="G354">
            <v>6</v>
          </cell>
          <cell r="H354">
            <v>40</v>
          </cell>
          <cell r="I354">
            <v>30</v>
          </cell>
          <cell r="J354">
            <v>20</v>
          </cell>
          <cell r="K354">
            <v>6.15</v>
          </cell>
          <cell r="L354">
            <v>0.14642857142857144</v>
          </cell>
          <cell r="M354">
            <v>2.4E-2</v>
          </cell>
        </row>
        <row r="355">
          <cell r="A355">
            <v>436240</v>
          </cell>
          <cell r="B355">
            <v>3118224362402</v>
          </cell>
          <cell r="E355" t="str">
            <v>OFFICE 9 TRANSITION FX COUTEAU DU CHEF</v>
          </cell>
          <cell r="F355">
            <v>150</v>
          </cell>
          <cell r="G355">
            <v>3</v>
          </cell>
          <cell r="H355">
            <v>40</v>
          </cell>
          <cell r="I355">
            <v>30</v>
          </cell>
          <cell r="J355">
            <v>20</v>
          </cell>
          <cell r="K355">
            <v>16.707999999999998</v>
          </cell>
          <cell r="L355">
            <v>0.11138666666666666</v>
          </cell>
          <cell r="M355">
            <v>2.4E-2</v>
          </cell>
        </row>
        <row r="356">
          <cell r="A356">
            <v>436250</v>
          </cell>
          <cell r="B356">
            <v>3118224362501</v>
          </cell>
          <cell r="E356" t="str">
            <v>STEAK 12 TRANSITION FX COUTEAU DU CHEF</v>
          </cell>
          <cell r="F356">
            <v>150</v>
          </cell>
          <cell r="G356">
            <v>3</v>
          </cell>
          <cell r="H356">
            <v>40</v>
          </cell>
          <cell r="I356">
            <v>30</v>
          </cell>
          <cell r="J356">
            <v>20</v>
          </cell>
          <cell r="K356">
            <v>16.5</v>
          </cell>
          <cell r="L356">
            <v>0.11</v>
          </cell>
          <cell r="M356">
            <v>2.4E-2</v>
          </cell>
        </row>
        <row r="357">
          <cell r="A357">
            <v>436260</v>
          </cell>
          <cell r="B357">
            <v>3118224362600</v>
          </cell>
          <cell r="E357" t="str">
            <v>PAIN TRANSITION FX COUTEAU DU CHEF</v>
          </cell>
          <cell r="F357">
            <v>72</v>
          </cell>
          <cell r="G357">
            <v>3</v>
          </cell>
          <cell r="H357">
            <v>44</v>
          </cell>
          <cell r="I357">
            <v>28.5</v>
          </cell>
          <cell r="J357">
            <v>29</v>
          </cell>
          <cell r="K357">
            <v>17.789000000000001</v>
          </cell>
          <cell r="L357">
            <v>0.24706944444444445</v>
          </cell>
          <cell r="M357">
            <v>3.6366000000000002E-2</v>
          </cell>
        </row>
        <row r="358">
          <cell r="A358">
            <v>436280</v>
          </cell>
          <cell r="B358">
            <v>3118224362808</v>
          </cell>
          <cell r="E358" t="str">
            <v>SANTUKO 17 TRANSITION FX COUTEAU DU CHEF</v>
          </cell>
          <cell r="F358">
            <v>54</v>
          </cell>
          <cell r="G358">
            <v>3</v>
          </cell>
          <cell r="H358">
            <v>40</v>
          </cell>
          <cell r="I358">
            <v>30</v>
          </cell>
          <cell r="J358">
            <v>20</v>
          </cell>
          <cell r="K358">
            <v>13.427</v>
          </cell>
          <cell r="L358">
            <v>0.24864814814814815</v>
          </cell>
          <cell r="M358">
            <v>2.4E-2</v>
          </cell>
        </row>
        <row r="359">
          <cell r="A359">
            <v>436420</v>
          </cell>
          <cell r="B359">
            <v>3118224364208</v>
          </cell>
          <cell r="E359" t="str">
            <v>LAG FERMANT 12CM CORNE+BTE DETAILLANT</v>
          </cell>
          <cell r="F359">
            <v>12</v>
          </cell>
          <cell r="G359">
            <v>12</v>
          </cell>
          <cell r="H359">
            <v>29</v>
          </cell>
          <cell r="I359">
            <v>23.5</v>
          </cell>
          <cell r="J359">
            <v>9</v>
          </cell>
          <cell r="K359">
            <v>1.63</v>
          </cell>
          <cell r="L359">
            <v>0.13583333333333333</v>
          </cell>
          <cell r="M359">
            <v>6.1334999999999983E-3</v>
          </cell>
        </row>
        <row r="360">
          <cell r="A360">
            <v>436490</v>
          </cell>
          <cell r="B360">
            <v>3118224364901</v>
          </cell>
          <cell r="E360" t="str">
            <v>OFFICE FORGE+BTE GRISE+STICKER</v>
          </cell>
          <cell r="F360">
            <v>6</v>
          </cell>
          <cell r="G360">
            <v>6</v>
          </cell>
          <cell r="H360">
            <v>29</v>
          </cell>
          <cell r="I360">
            <v>23.5</v>
          </cell>
          <cell r="J360">
            <v>9</v>
          </cell>
          <cell r="K360">
            <v>1.1200000000000001</v>
          </cell>
          <cell r="L360">
            <v>0.18666666666666668</v>
          </cell>
          <cell r="M360">
            <v>6.1334999999999983E-3</v>
          </cell>
        </row>
        <row r="361">
          <cell r="A361">
            <v>436510</v>
          </cell>
          <cell r="B361">
            <v>3118224365106</v>
          </cell>
          <cell r="E361" t="str">
            <v>CUISINE17 FORGE EN BOITE BENTO+STICKER</v>
          </cell>
          <cell r="F361">
            <v>6</v>
          </cell>
          <cell r="G361">
            <v>6</v>
          </cell>
          <cell r="H361">
            <v>39</v>
          </cell>
          <cell r="I361">
            <v>19</v>
          </cell>
          <cell r="J361">
            <v>11</v>
          </cell>
          <cell r="K361">
            <v>3.0110000000000001</v>
          </cell>
          <cell r="L361">
            <v>0.50183333333333335</v>
          </cell>
          <cell r="M361">
            <v>8.1509999999999985E-3</v>
          </cell>
        </row>
        <row r="362">
          <cell r="A362">
            <v>436520</v>
          </cell>
          <cell r="B362">
            <v>3118224365205</v>
          </cell>
          <cell r="E362" t="str">
            <v>CHEF 19 FORGE EN BOITE BENTO+STICKER</v>
          </cell>
          <cell r="F362">
            <v>6</v>
          </cell>
          <cell r="G362">
            <v>6</v>
          </cell>
          <cell r="H362">
            <v>60</v>
          </cell>
          <cell r="I362">
            <v>39.700000000000003</v>
          </cell>
          <cell r="J362">
            <v>20</v>
          </cell>
          <cell r="K362">
            <v>1.38</v>
          </cell>
          <cell r="L362">
            <v>0.22999999999999998</v>
          </cell>
          <cell r="M362">
            <v>4.7640000000000002E-2</v>
          </cell>
        </row>
        <row r="363">
          <cell r="A363">
            <v>436530</v>
          </cell>
          <cell r="B363">
            <v>3118224365304</v>
          </cell>
          <cell r="E363" t="str">
            <v>BOUCHER FORGE EN BOITE BENTO+STICKER</v>
          </cell>
          <cell r="F363">
            <v>6</v>
          </cell>
          <cell r="G363">
            <v>6</v>
          </cell>
          <cell r="H363">
            <v>38.5</v>
          </cell>
          <cell r="I363">
            <v>19</v>
          </cell>
          <cell r="J363">
            <v>11</v>
          </cell>
          <cell r="K363">
            <v>3.19</v>
          </cell>
          <cell r="L363">
            <v>0.53166666666666662</v>
          </cell>
          <cell r="M363">
            <v>8.0465000000000016E-3</v>
          </cell>
        </row>
        <row r="364">
          <cell r="A364">
            <v>436540</v>
          </cell>
          <cell r="B364">
            <v>3118224365403</v>
          </cell>
          <cell r="E364" t="str">
            <v>PAIN FORGE EN BOITE BENTO+STICKER</v>
          </cell>
          <cell r="F364">
            <v>6</v>
          </cell>
          <cell r="G364">
            <v>6</v>
          </cell>
          <cell r="H364">
            <v>43.5</v>
          </cell>
          <cell r="I364">
            <v>16.5</v>
          </cell>
          <cell r="J364">
            <v>10.5</v>
          </cell>
          <cell r="K364">
            <v>1.44</v>
          </cell>
          <cell r="L364">
            <v>0.24</v>
          </cell>
          <cell r="M364">
            <v>7.5363750000000005E-3</v>
          </cell>
        </row>
        <row r="365">
          <cell r="A365">
            <v>436560</v>
          </cell>
          <cell r="B365">
            <v>3118224365601</v>
          </cell>
          <cell r="E365" t="str">
            <v>JAMBON FORGE+BTE GRISE+STICKER</v>
          </cell>
          <cell r="F365">
            <v>6</v>
          </cell>
          <cell r="G365">
            <v>6</v>
          </cell>
          <cell r="H365">
            <v>43</v>
          </cell>
          <cell r="I365">
            <v>16.5</v>
          </cell>
          <cell r="J365">
            <v>10.5</v>
          </cell>
          <cell r="K365">
            <v>0.88</v>
          </cell>
          <cell r="L365">
            <v>0.14666666666666667</v>
          </cell>
          <cell r="M365">
            <v>7.4497499999999998E-3</v>
          </cell>
        </row>
        <row r="366">
          <cell r="A366">
            <v>436571</v>
          </cell>
          <cell r="B366">
            <v>3118224365717</v>
          </cell>
          <cell r="E366" t="str">
            <v>CUISINE 25 FORGE+BERLINGOT TB CLASSICS</v>
          </cell>
          <cell r="F366">
            <v>75</v>
          </cell>
          <cell r="G366">
            <v>75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A367">
            <v>436580</v>
          </cell>
          <cell r="B367">
            <v>3118224365809</v>
          </cell>
          <cell r="E367" t="str">
            <v>FOURCHETTE FORGE+BTE GRISE+STICKER</v>
          </cell>
          <cell r="F367">
            <v>6</v>
          </cell>
          <cell r="G367">
            <v>6</v>
          </cell>
          <cell r="H367">
            <v>0</v>
          </cell>
          <cell r="I367">
            <v>0</v>
          </cell>
          <cell r="J367">
            <v>0</v>
          </cell>
          <cell r="K367">
            <v>2.16</v>
          </cell>
          <cell r="L367">
            <v>0.36000000000000004</v>
          </cell>
          <cell r="M367">
            <v>0</v>
          </cell>
        </row>
        <row r="368">
          <cell r="A368">
            <v>436581</v>
          </cell>
          <cell r="B368">
            <v>3118224365816</v>
          </cell>
          <cell r="E368" t="str">
            <v>FETTE DECOUPER FORGE+BERLINGOT TB CLASSICS</v>
          </cell>
          <cell r="F368">
            <v>72</v>
          </cell>
          <cell r="G368">
            <v>6</v>
          </cell>
          <cell r="H368">
            <v>44</v>
          </cell>
          <cell r="I368">
            <v>28</v>
          </cell>
          <cell r="J368">
            <v>29</v>
          </cell>
          <cell r="K368">
            <v>11.366</v>
          </cell>
          <cell r="L368">
            <v>0.15786111111111112</v>
          </cell>
          <cell r="M368">
            <v>3.5728000000000003E-2</v>
          </cell>
        </row>
        <row r="369">
          <cell r="A369">
            <v>437010</v>
          </cell>
          <cell r="B369">
            <v>3118224370100</v>
          </cell>
          <cell r="E369" t="str">
            <v>PAIN BAMBOO STICK BOITE DETAILLANT TB CLASSICS</v>
          </cell>
          <cell r="F369">
            <v>6</v>
          </cell>
          <cell r="G369">
            <v>6</v>
          </cell>
          <cell r="H369">
            <v>45</v>
          </cell>
          <cell r="I369">
            <v>17.5</v>
          </cell>
          <cell r="J369">
            <v>11</v>
          </cell>
          <cell r="K369">
            <v>1.1499999999999999</v>
          </cell>
          <cell r="L369">
            <v>0.19166666666666665</v>
          </cell>
          <cell r="M369">
            <v>8.6625000000000001E-3</v>
          </cell>
        </row>
        <row r="370">
          <cell r="A370">
            <v>437220</v>
          </cell>
          <cell r="B370">
            <v>3118224372203</v>
          </cell>
          <cell r="E370" t="str">
            <v>COUTEAU TOSCANE NOIR +GENCOD</v>
          </cell>
          <cell r="F370">
            <v>180</v>
          </cell>
          <cell r="G370">
            <v>12</v>
          </cell>
          <cell r="H370">
            <v>46</v>
          </cell>
          <cell r="I370">
            <v>15</v>
          </cell>
          <cell r="J370">
            <v>11</v>
          </cell>
          <cell r="K370">
            <v>6.67</v>
          </cell>
          <cell r="L370">
            <v>3.7055555555555557E-2</v>
          </cell>
          <cell r="M370">
            <v>7.5900000000000013E-3</v>
          </cell>
        </row>
        <row r="371">
          <cell r="A371">
            <v>437221</v>
          </cell>
          <cell r="B371">
            <v>3118224372210</v>
          </cell>
          <cell r="E371" t="str">
            <v>COUTEAU TOSCANE BLANC +GENCOD</v>
          </cell>
          <cell r="F371">
            <v>180</v>
          </cell>
          <cell r="G371">
            <v>12</v>
          </cell>
          <cell r="H371">
            <v>46</v>
          </cell>
          <cell r="I371">
            <v>15</v>
          </cell>
          <cell r="J371">
            <v>11</v>
          </cell>
          <cell r="K371">
            <v>6.67</v>
          </cell>
          <cell r="L371">
            <v>3.7055555555555557E-2</v>
          </cell>
          <cell r="M371">
            <v>7.5900000000000013E-3</v>
          </cell>
        </row>
        <row r="372">
          <cell r="A372">
            <v>437230</v>
          </cell>
          <cell r="B372">
            <v>3118224372302</v>
          </cell>
          <cell r="E372" t="str">
            <v>FOURCHETTE TOSCANE NOIR +GENCOD</v>
          </cell>
          <cell r="F372">
            <v>180</v>
          </cell>
          <cell r="G372">
            <v>12</v>
          </cell>
          <cell r="H372">
            <v>46</v>
          </cell>
          <cell r="I372">
            <v>15</v>
          </cell>
          <cell r="J372">
            <v>11</v>
          </cell>
          <cell r="K372">
            <v>6.48</v>
          </cell>
          <cell r="L372">
            <v>3.6000000000000004E-2</v>
          </cell>
          <cell r="M372">
            <v>7.5900000000000013E-3</v>
          </cell>
        </row>
        <row r="373">
          <cell r="A373">
            <v>437231</v>
          </cell>
          <cell r="B373">
            <v>3118224372319</v>
          </cell>
          <cell r="E373" t="str">
            <v>FOURCHETTE TOSCANE BLANC +GENCOD</v>
          </cell>
          <cell r="F373">
            <v>180</v>
          </cell>
          <cell r="G373">
            <v>12</v>
          </cell>
          <cell r="H373">
            <v>46</v>
          </cell>
          <cell r="I373">
            <v>15</v>
          </cell>
          <cell r="J373">
            <v>22</v>
          </cell>
          <cell r="K373">
            <v>6.48</v>
          </cell>
          <cell r="L373">
            <v>3.6000000000000004E-2</v>
          </cell>
          <cell r="M373">
            <v>1.5180000000000003E-2</v>
          </cell>
        </row>
        <row r="374">
          <cell r="A374">
            <v>437240</v>
          </cell>
          <cell r="B374">
            <v>3118224372401</v>
          </cell>
          <cell r="E374" t="str">
            <v>CUILLERE TOSCANE NOIR +GENCOD</v>
          </cell>
          <cell r="F374">
            <v>180</v>
          </cell>
          <cell r="G374">
            <v>12</v>
          </cell>
          <cell r="H374">
            <v>32</v>
          </cell>
          <cell r="I374">
            <v>28.5</v>
          </cell>
          <cell r="J374">
            <v>14</v>
          </cell>
          <cell r="K374">
            <v>9.6</v>
          </cell>
          <cell r="L374">
            <v>5.333333333333333E-2</v>
          </cell>
          <cell r="M374">
            <v>1.2768000000000002E-2</v>
          </cell>
        </row>
        <row r="375">
          <cell r="A375">
            <v>437241</v>
          </cell>
          <cell r="B375">
            <v>3118224372418</v>
          </cell>
          <cell r="E375" t="str">
            <v>CUILLERE TOSCANE BLANC +GENCOD</v>
          </cell>
          <cell r="F375">
            <v>180</v>
          </cell>
          <cell r="G375">
            <v>12</v>
          </cell>
          <cell r="H375">
            <v>32</v>
          </cell>
          <cell r="I375">
            <v>28.5</v>
          </cell>
          <cell r="J375">
            <v>14</v>
          </cell>
          <cell r="K375">
            <v>9.6</v>
          </cell>
          <cell r="L375">
            <v>5.333333333333333E-2</v>
          </cell>
          <cell r="M375">
            <v>1.2768000000000002E-2</v>
          </cell>
        </row>
        <row r="376">
          <cell r="A376">
            <v>437250</v>
          </cell>
          <cell r="B376">
            <v>3118224372500</v>
          </cell>
          <cell r="E376" t="str">
            <v>CAFE TOSCANE NOIR +GENCOD</v>
          </cell>
          <cell r="F376">
            <v>180</v>
          </cell>
          <cell r="G376">
            <v>12</v>
          </cell>
          <cell r="H376">
            <v>31</v>
          </cell>
          <cell r="I376">
            <v>19</v>
          </cell>
          <cell r="J376">
            <v>9</v>
          </cell>
          <cell r="K376">
            <v>4.47</v>
          </cell>
          <cell r="L376">
            <v>2.4833333333333332E-2</v>
          </cell>
          <cell r="M376">
            <v>5.3009999999999993E-3</v>
          </cell>
        </row>
        <row r="377">
          <cell r="A377">
            <v>437251</v>
          </cell>
          <cell r="B377">
            <v>3118224372517</v>
          </cell>
          <cell r="E377" t="str">
            <v>CAFE TOSCANE BLANC +GENCOD</v>
          </cell>
          <cell r="F377">
            <v>180</v>
          </cell>
          <cell r="G377">
            <v>12</v>
          </cell>
          <cell r="H377">
            <v>31</v>
          </cell>
          <cell r="I377">
            <v>19</v>
          </cell>
          <cell r="J377">
            <v>9</v>
          </cell>
          <cell r="K377">
            <v>4.47</v>
          </cell>
          <cell r="L377">
            <v>2.4833333333333332E-2</v>
          </cell>
          <cell r="M377">
            <v>5.3009999999999993E-3</v>
          </cell>
        </row>
        <row r="378">
          <cell r="A378">
            <v>437721</v>
          </cell>
          <cell r="B378">
            <v>3118224377215</v>
          </cell>
          <cell r="E378" t="str">
            <v>M16 SAN REMO BOITE TB COLLECTION</v>
          </cell>
          <cell r="F378">
            <v>3</v>
          </cell>
          <cell r="G378">
            <v>3</v>
          </cell>
          <cell r="H378">
            <v>26.5</v>
          </cell>
          <cell r="I378">
            <v>17</v>
          </cell>
          <cell r="J378">
            <v>31</v>
          </cell>
          <cell r="K378">
            <v>4.5209999999999999</v>
          </cell>
          <cell r="L378">
            <v>1.5069999999999999</v>
          </cell>
          <cell r="M378">
            <v>1.3965499999999999E-2</v>
          </cell>
        </row>
        <row r="379">
          <cell r="A379">
            <v>437751</v>
          </cell>
          <cell r="B379">
            <v>3118224377512</v>
          </cell>
          <cell r="C379" t="str">
            <v>13118224377519</v>
          </cell>
          <cell r="D379" t="str">
            <v>23118224377516</v>
          </cell>
          <cell r="E379" t="str">
            <v>M16 KOS (TOSCANE) SATINE BOITE TB COLLECTION</v>
          </cell>
          <cell r="F379">
            <v>3</v>
          </cell>
          <cell r="G379">
            <v>3</v>
          </cell>
          <cell r="H379">
            <v>26</v>
          </cell>
          <cell r="I379">
            <v>19</v>
          </cell>
          <cell r="J379">
            <v>31.5</v>
          </cell>
          <cell r="K379">
            <v>3.141</v>
          </cell>
          <cell r="L379">
            <v>1.0469999999999999</v>
          </cell>
          <cell r="M379">
            <v>1.5561000000000002E-2</v>
          </cell>
        </row>
        <row r="380">
          <cell r="A380">
            <v>437752</v>
          </cell>
          <cell r="B380">
            <v>3118224377529</v>
          </cell>
          <cell r="C380" t="str">
            <v>13118224377526</v>
          </cell>
          <cell r="D380" t="str">
            <v>23118224377523</v>
          </cell>
          <cell r="E380" t="str">
            <v>M16 KOS (TOSCANE) POLI MIROIR BOITE COLLECTION INOX</v>
          </cell>
          <cell r="F380">
            <v>3</v>
          </cell>
          <cell r="G380">
            <v>3</v>
          </cell>
          <cell r="H380">
            <v>26.5</v>
          </cell>
          <cell r="I380">
            <v>18</v>
          </cell>
          <cell r="J380">
            <v>31</v>
          </cell>
          <cell r="K380">
            <v>3.4009999999999998</v>
          </cell>
          <cell r="L380">
            <v>1.1336666666666666</v>
          </cell>
          <cell r="M380">
            <v>1.4787000000000002E-2</v>
          </cell>
        </row>
        <row r="381">
          <cell r="A381">
            <v>438580</v>
          </cell>
          <cell r="B381">
            <v>3118224385807</v>
          </cell>
          <cell r="C381" t="str">
            <v>13118224385804</v>
          </cell>
          <cell r="D381" t="str">
            <v>23118224385801</v>
          </cell>
          <cell r="E381" t="str">
            <v>M24 LAG MULTICOLORS COF+BAND MI</v>
          </cell>
          <cell r="F381">
            <v>6</v>
          </cell>
          <cell r="G381">
            <v>6</v>
          </cell>
          <cell r="H381">
            <v>33.5</v>
          </cell>
          <cell r="I381">
            <v>29</v>
          </cell>
          <cell r="J381">
            <v>29</v>
          </cell>
          <cell r="K381">
            <v>8.3379999999999992</v>
          </cell>
          <cell r="L381">
            <v>1.3896666666666666</v>
          </cell>
          <cell r="M381">
            <v>2.8173499999999997E-2</v>
          </cell>
        </row>
        <row r="382">
          <cell r="A382">
            <v>439200</v>
          </cell>
          <cell r="B382">
            <v>3118224392003</v>
          </cell>
          <cell r="E382" t="str">
            <v>OFFICE BOIS ELAN FX COUTEAU DU CHEF</v>
          </cell>
          <cell r="F382">
            <v>180</v>
          </cell>
          <cell r="G382">
            <v>6</v>
          </cell>
          <cell r="H382">
            <v>40</v>
          </cell>
          <cell r="I382">
            <v>30</v>
          </cell>
          <cell r="J382">
            <v>20</v>
          </cell>
          <cell r="K382">
            <v>8.1530000000000005</v>
          </cell>
          <cell r="L382">
            <v>4.529444444444445E-2</v>
          </cell>
          <cell r="M382">
            <v>2.4E-2</v>
          </cell>
        </row>
        <row r="383">
          <cell r="A383">
            <v>439220</v>
          </cell>
          <cell r="B383">
            <v>3118224392201</v>
          </cell>
          <cell r="E383" t="str">
            <v>CUISINE 17 BOIS ELAN FX COUTEAU DU CHEF</v>
          </cell>
          <cell r="F383">
            <v>72</v>
          </cell>
          <cell r="G383">
            <v>6</v>
          </cell>
          <cell r="H383">
            <v>40</v>
          </cell>
          <cell r="I383">
            <v>30</v>
          </cell>
          <cell r="J383">
            <v>20</v>
          </cell>
          <cell r="K383">
            <v>8.8940000000000001</v>
          </cell>
          <cell r="L383">
            <v>0.12352777777777778</v>
          </cell>
          <cell r="M383">
            <v>2.4E-2</v>
          </cell>
        </row>
        <row r="384">
          <cell r="A384">
            <v>439230</v>
          </cell>
          <cell r="B384">
            <v>3118224392300</v>
          </cell>
          <cell r="E384" t="str">
            <v>PAIN BOIS ELAN FX COUTEAU DU CHEF</v>
          </cell>
          <cell r="F384">
            <v>120</v>
          </cell>
          <cell r="G384">
            <v>6</v>
          </cell>
          <cell r="H384">
            <v>44</v>
          </cell>
          <cell r="I384">
            <v>28</v>
          </cell>
          <cell r="J384">
            <v>29.5</v>
          </cell>
          <cell r="K384">
            <v>15.494</v>
          </cell>
          <cell r="L384">
            <v>0.12911666666666666</v>
          </cell>
          <cell r="M384">
            <v>3.6344000000000001E-2</v>
          </cell>
        </row>
        <row r="385">
          <cell r="A385">
            <v>439240</v>
          </cell>
          <cell r="B385">
            <v>3118224392409</v>
          </cell>
          <cell r="E385" t="str">
            <v>BOUCHER BOIS ELAN FX COUTEAU DU CHEF</v>
          </cell>
          <cell r="F385">
            <v>72</v>
          </cell>
          <cell r="G385">
            <v>6</v>
          </cell>
          <cell r="H385">
            <v>40</v>
          </cell>
          <cell r="I385">
            <v>30</v>
          </cell>
          <cell r="J385">
            <v>20</v>
          </cell>
          <cell r="K385">
            <v>9.36</v>
          </cell>
          <cell r="L385">
            <v>0.13</v>
          </cell>
          <cell r="M385">
            <v>2.4E-2</v>
          </cell>
        </row>
        <row r="386">
          <cell r="A386">
            <v>439295</v>
          </cell>
          <cell r="B386">
            <v>3118224392959</v>
          </cell>
          <cell r="E386" t="str">
            <v>M16 ALIZE BOITE TB COLLECTION</v>
          </cell>
          <cell r="F386">
            <v>3</v>
          </cell>
          <cell r="G386">
            <v>3</v>
          </cell>
          <cell r="H386">
            <v>33</v>
          </cell>
          <cell r="I386">
            <v>29</v>
          </cell>
          <cell r="J386">
            <v>15</v>
          </cell>
          <cell r="K386">
            <v>3.645</v>
          </cell>
          <cell r="L386">
            <v>1.2150000000000001</v>
          </cell>
          <cell r="M386">
            <v>1.4355000000000001E-2</v>
          </cell>
        </row>
        <row r="387">
          <cell r="A387">
            <v>439800</v>
          </cell>
          <cell r="B387">
            <v>3118224398005</v>
          </cell>
          <cell r="C387" t="str">
            <v>13118224398002</v>
          </cell>
          <cell r="D387" t="str">
            <v>23118224398009</v>
          </cell>
          <cell r="E387" t="str">
            <v>M24 LAGUIOLE HERITAGE BOITE LAGUIOLE HERITAGE</v>
          </cell>
          <cell r="F387">
            <v>6</v>
          </cell>
          <cell r="G387">
            <v>6</v>
          </cell>
          <cell r="H387">
            <v>30</v>
          </cell>
          <cell r="I387">
            <v>28</v>
          </cell>
          <cell r="J387">
            <v>5</v>
          </cell>
          <cell r="K387">
            <v>12.714</v>
          </cell>
          <cell r="L387">
            <v>2.1190000000000002</v>
          </cell>
          <cell r="M387">
            <v>4.2000000000000006E-3</v>
          </cell>
        </row>
        <row r="388">
          <cell r="A388">
            <v>439811</v>
          </cell>
          <cell r="B388">
            <v>3118224398111</v>
          </cell>
          <cell r="C388" t="str">
            <v>13118224398118</v>
          </cell>
          <cell r="D388" t="str">
            <v>23118224398115</v>
          </cell>
          <cell r="E388" t="str">
            <v>COUTEAU LAGUIOLE HERITAGE+GENCOD</v>
          </cell>
          <cell r="F388">
            <v>120</v>
          </cell>
          <cell r="G388">
            <v>6</v>
          </cell>
          <cell r="H388">
            <v>28</v>
          </cell>
          <cell r="I388">
            <v>26</v>
          </cell>
          <cell r="J388">
            <v>20.5</v>
          </cell>
          <cell r="K388">
            <v>18.608000000000001</v>
          </cell>
          <cell r="L388">
            <v>0.15506666666666666</v>
          </cell>
          <cell r="M388">
            <v>1.4924000000000003E-2</v>
          </cell>
        </row>
        <row r="389">
          <cell r="A389">
            <v>439812</v>
          </cell>
          <cell r="B389">
            <v>3118224398128</v>
          </cell>
          <cell r="C389" t="str">
            <v>13118224398125</v>
          </cell>
          <cell r="D389" t="str">
            <v>23118224398122</v>
          </cell>
          <cell r="E389" t="str">
            <v>FETTE LAGUIOLE HERITAGE+GENCOD</v>
          </cell>
          <cell r="F389">
            <v>240</v>
          </cell>
          <cell r="G389">
            <v>6</v>
          </cell>
          <cell r="H389">
            <v>47</v>
          </cell>
          <cell r="I389">
            <v>33</v>
          </cell>
          <cell r="J389">
            <v>21</v>
          </cell>
          <cell r="K389">
            <v>16</v>
          </cell>
          <cell r="L389">
            <v>6.6666666666666666E-2</v>
          </cell>
          <cell r="M389">
            <v>3.2570999999999996E-2</v>
          </cell>
        </row>
        <row r="390">
          <cell r="A390">
            <v>439813</v>
          </cell>
          <cell r="B390">
            <v>3118224398135</v>
          </cell>
          <cell r="C390" t="str">
            <v>13118224398132</v>
          </cell>
          <cell r="D390" t="str">
            <v>23118224398139</v>
          </cell>
          <cell r="E390" t="str">
            <v>CUILLERE LAGUIOLE HERITAGE+GENCOD</v>
          </cell>
          <cell r="F390">
            <v>240</v>
          </cell>
          <cell r="G390">
            <v>6</v>
          </cell>
          <cell r="H390">
            <v>47</v>
          </cell>
          <cell r="I390">
            <v>33</v>
          </cell>
          <cell r="J390">
            <v>21</v>
          </cell>
          <cell r="K390">
            <v>19.32</v>
          </cell>
          <cell r="L390">
            <v>8.0500000000000002E-2</v>
          </cell>
          <cell r="M390">
            <v>3.2570999999999996E-2</v>
          </cell>
        </row>
        <row r="391">
          <cell r="A391">
            <v>439814</v>
          </cell>
          <cell r="B391">
            <v>3118224398142</v>
          </cell>
          <cell r="C391" t="str">
            <v>13118224398149</v>
          </cell>
          <cell r="D391" t="str">
            <v>23118224398146</v>
          </cell>
          <cell r="E391" t="str">
            <v>CAFE LAGUIOLE HERITAGE+GENCOD</v>
          </cell>
          <cell r="F391">
            <v>240</v>
          </cell>
          <cell r="G391">
            <v>6</v>
          </cell>
          <cell r="H391">
            <v>37.5</v>
          </cell>
          <cell r="I391">
            <v>31</v>
          </cell>
          <cell r="J391">
            <v>18</v>
          </cell>
          <cell r="K391">
            <v>8.52</v>
          </cell>
          <cell r="L391">
            <v>3.5499999999999997E-2</v>
          </cell>
          <cell r="M391">
            <v>2.0925000000000003E-2</v>
          </cell>
        </row>
        <row r="392">
          <cell r="A392">
            <v>439820</v>
          </cell>
          <cell r="B392">
            <v>3118224398203</v>
          </cell>
          <cell r="E392" t="str">
            <v>OFFICE 9CM LAG EXPRESSION POM FX COUTEAU DU CHEF T1</v>
          </cell>
          <cell r="F392">
            <v>180</v>
          </cell>
          <cell r="G392">
            <v>6</v>
          </cell>
          <cell r="H392">
            <v>40</v>
          </cell>
          <cell r="I392">
            <v>30</v>
          </cell>
          <cell r="J392">
            <v>20</v>
          </cell>
          <cell r="K392">
            <v>20.88</v>
          </cell>
          <cell r="L392">
            <v>0.11599999999999999</v>
          </cell>
          <cell r="M392">
            <v>2.4E-2</v>
          </cell>
        </row>
        <row r="393">
          <cell r="A393">
            <v>439830</v>
          </cell>
          <cell r="B393">
            <v>3118224398302</v>
          </cell>
          <cell r="E393" t="str">
            <v>EMINCEUR 13CM LAG EXPRESSION POM FX COUTEAU DU CHEF T2</v>
          </cell>
          <cell r="F393">
            <v>60</v>
          </cell>
          <cell r="G393">
            <v>6</v>
          </cell>
          <cell r="H393">
            <v>40</v>
          </cell>
          <cell r="I393">
            <v>30</v>
          </cell>
          <cell r="J393">
            <v>20</v>
          </cell>
          <cell r="K393">
            <v>8.1</v>
          </cell>
          <cell r="L393">
            <v>0.13499999999999998</v>
          </cell>
          <cell r="M393">
            <v>2.4E-2</v>
          </cell>
        </row>
        <row r="394">
          <cell r="A394">
            <v>439840</v>
          </cell>
          <cell r="B394">
            <v>3118224398401</v>
          </cell>
          <cell r="E394" t="str">
            <v>STEAK 11CM LAG EXPRESSION POM FX COUTEAU DU CHEF T1</v>
          </cell>
          <cell r="F394">
            <v>180</v>
          </cell>
          <cell r="G394">
            <v>6</v>
          </cell>
          <cell r="H394">
            <v>40</v>
          </cell>
          <cell r="I394">
            <v>30</v>
          </cell>
          <cell r="J394">
            <v>20</v>
          </cell>
          <cell r="K394">
            <v>20.34</v>
          </cell>
          <cell r="L394">
            <v>0.113</v>
          </cell>
          <cell r="M394">
            <v>2.4E-2</v>
          </cell>
        </row>
        <row r="395">
          <cell r="A395">
            <v>439850</v>
          </cell>
          <cell r="B395">
            <v>3118224398500</v>
          </cell>
          <cell r="E395" t="str">
            <v>SANTUKO 18CM LAG EXPRESSION POM FX COUTEAU DU CHEF T3</v>
          </cell>
          <cell r="F395">
            <v>54</v>
          </cell>
          <cell r="G395">
            <v>6</v>
          </cell>
          <cell r="H395">
            <v>40</v>
          </cell>
          <cell r="I395">
            <v>30</v>
          </cell>
          <cell r="J395">
            <v>20</v>
          </cell>
          <cell r="K395">
            <v>18.936</v>
          </cell>
          <cell r="L395">
            <v>0.35066666666666668</v>
          </cell>
          <cell r="M395">
            <v>2.4E-2</v>
          </cell>
        </row>
        <row r="396">
          <cell r="A396">
            <v>439860</v>
          </cell>
          <cell r="B396">
            <v>3118224398609</v>
          </cell>
          <cell r="E396" t="str">
            <v>CUISINE 16CM LAG EXPRESSION POM FX COUTEAU DU CHEF T3</v>
          </cell>
          <cell r="F396">
            <v>54</v>
          </cell>
          <cell r="G396">
            <v>6</v>
          </cell>
          <cell r="H396">
            <v>40</v>
          </cell>
          <cell r="I396">
            <v>30</v>
          </cell>
          <cell r="J396">
            <v>20</v>
          </cell>
          <cell r="K396">
            <v>17.82</v>
          </cell>
          <cell r="L396">
            <v>0.33</v>
          </cell>
          <cell r="M396">
            <v>2.4E-2</v>
          </cell>
        </row>
        <row r="397">
          <cell r="A397">
            <v>439870</v>
          </cell>
          <cell r="B397">
            <v>3118224398708</v>
          </cell>
          <cell r="E397" t="str">
            <v>TRANCHER 22CM LAG EXPRESSION POM FX COUTEAU DU CHEF T4</v>
          </cell>
          <cell r="F397">
            <v>18</v>
          </cell>
          <cell r="G397">
            <v>6</v>
          </cell>
          <cell r="H397">
            <v>46</v>
          </cell>
          <cell r="I397">
            <v>15</v>
          </cell>
          <cell r="J397">
            <v>11</v>
          </cell>
          <cell r="K397">
            <v>6.42</v>
          </cell>
          <cell r="L397">
            <v>0.35666666666666669</v>
          </cell>
          <cell r="M397">
            <v>7.5900000000000013E-3</v>
          </cell>
        </row>
        <row r="398">
          <cell r="A398">
            <v>439875</v>
          </cell>
          <cell r="B398">
            <v>3118224398753</v>
          </cell>
          <cell r="E398" t="str">
            <v>JAMBON LAG EXPRESSION POM FX COUTEAU DU CHEF T4</v>
          </cell>
          <cell r="F398">
            <v>18</v>
          </cell>
          <cell r="G398">
            <v>6</v>
          </cell>
          <cell r="H398">
            <v>46</v>
          </cell>
          <cell r="I398">
            <v>15</v>
          </cell>
          <cell r="J398">
            <v>11</v>
          </cell>
          <cell r="K398">
            <v>2.98</v>
          </cell>
          <cell r="L398">
            <v>0.16555555555555557</v>
          </cell>
          <cell r="M398">
            <v>7.5900000000000013E-3</v>
          </cell>
        </row>
        <row r="399">
          <cell r="A399">
            <v>439900</v>
          </cell>
          <cell r="B399">
            <v>3118224399002</v>
          </cell>
          <cell r="C399" t="str">
            <v>13118224399009</v>
          </cell>
          <cell r="D399" t="str">
            <v>23118224399006</v>
          </cell>
          <cell r="E399" t="str">
            <v>M16 LAG HERITAGE</v>
          </cell>
          <cell r="F399">
            <v>3</v>
          </cell>
          <cell r="G399">
            <v>3</v>
          </cell>
          <cell r="H399">
            <v>26</v>
          </cell>
          <cell r="I399">
            <v>17</v>
          </cell>
          <cell r="J399">
            <v>31</v>
          </cell>
          <cell r="K399">
            <v>4.5179999999999998</v>
          </cell>
          <cell r="L399">
            <v>1.506</v>
          </cell>
          <cell r="M399">
            <v>1.3701999999999999E-2</v>
          </cell>
        </row>
        <row r="400">
          <cell r="A400">
            <v>440630</v>
          </cell>
          <cell r="B400">
            <v>3118224406304</v>
          </cell>
          <cell r="E400" t="str">
            <v>BLOC BAMBOU/METAL 5 CX MANCHE BAMBOU</v>
          </cell>
          <cell r="F400">
            <v>4</v>
          </cell>
          <cell r="G400">
            <v>4</v>
          </cell>
          <cell r="H400">
            <v>42</v>
          </cell>
          <cell r="I400">
            <v>40.5</v>
          </cell>
          <cell r="J400">
            <v>35.5</v>
          </cell>
          <cell r="K400">
            <v>8.7289999999999992</v>
          </cell>
          <cell r="L400">
            <v>2.1822499999999998</v>
          </cell>
          <cell r="M400">
            <v>6.0385499999999988E-2</v>
          </cell>
        </row>
        <row r="401">
          <cell r="A401">
            <v>440730</v>
          </cell>
          <cell r="B401">
            <v>26082288</v>
          </cell>
          <cell r="E401" t="str">
            <v>BLOC 6 STEAKS IMPORT COUL ASSORTI ALDI</v>
          </cell>
          <cell r="F401">
            <v>24</v>
          </cell>
          <cell r="G401">
            <v>24</v>
          </cell>
          <cell r="H401">
            <v>42.5</v>
          </cell>
          <cell r="I401">
            <v>34.5</v>
          </cell>
          <cell r="J401">
            <v>24.5</v>
          </cell>
          <cell r="K401">
            <v>10.5</v>
          </cell>
          <cell r="L401">
            <v>0.4375</v>
          </cell>
          <cell r="M401">
            <v>3.5923125E-2</v>
          </cell>
        </row>
        <row r="402">
          <cell r="A402">
            <v>440861</v>
          </cell>
          <cell r="B402">
            <v>3118224408612</v>
          </cell>
          <cell r="E402" t="str">
            <v>OFFICE EXPRESSION LAG EVOLUTION BOITE AIMANTEE GRISE</v>
          </cell>
          <cell r="F402">
            <v>4</v>
          </cell>
          <cell r="G402">
            <v>4</v>
          </cell>
          <cell r="H402">
            <v>31.5</v>
          </cell>
          <cell r="I402">
            <v>14.5</v>
          </cell>
          <cell r="J402">
            <v>8</v>
          </cell>
          <cell r="K402">
            <v>4.16</v>
          </cell>
          <cell r="L402">
            <v>1.04</v>
          </cell>
          <cell r="M402">
            <v>3.6540000000000001E-3</v>
          </cell>
        </row>
        <row r="403">
          <cell r="A403">
            <v>440881</v>
          </cell>
          <cell r="B403">
            <v>3118224408810</v>
          </cell>
          <cell r="E403" t="str">
            <v>EMINCEUR 13 EXPRESSION POM LAG EVOLUTION BOITE AIMANTEE GRIS</v>
          </cell>
          <cell r="F403">
            <v>4</v>
          </cell>
          <cell r="G403">
            <v>4</v>
          </cell>
          <cell r="H403">
            <v>32</v>
          </cell>
          <cell r="I403">
            <v>14.5</v>
          </cell>
          <cell r="J403">
            <v>75</v>
          </cell>
          <cell r="K403">
            <v>0.92</v>
          </cell>
          <cell r="L403">
            <v>0.23</v>
          </cell>
          <cell r="M403">
            <v>3.4799999999999998E-2</v>
          </cell>
        </row>
        <row r="404">
          <cell r="A404">
            <v>440891</v>
          </cell>
          <cell r="B404">
            <v>3118224408919</v>
          </cell>
          <cell r="E404" t="str">
            <v>SANTUKO EXPRESSION POM LAG EVOLUTION BOITE KRAFT</v>
          </cell>
          <cell r="F404">
            <v>4</v>
          </cell>
          <cell r="G404">
            <v>4</v>
          </cell>
          <cell r="H404">
            <v>43</v>
          </cell>
          <cell r="I404">
            <v>16.5</v>
          </cell>
          <cell r="J404">
            <v>10.6</v>
          </cell>
          <cell r="K404">
            <v>0.96</v>
          </cell>
          <cell r="L404">
            <v>0.24</v>
          </cell>
          <cell r="M404">
            <v>7.5207E-3</v>
          </cell>
        </row>
        <row r="405">
          <cell r="A405">
            <v>440901</v>
          </cell>
          <cell r="B405">
            <v>3118224409015</v>
          </cell>
          <cell r="E405" t="str">
            <v>CUISINE 16 EXPRESSION POM LAG EVOLUTION BOITE KRAFT</v>
          </cell>
          <cell r="F405">
            <v>4</v>
          </cell>
          <cell r="G405">
            <v>4</v>
          </cell>
          <cell r="H405">
            <v>43</v>
          </cell>
          <cell r="I405">
            <v>16.5</v>
          </cell>
          <cell r="J405">
            <v>10.6</v>
          </cell>
          <cell r="K405">
            <v>1.84</v>
          </cell>
          <cell r="L405">
            <v>0.46</v>
          </cell>
          <cell r="M405">
            <v>7.5207E-3</v>
          </cell>
        </row>
        <row r="406">
          <cell r="A406">
            <v>440911</v>
          </cell>
          <cell r="B406">
            <v>3118224409114</v>
          </cell>
          <cell r="E406" t="str">
            <v>TRANCHER22 EXPRESSION POM LAG EVOLUTION BOITE AIMANTEE GRISE</v>
          </cell>
          <cell r="F406">
            <v>4</v>
          </cell>
          <cell r="G406">
            <v>4</v>
          </cell>
          <cell r="H406">
            <v>43</v>
          </cell>
          <cell r="I406">
            <v>16.5</v>
          </cell>
          <cell r="J406">
            <v>10.6</v>
          </cell>
          <cell r="K406">
            <v>1.76</v>
          </cell>
          <cell r="L406">
            <v>0.44</v>
          </cell>
          <cell r="M406">
            <v>7.5207E-3</v>
          </cell>
        </row>
        <row r="407">
          <cell r="A407">
            <v>440916</v>
          </cell>
          <cell r="B407">
            <v>3118224409169</v>
          </cell>
          <cell r="E407" t="str">
            <v>JAMBON 25 EXPRESSION POM LAG EVOLUTION BOITE AIMANTEE GRISE</v>
          </cell>
          <cell r="F407">
            <v>4</v>
          </cell>
          <cell r="G407">
            <v>4</v>
          </cell>
          <cell r="H407">
            <v>43.5</v>
          </cell>
          <cell r="I407">
            <v>16.5</v>
          </cell>
          <cell r="J407">
            <v>11</v>
          </cell>
          <cell r="K407">
            <v>1.76</v>
          </cell>
          <cell r="L407">
            <v>0.44</v>
          </cell>
          <cell r="M407">
            <v>7.8952499999999995E-3</v>
          </cell>
        </row>
        <row r="408">
          <cell r="A408">
            <v>440952</v>
          </cell>
          <cell r="B408">
            <v>3118224409527</v>
          </cell>
          <cell r="E408" t="str">
            <v>M16 BLACK DOTS BOITE LISA INOX</v>
          </cell>
          <cell r="F408">
            <v>6</v>
          </cell>
          <cell r="G408">
            <v>6</v>
          </cell>
          <cell r="H408">
            <v>40</v>
          </cell>
          <cell r="I408">
            <v>30</v>
          </cell>
          <cell r="J408">
            <v>20</v>
          </cell>
          <cell r="K408">
            <v>7.25</v>
          </cell>
          <cell r="L408">
            <v>1.2083333333333333</v>
          </cell>
          <cell r="M408">
            <v>2.4E-2</v>
          </cell>
        </row>
        <row r="409">
          <cell r="A409">
            <v>441102</v>
          </cell>
          <cell r="B409">
            <v>3257984128191</v>
          </cell>
          <cell r="E409" t="str">
            <v>OFFICE BI MAT SOFT ROUGE 200C GRIS ANTHRACITE FX CORA</v>
          </cell>
          <cell r="F409">
            <v>120</v>
          </cell>
          <cell r="G409">
            <v>6</v>
          </cell>
          <cell r="H409">
            <v>40</v>
          </cell>
          <cell r="I409">
            <v>30</v>
          </cell>
          <cell r="J409">
            <v>20</v>
          </cell>
          <cell r="K409">
            <v>7</v>
          </cell>
          <cell r="L409">
            <v>5.8333333333333334E-2</v>
          </cell>
          <cell r="M409">
            <v>2.4E-2</v>
          </cell>
        </row>
        <row r="410">
          <cell r="A410">
            <v>441112</v>
          </cell>
          <cell r="B410">
            <v>3257984128221</v>
          </cell>
          <cell r="E410" t="str">
            <v>STEAK 12CM BI MAT SOFT ROUGE 200C GRIS ANTHRACITE FX CORA</v>
          </cell>
          <cell r="F410">
            <v>120</v>
          </cell>
          <cell r="G410">
            <v>6</v>
          </cell>
          <cell r="H410">
            <v>40</v>
          </cell>
          <cell r="I410">
            <v>30</v>
          </cell>
          <cell r="J410">
            <v>20</v>
          </cell>
          <cell r="K410">
            <v>7.27</v>
          </cell>
          <cell r="L410">
            <v>6.0583333333333329E-2</v>
          </cell>
          <cell r="M410">
            <v>2.4E-2</v>
          </cell>
        </row>
        <row r="411">
          <cell r="A411">
            <v>441122</v>
          </cell>
          <cell r="B411">
            <v>3257984128207</v>
          </cell>
          <cell r="E411" t="str">
            <v>CUISINE 17CM BI MAT SOFT ROUGE 200C GRIS ANTHRACITE FX CORA</v>
          </cell>
          <cell r="F411">
            <v>54</v>
          </cell>
          <cell r="G411">
            <v>6</v>
          </cell>
          <cell r="H411">
            <v>40</v>
          </cell>
          <cell r="I411">
            <v>30</v>
          </cell>
          <cell r="J411">
            <v>20</v>
          </cell>
          <cell r="K411">
            <v>6.2640000000000002</v>
          </cell>
          <cell r="L411">
            <v>0.11600000000000001</v>
          </cell>
          <cell r="M411">
            <v>2.4E-2</v>
          </cell>
        </row>
        <row r="412">
          <cell r="A412">
            <v>441132</v>
          </cell>
          <cell r="B412">
            <v>3257984128214</v>
          </cell>
          <cell r="E412" t="str">
            <v>CHEF 21CM BI MAT SOFT ROUGE 200C GRIS ANTHRACITE GRIS FX COR</v>
          </cell>
          <cell r="F412">
            <v>54</v>
          </cell>
          <cell r="G412">
            <v>6</v>
          </cell>
          <cell r="H412">
            <v>40</v>
          </cell>
          <cell r="I412">
            <v>30</v>
          </cell>
          <cell r="J412">
            <v>20</v>
          </cell>
          <cell r="K412">
            <v>7.02</v>
          </cell>
          <cell r="L412">
            <v>0.13</v>
          </cell>
          <cell r="M412">
            <v>2.4E-2</v>
          </cell>
        </row>
        <row r="413">
          <cell r="A413">
            <v>441240</v>
          </cell>
          <cell r="B413">
            <v>5400247057259</v>
          </cell>
          <cell r="E413" t="str">
            <v>LOT DE 6 STEAKS NOIR ECO WINNY</v>
          </cell>
          <cell r="F413">
            <v>72</v>
          </cell>
          <cell r="G413">
            <v>12</v>
          </cell>
          <cell r="H413">
            <v>43.5</v>
          </cell>
          <cell r="I413">
            <v>29</v>
          </cell>
          <cell r="J413">
            <v>29</v>
          </cell>
          <cell r="K413">
            <v>13.782</v>
          </cell>
          <cell r="L413">
            <v>0.19141666666666668</v>
          </cell>
          <cell r="M413">
            <v>3.6583500000000005E-2</v>
          </cell>
        </row>
        <row r="414">
          <cell r="A414">
            <v>441350</v>
          </cell>
          <cell r="B414">
            <v>3118224413500</v>
          </cell>
          <cell r="C414" t="str">
            <v>13118224413507</v>
          </cell>
          <cell r="D414" t="str">
            <v>23118224413504</v>
          </cell>
          <cell r="E414" t="str">
            <v>6 CX LAG MARBRE MULTICOLOR CLAIR EN BTE LAGUIOLE HERITAGE</v>
          </cell>
          <cell r="F414">
            <v>6</v>
          </cell>
          <cell r="G414">
            <v>6</v>
          </cell>
          <cell r="H414">
            <v>28</v>
          </cell>
          <cell r="I414">
            <v>28</v>
          </cell>
          <cell r="J414">
            <v>12.5</v>
          </cell>
          <cell r="K414">
            <v>2.7570000000000001</v>
          </cell>
          <cell r="L414">
            <v>0.45950000000000002</v>
          </cell>
          <cell r="M414">
            <v>9.8000000000000014E-3</v>
          </cell>
        </row>
        <row r="415">
          <cell r="A415">
            <v>441360</v>
          </cell>
          <cell r="B415">
            <v>3118224413609</v>
          </cell>
          <cell r="C415" t="str">
            <v>13118224413606</v>
          </cell>
          <cell r="D415" t="str">
            <v>23118224413603</v>
          </cell>
          <cell r="E415" t="str">
            <v>COFFRET AIMANTE 6 FETTE LAG MARBRE MULTICOLOR</v>
          </cell>
          <cell r="F415">
            <v>6</v>
          </cell>
          <cell r="G415">
            <v>6</v>
          </cell>
          <cell r="H415">
            <v>32.5</v>
          </cell>
          <cell r="I415">
            <v>27.5</v>
          </cell>
          <cell r="J415">
            <v>13.5</v>
          </cell>
          <cell r="K415">
            <v>3.5</v>
          </cell>
          <cell r="L415">
            <v>0.58333333333333337</v>
          </cell>
          <cell r="M415">
            <v>1.2065625E-2</v>
          </cell>
        </row>
        <row r="416">
          <cell r="A416">
            <v>441380</v>
          </cell>
          <cell r="B416">
            <v>3118224413807</v>
          </cell>
          <cell r="C416" t="str">
            <v>13118224413804</v>
          </cell>
          <cell r="D416" t="str">
            <v>23118224413801</v>
          </cell>
          <cell r="E416" t="str">
            <v>6 CAFE LAG MARBRE MULTICOLOR EN BTE LAGUIOLE HERITAGE</v>
          </cell>
          <cell r="F416">
            <v>6</v>
          </cell>
          <cell r="G416">
            <v>6</v>
          </cell>
          <cell r="H416">
            <v>24</v>
          </cell>
          <cell r="I416">
            <v>16</v>
          </cell>
          <cell r="J416">
            <v>28.5</v>
          </cell>
          <cell r="K416">
            <v>1.62</v>
          </cell>
          <cell r="L416">
            <v>0.27</v>
          </cell>
          <cell r="M416">
            <v>1.0943999999999999E-2</v>
          </cell>
        </row>
        <row r="417">
          <cell r="A417">
            <v>441602</v>
          </cell>
          <cell r="B417">
            <v>3118224416020</v>
          </cell>
          <cell r="E417" t="str">
            <v>MARAICHER ABSOLU BOIS FX TB</v>
          </cell>
          <cell r="F417">
            <v>60</v>
          </cell>
          <cell r="G417">
            <v>6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</row>
        <row r="418">
          <cell r="A418">
            <v>441611</v>
          </cell>
          <cell r="B418">
            <v>3118224416112</v>
          </cell>
          <cell r="E418" t="str">
            <v>GRILLADIN ABSOLU PALISSANDRE DES INDES BERLINGOT</v>
          </cell>
          <cell r="F418">
            <v>150</v>
          </cell>
          <cell r="G418">
            <v>150</v>
          </cell>
          <cell r="H418">
            <v>40</v>
          </cell>
          <cell r="I418">
            <v>30</v>
          </cell>
          <cell r="J418">
            <v>20</v>
          </cell>
          <cell r="K418">
            <v>15</v>
          </cell>
          <cell r="L418">
            <v>0.1</v>
          </cell>
          <cell r="M418">
            <v>2.4E-2</v>
          </cell>
        </row>
        <row r="419">
          <cell r="A419">
            <v>441612</v>
          </cell>
          <cell r="B419">
            <v>3118224416129</v>
          </cell>
          <cell r="E419" t="str">
            <v>GRILLADIN ABSOLU BOIS FX TB</v>
          </cell>
          <cell r="F419">
            <v>150</v>
          </cell>
          <cell r="G419">
            <v>6</v>
          </cell>
          <cell r="H419">
            <v>40</v>
          </cell>
          <cell r="I419">
            <v>30</v>
          </cell>
          <cell r="J419">
            <v>20</v>
          </cell>
          <cell r="K419">
            <v>15.75</v>
          </cell>
          <cell r="L419">
            <v>0.105</v>
          </cell>
          <cell r="M419">
            <v>2.4E-2</v>
          </cell>
        </row>
        <row r="420">
          <cell r="A420">
            <v>441631</v>
          </cell>
          <cell r="B420">
            <v>3118224416310</v>
          </cell>
          <cell r="E420" t="str">
            <v>POLYVALENT ABSOLU PALISSANDRE DES INDES BERLINGOT</v>
          </cell>
          <cell r="F420">
            <v>75</v>
          </cell>
          <cell r="G420">
            <v>75</v>
          </cell>
          <cell r="H420">
            <v>44</v>
          </cell>
          <cell r="I420">
            <v>27</v>
          </cell>
          <cell r="J420">
            <v>15</v>
          </cell>
          <cell r="K420">
            <v>16.5</v>
          </cell>
          <cell r="L420">
            <v>0.22</v>
          </cell>
          <cell r="M420">
            <v>1.7819999999999999E-2</v>
          </cell>
        </row>
        <row r="421">
          <cell r="A421">
            <v>441632</v>
          </cell>
          <cell r="B421">
            <v>3118224416327</v>
          </cell>
          <cell r="E421" t="str">
            <v>POLYVALENT ABSOLU BOIS FX TB</v>
          </cell>
          <cell r="F421">
            <v>60</v>
          </cell>
          <cell r="G421">
            <v>6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</row>
        <row r="422">
          <cell r="A422">
            <v>441641</v>
          </cell>
          <cell r="B422">
            <v>3118224416419</v>
          </cell>
          <cell r="E422" t="str">
            <v>CUISINIER ABSOLU PALISSANDRE DES INDES BERLINGOT</v>
          </cell>
          <cell r="F422">
            <v>6</v>
          </cell>
          <cell r="G422">
            <v>6</v>
          </cell>
          <cell r="H422">
            <v>42</v>
          </cell>
          <cell r="I422">
            <v>12.5</v>
          </cell>
          <cell r="J422">
            <v>9</v>
          </cell>
          <cell r="K422">
            <v>1.49</v>
          </cell>
          <cell r="L422">
            <v>0.24833333333333332</v>
          </cell>
          <cell r="M422">
            <v>4.725E-3</v>
          </cell>
        </row>
        <row r="423">
          <cell r="A423">
            <v>441642</v>
          </cell>
          <cell r="B423">
            <v>3118224416426</v>
          </cell>
          <cell r="E423" t="str">
            <v>CUISINIER ABSOLU BOIS FX TB</v>
          </cell>
          <cell r="F423">
            <v>60</v>
          </cell>
          <cell r="G423">
            <v>6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</row>
        <row r="424">
          <cell r="A424">
            <v>441651</v>
          </cell>
          <cell r="B424">
            <v>3118224416518</v>
          </cell>
          <cell r="E424" t="str">
            <v>BOULANGER ABSOLU PALISSANDRE DES INDES BERLINGOT</v>
          </cell>
          <cell r="F424">
            <v>72</v>
          </cell>
          <cell r="G424">
            <v>6</v>
          </cell>
          <cell r="H424">
            <v>44</v>
          </cell>
          <cell r="I424">
            <v>27</v>
          </cell>
          <cell r="J424">
            <v>15</v>
          </cell>
          <cell r="K424">
            <v>27</v>
          </cell>
          <cell r="L424">
            <v>0.375</v>
          </cell>
          <cell r="M424">
            <v>1.7819999999999999E-2</v>
          </cell>
        </row>
        <row r="425">
          <cell r="A425">
            <v>441652</v>
          </cell>
          <cell r="B425">
            <v>3118224416525</v>
          </cell>
          <cell r="E425" t="str">
            <v>BOULANGER ABSOLU BOIS FX TB</v>
          </cell>
          <cell r="F425">
            <v>60</v>
          </cell>
          <cell r="G425">
            <v>6</v>
          </cell>
          <cell r="H425">
            <v>44</v>
          </cell>
          <cell r="I425">
            <v>29.5</v>
          </cell>
          <cell r="J425">
            <v>17</v>
          </cell>
          <cell r="K425">
            <v>15.66</v>
          </cell>
          <cell r="L425">
            <v>0.26100000000000001</v>
          </cell>
          <cell r="M425">
            <v>2.2065999999999999E-2</v>
          </cell>
        </row>
        <row r="426">
          <cell r="A426">
            <v>441703</v>
          </cell>
          <cell r="B426">
            <v>3118224417034</v>
          </cell>
          <cell r="E426" t="str">
            <v>OFFICE EXPRESSION LAG EVOLUTION MANCHE BOIS NOIR BERLINGOT</v>
          </cell>
          <cell r="F426">
            <v>96</v>
          </cell>
          <cell r="G426">
            <v>12</v>
          </cell>
          <cell r="H426">
            <v>34</v>
          </cell>
          <cell r="I426">
            <v>31</v>
          </cell>
          <cell r="J426">
            <v>25</v>
          </cell>
          <cell r="K426">
            <v>10.56</v>
          </cell>
          <cell r="L426">
            <v>0.11</v>
          </cell>
          <cell r="M426">
            <v>2.6350000000000002E-2</v>
          </cell>
        </row>
        <row r="427">
          <cell r="A427">
            <v>441710</v>
          </cell>
          <cell r="B427">
            <v>3118224417102</v>
          </cell>
          <cell r="E427" t="str">
            <v>STEAK EXPRESSION LAG EVOLUTION MANCHE BOIS NOIR BOITE GRISE</v>
          </cell>
          <cell r="F427">
            <v>4</v>
          </cell>
          <cell r="G427">
            <v>4</v>
          </cell>
          <cell r="H427">
            <v>32</v>
          </cell>
          <cell r="I427">
            <v>19</v>
          </cell>
          <cell r="J427">
            <v>10</v>
          </cell>
          <cell r="K427">
            <v>1.08</v>
          </cell>
          <cell r="L427">
            <v>0.27</v>
          </cell>
          <cell r="M427">
            <v>6.0799999999999995E-3</v>
          </cell>
        </row>
        <row r="428">
          <cell r="A428">
            <v>441713</v>
          </cell>
          <cell r="B428">
            <v>3118224417133</v>
          </cell>
          <cell r="E428" t="str">
            <v>STEAK EXPRESSION LAG EVOLUTION MANCHE BOIS NOIR BERLINGOT</v>
          </cell>
          <cell r="F428">
            <v>96</v>
          </cell>
          <cell r="G428">
            <v>12</v>
          </cell>
          <cell r="H428">
            <v>33.5</v>
          </cell>
          <cell r="I428">
            <v>31</v>
          </cell>
          <cell r="J428">
            <v>25</v>
          </cell>
          <cell r="K428">
            <v>10.56</v>
          </cell>
          <cell r="L428">
            <v>0.11</v>
          </cell>
          <cell r="M428">
            <v>2.5962499999999999E-2</v>
          </cell>
        </row>
        <row r="429">
          <cell r="A429">
            <v>441720</v>
          </cell>
          <cell r="B429">
            <v>3118224417201</v>
          </cell>
          <cell r="E429" t="str">
            <v>EMINCEUR EXPRESSION LAG EVOLUTION MANCHE BOIS NOIR BOITE GRI</v>
          </cell>
          <cell r="F429">
            <v>4</v>
          </cell>
          <cell r="G429">
            <v>4</v>
          </cell>
          <cell r="H429">
            <v>31.5</v>
          </cell>
          <cell r="I429">
            <v>14.5</v>
          </cell>
          <cell r="J429">
            <v>7.6</v>
          </cell>
          <cell r="K429">
            <v>0.44</v>
          </cell>
          <cell r="L429">
            <v>0.11</v>
          </cell>
          <cell r="M429">
            <v>3.4713000000000001E-3</v>
          </cell>
        </row>
        <row r="430">
          <cell r="A430">
            <v>441723</v>
          </cell>
          <cell r="B430">
            <v>3118224417232</v>
          </cell>
          <cell r="E430" t="str">
            <v>EMINCEUR EXPRESSION LAG EVOLUTION MANCHE BOIS NOIR BERLINGOT</v>
          </cell>
          <cell r="F430">
            <v>96</v>
          </cell>
          <cell r="G430">
            <v>12</v>
          </cell>
          <cell r="H430">
            <v>33</v>
          </cell>
          <cell r="I430">
            <v>21</v>
          </cell>
          <cell r="J430">
            <v>26</v>
          </cell>
          <cell r="K430">
            <v>11.52</v>
          </cell>
          <cell r="L430">
            <v>0.12</v>
          </cell>
          <cell r="M430">
            <v>1.8017999999999999E-2</v>
          </cell>
        </row>
        <row r="431">
          <cell r="A431">
            <v>441740</v>
          </cell>
          <cell r="B431">
            <v>3118224417409</v>
          </cell>
          <cell r="E431" t="str">
            <v>CUISINE16 EXPRESSION LAG EVOLUTION MANCHE BOIS NOIR BOITE GR</v>
          </cell>
          <cell r="F431">
            <v>4</v>
          </cell>
          <cell r="G431">
            <v>4</v>
          </cell>
          <cell r="H431">
            <v>46</v>
          </cell>
          <cell r="I431">
            <v>15</v>
          </cell>
          <cell r="J431">
            <v>11.5</v>
          </cell>
          <cell r="K431">
            <v>1.92</v>
          </cell>
          <cell r="L431">
            <v>0.48</v>
          </cell>
          <cell r="M431">
            <v>7.9350000000000011E-3</v>
          </cell>
        </row>
        <row r="432">
          <cell r="A432">
            <v>441750</v>
          </cell>
          <cell r="B432">
            <v>3118224417508</v>
          </cell>
          <cell r="E432" t="str">
            <v>TRANCHER EXPRESSION LAG EVOLUTION MANCHE BOIS NOIR BOITE GR</v>
          </cell>
          <cell r="F432">
            <v>4</v>
          </cell>
          <cell r="G432">
            <v>4</v>
          </cell>
          <cell r="H432">
            <v>44</v>
          </cell>
          <cell r="I432">
            <v>16.5</v>
          </cell>
          <cell r="J432">
            <v>11</v>
          </cell>
          <cell r="K432">
            <v>2.16</v>
          </cell>
          <cell r="L432">
            <v>0.54</v>
          </cell>
          <cell r="M432">
            <v>7.986E-3</v>
          </cell>
        </row>
        <row r="433">
          <cell r="A433">
            <v>441770</v>
          </cell>
          <cell r="B433">
            <v>3118224417706</v>
          </cell>
          <cell r="E433" t="str">
            <v>COFFRET 2 CX CERAMIQUE 95MM ET 155MM +1 EPL LAME BLANCHE</v>
          </cell>
          <cell r="F433">
            <v>18</v>
          </cell>
          <cell r="G433">
            <v>3</v>
          </cell>
          <cell r="H433">
            <v>52.5</v>
          </cell>
          <cell r="I433">
            <v>40.5</v>
          </cell>
          <cell r="J433">
            <v>24.5</v>
          </cell>
          <cell r="K433">
            <v>5.4</v>
          </cell>
          <cell r="L433">
            <v>0.30000000000000004</v>
          </cell>
          <cell r="M433">
            <v>5.209312499999999E-2</v>
          </cell>
        </row>
        <row r="434">
          <cell r="A434">
            <v>441775</v>
          </cell>
          <cell r="B434">
            <v>3118224417751</v>
          </cell>
          <cell r="E434" t="str">
            <v>COFFRET 2 CERAMIQUE 95MM-155MM +1 EPL MARQUE TB LAME BLANCHE</v>
          </cell>
          <cell r="F434">
            <v>18</v>
          </cell>
          <cell r="G434">
            <v>3</v>
          </cell>
          <cell r="H434">
            <v>52.5</v>
          </cell>
          <cell r="I434">
            <v>40.5</v>
          </cell>
          <cell r="J434">
            <v>24.5</v>
          </cell>
          <cell r="K434">
            <v>5.4</v>
          </cell>
          <cell r="L434">
            <v>0.30000000000000004</v>
          </cell>
          <cell r="M434">
            <v>5.209312499999999E-2</v>
          </cell>
        </row>
        <row r="435">
          <cell r="A435">
            <v>441780</v>
          </cell>
          <cell r="B435">
            <v>3118224417805</v>
          </cell>
          <cell r="C435" t="str">
            <v>13118224417802</v>
          </cell>
          <cell r="D435" t="str">
            <v>23118224417809</v>
          </cell>
          <cell r="E435" t="str">
            <v>COFFRET 3 CX STEAK CERAMIQUE LAME BLANCHE</v>
          </cell>
          <cell r="F435">
            <v>18</v>
          </cell>
          <cell r="G435">
            <v>3</v>
          </cell>
          <cell r="H435">
            <v>50</v>
          </cell>
          <cell r="I435">
            <v>33</v>
          </cell>
          <cell r="J435">
            <v>24</v>
          </cell>
          <cell r="K435">
            <v>3.9060000000000001</v>
          </cell>
          <cell r="L435">
            <v>0.217</v>
          </cell>
          <cell r="M435">
            <v>3.9599999999999996E-2</v>
          </cell>
        </row>
        <row r="436">
          <cell r="A436">
            <v>441790</v>
          </cell>
          <cell r="B436">
            <v>3118224417904</v>
          </cell>
          <cell r="C436" t="str">
            <v>13118224417901</v>
          </cell>
          <cell r="D436" t="str">
            <v>23118224417908</v>
          </cell>
          <cell r="E436" t="str">
            <v>COFFRET LCDC 2 CERAMIQUES OFFICE  ET CHEF  LAME BLANCHE</v>
          </cell>
          <cell r="F436">
            <v>18</v>
          </cell>
          <cell r="G436">
            <v>3</v>
          </cell>
          <cell r="H436">
            <v>44</v>
          </cell>
          <cell r="I436">
            <v>40.5</v>
          </cell>
          <cell r="J436">
            <v>25</v>
          </cell>
          <cell r="K436">
            <v>4.32</v>
          </cell>
          <cell r="L436">
            <v>0.24000000000000002</v>
          </cell>
          <cell r="M436">
            <v>4.4549999999999999E-2</v>
          </cell>
        </row>
        <row r="437">
          <cell r="A437">
            <v>441800</v>
          </cell>
          <cell r="B437">
            <v>3118224418000</v>
          </cell>
          <cell r="C437" t="str">
            <v>13118224418007</v>
          </cell>
          <cell r="D437" t="str">
            <v>23118224418004</v>
          </cell>
          <cell r="E437" t="str">
            <v>COFFRET 2 COUTEAUX CERAMIQUE 125MM ET 75MM LAME BLANCHE</v>
          </cell>
          <cell r="F437">
            <v>18</v>
          </cell>
          <cell r="G437">
            <v>3</v>
          </cell>
          <cell r="H437">
            <v>43</v>
          </cell>
          <cell r="I437">
            <v>37.5</v>
          </cell>
          <cell r="J437">
            <v>25</v>
          </cell>
          <cell r="K437">
            <v>4.2489999999999997</v>
          </cell>
          <cell r="L437">
            <v>0.23605555555555555</v>
          </cell>
          <cell r="M437">
            <v>4.0312500000000001E-2</v>
          </cell>
        </row>
        <row r="438">
          <cell r="A438">
            <v>441810</v>
          </cell>
          <cell r="B438">
            <v>3118224418109</v>
          </cell>
          <cell r="C438" t="str">
            <v>13118224418106</v>
          </cell>
          <cell r="D438" t="str">
            <v>23118224418103</v>
          </cell>
          <cell r="E438" t="str">
            <v>COFFRET 1 OFFICE CERAMIQUE 75MM LAME BLANCHE</v>
          </cell>
          <cell r="F438">
            <v>18</v>
          </cell>
          <cell r="G438">
            <v>3</v>
          </cell>
          <cell r="H438">
            <v>29</v>
          </cell>
          <cell r="I438">
            <v>29</v>
          </cell>
          <cell r="J438">
            <v>25</v>
          </cell>
          <cell r="K438">
            <v>1.7390000000000001</v>
          </cell>
          <cell r="L438">
            <v>9.661111111111112E-2</v>
          </cell>
          <cell r="M438">
            <v>2.1025000000000002E-2</v>
          </cell>
        </row>
        <row r="439">
          <cell r="A439">
            <v>441812</v>
          </cell>
          <cell r="B439">
            <v>3222475234262</v>
          </cell>
          <cell r="E439" t="str">
            <v>COFFRET 1 COUTEAU OFFICE CERAMIQUE 75MM CASINO LAME BLANCHE</v>
          </cell>
          <cell r="F439">
            <v>18</v>
          </cell>
          <cell r="G439">
            <v>3</v>
          </cell>
          <cell r="H439">
            <v>30.5</v>
          </cell>
          <cell r="I439">
            <v>28</v>
          </cell>
          <cell r="J439">
            <v>30.5</v>
          </cell>
          <cell r="K439">
            <v>4.907</v>
          </cell>
          <cell r="L439">
            <v>0.27261111111111114</v>
          </cell>
          <cell r="M439">
            <v>2.6046999999999997E-2</v>
          </cell>
        </row>
        <row r="440">
          <cell r="A440">
            <v>441817</v>
          </cell>
          <cell r="B440">
            <v>3222475234415</v>
          </cell>
          <cell r="E440" t="str">
            <v>COFFRET 1 STEAK CERAMIQUE CASINO LAME BLANCHE</v>
          </cell>
          <cell r="F440">
            <v>18</v>
          </cell>
          <cell r="G440">
            <v>3</v>
          </cell>
          <cell r="H440">
            <v>28</v>
          </cell>
          <cell r="I440">
            <v>28</v>
          </cell>
          <cell r="J440">
            <v>33.5</v>
          </cell>
          <cell r="K440">
            <v>1.8540000000000001</v>
          </cell>
          <cell r="L440">
            <v>0.10300000000000001</v>
          </cell>
          <cell r="M440">
            <v>2.6264000000000003E-2</v>
          </cell>
        </row>
        <row r="441">
          <cell r="A441">
            <v>441820</v>
          </cell>
          <cell r="B441">
            <v>3118224418208</v>
          </cell>
          <cell r="C441" t="str">
            <v>13118224418205</v>
          </cell>
          <cell r="D441" t="str">
            <v>23118224418202</v>
          </cell>
          <cell r="E441" t="str">
            <v>COFFRET 1 COUTEAU CERAMIQUE 155MM LAME BLANCHE</v>
          </cell>
          <cell r="F441">
            <v>18</v>
          </cell>
          <cell r="G441">
            <v>3</v>
          </cell>
          <cell r="H441">
            <v>39.5</v>
          </cell>
          <cell r="I441">
            <v>34</v>
          </cell>
          <cell r="J441">
            <v>25</v>
          </cell>
          <cell r="K441">
            <v>3.492</v>
          </cell>
          <cell r="L441">
            <v>0.19400000000000001</v>
          </cell>
          <cell r="M441">
            <v>3.3575000000000001E-2</v>
          </cell>
        </row>
        <row r="442">
          <cell r="A442">
            <v>441821</v>
          </cell>
          <cell r="B442">
            <v>3118224418215</v>
          </cell>
          <cell r="C442" t="str">
            <v>13118224418212</v>
          </cell>
          <cell r="D442" t="str">
            <v>23118224418219</v>
          </cell>
          <cell r="E442" t="str">
            <v>COFFRET CERAMIQUE CUISINE 125MM LAME BLANCHE</v>
          </cell>
          <cell r="F442">
            <v>18</v>
          </cell>
          <cell r="G442">
            <v>3</v>
          </cell>
          <cell r="H442">
            <v>37</v>
          </cell>
          <cell r="I442">
            <v>29</v>
          </cell>
          <cell r="J442">
            <v>25</v>
          </cell>
          <cell r="K442">
            <v>2.16</v>
          </cell>
          <cell r="L442">
            <v>0.12000000000000001</v>
          </cell>
          <cell r="M442">
            <v>2.6825000000000002E-2</v>
          </cell>
        </row>
        <row r="443">
          <cell r="A443">
            <v>441822</v>
          </cell>
          <cell r="B443">
            <v>3118224418222</v>
          </cell>
          <cell r="E443" t="str">
            <v>COFFRET 1 EPLUCHEUR CERAMIQUE LAME BLANCHE</v>
          </cell>
          <cell r="F443">
            <v>18</v>
          </cell>
          <cell r="G443">
            <v>3</v>
          </cell>
          <cell r="H443">
            <v>36.5</v>
          </cell>
          <cell r="I443">
            <v>24</v>
          </cell>
          <cell r="J443">
            <v>24.5</v>
          </cell>
          <cell r="K443">
            <v>1.82</v>
          </cell>
          <cell r="L443">
            <v>0.10111111111111111</v>
          </cell>
          <cell r="M443">
            <v>2.1461999999999998E-2</v>
          </cell>
        </row>
        <row r="444">
          <cell r="A444">
            <v>441823</v>
          </cell>
          <cell r="B444">
            <v>3118224418239</v>
          </cell>
          <cell r="C444" t="str">
            <v>13118224418236</v>
          </cell>
          <cell r="D444" t="str">
            <v>23118224418233</v>
          </cell>
          <cell r="E444" t="str">
            <v>COFFRET 1 STEAK CERAMIQUE LAME BLANCHE</v>
          </cell>
          <cell r="F444">
            <v>18</v>
          </cell>
          <cell r="G444">
            <v>3</v>
          </cell>
          <cell r="H444">
            <v>31</v>
          </cell>
          <cell r="I444">
            <v>28.5</v>
          </cell>
          <cell r="J444">
            <v>24.5</v>
          </cell>
          <cell r="K444">
            <v>1.698</v>
          </cell>
          <cell r="L444">
            <v>9.4333333333333325E-2</v>
          </cell>
          <cell r="M444">
            <v>2.1645749999999998E-2</v>
          </cell>
        </row>
        <row r="445">
          <cell r="A445">
            <v>441827</v>
          </cell>
          <cell r="B445">
            <v>3222475233548</v>
          </cell>
          <cell r="E445" t="str">
            <v>COFFRET 1 COUTEAU CERAMIQUE 155MM CASINO LAME BLANCHE</v>
          </cell>
          <cell r="F445">
            <v>18</v>
          </cell>
          <cell r="G445">
            <v>3</v>
          </cell>
          <cell r="H445">
            <v>35</v>
          </cell>
          <cell r="I445">
            <v>27.5</v>
          </cell>
          <cell r="J445">
            <v>40.5</v>
          </cell>
          <cell r="K445">
            <v>3.4980000000000002</v>
          </cell>
          <cell r="L445">
            <v>0.19433333333333336</v>
          </cell>
          <cell r="M445">
            <v>3.8981250000000002E-2</v>
          </cell>
        </row>
        <row r="446">
          <cell r="A446">
            <v>441828</v>
          </cell>
          <cell r="B446">
            <v>3222475233555</v>
          </cell>
          <cell r="E446" t="str">
            <v>COFFRET CERAMIQUE CUISINE 125MM CASINO LAME BLANCHE</v>
          </cell>
          <cell r="F446">
            <v>18</v>
          </cell>
          <cell r="G446">
            <v>3</v>
          </cell>
          <cell r="H446">
            <v>29</v>
          </cell>
          <cell r="I446">
            <v>27</v>
          </cell>
          <cell r="J446">
            <v>39</v>
          </cell>
          <cell r="K446">
            <v>2.3220000000000001</v>
          </cell>
          <cell r="L446">
            <v>0.129</v>
          </cell>
          <cell r="M446">
            <v>3.0536999999999995E-2</v>
          </cell>
        </row>
        <row r="447">
          <cell r="A447">
            <v>441829</v>
          </cell>
          <cell r="B447">
            <v>3222475234408</v>
          </cell>
          <cell r="E447" t="str">
            <v>COFFRET 1 EPLUCHEUR CERAMIQUE CASINO LAME BLANCHE</v>
          </cell>
          <cell r="F447">
            <v>18</v>
          </cell>
          <cell r="G447">
            <v>3</v>
          </cell>
          <cell r="H447">
            <v>36</v>
          </cell>
          <cell r="I447">
            <v>27</v>
          </cell>
          <cell r="J447">
            <v>24</v>
          </cell>
          <cell r="K447">
            <v>1.978</v>
          </cell>
          <cell r="L447">
            <v>0.10988888888888888</v>
          </cell>
          <cell r="M447">
            <v>2.3327999999999998E-2</v>
          </cell>
        </row>
        <row r="448">
          <cell r="A448">
            <v>441835</v>
          </cell>
          <cell r="B448">
            <v>3118224418352</v>
          </cell>
          <cell r="E448" t="str">
            <v>BLOC NOIR 6 CX STEAK MANCHE BI-MAT NOIR ET BLANC</v>
          </cell>
          <cell r="F448">
            <v>6</v>
          </cell>
          <cell r="G448">
            <v>6</v>
          </cell>
          <cell r="H448">
            <v>26</v>
          </cell>
          <cell r="I448">
            <v>15.5</v>
          </cell>
          <cell r="J448">
            <v>19</v>
          </cell>
          <cell r="K448">
            <v>2.61</v>
          </cell>
          <cell r="L448">
            <v>0.435</v>
          </cell>
          <cell r="M448">
            <v>7.6570000000000006E-3</v>
          </cell>
        </row>
        <row r="449">
          <cell r="A449">
            <v>441851</v>
          </cell>
          <cell r="B449">
            <v>3118224418512</v>
          </cell>
          <cell r="E449" t="str">
            <v>BLOC CERAMIQUE 2 COUTEAUX ET 1 EPLUCHEUR LAME BLANCHE</v>
          </cell>
          <cell r="F449">
            <v>4</v>
          </cell>
          <cell r="G449">
            <v>4</v>
          </cell>
          <cell r="H449">
            <v>40</v>
          </cell>
          <cell r="I449">
            <v>24.5</v>
          </cell>
          <cell r="J449">
            <v>40</v>
          </cell>
          <cell r="K449">
            <v>2.6240000000000001</v>
          </cell>
          <cell r="L449">
            <v>0.65600000000000003</v>
          </cell>
          <cell r="M449">
            <v>3.9199999999999999E-2</v>
          </cell>
        </row>
        <row r="450">
          <cell r="A450">
            <v>441890</v>
          </cell>
          <cell r="B450">
            <v>3118224418901</v>
          </cell>
          <cell r="E450" t="str">
            <v>BOITE DE 12 STEAK EXPRESSION LAG EVOLUTION</v>
          </cell>
          <cell r="F450">
            <v>9</v>
          </cell>
          <cell r="G450">
            <v>9</v>
          </cell>
          <cell r="H450">
            <v>27</v>
          </cell>
          <cell r="I450">
            <v>21.5</v>
          </cell>
          <cell r="J450">
            <v>23.5</v>
          </cell>
          <cell r="K450">
            <v>11.43</v>
          </cell>
          <cell r="L450">
            <v>1.27</v>
          </cell>
          <cell r="M450">
            <v>1.3641750000000001E-2</v>
          </cell>
        </row>
        <row r="451">
          <cell r="A451">
            <v>441891</v>
          </cell>
          <cell r="B451">
            <v>3118224418918</v>
          </cell>
          <cell r="E451" t="str">
            <v>BOITE DE 12 STEAK EXPRESSION BOIS NOIR LAG EVOLUTION</v>
          </cell>
          <cell r="F451">
            <v>9</v>
          </cell>
          <cell r="G451">
            <v>9</v>
          </cell>
          <cell r="H451">
            <v>40</v>
          </cell>
          <cell r="I451">
            <v>30</v>
          </cell>
          <cell r="J451">
            <v>20</v>
          </cell>
          <cell r="K451">
            <v>12.96</v>
          </cell>
          <cell r="L451">
            <v>1.4400000000000002</v>
          </cell>
          <cell r="M451">
            <v>2.4E-2</v>
          </cell>
        </row>
        <row r="452">
          <cell r="A452">
            <v>441970</v>
          </cell>
          <cell r="B452">
            <v>3118224419700</v>
          </cell>
          <cell r="C452" t="str">
            <v>13118224419707</v>
          </cell>
          <cell r="D452" t="str">
            <v>23118224419704</v>
          </cell>
          <cell r="E452" t="str">
            <v>M24 TROQUET IVOIRE PS POT PET</v>
          </cell>
          <cell r="F452">
            <v>9</v>
          </cell>
          <cell r="G452">
            <v>9</v>
          </cell>
          <cell r="H452">
            <v>28</v>
          </cell>
          <cell r="I452">
            <v>28</v>
          </cell>
          <cell r="J452">
            <v>24</v>
          </cell>
          <cell r="K452">
            <v>7.29</v>
          </cell>
          <cell r="L452">
            <v>0.81</v>
          </cell>
          <cell r="M452">
            <v>1.8816000000000003E-2</v>
          </cell>
        </row>
        <row r="453">
          <cell r="A453">
            <v>442070</v>
          </cell>
          <cell r="B453">
            <v>3118224420706</v>
          </cell>
          <cell r="E453" t="str">
            <v>M24 TROQUET TAUPE MARRON POT PET</v>
          </cell>
          <cell r="F453">
            <v>9</v>
          </cell>
          <cell r="G453">
            <v>9</v>
          </cell>
          <cell r="H453">
            <v>28</v>
          </cell>
          <cell r="I453">
            <v>28</v>
          </cell>
          <cell r="J453">
            <v>24</v>
          </cell>
          <cell r="K453">
            <v>7.29</v>
          </cell>
          <cell r="L453">
            <v>0.81</v>
          </cell>
          <cell r="M453">
            <v>1.8816000000000003E-2</v>
          </cell>
        </row>
        <row r="454">
          <cell r="A454">
            <v>442590</v>
          </cell>
          <cell r="B454">
            <v>3118224425909</v>
          </cell>
          <cell r="E454" t="str">
            <v>STEAK 11CM FURTIF CLASSIC-BASIC MANCHE NOIR LAME INOX BERLIN</v>
          </cell>
          <cell r="F454">
            <v>150</v>
          </cell>
          <cell r="G454">
            <v>6</v>
          </cell>
          <cell r="H454">
            <v>40</v>
          </cell>
          <cell r="I454">
            <v>30</v>
          </cell>
          <cell r="J454">
            <v>20</v>
          </cell>
          <cell r="K454">
            <v>9.9580000000000002</v>
          </cell>
          <cell r="L454">
            <v>6.6386666666666663E-2</v>
          </cell>
          <cell r="M454">
            <v>2.4E-2</v>
          </cell>
        </row>
        <row r="455">
          <cell r="A455">
            <v>442610</v>
          </cell>
          <cell r="B455">
            <v>3118224426104</v>
          </cell>
          <cell r="E455" t="str">
            <v>FILET DE SOLE 17CM FURTIF BASIC MANCHE NOIR LAME INOX BERLIN</v>
          </cell>
          <cell r="F455">
            <v>75</v>
          </cell>
          <cell r="G455">
            <v>75</v>
          </cell>
          <cell r="H455">
            <v>42</v>
          </cell>
          <cell r="I455">
            <v>6.5</v>
          </cell>
          <cell r="J455">
            <v>1</v>
          </cell>
          <cell r="K455">
            <v>11.25</v>
          </cell>
          <cell r="L455">
            <v>0.15</v>
          </cell>
          <cell r="M455">
            <v>2.7300000000000002E-4</v>
          </cell>
        </row>
        <row r="456">
          <cell r="A456">
            <v>442615</v>
          </cell>
          <cell r="B456">
            <v>3118224426159</v>
          </cell>
          <cell r="E456" t="str">
            <v>FILET DE SOLE 17CM FURTIF BASIC MANCHE NOIR LAME INOX EN BOI</v>
          </cell>
          <cell r="F456">
            <v>6</v>
          </cell>
          <cell r="G456">
            <v>6</v>
          </cell>
          <cell r="H456">
            <v>42</v>
          </cell>
          <cell r="I456">
            <v>17.3</v>
          </cell>
          <cell r="J456">
            <v>10.5</v>
          </cell>
          <cell r="K456">
            <v>0.48</v>
          </cell>
          <cell r="L456">
            <v>0.08</v>
          </cell>
          <cell r="M456">
            <v>7.6293000000000003E-3</v>
          </cell>
        </row>
        <row r="457">
          <cell r="A457">
            <v>442655</v>
          </cell>
          <cell r="B457">
            <v>3118224426555</v>
          </cell>
          <cell r="E457" t="str">
            <v>CUISINE 21CM FURTIF BASIC MANCHE NOIR LAME INOX EN BOITE CAD</v>
          </cell>
          <cell r="F457">
            <v>6</v>
          </cell>
          <cell r="G457">
            <v>6</v>
          </cell>
          <cell r="H457">
            <v>38.5</v>
          </cell>
          <cell r="I457">
            <v>19</v>
          </cell>
          <cell r="J457">
            <v>11</v>
          </cell>
          <cell r="K457">
            <v>2.95</v>
          </cell>
          <cell r="L457">
            <v>0.4916666666666667</v>
          </cell>
          <cell r="M457">
            <v>8.0465000000000016E-3</v>
          </cell>
        </row>
        <row r="458">
          <cell r="A458">
            <v>442820</v>
          </cell>
          <cell r="B458">
            <v>3118224428207</v>
          </cell>
          <cell r="E458" t="str">
            <v>6 STEAK TROQUET MARINE EN DISPLAY DE 12</v>
          </cell>
          <cell r="F458">
            <v>12</v>
          </cell>
          <cell r="G458">
            <v>12</v>
          </cell>
          <cell r="H458">
            <v>37</v>
          </cell>
          <cell r="I458">
            <v>14.5</v>
          </cell>
          <cell r="J458">
            <v>26.5</v>
          </cell>
          <cell r="K458">
            <v>3.2280000000000002</v>
          </cell>
          <cell r="L458">
            <v>0.26900000000000002</v>
          </cell>
          <cell r="M458">
            <v>1.4217250000000001E-2</v>
          </cell>
        </row>
        <row r="459">
          <cell r="A459">
            <v>442822</v>
          </cell>
          <cell r="B459">
            <v>3118224428221</v>
          </cell>
          <cell r="E459" t="str">
            <v>6 STEAK TROQUET IVOIRE EN DISPLAY DE 12</v>
          </cell>
          <cell r="F459">
            <v>12</v>
          </cell>
          <cell r="G459">
            <v>12</v>
          </cell>
          <cell r="H459">
            <v>37.5</v>
          </cell>
          <cell r="I459">
            <v>14</v>
          </cell>
          <cell r="J459">
            <v>26</v>
          </cell>
          <cell r="K459">
            <v>3.24</v>
          </cell>
          <cell r="L459">
            <v>0.27</v>
          </cell>
          <cell r="M459">
            <v>1.3650000000000001E-2</v>
          </cell>
        </row>
        <row r="460">
          <cell r="A460">
            <v>442830</v>
          </cell>
          <cell r="B460">
            <v>3118224428306</v>
          </cell>
          <cell r="C460">
            <v>13118224428303</v>
          </cell>
          <cell r="D460">
            <v>23118224428300</v>
          </cell>
          <cell r="E460" t="str">
            <v>M16 CLEO EN BOITE PVC</v>
          </cell>
          <cell r="F460">
            <v>12</v>
          </cell>
          <cell r="G460">
            <v>12</v>
          </cell>
          <cell r="H460">
            <v>18</v>
          </cell>
          <cell r="I460">
            <v>16</v>
          </cell>
          <cell r="J460">
            <v>27.5</v>
          </cell>
          <cell r="K460">
            <v>5.37</v>
          </cell>
          <cell r="L460">
            <v>0.44750000000000001</v>
          </cell>
          <cell r="M460">
            <v>7.92E-3</v>
          </cell>
        </row>
        <row r="461">
          <cell r="A461">
            <v>442870</v>
          </cell>
          <cell r="B461">
            <v>3118224428702</v>
          </cell>
          <cell r="E461" t="str">
            <v>COFFRET 2 CX CERAMIQUE 95MM ET155MM +1 EPLUCHEUR LAME NOIRE</v>
          </cell>
          <cell r="F461">
            <v>18</v>
          </cell>
          <cell r="G461">
            <v>3</v>
          </cell>
          <cell r="H461">
            <v>52.5</v>
          </cell>
          <cell r="I461">
            <v>40.5</v>
          </cell>
          <cell r="J461">
            <v>24.5</v>
          </cell>
          <cell r="K461">
            <v>5.46</v>
          </cell>
          <cell r="L461">
            <v>0.30333333333333334</v>
          </cell>
          <cell r="M461">
            <v>5.209312499999999E-2</v>
          </cell>
        </row>
        <row r="462">
          <cell r="A462">
            <v>442875</v>
          </cell>
          <cell r="B462">
            <v>3118224428757</v>
          </cell>
          <cell r="E462" t="str">
            <v>COFFRET 2 CERAMIQUE 95MM-155MM +1 EPL MARQUE TB LAME NOIRE</v>
          </cell>
          <cell r="F462">
            <v>18</v>
          </cell>
          <cell r="G462">
            <v>3</v>
          </cell>
          <cell r="H462">
            <v>53</v>
          </cell>
          <cell r="I462">
            <v>40.5</v>
          </cell>
          <cell r="J462">
            <v>25</v>
          </cell>
          <cell r="K462">
            <v>5.1660000000000004</v>
          </cell>
          <cell r="L462">
            <v>0.28700000000000003</v>
          </cell>
          <cell r="M462">
            <v>5.3662500000000002E-2</v>
          </cell>
        </row>
        <row r="463">
          <cell r="A463">
            <v>442880</v>
          </cell>
          <cell r="B463">
            <v>3118224428801</v>
          </cell>
          <cell r="C463" t="str">
            <v>13118224428808</v>
          </cell>
          <cell r="D463" t="str">
            <v>23118224428805</v>
          </cell>
          <cell r="E463" t="str">
            <v>COFFRET 3 CX STEAKS CERAMIQUE LAME NOIRE</v>
          </cell>
          <cell r="F463">
            <v>18</v>
          </cell>
          <cell r="G463">
            <v>3</v>
          </cell>
          <cell r="H463">
            <v>50</v>
          </cell>
          <cell r="I463">
            <v>33</v>
          </cell>
          <cell r="J463">
            <v>24</v>
          </cell>
          <cell r="K463">
            <v>3.96</v>
          </cell>
          <cell r="L463">
            <v>0.22</v>
          </cell>
          <cell r="M463">
            <v>3.9599999999999996E-2</v>
          </cell>
        </row>
        <row r="464">
          <cell r="A464">
            <v>442890</v>
          </cell>
          <cell r="B464">
            <v>3118224428900</v>
          </cell>
          <cell r="C464" t="str">
            <v>13118224428907</v>
          </cell>
          <cell r="D464" t="str">
            <v>23118224428904</v>
          </cell>
          <cell r="E464" t="str">
            <v>COFFRET 2 CX CERAMIQUE 125MM ET 75MM LAME NOIRE</v>
          </cell>
          <cell r="F464">
            <v>18</v>
          </cell>
          <cell r="G464">
            <v>3</v>
          </cell>
          <cell r="H464">
            <v>43.5</v>
          </cell>
          <cell r="I464">
            <v>37</v>
          </cell>
          <cell r="J464">
            <v>25</v>
          </cell>
          <cell r="K464">
            <v>3.4740000000000002</v>
          </cell>
          <cell r="L464">
            <v>0.193</v>
          </cell>
          <cell r="M464">
            <v>4.0237499999999995E-2</v>
          </cell>
        </row>
        <row r="465">
          <cell r="A465">
            <v>442895</v>
          </cell>
          <cell r="B465">
            <v>3118224428955</v>
          </cell>
          <cell r="E465" t="str">
            <v>COFFRET 2 CX CERAMIQUE 125MM ET 75MM LAME NOIRE MARQUE TB</v>
          </cell>
          <cell r="F465">
            <v>18</v>
          </cell>
          <cell r="G465">
            <v>3</v>
          </cell>
          <cell r="H465">
            <v>43</v>
          </cell>
          <cell r="I465">
            <v>37.5</v>
          </cell>
          <cell r="J465">
            <v>37</v>
          </cell>
          <cell r="K465">
            <v>3.6</v>
          </cell>
          <cell r="L465">
            <v>0.2</v>
          </cell>
          <cell r="M465">
            <v>5.9662500000000007E-2</v>
          </cell>
        </row>
        <row r="466">
          <cell r="A466">
            <v>442900</v>
          </cell>
          <cell r="B466">
            <v>3118224429006</v>
          </cell>
          <cell r="E466" t="str">
            <v>COFFRET 1 COUTEAU CERAMIQUE 75MM LAME NOIRE</v>
          </cell>
          <cell r="F466">
            <v>18</v>
          </cell>
          <cell r="G466">
            <v>3</v>
          </cell>
          <cell r="H466">
            <v>29</v>
          </cell>
          <cell r="I466">
            <v>29</v>
          </cell>
          <cell r="J466">
            <v>25</v>
          </cell>
          <cell r="K466">
            <v>1.5660000000000001</v>
          </cell>
          <cell r="L466">
            <v>8.7000000000000008E-2</v>
          </cell>
          <cell r="M466">
            <v>2.1025000000000002E-2</v>
          </cell>
        </row>
        <row r="467">
          <cell r="A467">
            <v>442901</v>
          </cell>
          <cell r="B467">
            <v>3222475201417</v>
          </cell>
          <cell r="E467" t="str">
            <v>COFFRET 1 COUTEAU CERAMIQUE 75MM LAME NOIRE CASINO</v>
          </cell>
          <cell r="F467">
            <v>18</v>
          </cell>
          <cell r="G467">
            <v>3</v>
          </cell>
          <cell r="H467">
            <v>28.5</v>
          </cell>
          <cell r="I467">
            <v>29</v>
          </cell>
          <cell r="J467">
            <v>24.5</v>
          </cell>
          <cell r="K467">
            <v>2.0720000000000001</v>
          </cell>
          <cell r="L467">
            <v>0.11511111111111111</v>
          </cell>
          <cell r="M467">
            <v>2.0249249999999996E-2</v>
          </cell>
        </row>
        <row r="468">
          <cell r="A468">
            <v>442906</v>
          </cell>
          <cell r="B468">
            <v>3118224429068</v>
          </cell>
          <cell r="C468" t="str">
            <v>13118224429065</v>
          </cell>
          <cell r="D468" t="str">
            <v>23118224429062</v>
          </cell>
          <cell r="E468" t="str">
            <v>COFFRET 1 COUTEAU CERAMIQUE 75MM LAME BLANCHE MARQUE TB</v>
          </cell>
          <cell r="F468">
            <v>18</v>
          </cell>
          <cell r="G468">
            <v>3</v>
          </cell>
          <cell r="H468">
            <v>29</v>
          </cell>
          <cell r="I468">
            <v>29</v>
          </cell>
          <cell r="J468">
            <v>25.5</v>
          </cell>
          <cell r="K468">
            <v>2.093</v>
          </cell>
          <cell r="L468">
            <v>0.11627777777777777</v>
          </cell>
          <cell r="M468">
            <v>2.1445500000000003E-2</v>
          </cell>
        </row>
        <row r="469">
          <cell r="A469">
            <v>442910</v>
          </cell>
          <cell r="B469">
            <v>3118224429105</v>
          </cell>
          <cell r="E469" t="str">
            <v>COFFRET 1 COUTEAU CERAMIQUE 155MM LAME NOIRE</v>
          </cell>
          <cell r="F469">
            <v>18</v>
          </cell>
          <cell r="G469">
            <v>3</v>
          </cell>
          <cell r="H469">
            <v>39.5</v>
          </cell>
          <cell r="I469">
            <v>34.5</v>
          </cell>
          <cell r="J469">
            <v>25</v>
          </cell>
          <cell r="K469">
            <v>3.24</v>
          </cell>
          <cell r="L469">
            <v>0.18000000000000002</v>
          </cell>
          <cell r="M469">
            <v>3.4068750000000002E-2</v>
          </cell>
        </row>
        <row r="470">
          <cell r="A470">
            <v>442911</v>
          </cell>
          <cell r="B470">
            <v>3222475201431</v>
          </cell>
          <cell r="E470" t="str">
            <v>COFFRET 1 COUTEAU CERAMIQUE 155MM LAME NOIRE CASINO</v>
          </cell>
          <cell r="F470">
            <v>18</v>
          </cell>
          <cell r="G470">
            <v>3</v>
          </cell>
          <cell r="H470">
            <v>34</v>
          </cell>
          <cell r="I470">
            <v>27</v>
          </cell>
          <cell r="J470">
            <v>40</v>
          </cell>
          <cell r="K470">
            <v>3.645</v>
          </cell>
          <cell r="L470">
            <v>0.20250000000000001</v>
          </cell>
          <cell r="M470">
            <v>3.6720000000000003E-2</v>
          </cell>
        </row>
        <row r="471">
          <cell r="A471">
            <v>443140</v>
          </cell>
          <cell r="B471">
            <v>3118224431405</v>
          </cell>
          <cell r="E471" t="str">
            <v>OFFICE FURTIF CLASSIC 9CM LAME NOIRE MANCHE NOIR BOITE CADEA</v>
          </cell>
          <cell r="F471">
            <v>6</v>
          </cell>
          <cell r="G471">
            <v>6</v>
          </cell>
          <cell r="H471">
            <v>30</v>
          </cell>
          <cell r="I471">
            <v>16.5</v>
          </cell>
          <cell r="J471">
            <v>8.5</v>
          </cell>
          <cell r="K471">
            <v>1.56</v>
          </cell>
          <cell r="L471">
            <v>0.26</v>
          </cell>
          <cell r="M471">
            <v>4.2075000000000003E-3</v>
          </cell>
        </row>
        <row r="472">
          <cell r="A472">
            <v>443150</v>
          </cell>
          <cell r="B472">
            <v>3118224431504</v>
          </cell>
          <cell r="E472" t="str">
            <v>FILET DE SOLE 17 FURTIF CLASSIC LAME NOIRE MANCHE NOIR BOITE</v>
          </cell>
          <cell r="F472">
            <v>6</v>
          </cell>
          <cell r="G472">
            <v>6</v>
          </cell>
          <cell r="H472">
            <v>43.5</v>
          </cell>
          <cell r="I472">
            <v>16.5</v>
          </cell>
          <cell r="J472">
            <v>11</v>
          </cell>
          <cell r="K472">
            <v>2.5</v>
          </cell>
          <cell r="L472">
            <v>0.41666666666666669</v>
          </cell>
          <cell r="M472">
            <v>7.8952499999999995E-3</v>
          </cell>
        </row>
        <row r="473">
          <cell r="A473">
            <v>443160</v>
          </cell>
          <cell r="B473">
            <v>3118224431603</v>
          </cell>
          <cell r="E473" t="str">
            <v>SANTUKO 19 FURTIF CLASSIC LAME NOIRE MANCHE NOIR BOITE CADEA</v>
          </cell>
          <cell r="F473">
            <v>6</v>
          </cell>
          <cell r="G473">
            <v>6</v>
          </cell>
          <cell r="H473">
            <v>43.5</v>
          </cell>
          <cell r="I473">
            <v>16.5</v>
          </cell>
          <cell r="J473">
            <v>11</v>
          </cell>
          <cell r="K473">
            <v>0.29399999999999998</v>
          </cell>
          <cell r="L473">
            <v>4.8999999999999995E-2</v>
          </cell>
          <cell r="M473">
            <v>7.8952499999999995E-3</v>
          </cell>
        </row>
        <row r="474">
          <cell r="A474">
            <v>443170</v>
          </cell>
          <cell r="B474">
            <v>3118224431702</v>
          </cell>
          <cell r="E474" t="str">
            <v>CUISINE 21 FURTIF CLASSIC LAME NOIRE MANCHE NOIR BOITE CADEA</v>
          </cell>
          <cell r="F474">
            <v>6</v>
          </cell>
          <cell r="G474">
            <v>6</v>
          </cell>
          <cell r="H474">
            <v>43.5</v>
          </cell>
          <cell r="I474">
            <v>16.5</v>
          </cell>
          <cell r="J474">
            <v>11</v>
          </cell>
          <cell r="K474">
            <v>2.76</v>
          </cell>
          <cell r="L474">
            <v>0.45999999999999996</v>
          </cell>
          <cell r="M474">
            <v>7.8952499999999995E-3</v>
          </cell>
        </row>
        <row r="475">
          <cell r="A475">
            <v>443180</v>
          </cell>
          <cell r="B475">
            <v>3118224431801</v>
          </cell>
          <cell r="E475" t="str">
            <v>CHEF 19 FURTIF CLASSIC LAME NOIRE MANCHE NOIR BOITE CADEAU</v>
          </cell>
          <cell r="F475">
            <v>6</v>
          </cell>
          <cell r="G475">
            <v>6</v>
          </cell>
          <cell r="H475">
            <v>43.5</v>
          </cell>
          <cell r="I475">
            <v>16.5</v>
          </cell>
          <cell r="J475">
            <v>11</v>
          </cell>
          <cell r="K475">
            <v>1.44</v>
          </cell>
          <cell r="L475">
            <v>0.24</v>
          </cell>
          <cell r="M475">
            <v>7.8952499999999995E-3</v>
          </cell>
        </row>
        <row r="476">
          <cell r="A476">
            <v>443190</v>
          </cell>
          <cell r="B476">
            <v>3118224431900</v>
          </cell>
          <cell r="E476" t="str">
            <v>STEAK HECTOR PERLE (GRIS CLAIR) M217431 EN BERLINGOT</v>
          </cell>
          <cell r="F476">
            <v>150</v>
          </cell>
          <cell r="G476">
            <v>6</v>
          </cell>
          <cell r="H476">
            <v>40</v>
          </cell>
          <cell r="I476">
            <v>30</v>
          </cell>
          <cell r="J476">
            <v>30</v>
          </cell>
          <cell r="K476">
            <v>9.39</v>
          </cell>
          <cell r="L476">
            <v>6.2600000000000003E-2</v>
          </cell>
          <cell r="M476">
            <v>3.5999999999999997E-2</v>
          </cell>
        </row>
        <row r="477">
          <cell r="A477">
            <v>443191</v>
          </cell>
          <cell r="B477">
            <v>3118224431917</v>
          </cell>
          <cell r="E477" t="str">
            <v>STEAK HECTOR ARDOISE (GRIS FONCE)COOL GREY 11C EN BERLINGOT</v>
          </cell>
          <cell r="F477">
            <v>150</v>
          </cell>
          <cell r="G477">
            <v>150</v>
          </cell>
          <cell r="H477">
            <v>40</v>
          </cell>
          <cell r="I477">
            <v>30</v>
          </cell>
          <cell r="J477">
            <v>30</v>
          </cell>
          <cell r="K477">
            <v>9.39</v>
          </cell>
          <cell r="L477">
            <v>6.2600000000000003E-2</v>
          </cell>
          <cell r="M477">
            <v>3.5999999999999997E-2</v>
          </cell>
        </row>
        <row r="478">
          <cell r="A478">
            <v>443192</v>
          </cell>
          <cell r="B478">
            <v>3118224431924</v>
          </cell>
          <cell r="E478" t="str">
            <v>STEAK HECTOR GLACIER (BLANC) EN BERLINGOT RAL 9010</v>
          </cell>
          <cell r="F478">
            <v>150</v>
          </cell>
          <cell r="G478">
            <v>6</v>
          </cell>
          <cell r="H478">
            <v>40</v>
          </cell>
          <cell r="I478">
            <v>30</v>
          </cell>
          <cell r="J478">
            <v>30</v>
          </cell>
          <cell r="K478">
            <v>9.39</v>
          </cell>
          <cell r="L478">
            <v>6.2600000000000003E-2</v>
          </cell>
          <cell r="M478">
            <v>3.5999999999999997E-2</v>
          </cell>
        </row>
        <row r="479">
          <cell r="A479">
            <v>443193</v>
          </cell>
          <cell r="B479">
            <v>3118224431931</v>
          </cell>
          <cell r="E479" t="str">
            <v>STEAK HECTOR REGLISSE (NOIR) EN BERLINGOT</v>
          </cell>
          <cell r="F479">
            <v>150</v>
          </cell>
          <cell r="G479">
            <v>6</v>
          </cell>
          <cell r="H479">
            <v>40</v>
          </cell>
          <cell r="I479">
            <v>30</v>
          </cell>
          <cell r="J479">
            <v>30</v>
          </cell>
          <cell r="K479">
            <v>9.39</v>
          </cell>
          <cell r="L479">
            <v>6.2600000000000003E-2</v>
          </cell>
          <cell r="M479">
            <v>3.5999999999999997E-2</v>
          </cell>
        </row>
        <row r="480">
          <cell r="A480">
            <v>443194</v>
          </cell>
          <cell r="B480">
            <v>3118224431948</v>
          </cell>
          <cell r="E480" t="str">
            <v>STEAK HECTOR ARGILE (MARRON CLAIR) M217432 EN BERLINGOT</v>
          </cell>
          <cell r="F480">
            <v>150</v>
          </cell>
          <cell r="G480">
            <v>6</v>
          </cell>
          <cell r="H480">
            <v>40</v>
          </cell>
          <cell r="I480">
            <v>30</v>
          </cell>
          <cell r="J480">
            <v>30</v>
          </cell>
          <cell r="K480">
            <v>9.39</v>
          </cell>
          <cell r="L480">
            <v>6.2600000000000003E-2</v>
          </cell>
          <cell r="M480">
            <v>3.5999999999999997E-2</v>
          </cell>
        </row>
        <row r="481">
          <cell r="A481">
            <v>443195</v>
          </cell>
          <cell r="B481">
            <v>3118224431955</v>
          </cell>
          <cell r="E481" t="str">
            <v>STEAK HECTOR TAUPE (MARRON) WARM GREY 11C EN BERLINGOT</v>
          </cell>
          <cell r="F481">
            <v>150</v>
          </cell>
          <cell r="G481">
            <v>150</v>
          </cell>
          <cell r="H481">
            <v>40</v>
          </cell>
          <cell r="I481">
            <v>30</v>
          </cell>
          <cell r="J481">
            <v>30</v>
          </cell>
          <cell r="K481">
            <v>9.39</v>
          </cell>
          <cell r="L481">
            <v>6.2600000000000003E-2</v>
          </cell>
          <cell r="M481">
            <v>3.5999999999999997E-2</v>
          </cell>
        </row>
        <row r="482">
          <cell r="A482">
            <v>443610</v>
          </cell>
          <cell r="B482">
            <v>3118224436103</v>
          </cell>
          <cell r="C482" t="str">
            <v>13118224436100</v>
          </cell>
          <cell r="D482" t="str">
            <v>23118224436107</v>
          </cell>
          <cell r="E482" t="str">
            <v>BLOC MAGNETIQUE 5 COUTEAUX MANCHE NOIR</v>
          </cell>
          <cell r="F482">
            <v>6</v>
          </cell>
          <cell r="G482">
            <v>6</v>
          </cell>
          <cell r="H482">
            <v>62</v>
          </cell>
          <cell r="I482">
            <v>38</v>
          </cell>
          <cell r="J482">
            <v>51</v>
          </cell>
          <cell r="K482">
            <v>19.456</v>
          </cell>
          <cell r="L482">
            <v>3.2426666666666666</v>
          </cell>
          <cell r="M482">
            <v>0.12015599999999999</v>
          </cell>
        </row>
        <row r="483">
          <cell r="A483">
            <v>443620</v>
          </cell>
          <cell r="B483">
            <v>3118224436202</v>
          </cell>
          <cell r="C483" t="str">
            <v>13118224436209</v>
          </cell>
          <cell r="D483" t="str">
            <v>23118224436206</v>
          </cell>
          <cell r="E483" t="str">
            <v>BLOC MAGNETIQUE NOIR VIDE GM 24*22*19CM</v>
          </cell>
          <cell r="F483">
            <v>4</v>
          </cell>
          <cell r="G483">
            <v>4</v>
          </cell>
          <cell r="H483">
            <v>56</v>
          </cell>
          <cell r="I483">
            <v>41</v>
          </cell>
          <cell r="J483">
            <v>27</v>
          </cell>
          <cell r="K483">
            <v>7.476</v>
          </cell>
          <cell r="L483">
            <v>1.869</v>
          </cell>
          <cell r="M483">
            <v>6.1992000000000005E-2</v>
          </cell>
        </row>
        <row r="484">
          <cell r="A484">
            <v>443650</v>
          </cell>
          <cell r="B484">
            <v>3118224436509</v>
          </cell>
          <cell r="E484" t="str">
            <v>TUBO DE 6 STEAKS FURTIF LAME INOX MANCHE NOIR TB</v>
          </cell>
          <cell r="F484">
            <v>6</v>
          </cell>
          <cell r="G484">
            <v>6</v>
          </cell>
          <cell r="H484">
            <v>31</v>
          </cell>
          <cell r="I484">
            <v>29</v>
          </cell>
          <cell r="J484">
            <v>1.3</v>
          </cell>
          <cell r="K484">
            <v>2.762</v>
          </cell>
          <cell r="L484">
            <v>0.46033333333333332</v>
          </cell>
          <cell r="M484">
            <v>1.1687000000000002E-3</v>
          </cell>
        </row>
        <row r="485">
          <cell r="A485">
            <v>443660</v>
          </cell>
          <cell r="B485">
            <v>3118224436608</v>
          </cell>
          <cell r="E485" t="str">
            <v>COFFRET BOIS 6 STEAKS EXPRESSION</v>
          </cell>
          <cell r="F485">
            <v>6</v>
          </cell>
          <cell r="G485">
            <v>6</v>
          </cell>
          <cell r="H485">
            <v>28.5</v>
          </cell>
          <cell r="I485">
            <v>17.5</v>
          </cell>
          <cell r="J485">
            <v>20</v>
          </cell>
          <cell r="K485">
            <v>5.76</v>
          </cell>
          <cell r="L485">
            <v>0.96</v>
          </cell>
          <cell r="M485">
            <v>9.9749999999999995E-3</v>
          </cell>
        </row>
        <row r="486">
          <cell r="A486">
            <v>443670</v>
          </cell>
          <cell r="B486">
            <v>3118224436707</v>
          </cell>
          <cell r="C486" t="str">
            <v>13118224436704</v>
          </cell>
          <cell r="D486" t="str">
            <v>23118224436701</v>
          </cell>
          <cell r="E486" t="str">
            <v>COFFRET BOIS 6 STEAKS HERITAGE</v>
          </cell>
          <cell r="F486">
            <v>6</v>
          </cell>
          <cell r="G486">
            <v>6</v>
          </cell>
          <cell r="H486">
            <v>28.5</v>
          </cell>
          <cell r="I486">
            <v>17.5</v>
          </cell>
          <cell r="J486">
            <v>20</v>
          </cell>
          <cell r="K486">
            <v>7.44</v>
          </cell>
          <cell r="L486">
            <v>1.24</v>
          </cell>
          <cell r="M486">
            <v>9.9749999999999995E-3</v>
          </cell>
        </row>
        <row r="487">
          <cell r="A487">
            <v>443840</v>
          </cell>
          <cell r="B487">
            <v>3118224438404</v>
          </cell>
          <cell r="C487" t="str">
            <v>13118224438401</v>
          </cell>
          <cell r="D487" t="str">
            <v>23118224438408</v>
          </cell>
          <cell r="E487" t="str">
            <v>M16 LAG IVOIRE MI</v>
          </cell>
          <cell r="F487">
            <v>6</v>
          </cell>
          <cell r="G487">
            <v>6</v>
          </cell>
          <cell r="H487">
            <v>33.5</v>
          </cell>
          <cell r="I487">
            <v>29</v>
          </cell>
          <cell r="J487">
            <v>30</v>
          </cell>
          <cell r="K487">
            <v>5.0819999999999999</v>
          </cell>
          <cell r="L487">
            <v>0.84699999999999998</v>
          </cell>
          <cell r="M487">
            <v>2.9144999999999997E-2</v>
          </cell>
        </row>
        <row r="488">
          <cell r="A488">
            <v>443850</v>
          </cell>
          <cell r="B488">
            <v>3118224438503</v>
          </cell>
          <cell r="E488" t="str">
            <v>M16 LAG ABS MARBRE ROUGE MI</v>
          </cell>
          <cell r="F488">
            <v>6</v>
          </cell>
          <cell r="G488">
            <v>6</v>
          </cell>
          <cell r="H488">
            <v>33.5</v>
          </cell>
          <cell r="I488">
            <v>29</v>
          </cell>
          <cell r="J488">
            <v>29</v>
          </cell>
          <cell r="K488">
            <v>7.9859999999999998</v>
          </cell>
          <cell r="L488">
            <v>1.331</v>
          </cell>
          <cell r="M488">
            <v>2.8173499999999997E-2</v>
          </cell>
        </row>
        <row r="489">
          <cell r="A489">
            <v>443870</v>
          </cell>
          <cell r="B489">
            <v>3118224438701</v>
          </cell>
          <cell r="E489" t="str">
            <v>COFFRET BI MAT DE 6 STEAKS LAG SENS BRUME (VIOLET)</v>
          </cell>
          <cell r="F489">
            <v>6</v>
          </cell>
          <cell r="G489">
            <v>6</v>
          </cell>
          <cell r="H489">
            <v>28</v>
          </cell>
          <cell r="I489">
            <v>28</v>
          </cell>
          <cell r="J489">
            <v>24.5</v>
          </cell>
          <cell r="K489">
            <v>5.9809999999999999</v>
          </cell>
          <cell r="L489">
            <v>0.99683333333333335</v>
          </cell>
          <cell r="M489">
            <v>1.9208000000000003E-2</v>
          </cell>
        </row>
        <row r="490">
          <cell r="A490">
            <v>443871</v>
          </cell>
          <cell r="B490">
            <v>3118224438718</v>
          </cell>
          <cell r="E490" t="str">
            <v>COFFRET BI MAT DE 6 STEAKS LAG SENS STEPPE (KAKI)</v>
          </cell>
          <cell r="F490">
            <v>6</v>
          </cell>
          <cell r="G490">
            <v>6</v>
          </cell>
          <cell r="H490">
            <v>28</v>
          </cell>
          <cell r="I490">
            <v>28</v>
          </cell>
          <cell r="J490">
            <v>24.5</v>
          </cell>
          <cell r="K490">
            <v>5.9809999999999999</v>
          </cell>
          <cell r="L490">
            <v>0.99683333333333335</v>
          </cell>
          <cell r="M490">
            <v>1.9208000000000003E-2</v>
          </cell>
        </row>
        <row r="491">
          <cell r="A491">
            <v>443872</v>
          </cell>
          <cell r="B491">
            <v>3118224438725</v>
          </cell>
          <cell r="E491" t="str">
            <v>COFFRET BI MAT DE 6 STEAKS LAG SENS PETROLE (GRIS BLEU)</v>
          </cell>
          <cell r="F491">
            <v>6</v>
          </cell>
          <cell r="G491">
            <v>6</v>
          </cell>
          <cell r="H491">
            <v>28</v>
          </cell>
          <cell r="I491">
            <v>28</v>
          </cell>
          <cell r="J491">
            <v>24.5</v>
          </cell>
          <cell r="K491">
            <v>5.9809999999999999</v>
          </cell>
          <cell r="L491">
            <v>0.99683333333333335</v>
          </cell>
          <cell r="M491">
            <v>1.9208000000000003E-2</v>
          </cell>
        </row>
        <row r="492">
          <cell r="A492">
            <v>443880</v>
          </cell>
          <cell r="B492">
            <v>3118224438800</v>
          </cell>
          <cell r="C492" t="str">
            <v>13118224438807</v>
          </cell>
          <cell r="D492" t="str">
            <v>23118224438804</v>
          </cell>
          <cell r="E492" t="str">
            <v>COFFRET BI MAT 255 6 STEAKS ACIDULE BEE LAG TRANSP MULTIC</v>
          </cell>
          <cell r="F492">
            <v>6</v>
          </cell>
          <cell r="G492">
            <v>6</v>
          </cell>
          <cell r="H492">
            <v>28</v>
          </cell>
          <cell r="I492">
            <v>28</v>
          </cell>
          <cell r="J492">
            <v>24.5</v>
          </cell>
          <cell r="K492">
            <v>5.89</v>
          </cell>
          <cell r="L492">
            <v>0.98166666666666658</v>
          </cell>
          <cell r="M492">
            <v>1.9208000000000003E-2</v>
          </cell>
        </row>
        <row r="493">
          <cell r="A493">
            <v>443881</v>
          </cell>
          <cell r="B493">
            <v>3118224438817</v>
          </cell>
          <cell r="E493" t="str">
            <v>COFFRET BI MAT 6 STEAKS ACIDULE BEE LAG GRIS 430C</v>
          </cell>
          <cell r="F493">
            <v>6</v>
          </cell>
          <cell r="G493">
            <v>6</v>
          </cell>
          <cell r="H493">
            <v>28</v>
          </cell>
          <cell r="I493">
            <v>28</v>
          </cell>
          <cell r="J493">
            <v>24.5</v>
          </cell>
          <cell r="K493">
            <v>5.89</v>
          </cell>
          <cell r="L493">
            <v>0.98166666666666658</v>
          </cell>
          <cell r="M493">
            <v>1.9208000000000003E-2</v>
          </cell>
        </row>
        <row r="494">
          <cell r="A494">
            <v>443882</v>
          </cell>
          <cell r="B494">
            <v>3118224438824</v>
          </cell>
          <cell r="E494" t="str">
            <v>COFFRET BI MAT 6 STEAKS ACIDULE BEE LAG BLANC</v>
          </cell>
          <cell r="F494">
            <v>6</v>
          </cell>
          <cell r="G494">
            <v>6</v>
          </cell>
          <cell r="H494">
            <v>28</v>
          </cell>
          <cell r="I494">
            <v>28</v>
          </cell>
          <cell r="J494">
            <v>24.5</v>
          </cell>
          <cell r="K494">
            <v>5.89</v>
          </cell>
          <cell r="L494">
            <v>0.98166666666666658</v>
          </cell>
          <cell r="M494">
            <v>1.9208000000000003E-2</v>
          </cell>
        </row>
        <row r="495">
          <cell r="A495">
            <v>443886</v>
          </cell>
          <cell r="B495">
            <v>3118224438862</v>
          </cell>
          <cell r="E495" t="str">
            <v>COFFRET BI MAT 6 STEAKS ACIDULE BEE LAG NOIR CARBONE</v>
          </cell>
          <cell r="F495">
            <v>6</v>
          </cell>
          <cell r="G495">
            <v>6</v>
          </cell>
          <cell r="H495">
            <v>28</v>
          </cell>
          <cell r="I495">
            <v>28</v>
          </cell>
          <cell r="J495">
            <v>24.5</v>
          </cell>
          <cell r="K495">
            <v>5.89</v>
          </cell>
          <cell r="L495">
            <v>0.98166666666666658</v>
          </cell>
          <cell r="M495">
            <v>1.9208000000000003E-2</v>
          </cell>
        </row>
        <row r="496">
          <cell r="A496">
            <v>443920</v>
          </cell>
          <cell r="B496">
            <v>3118224439203</v>
          </cell>
          <cell r="C496" t="str">
            <v>13118224439200</v>
          </cell>
          <cell r="D496" t="str">
            <v>23118224439207</v>
          </cell>
          <cell r="E496" t="str">
            <v>AIGUISEUR DOUBLE DIAMANT 198*52*66MM  TB C SOUS BLISTER</v>
          </cell>
          <cell r="F496">
            <v>36</v>
          </cell>
          <cell r="G496">
            <v>6</v>
          </cell>
          <cell r="H496">
            <v>55</v>
          </cell>
          <cell r="I496">
            <v>35.5</v>
          </cell>
          <cell r="J496">
            <v>32</v>
          </cell>
          <cell r="K496">
            <v>7.8840000000000003</v>
          </cell>
          <cell r="L496">
            <v>0.219</v>
          </cell>
          <cell r="M496">
            <v>6.2480000000000008E-2</v>
          </cell>
        </row>
        <row r="497">
          <cell r="A497">
            <v>443930</v>
          </cell>
          <cell r="B497">
            <v>3118224439302</v>
          </cell>
          <cell r="C497" t="str">
            <v>13118224439309</v>
          </cell>
          <cell r="D497" t="str">
            <v>23118224439306</v>
          </cell>
          <cell r="E497" t="str">
            <v>BLOC MAGNETIQUE 5 COUTEAUX EXPRESSION</v>
          </cell>
          <cell r="F497">
            <v>4</v>
          </cell>
          <cell r="G497">
            <v>4</v>
          </cell>
          <cell r="H497">
            <v>60</v>
          </cell>
          <cell r="I497">
            <v>41.5</v>
          </cell>
          <cell r="J497">
            <v>36.5</v>
          </cell>
          <cell r="K497">
            <v>11.04</v>
          </cell>
          <cell r="L497">
            <v>2.76</v>
          </cell>
          <cell r="M497">
            <v>9.0884999999999994E-2</v>
          </cell>
        </row>
        <row r="498">
          <cell r="A498">
            <v>443940</v>
          </cell>
          <cell r="B498">
            <v>3118224439401</v>
          </cell>
          <cell r="C498" t="str">
            <v>13118224439408</v>
          </cell>
          <cell r="D498" t="str">
            <v>23118224439405</v>
          </cell>
          <cell r="E498" t="str">
            <v>BLOC MAGNETIQUE 6 STEAKS EXPRESSION</v>
          </cell>
          <cell r="F498">
            <v>8</v>
          </cell>
          <cell r="G498">
            <v>4</v>
          </cell>
          <cell r="H498">
            <v>51</v>
          </cell>
          <cell r="I498">
            <v>36.5</v>
          </cell>
          <cell r="J498">
            <v>30</v>
          </cell>
          <cell r="K498">
            <v>11.52</v>
          </cell>
          <cell r="L498">
            <v>1.44</v>
          </cell>
          <cell r="M498">
            <v>5.5845000000000006E-2</v>
          </cell>
        </row>
        <row r="499">
          <cell r="A499">
            <v>444050</v>
          </cell>
          <cell r="B499">
            <v>3118224440506</v>
          </cell>
          <cell r="C499" t="str">
            <v>13118224440503</v>
          </cell>
          <cell r="D499" t="str">
            <v>23118224440500</v>
          </cell>
          <cell r="E499" t="str">
            <v>FERMANT LAG EVOLUTION BOIS NOIR LAME NOIRE 10CM</v>
          </cell>
          <cell r="F499">
            <v>36</v>
          </cell>
          <cell r="G499">
            <v>6</v>
          </cell>
          <cell r="H499">
            <v>34</v>
          </cell>
          <cell r="I499">
            <v>31.5</v>
          </cell>
          <cell r="J499">
            <v>25.5</v>
          </cell>
          <cell r="K499">
            <v>13.68</v>
          </cell>
          <cell r="L499">
            <v>0.38</v>
          </cell>
          <cell r="M499">
            <v>2.7310500000000001E-2</v>
          </cell>
        </row>
        <row r="500">
          <cell r="A500">
            <v>444080</v>
          </cell>
          <cell r="B500">
            <v>3118224440803</v>
          </cell>
          <cell r="E500" t="str">
            <v>COFFRET 3 PCES CHEEKY TRANSLUCIDES CX-FETTE-CAFE</v>
          </cell>
          <cell r="F500">
            <v>6</v>
          </cell>
          <cell r="G500">
            <v>6</v>
          </cell>
          <cell r="H500">
            <v>44</v>
          </cell>
          <cell r="I500">
            <v>27</v>
          </cell>
          <cell r="J500">
            <v>29</v>
          </cell>
          <cell r="K500">
            <v>1.2</v>
          </cell>
          <cell r="L500">
            <v>0.19999999999999998</v>
          </cell>
          <cell r="M500">
            <v>3.4452000000000003E-2</v>
          </cell>
        </row>
        <row r="501">
          <cell r="A501">
            <v>444090</v>
          </cell>
          <cell r="B501">
            <v>3118224440902</v>
          </cell>
          <cell r="E501" t="str">
            <v>COFFRET 3 PCES CALINOU COUL ROSE JAUNE VERT</v>
          </cell>
          <cell r="F501">
            <v>6</v>
          </cell>
          <cell r="G501">
            <v>6</v>
          </cell>
          <cell r="H501">
            <v>24</v>
          </cell>
          <cell r="I501">
            <v>16.3</v>
          </cell>
          <cell r="J501">
            <v>20</v>
          </cell>
          <cell r="K501">
            <v>1.5</v>
          </cell>
          <cell r="L501">
            <v>0.25</v>
          </cell>
          <cell r="M501">
            <v>7.8239999999999994E-3</v>
          </cell>
        </row>
        <row r="502">
          <cell r="A502">
            <v>444260</v>
          </cell>
          <cell r="B502">
            <v>3118224442609</v>
          </cell>
          <cell r="E502" t="str">
            <v>M24 TROQUET AUBERGINE 513C POT PET</v>
          </cell>
          <cell r="F502">
            <v>9</v>
          </cell>
          <cell r="G502">
            <v>9</v>
          </cell>
          <cell r="H502">
            <v>28</v>
          </cell>
          <cell r="I502">
            <v>28</v>
          </cell>
          <cell r="J502">
            <v>24</v>
          </cell>
          <cell r="K502">
            <v>7.67</v>
          </cell>
          <cell r="L502">
            <v>0.85222222222222221</v>
          </cell>
          <cell r="M502">
            <v>1.8816000000000003E-2</v>
          </cell>
        </row>
        <row r="503">
          <cell r="A503">
            <v>444320</v>
          </cell>
          <cell r="B503">
            <v>3118224443200</v>
          </cell>
          <cell r="C503" t="str">
            <v>13118224443207</v>
          </cell>
          <cell r="D503" t="str">
            <v>23118224443204</v>
          </cell>
          <cell r="E503" t="str">
            <v>M24 TROQUET TURQUOISE 3125C POT PET</v>
          </cell>
          <cell r="F503">
            <v>9</v>
          </cell>
          <cell r="G503">
            <v>9</v>
          </cell>
          <cell r="H503">
            <v>28</v>
          </cell>
          <cell r="I503">
            <v>28</v>
          </cell>
          <cell r="J503">
            <v>24</v>
          </cell>
          <cell r="K503">
            <v>7.67</v>
          </cell>
          <cell r="L503">
            <v>0.85222222222222221</v>
          </cell>
          <cell r="M503">
            <v>1.8816000000000003E-2</v>
          </cell>
        </row>
        <row r="504">
          <cell r="A504">
            <v>444330</v>
          </cell>
          <cell r="B504">
            <v>3118224443309</v>
          </cell>
          <cell r="C504" t="str">
            <v>13118224443306</v>
          </cell>
          <cell r="D504" t="str">
            <v>23118224443303</v>
          </cell>
          <cell r="E504" t="str">
            <v>M16 ACIDULE BEE ROUGE FEU 185C</v>
          </cell>
          <cell r="F504">
            <v>3</v>
          </cell>
          <cell r="G504">
            <v>3</v>
          </cell>
          <cell r="H504">
            <v>26</v>
          </cell>
          <cell r="I504">
            <v>16.5</v>
          </cell>
          <cell r="J504">
            <v>30.5</v>
          </cell>
          <cell r="K504">
            <v>2.4870000000000001</v>
          </cell>
          <cell r="L504">
            <v>0.82900000000000007</v>
          </cell>
          <cell r="M504">
            <v>1.3084500000000001E-2</v>
          </cell>
        </row>
        <row r="505">
          <cell r="A505">
            <v>444331</v>
          </cell>
          <cell r="B505">
            <v>3118224443316</v>
          </cell>
          <cell r="E505" t="str">
            <v>M16 ACIDULE BEE BLANC GLACIER</v>
          </cell>
          <cell r="F505">
            <v>3</v>
          </cell>
          <cell r="G505">
            <v>3</v>
          </cell>
          <cell r="H505">
            <v>26</v>
          </cell>
          <cell r="I505">
            <v>16.5</v>
          </cell>
          <cell r="J505">
            <v>30.5</v>
          </cell>
          <cell r="K505">
            <v>2.4660000000000002</v>
          </cell>
          <cell r="L505">
            <v>0.82200000000000006</v>
          </cell>
          <cell r="M505">
            <v>1.3084500000000001E-2</v>
          </cell>
        </row>
        <row r="506">
          <cell r="A506">
            <v>444333</v>
          </cell>
          <cell r="B506">
            <v>3118224443330</v>
          </cell>
          <cell r="C506" t="str">
            <v>13118224443337</v>
          </cell>
          <cell r="D506" t="str">
            <v>23118224443334</v>
          </cell>
          <cell r="E506" t="str">
            <v>M16 ACIDULE BEE NOIR CARBONE EN BOITE LAGUIOLE BLEUE</v>
          </cell>
          <cell r="F506">
            <v>3</v>
          </cell>
          <cell r="G506">
            <v>3</v>
          </cell>
          <cell r="H506">
            <v>26</v>
          </cell>
          <cell r="I506">
            <v>16.5</v>
          </cell>
          <cell r="J506">
            <v>30.5</v>
          </cell>
          <cell r="K506">
            <v>2.4689999999999999</v>
          </cell>
          <cell r="L506">
            <v>0.82299999999999995</v>
          </cell>
          <cell r="M506">
            <v>1.3084500000000001E-2</v>
          </cell>
        </row>
        <row r="507">
          <cell r="A507">
            <v>444440</v>
          </cell>
          <cell r="B507">
            <v>3118224444405</v>
          </cell>
          <cell r="C507" t="str">
            <v>13118224444402</v>
          </cell>
          <cell r="D507" t="str">
            <v>23118224444409</v>
          </cell>
          <cell r="E507" t="str">
            <v>COUTEAU ACIDULE BEE ROUGE 185C +GENCOD</v>
          </cell>
          <cell r="F507">
            <v>144</v>
          </cell>
          <cell r="G507">
            <v>6</v>
          </cell>
          <cell r="H507">
            <v>26</v>
          </cell>
          <cell r="I507">
            <v>26</v>
          </cell>
          <cell r="J507">
            <v>27</v>
          </cell>
          <cell r="K507">
            <v>6.9119999999999999</v>
          </cell>
          <cell r="L507">
            <v>4.8000000000000001E-2</v>
          </cell>
          <cell r="M507">
            <v>1.8251999999999997E-2</v>
          </cell>
        </row>
        <row r="508">
          <cell r="A508">
            <v>444441</v>
          </cell>
          <cell r="B508">
            <v>3118224444412</v>
          </cell>
          <cell r="E508" t="str">
            <v>COUTEAU ACIDULE BEE GRIS 430C +GENCOD</v>
          </cell>
          <cell r="F508">
            <v>144</v>
          </cell>
          <cell r="G508">
            <v>6</v>
          </cell>
          <cell r="H508">
            <v>26.5</v>
          </cell>
          <cell r="I508">
            <v>26.5</v>
          </cell>
          <cell r="J508">
            <v>27.5</v>
          </cell>
          <cell r="K508">
            <v>7.1589999999999998</v>
          </cell>
          <cell r="L508">
            <v>4.9715277777777775E-2</v>
          </cell>
          <cell r="M508">
            <v>1.9311874999999999E-2</v>
          </cell>
        </row>
        <row r="509">
          <cell r="A509">
            <v>444442</v>
          </cell>
          <cell r="B509">
            <v>3118224444429</v>
          </cell>
          <cell r="C509" t="str">
            <v>13118224444426</v>
          </cell>
          <cell r="D509" t="str">
            <v>23118224444423</v>
          </cell>
          <cell r="E509" t="str">
            <v>COUTEAU ACIDULE BEE BLANC +GENCOD</v>
          </cell>
          <cell r="F509">
            <v>144</v>
          </cell>
          <cell r="G509">
            <v>6</v>
          </cell>
          <cell r="H509">
            <v>26.5</v>
          </cell>
          <cell r="I509">
            <v>26.5</v>
          </cell>
          <cell r="J509">
            <v>27.5</v>
          </cell>
          <cell r="K509">
            <v>6.048</v>
          </cell>
          <cell r="L509">
            <v>4.2000000000000003E-2</v>
          </cell>
          <cell r="M509">
            <v>1.9311874999999999E-2</v>
          </cell>
        </row>
        <row r="510">
          <cell r="A510">
            <v>444444</v>
          </cell>
          <cell r="B510">
            <v>3118224444443</v>
          </cell>
          <cell r="E510" t="str">
            <v>COUTEAU ACIDULE BEE TURQUOISE 3135C +GENCOD</v>
          </cell>
          <cell r="F510">
            <v>144</v>
          </cell>
          <cell r="G510">
            <v>6</v>
          </cell>
          <cell r="H510">
            <v>26.5</v>
          </cell>
          <cell r="I510">
            <v>26.5</v>
          </cell>
          <cell r="J510">
            <v>27.5</v>
          </cell>
          <cell r="K510">
            <v>6.84</v>
          </cell>
          <cell r="L510">
            <v>4.7500000000000001E-2</v>
          </cell>
          <cell r="M510">
            <v>1.9311874999999999E-2</v>
          </cell>
        </row>
        <row r="511">
          <cell r="A511">
            <v>444446</v>
          </cell>
          <cell r="B511">
            <v>3118224444467</v>
          </cell>
          <cell r="C511" t="str">
            <v>13118224444464</v>
          </cell>
          <cell r="D511" t="str">
            <v>23118224444461</v>
          </cell>
          <cell r="E511" t="str">
            <v>COUTEAU ACIDULE BEE VIOLET 2597C +GENCOD</v>
          </cell>
          <cell r="F511">
            <v>144</v>
          </cell>
          <cell r="G511">
            <v>6</v>
          </cell>
          <cell r="H511">
            <v>26.5</v>
          </cell>
          <cell r="I511">
            <v>26.5</v>
          </cell>
          <cell r="J511">
            <v>27.5</v>
          </cell>
          <cell r="K511">
            <v>7.1589999999999998</v>
          </cell>
          <cell r="L511">
            <v>4.9715277777777775E-2</v>
          </cell>
          <cell r="M511">
            <v>1.9311874999999999E-2</v>
          </cell>
        </row>
        <row r="512">
          <cell r="A512">
            <v>444448</v>
          </cell>
          <cell r="B512">
            <v>3118224444481</v>
          </cell>
          <cell r="E512" t="str">
            <v>COUTEAU ACIDULE BEE ANIS 583C +GENCOD</v>
          </cell>
          <cell r="F512">
            <v>144</v>
          </cell>
          <cell r="G512">
            <v>6</v>
          </cell>
          <cell r="H512">
            <v>26.5</v>
          </cell>
          <cell r="I512">
            <v>26.5</v>
          </cell>
          <cell r="J512">
            <v>27.5</v>
          </cell>
          <cell r="K512">
            <v>7.6319999999999997</v>
          </cell>
          <cell r="L512">
            <v>5.2999999999999999E-2</v>
          </cell>
          <cell r="M512">
            <v>1.9311874999999999E-2</v>
          </cell>
        </row>
        <row r="513">
          <cell r="A513">
            <v>444449</v>
          </cell>
          <cell r="B513">
            <v>3118224444498</v>
          </cell>
          <cell r="C513" t="str">
            <v>13118224444495</v>
          </cell>
          <cell r="D513" t="str">
            <v>23118224444492</v>
          </cell>
          <cell r="E513" t="str">
            <v>COUTEAU ACIDULE BEE NOIR CARBONE +GENCOD</v>
          </cell>
          <cell r="F513">
            <v>144</v>
          </cell>
          <cell r="G513">
            <v>6</v>
          </cell>
          <cell r="H513">
            <v>26.5</v>
          </cell>
          <cell r="I513">
            <v>26.5</v>
          </cell>
          <cell r="J513">
            <v>27.5</v>
          </cell>
          <cell r="K513">
            <v>6.048</v>
          </cell>
          <cell r="L513">
            <v>4.2000000000000003E-2</v>
          </cell>
          <cell r="M513">
            <v>1.9311874999999999E-2</v>
          </cell>
        </row>
        <row r="514">
          <cell r="A514">
            <v>444450</v>
          </cell>
          <cell r="B514">
            <v>3118224444504</v>
          </cell>
          <cell r="C514" t="str">
            <v>13118224444501</v>
          </cell>
          <cell r="D514" t="str">
            <v>23118224444508</v>
          </cell>
          <cell r="E514" t="str">
            <v>FOURCHETTE ACIDULE BEE ROUGE 185C +GENCOD</v>
          </cell>
          <cell r="F514">
            <v>144</v>
          </cell>
          <cell r="G514">
            <v>6</v>
          </cell>
          <cell r="H514">
            <v>29</v>
          </cell>
          <cell r="I514">
            <v>25</v>
          </cell>
          <cell r="J514">
            <v>26</v>
          </cell>
          <cell r="K514">
            <v>7.6319999999999997</v>
          </cell>
          <cell r="L514">
            <v>5.2999999999999999E-2</v>
          </cell>
          <cell r="M514">
            <v>1.8849999999999999E-2</v>
          </cell>
        </row>
        <row r="515">
          <cell r="A515">
            <v>444451</v>
          </cell>
          <cell r="B515">
            <v>3118224444511</v>
          </cell>
          <cell r="E515" t="str">
            <v>FOURCHETTE ACIDULE BEE GRIS 430C +GENCOD</v>
          </cell>
          <cell r="F515">
            <v>144</v>
          </cell>
          <cell r="G515">
            <v>6</v>
          </cell>
          <cell r="H515">
            <v>29</v>
          </cell>
          <cell r="I515">
            <v>25</v>
          </cell>
          <cell r="J515">
            <v>26</v>
          </cell>
          <cell r="K515">
            <v>8.2149999999999999</v>
          </cell>
          <cell r="L515">
            <v>5.7048611111111112E-2</v>
          </cell>
          <cell r="M515">
            <v>1.8849999999999999E-2</v>
          </cell>
        </row>
        <row r="516">
          <cell r="A516">
            <v>444452</v>
          </cell>
          <cell r="B516">
            <v>3118224444528</v>
          </cell>
          <cell r="C516" t="str">
            <v>13118224444525</v>
          </cell>
          <cell r="D516" t="str">
            <v>23118224444522</v>
          </cell>
          <cell r="E516" t="str">
            <v>FOURCHETTE ACIDULE BEE BLANC +GENCOD</v>
          </cell>
          <cell r="F516">
            <v>144</v>
          </cell>
          <cell r="G516">
            <v>6</v>
          </cell>
          <cell r="H516">
            <v>29</v>
          </cell>
          <cell r="I516">
            <v>25</v>
          </cell>
          <cell r="J516">
            <v>26</v>
          </cell>
          <cell r="K516">
            <v>7.3440000000000003</v>
          </cell>
          <cell r="L516">
            <v>5.1000000000000004E-2</v>
          </cell>
          <cell r="M516">
            <v>1.8849999999999999E-2</v>
          </cell>
        </row>
        <row r="517">
          <cell r="A517">
            <v>444454</v>
          </cell>
          <cell r="B517">
            <v>3118224444542</v>
          </cell>
          <cell r="E517" t="str">
            <v>FOURCHETTE ACIDULE BEE TURQUOISE 3135C +GENCOD</v>
          </cell>
          <cell r="F517">
            <v>144</v>
          </cell>
          <cell r="G517">
            <v>6</v>
          </cell>
          <cell r="H517">
            <v>29</v>
          </cell>
          <cell r="I517">
            <v>25</v>
          </cell>
          <cell r="J517">
            <v>26</v>
          </cell>
          <cell r="K517">
            <v>8.2149999999999999</v>
          </cell>
          <cell r="L517">
            <v>5.7048611111111112E-2</v>
          </cell>
          <cell r="M517">
            <v>1.8849999999999999E-2</v>
          </cell>
        </row>
        <row r="518">
          <cell r="A518">
            <v>444456</v>
          </cell>
          <cell r="B518">
            <v>3118224444566</v>
          </cell>
          <cell r="C518" t="str">
            <v>13118224444563</v>
          </cell>
          <cell r="D518" t="str">
            <v>23118224444560</v>
          </cell>
          <cell r="E518" t="str">
            <v>FOURCHETTE ACIDULE BEE VIOLET 2597C +GENCOD</v>
          </cell>
          <cell r="F518">
            <v>144</v>
          </cell>
          <cell r="G518">
            <v>6</v>
          </cell>
          <cell r="H518">
            <v>29</v>
          </cell>
          <cell r="I518">
            <v>25</v>
          </cell>
          <cell r="J518">
            <v>26</v>
          </cell>
          <cell r="K518">
            <v>8.2149999999999999</v>
          </cell>
          <cell r="L518">
            <v>5.7048611111111112E-2</v>
          </cell>
          <cell r="M518">
            <v>1.8849999999999999E-2</v>
          </cell>
        </row>
        <row r="519">
          <cell r="A519">
            <v>444458</v>
          </cell>
          <cell r="B519">
            <v>3118224444580</v>
          </cell>
          <cell r="E519" t="str">
            <v>FOURCHETTE ACIDULE BEE ANIS 583C +GENCOD</v>
          </cell>
          <cell r="F519">
            <v>144</v>
          </cell>
          <cell r="G519">
            <v>6</v>
          </cell>
          <cell r="H519">
            <v>29</v>
          </cell>
          <cell r="I519">
            <v>25</v>
          </cell>
          <cell r="J519">
            <v>26</v>
          </cell>
          <cell r="K519">
            <v>7.2240000000000002</v>
          </cell>
          <cell r="L519">
            <v>5.0166666666666665E-2</v>
          </cell>
          <cell r="M519">
            <v>1.8849999999999999E-2</v>
          </cell>
        </row>
        <row r="520">
          <cell r="A520">
            <v>444459</v>
          </cell>
          <cell r="B520">
            <v>3118224444597</v>
          </cell>
          <cell r="C520" t="str">
            <v>13118224444594</v>
          </cell>
          <cell r="D520" t="str">
            <v>23118224444591</v>
          </cell>
          <cell r="E520" t="str">
            <v>FOURCHETTE ACIDULE BEE NOIR CARBONE +GENCOD</v>
          </cell>
          <cell r="F520">
            <v>144</v>
          </cell>
          <cell r="G520">
            <v>6</v>
          </cell>
          <cell r="H520">
            <v>29</v>
          </cell>
          <cell r="I520">
            <v>25</v>
          </cell>
          <cell r="J520">
            <v>26</v>
          </cell>
          <cell r="K520">
            <v>7.3440000000000003</v>
          </cell>
          <cell r="L520">
            <v>5.1000000000000004E-2</v>
          </cell>
          <cell r="M520">
            <v>1.8849999999999999E-2</v>
          </cell>
        </row>
        <row r="521">
          <cell r="A521">
            <v>444460</v>
          </cell>
          <cell r="B521">
            <v>3118224444603</v>
          </cell>
          <cell r="C521" t="str">
            <v>13118224444600</v>
          </cell>
          <cell r="D521" t="str">
            <v>23118224444607</v>
          </cell>
          <cell r="E521" t="str">
            <v>CUILLERE ACIDULE BEE ROUGE 185C+GENCOD</v>
          </cell>
          <cell r="F521">
            <v>144</v>
          </cell>
          <cell r="G521">
            <v>6</v>
          </cell>
          <cell r="H521">
            <v>23</v>
          </cell>
          <cell r="I521">
            <v>25</v>
          </cell>
          <cell r="J521">
            <v>26</v>
          </cell>
          <cell r="K521">
            <v>9.3670000000000009</v>
          </cell>
          <cell r="L521">
            <v>6.5048611111111113E-2</v>
          </cell>
          <cell r="M521">
            <v>1.4950000000000001E-2</v>
          </cell>
        </row>
        <row r="522">
          <cell r="A522">
            <v>444461</v>
          </cell>
          <cell r="B522">
            <v>3118224444610</v>
          </cell>
          <cell r="E522" t="str">
            <v>CUILLERE ACIDULE BEE GRIS 430C +GENCOD</v>
          </cell>
          <cell r="F522">
            <v>144</v>
          </cell>
          <cell r="G522">
            <v>6</v>
          </cell>
          <cell r="H522">
            <v>23</v>
          </cell>
          <cell r="I522">
            <v>25</v>
          </cell>
          <cell r="J522">
            <v>26</v>
          </cell>
          <cell r="K522">
            <v>8.3040000000000003</v>
          </cell>
          <cell r="L522">
            <v>5.7666666666666672E-2</v>
          </cell>
          <cell r="M522">
            <v>1.4950000000000001E-2</v>
          </cell>
        </row>
        <row r="523">
          <cell r="A523">
            <v>444462</v>
          </cell>
          <cell r="B523">
            <v>3118224444627</v>
          </cell>
          <cell r="C523" t="str">
            <v>13118224444624</v>
          </cell>
          <cell r="D523" t="str">
            <v>23118224444621</v>
          </cell>
          <cell r="E523" t="str">
            <v>CUILLERE ACIDULE BEE BLANC +GENCOD</v>
          </cell>
          <cell r="F523">
            <v>144</v>
          </cell>
          <cell r="G523">
            <v>6</v>
          </cell>
          <cell r="H523">
            <v>23</v>
          </cell>
          <cell r="I523">
            <v>25</v>
          </cell>
          <cell r="J523">
            <v>26</v>
          </cell>
          <cell r="K523">
            <v>8.64</v>
          </cell>
          <cell r="L523">
            <v>6.0000000000000005E-2</v>
          </cell>
          <cell r="M523">
            <v>1.4950000000000001E-2</v>
          </cell>
        </row>
        <row r="524">
          <cell r="A524">
            <v>444464</v>
          </cell>
          <cell r="B524">
            <v>3118224444641</v>
          </cell>
          <cell r="E524" t="str">
            <v>CUILLERE ACIDULE BEE TURQUOISE 3135C +GENCOD</v>
          </cell>
          <cell r="F524">
            <v>144</v>
          </cell>
          <cell r="G524">
            <v>6</v>
          </cell>
          <cell r="H524">
            <v>23</v>
          </cell>
          <cell r="I524">
            <v>25</v>
          </cell>
          <cell r="J524">
            <v>26</v>
          </cell>
          <cell r="K524">
            <v>8.8800000000000008</v>
          </cell>
          <cell r="L524">
            <v>6.1666666666666675E-2</v>
          </cell>
          <cell r="M524">
            <v>1.4950000000000001E-2</v>
          </cell>
        </row>
        <row r="525">
          <cell r="A525">
            <v>444466</v>
          </cell>
          <cell r="B525">
            <v>3118224444665</v>
          </cell>
          <cell r="C525" t="str">
            <v>13118224444662</v>
          </cell>
          <cell r="D525" t="str">
            <v>23118224444669</v>
          </cell>
          <cell r="E525" t="str">
            <v>CUILLERE ACIDULE BEE VIOLET 2597C +GENCOD</v>
          </cell>
          <cell r="F525">
            <v>144</v>
          </cell>
          <cell r="G525">
            <v>6</v>
          </cell>
          <cell r="H525">
            <v>23</v>
          </cell>
          <cell r="I525">
            <v>25</v>
          </cell>
          <cell r="J525">
            <v>26</v>
          </cell>
          <cell r="K525">
            <v>9.3670000000000009</v>
          </cell>
          <cell r="L525">
            <v>6.5048611111111113E-2</v>
          </cell>
          <cell r="M525">
            <v>1.4950000000000001E-2</v>
          </cell>
        </row>
        <row r="526">
          <cell r="A526">
            <v>444468</v>
          </cell>
          <cell r="B526">
            <v>3118224444689</v>
          </cell>
          <cell r="E526" t="str">
            <v>CUILLERE ACIDULE BEE ANIS 583C +GENCOD</v>
          </cell>
          <cell r="F526">
            <v>144</v>
          </cell>
          <cell r="G526">
            <v>6</v>
          </cell>
          <cell r="H526">
            <v>23</v>
          </cell>
          <cell r="I526">
            <v>25</v>
          </cell>
          <cell r="J526">
            <v>26</v>
          </cell>
          <cell r="K526">
            <v>9.3670000000000009</v>
          </cell>
          <cell r="L526">
            <v>6.5048611111111113E-2</v>
          </cell>
          <cell r="M526">
            <v>1.4950000000000001E-2</v>
          </cell>
        </row>
        <row r="527">
          <cell r="A527">
            <v>444469</v>
          </cell>
          <cell r="B527">
            <v>3118224444696</v>
          </cell>
          <cell r="C527" t="str">
            <v>13118224444693</v>
          </cell>
          <cell r="D527" t="str">
            <v>23118224444690</v>
          </cell>
          <cell r="E527" t="str">
            <v>CUILLERE ACIDULE BEE NOIR CARBONE +GENCOD</v>
          </cell>
          <cell r="F527">
            <v>144</v>
          </cell>
          <cell r="G527">
            <v>6</v>
          </cell>
          <cell r="H527">
            <v>23</v>
          </cell>
          <cell r="I527">
            <v>25</v>
          </cell>
          <cell r="J527">
            <v>26</v>
          </cell>
          <cell r="K527">
            <v>8.64</v>
          </cell>
          <cell r="L527">
            <v>6.0000000000000005E-2</v>
          </cell>
          <cell r="M527">
            <v>1.4950000000000001E-2</v>
          </cell>
        </row>
        <row r="528">
          <cell r="A528">
            <v>444470</v>
          </cell>
          <cell r="B528">
            <v>3118224444702</v>
          </cell>
          <cell r="C528" t="str">
            <v>13118224444709</v>
          </cell>
          <cell r="D528" t="str">
            <v>23118224444706</v>
          </cell>
          <cell r="E528" t="str">
            <v>CAFE ACIDULE BEE ROUGE 185C +GENCOD</v>
          </cell>
          <cell r="F528">
            <v>144</v>
          </cell>
          <cell r="G528">
            <v>6</v>
          </cell>
          <cell r="H528">
            <v>28.5</v>
          </cell>
          <cell r="I528">
            <v>20.5</v>
          </cell>
          <cell r="J528">
            <v>23</v>
          </cell>
          <cell r="K528">
            <v>3.6</v>
          </cell>
          <cell r="L528">
            <v>2.5000000000000001E-2</v>
          </cell>
          <cell r="M528">
            <v>1.3437749999999997E-2</v>
          </cell>
        </row>
        <row r="529">
          <cell r="A529">
            <v>444471</v>
          </cell>
          <cell r="B529">
            <v>3118224444719</v>
          </cell>
          <cell r="E529" t="str">
            <v>CAFE ACIDULE BEE GRIS 430C+GENCOD</v>
          </cell>
          <cell r="F529">
            <v>144</v>
          </cell>
          <cell r="G529">
            <v>6</v>
          </cell>
          <cell r="H529">
            <v>28.5</v>
          </cell>
          <cell r="I529">
            <v>20.5</v>
          </cell>
          <cell r="J529">
            <v>23</v>
          </cell>
          <cell r="K529">
            <v>2.448</v>
          </cell>
          <cell r="L529">
            <v>1.7000000000000001E-2</v>
          </cell>
          <cell r="M529">
            <v>1.3437749999999997E-2</v>
          </cell>
        </row>
        <row r="530">
          <cell r="A530">
            <v>444472</v>
          </cell>
          <cell r="B530">
            <v>3118224444726</v>
          </cell>
          <cell r="C530" t="str">
            <v>13118224444723</v>
          </cell>
          <cell r="D530" t="str">
            <v>23118224444720</v>
          </cell>
          <cell r="E530" t="str">
            <v>CAFE ACIDULE BEE BLANC +GENCOD</v>
          </cell>
          <cell r="F530">
            <v>144</v>
          </cell>
          <cell r="G530">
            <v>6</v>
          </cell>
          <cell r="H530">
            <v>28.5</v>
          </cell>
          <cell r="I530">
            <v>20.5</v>
          </cell>
          <cell r="J530">
            <v>23</v>
          </cell>
          <cell r="K530">
            <v>3.7440000000000002</v>
          </cell>
          <cell r="L530">
            <v>2.6000000000000002E-2</v>
          </cell>
          <cell r="M530">
            <v>1.3437749999999997E-2</v>
          </cell>
        </row>
        <row r="531">
          <cell r="A531">
            <v>444474</v>
          </cell>
          <cell r="B531">
            <v>3118224444740</v>
          </cell>
          <cell r="E531" t="str">
            <v>CAFE ACIDULE BEE TURQUOISE 3135C +GENCOD</v>
          </cell>
          <cell r="F531">
            <v>144</v>
          </cell>
          <cell r="G531">
            <v>6</v>
          </cell>
          <cell r="H531">
            <v>28.5</v>
          </cell>
          <cell r="I531">
            <v>20.5</v>
          </cell>
          <cell r="J531">
            <v>23</v>
          </cell>
          <cell r="K531">
            <v>4.5209999999999999</v>
          </cell>
          <cell r="L531">
            <v>3.1395833333333331E-2</v>
          </cell>
          <cell r="M531">
            <v>1.3437749999999997E-2</v>
          </cell>
        </row>
        <row r="532">
          <cell r="A532">
            <v>444476</v>
          </cell>
          <cell r="B532">
            <v>3118224444764</v>
          </cell>
          <cell r="C532" t="str">
            <v>13118224444761</v>
          </cell>
          <cell r="D532" t="str">
            <v>23118224444768</v>
          </cell>
          <cell r="E532" t="str">
            <v>CAFE ACIDULE BEE VIOLET 2597C +GENCOD</v>
          </cell>
          <cell r="F532">
            <v>144</v>
          </cell>
          <cell r="G532">
            <v>6</v>
          </cell>
          <cell r="H532">
            <v>28.5</v>
          </cell>
          <cell r="I532">
            <v>20.5</v>
          </cell>
          <cell r="J532">
            <v>23</v>
          </cell>
          <cell r="K532">
            <v>4.5209999999999999</v>
          </cell>
          <cell r="L532">
            <v>3.1395833333333331E-2</v>
          </cell>
          <cell r="M532">
            <v>1.3437749999999997E-2</v>
          </cell>
        </row>
        <row r="533">
          <cell r="A533">
            <v>444478</v>
          </cell>
          <cell r="B533">
            <v>3118224444788</v>
          </cell>
          <cell r="E533" t="str">
            <v>CAFE ACIDULE BEE ANIS 583C +GENCOD</v>
          </cell>
          <cell r="F533">
            <v>144</v>
          </cell>
          <cell r="G533">
            <v>6</v>
          </cell>
          <cell r="H533">
            <v>28.5</v>
          </cell>
          <cell r="I533">
            <v>20.5</v>
          </cell>
          <cell r="J533">
            <v>23</v>
          </cell>
          <cell r="K533">
            <v>4.5209999999999999</v>
          </cell>
          <cell r="L533">
            <v>3.1395833333333331E-2</v>
          </cell>
          <cell r="M533">
            <v>1.3437749999999997E-2</v>
          </cell>
        </row>
        <row r="534">
          <cell r="A534">
            <v>444479</v>
          </cell>
          <cell r="B534">
            <v>3118224444795</v>
          </cell>
          <cell r="C534" t="str">
            <v>13118224444792</v>
          </cell>
          <cell r="D534" t="str">
            <v>23118224444799</v>
          </cell>
          <cell r="E534" t="str">
            <v>CAFE ACIDULE BEE NOIR CARBONE +GENCOD</v>
          </cell>
          <cell r="F534">
            <v>144</v>
          </cell>
          <cell r="G534">
            <v>6</v>
          </cell>
          <cell r="H534">
            <v>28.5</v>
          </cell>
          <cell r="I534">
            <v>20.5</v>
          </cell>
          <cell r="J534">
            <v>23</v>
          </cell>
          <cell r="K534">
            <v>3.504</v>
          </cell>
          <cell r="L534">
            <v>2.4333333333333332E-2</v>
          </cell>
          <cell r="M534">
            <v>1.3437749999999997E-2</v>
          </cell>
        </row>
        <row r="535">
          <cell r="A535">
            <v>444490</v>
          </cell>
          <cell r="B535">
            <v>3118224444900</v>
          </cell>
          <cell r="E535" t="str">
            <v>PAIN POLYPRO FX COUTEAU DU CHEF</v>
          </cell>
          <cell r="F535">
            <v>90</v>
          </cell>
          <cell r="G535">
            <v>6</v>
          </cell>
          <cell r="H535">
            <v>43</v>
          </cell>
          <cell r="I535">
            <v>28</v>
          </cell>
          <cell r="J535">
            <v>29</v>
          </cell>
          <cell r="K535">
            <v>14.622</v>
          </cell>
          <cell r="L535">
            <v>0.16246666666666668</v>
          </cell>
          <cell r="M535">
            <v>3.4915999999999996E-2</v>
          </cell>
        </row>
        <row r="536">
          <cell r="A536">
            <v>444492</v>
          </cell>
          <cell r="B536">
            <v>5414663364280</v>
          </cell>
          <cell r="E536" t="str">
            <v>PAIN POLYPRO/FX CORA</v>
          </cell>
          <cell r="F536">
            <v>90</v>
          </cell>
          <cell r="G536">
            <v>6</v>
          </cell>
          <cell r="H536">
            <v>43</v>
          </cell>
          <cell r="I536">
            <v>28</v>
          </cell>
          <cell r="J536">
            <v>29</v>
          </cell>
          <cell r="K536">
            <v>14.73</v>
          </cell>
          <cell r="L536">
            <v>0.16366666666666668</v>
          </cell>
          <cell r="M536">
            <v>3.4915999999999996E-2</v>
          </cell>
        </row>
        <row r="537">
          <cell r="A537">
            <v>444495</v>
          </cell>
          <cell r="B537">
            <v>3118224444955</v>
          </cell>
          <cell r="E537" t="str">
            <v>CUISINE 16 POLYPRO FX COUTEAU DU CHEF</v>
          </cell>
          <cell r="F537">
            <v>90</v>
          </cell>
          <cell r="G537">
            <v>6</v>
          </cell>
          <cell r="H537">
            <v>40</v>
          </cell>
          <cell r="I537">
            <v>30</v>
          </cell>
          <cell r="J537">
            <v>20</v>
          </cell>
          <cell r="K537">
            <v>11.52</v>
          </cell>
          <cell r="L537">
            <v>0.128</v>
          </cell>
          <cell r="M537">
            <v>2.4E-2</v>
          </cell>
        </row>
        <row r="538">
          <cell r="A538">
            <v>444500</v>
          </cell>
          <cell r="B538">
            <v>3118224445006</v>
          </cell>
          <cell r="E538" t="str">
            <v>STEAK POLYPRO FX COUTEAU DU CHEF</v>
          </cell>
          <cell r="F538">
            <v>150</v>
          </cell>
          <cell r="G538">
            <v>6</v>
          </cell>
          <cell r="H538">
            <v>40</v>
          </cell>
          <cell r="I538">
            <v>30</v>
          </cell>
          <cell r="J538">
            <v>20</v>
          </cell>
          <cell r="K538">
            <v>9.15</v>
          </cell>
          <cell r="L538">
            <v>6.1000000000000006E-2</v>
          </cell>
          <cell r="M538">
            <v>2.4E-2</v>
          </cell>
        </row>
        <row r="539">
          <cell r="A539">
            <v>444505</v>
          </cell>
          <cell r="B539">
            <v>3118224445051</v>
          </cell>
          <cell r="E539" t="str">
            <v>FRUIT/LEG 14 POLYPRO FX COUTEAU DU CHEF</v>
          </cell>
          <cell r="F539">
            <v>90</v>
          </cell>
          <cell r="G539">
            <v>6</v>
          </cell>
          <cell r="H539">
            <v>40</v>
          </cell>
          <cell r="I539">
            <v>30</v>
          </cell>
          <cell r="J539">
            <v>20</v>
          </cell>
          <cell r="K539">
            <v>11.49</v>
          </cell>
          <cell r="L539">
            <v>0.12766666666666668</v>
          </cell>
          <cell r="M539">
            <v>2.4E-2</v>
          </cell>
        </row>
        <row r="540">
          <cell r="A540">
            <v>444510</v>
          </cell>
          <cell r="B540">
            <v>3118224445105</v>
          </cell>
          <cell r="E540" t="str">
            <v>COFFRET CERAMIQUE 1 OFFICE 75MM+1 CHEF 15 LAME NOIRE</v>
          </cell>
          <cell r="F540">
            <v>18</v>
          </cell>
          <cell r="G540">
            <v>3</v>
          </cell>
          <cell r="H540">
            <v>44</v>
          </cell>
          <cell r="I540">
            <v>51</v>
          </cell>
          <cell r="J540">
            <v>24</v>
          </cell>
          <cell r="K540">
            <v>4.5179999999999998</v>
          </cell>
          <cell r="L540">
            <v>0.251</v>
          </cell>
          <cell r="M540">
            <v>5.3856000000000001E-2</v>
          </cell>
        </row>
        <row r="541">
          <cell r="A541">
            <v>444520</v>
          </cell>
          <cell r="B541">
            <v>3118224445204</v>
          </cell>
          <cell r="E541" t="str">
            <v>COFFRET CERAMIQUE STEAK 95MM LAME NOIRE</v>
          </cell>
          <cell r="F541">
            <v>18</v>
          </cell>
          <cell r="G541">
            <v>3</v>
          </cell>
          <cell r="H541">
            <v>31.5</v>
          </cell>
          <cell r="I541">
            <v>29</v>
          </cell>
          <cell r="J541">
            <v>25</v>
          </cell>
          <cell r="K541">
            <v>1.728</v>
          </cell>
          <cell r="L541">
            <v>9.6000000000000002E-2</v>
          </cell>
          <cell r="M541">
            <v>2.28375E-2</v>
          </cell>
        </row>
        <row r="542">
          <cell r="A542">
            <v>444525</v>
          </cell>
          <cell r="B542">
            <v>3118224445259</v>
          </cell>
          <cell r="E542" t="str">
            <v>COFFRET CERAMIQUE STEAK 95MM LAME NOIRE MARQUE TB</v>
          </cell>
          <cell r="F542">
            <v>18</v>
          </cell>
          <cell r="G542">
            <v>3</v>
          </cell>
          <cell r="H542">
            <v>31.5</v>
          </cell>
          <cell r="I542">
            <v>29</v>
          </cell>
          <cell r="J542">
            <v>25</v>
          </cell>
          <cell r="K542">
            <v>2.2040000000000002</v>
          </cell>
          <cell r="L542">
            <v>0.12244444444444445</v>
          </cell>
          <cell r="M542">
            <v>2.28375E-2</v>
          </cell>
        </row>
        <row r="543">
          <cell r="A543">
            <v>444526</v>
          </cell>
          <cell r="B543">
            <v>3118224445266</v>
          </cell>
          <cell r="E543" t="str">
            <v>COFFRET CERAMIQUE STEAK 95MM LAME BLANCHE MARQUE TB</v>
          </cell>
          <cell r="F543">
            <v>18</v>
          </cell>
          <cell r="G543">
            <v>3</v>
          </cell>
          <cell r="H543">
            <v>31.5</v>
          </cell>
          <cell r="I543">
            <v>29</v>
          </cell>
          <cell r="J543">
            <v>25</v>
          </cell>
          <cell r="K543">
            <v>2.2040000000000002</v>
          </cell>
          <cell r="L543">
            <v>0.12244444444444445</v>
          </cell>
          <cell r="M543">
            <v>2.28375E-2</v>
          </cell>
        </row>
        <row r="544">
          <cell r="A544">
            <v>444530</v>
          </cell>
          <cell r="B544">
            <v>3118224445303</v>
          </cell>
          <cell r="E544" t="str">
            <v>COFFRET CERAMIQUE CUISINE 125MM LAME NOIRE</v>
          </cell>
          <cell r="F544">
            <v>18</v>
          </cell>
          <cell r="G544">
            <v>3</v>
          </cell>
          <cell r="H544">
            <v>37</v>
          </cell>
          <cell r="I544">
            <v>29</v>
          </cell>
          <cell r="J544">
            <v>25</v>
          </cell>
          <cell r="K544">
            <v>2.7869999999999999</v>
          </cell>
          <cell r="L544">
            <v>0.15483333333333332</v>
          </cell>
          <cell r="M544">
            <v>2.6825000000000002E-2</v>
          </cell>
        </row>
        <row r="545">
          <cell r="A545">
            <v>444531</v>
          </cell>
          <cell r="B545">
            <v>3222475201424</v>
          </cell>
          <cell r="E545" t="str">
            <v>COFFRET CERAMIQUE CUISINE 125MM LAME NOIRE CASINO</v>
          </cell>
          <cell r="F545">
            <v>18</v>
          </cell>
          <cell r="G545">
            <v>3</v>
          </cell>
          <cell r="H545">
            <v>37</v>
          </cell>
          <cell r="I545">
            <v>28</v>
          </cell>
          <cell r="J545">
            <v>19.5</v>
          </cell>
          <cell r="K545">
            <v>2.64</v>
          </cell>
          <cell r="L545">
            <v>0.14666666666666667</v>
          </cell>
          <cell r="M545">
            <v>2.0202000000000001E-2</v>
          </cell>
        </row>
        <row r="546">
          <cell r="A546">
            <v>444535</v>
          </cell>
          <cell r="B546">
            <v>3118224445358</v>
          </cell>
          <cell r="E546" t="str">
            <v>COFFRET CERAMIQUE CUISINE 125MM LAME NOIRE MARQUE TB</v>
          </cell>
          <cell r="F546">
            <v>18</v>
          </cell>
          <cell r="G546">
            <v>3</v>
          </cell>
          <cell r="H546">
            <v>29.5</v>
          </cell>
          <cell r="I546">
            <v>27.5</v>
          </cell>
          <cell r="J546">
            <v>39</v>
          </cell>
          <cell r="K546">
            <v>3.3</v>
          </cell>
          <cell r="L546">
            <v>0.18333333333333332</v>
          </cell>
          <cell r="M546">
            <v>3.1638749999999993E-2</v>
          </cell>
        </row>
        <row r="547">
          <cell r="A547">
            <v>444540</v>
          </cell>
          <cell r="B547">
            <v>3118224445402</v>
          </cell>
          <cell r="E547" t="str">
            <v>COFFRET CERAMIQUE RASE LEGUMES LAME NOIRE</v>
          </cell>
          <cell r="F547">
            <v>18</v>
          </cell>
          <cell r="G547">
            <v>3</v>
          </cell>
          <cell r="H547">
            <v>37</v>
          </cell>
          <cell r="I547">
            <v>24</v>
          </cell>
          <cell r="J547">
            <v>25</v>
          </cell>
          <cell r="K547">
            <v>1.242</v>
          </cell>
          <cell r="L547">
            <v>6.9000000000000006E-2</v>
          </cell>
          <cell r="M547">
            <v>2.2199999999999998E-2</v>
          </cell>
        </row>
        <row r="548">
          <cell r="A548">
            <v>444550</v>
          </cell>
          <cell r="B548">
            <v>3118224445501</v>
          </cell>
          <cell r="E548" t="str">
            <v>M24 TROQUET PRUNE 5185C POT PET</v>
          </cell>
          <cell r="F548">
            <v>9</v>
          </cell>
          <cell r="G548">
            <v>9</v>
          </cell>
          <cell r="H548">
            <v>28</v>
          </cell>
          <cell r="I548">
            <v>28</v>
          </cell>
          <cell r="J548">
            <v>24</v>
          </cell>
          <cell r="K548">
            <v>7.29</v>
          </cell>
          <cell r="L548">
            <v>0.81</v>
          </cell>
          <cell r="M548">
            <v>1.8816000000000003E-2</v>
          </cell>
        </row>
        <row r="549">
          <cell r="A549">
            <v>444660</v>
          </cell>
          <cell r="B549">
            <v>3118224446607</v>
          </cell>
          <cell r="E549" t="str">
            <v>M16 ACIDULE BEE ANIS 583C</v>
          </cell>
          <cell r="F549">
            <v>3</v>
          </cell>
          <cell r="G549">
            <v>3</v>
          </cell>
          <cell r="H549">
            <v>26</v>
          </cell>
          <cell r="I549">
            <v>16.5</v>
          </cell>
          <cell r="J549">
            <v>30.5</v>
          </cell>
          <cell r="K549">
            <v>2.3969999999999998</v>
          </cell>
          <cell r="L549">
            <v>0.79899999999999993</v>
          </cell>
          <cell r="M549">
            <v>1.3084500000000001E-2</v>
          </cell>
        </row>
        <row r="550">
          <cell r="A550">
            <v>444662</v>
          </cell>
          <cell r="B550">
            <v>3118224446621</v>
          </cell>
          <cell r="E550" t="str">
            <v>M16 ACIDULE BEE BLEU TURQUOISE 3135C</v>
          </cell>
          <cell r="F550">
            <v>3</v>
          </cell>
          <cell r="G550">
            <v>3</v>
          </cell>
          <cell r="H550">
            <v>27.5</v>
          </cell>
          <cell r="I550">
            <v>16</v>
          </cell>
          <cell r="J550">
            <v>18.5</v>
          </cell>
          <cell r="K550">
            <v>2.7450000000000001</v>
          </cell>
          <cell r="L550">
            <v>0.91500000000000004</v>
          </cell>
          <cell r="M550">
            <v>8.1400000000000014E-3</v>
          </cell>
        </row>
        <row r="551">
          <cell r="A551">
            <v>444670</v>
          </cell>
          <cell r="B551">
            <v>3118224446706</v>
          </cell>
          <cell r="C551" t="str">
            <v>13118224446703</v>
          </cell>
          <cell r="D551" t="str">
            <v>23118224446700</v>
          </cell>
          <cell r="E551" t="str">
            <v>M24 LAG NACRE POURPRE 511C</v>
          </cell>
          <cell r="F551">
            <v>6</v>
          </cell>
          <cell r="G551">
            <v>6</v>
          </cell>
          <cell r="H551">
            <v>33.5</v>
          </cell>
          <cell r="I551">
            <v>28.5</v>
          </cell>
          <cell r="J551">
            <v>27.5</v>
          </cell>
          <cell r="K551">
            <v>7.8949999999999996</v>
          </cell>
          <cell r="L551">
            <v>1.3158333333333332</v>
          </cell>
          <cell r="M551">
            <v>2.6255625000000005E-2</v>
          </cell>
        </row>
        <row r="552">
          <cell r="A552">
            <v>444790</v>
          </cell>
          <cell r="B552">
            <v>3118224447901</v>
          </cell>
          <cell r="E552" t="str">
            <v>6 COUTEAUX 6 FOURCHETTES BARBECUE NOIR</v>
          </cell>
          <cell r="F552">
            <v>6</v>
          </cell>
          <cell r="G552">
            <v>6</v>
          </cell>
          <cell r="H552">
            <v>33.5</v>
          </cell>
          <cell r="I552">
            <v>24.5</v>
          </cell>
          <cell r="J552">
            <v>17</v>
          </cell>
          <cell r="K552">
            <v>3.48</v>
          </cell>
          <cell r="L552">
            <v>0.57999999999999996</v>
          </cell>
          <cell r="M552">
            <v>1.3952750000000003E-2</v>
          </cell>
        </row>
        <row r="553">
          <cell r="A553">
            <v>444800</v>
          </cell>
          <cell r="B553">
            <v>3118224448007</v>
          </cell>
          <cell r="E553" t="str">
            <v>COUTEAU INEDIT MARINIERE</v>
          </cell>
          <cell r="F553">
            <v>240</v>
          </cell>
          <cell r="G553">
            <v>6</v>
          </cell>
          <cell r="H553">
            <v>40.5</v>
          </cell>
          <cell r="I553">
            <v>30</v>
          </cell>
          <cell r="J553">
            <v>21</v>
          </cell>
          <cell r="K553">
            <v>11.356999999999999</v>
          </cell>
          <cell r="L553">
            <v>4.7320833333333333E-2</v>
          </cell>
          <cell r="M553">
            <v>2.5514999999999999E-2</v>
          </cell>
        </row>
        <row r="554">
          <cell r="A554">
            <v>444810</v>
          </cell>
          <cell r="B554">
            <v>3118224448106</v>
          </cell>
          <cell r="E554" t="str">
            <v>FOURCHETTE INEDIT MARINIERE</v>
          </cell>
          <cell r="F554">
            <v>240</v>
          </cell>
          <cell r="G554">
            <v>6</v>
          </cell>
          <cell r="H554">
            <v>43</v>
          </cell>
          <cell r="I554">
            <v>28</v>
          </cell>
          <cell r="J554">
            <v>28.5</v>
          </cell>
          <cell r="K554">
            <v>9.36</v>
          </cell>
          <cell r="L554">
            <v>3.9E-2</v>
          </cell>
          <cell r="M554">
            <v>3.4313999999999997E-2</v>
          </cell>
        </row>
        <row r="555">
          <cell r="A555">
            <v>444820</v>
          </cell>
          <cell r="B555">
            <v>3118224448205</v>
          </cell>
          <cell r="E555" t="str">
            <v>CUILLERE INEDIT MARINIERE</v>
          </cell>
          <cell r="F555">
            <v>240</v>
          </cell>
          <cell r="G555">
            <v>6</v>
          </cell>
          <cell r="H555">
            <v>42</v>
          </cell>
          <cell r="I555">
            <v>25.3</v>
          </cell>
          <cell r="J555">
            <v>26</v>
          </cell>
          <cell r="K555">
            <v>12.972</v>
          </cell>
          <cell r="L555">
            <v>5.4050000000000001E-2</v>
          </cell>
          <cell r="M555">
            <v>2.7627599999999995E-2</v>
          </cell>
        </row>
        <row r="556">
          <cell r="A556">
            <v>444830</v>
          </cell>
          <cell r="B556">
            <v>3118224448304</v>
          </cell>
          <cell r="E556" t="str">
            <v>CAFE INEDIT MARINIERE</v>
          </cell>
          <cell r="F556">
            <v>240</v>
          </cell>
          <cell r="G556">
            <v>6</v>
          </cell>
          <cell r="H556">
            <v>36.5</v>
          </cell>
          <cell r="I556">
            <v>18.5</v>
          </cell>
          <cell r="J556">
            <v>28</v>
          </cell>
          <cell r="K556">
            <v>7.6109999999999998</v>
          </cell>
          <cell r="L556">
            <v>3.1712499999999998E-2</v>
          </cell>
          <cell r="M556">
            <v>1.8907E-2</v>
          </cell>
        </row>
        <row r="557">
          <cell r="A557">
            <v>444840</v>
          </cell>
          <cell r="B557">
            <v>3118224448403</v>
          </cell>
          <cell r="C557" t="str">
            <v>13118224448400</v>
          </cell>
          <cell r="D557" t="str">
            <v>23118224448407</v>
          </cell>
          <cell r="E557" t="str">
            <v>COUTEAU INEDIT UNION JACK</v>
          </cell>
          <cell r="F557">
            <v>240</v>
          </cell>
          <cell r="G557">
            <v>6</v>
          </cell>
          <cell r="H557">
            <v>35.5</v>
          </cell>
          <cell r="I557">
            <v>28.5</v>
          </cell>
          <cell r="J557">
            <v>27</v>
          </cell>
          <cell r="K557">
            <v>10.32</v>
          </cell>
          <cell r="L557">
            <v>4.3000000000000003E-2</v>
          </cell>
          <cell r="M557">
            <v>2.7317250000000001E-2</v>
          </cell>
        </row>
        <row r="558">
          <cell r="A558">
            <v>444850</v>
          </cell>
          <cell r="B558">
            <v>3118224448502</v>
          </cell>
          <cell r="C558" t="str">
            <v>13118224448509</v>
          </cell>
          <cell r="D558" t="str">
            <v>23118224448506</v>
          </cell>
          <cell r="E558" t="str">
            <v>FOURCHETTE INEDIT UNION JACK</v>
          </cell>
          <cell r="F558">
            <v>240</v>
          </cell>
          <cell r="G558">
            <v>6</v>
          </cell>
          <cell r="H558">
            <v>42.5</v>
          </cell>
          <cell r="I558">
            <v>25</v>
          </cell>
          <cell r="J558">
            <v>27.5</v>
          </cell>
          <cell r="K558">
            <v>9.7200000000000006</v>
          </cell>
          <cell r="L558">
            <v>4.0500000000000001E-2</v>
          </cell>
          <cell r="M558">
            <v>2.9218750000000002E-2</v>
          </cell>
        </row>
        <row r="559">
          <cell r="A559">
            <v>444860</v>
          </cell>
          <cell r="B559">
            <v>3118224448601</v>
          </cell>
          <cell r="C559" t="str">
            <v>13118224448608</v>
          </cell>
          <cell r="D559" t="str">
            <v>23118224448605</v>
          </cell>
          <cell r="E559" t="str">
            <v>CUILLERE INEDIT UNION JACK</v>
          </cell>
          <cell r="F559">
            <v>240</v>
          </cell>
          <cell r="G559">
            <v>6</v>
          </cell>
          <cell r="H559">
            <v>42.5</v>
          </cell>
          <cell r="I559">
            <v>25</v>
          </cell>
          <cell r="J559">
            <v>27.5</v>
          </cell>
          <cell r="K559">
            <v>12.08</v>
          </cell>
          <cell r="L559">
            <v>5.0333333333333334E-2</v>
          </cell>
          <cell r="M559">
            <v>2.9218750000000002E-2</v>
          </cell>
        </row>
        <row r="560">
          <cell r="A560">
            <v>444870</v>
          </cell>
          <cell r="B560">
            <v>3118224448700</v>
          </cell>
          <cell r="C560" t="str">
            <v>13118224448707</v>
          </cell>
          <cell r="D560" t="str">
            <v>23118224448704</v>
          </cell>
          <cell r="E560" t="str">
            <v>CAFE INEDIT UNION JACK</v>
          </cell>
          <cell r="F560">
            <v>240</v>
          </cell>
          <cell r="G560">
            <v>6</v>
          </cell>
          <cell r="H560">
            <v>35</v>
          </cell>
          <cell r="I560">
            <v>19</v>
          </cell>
          <cell r="J560">
            <v>27.5</v>
          </cell>
          <cell r="K560">
            <v>6.72</v>
          </cell>
          <cell r="L560">
            <v>2.8000000000000001E-2</v>
          </cell>
          <cell r="M560">
            <v>1.8287499999999998E-2</v>
          </cell>
        </row>
        <row r="561">
          <cell r="A561">
            <v>444914</v>
          </cell>
          <cell r="B561">
            <v>3118224449141</v>
          </cell>
          <cell r="E561" t="str">
            <v>M16 ZEPHIR ROUGE 032C POT PET</v>
          </cell>
          <cell r="F561">
            <v>9</v>
          </cell>
          <cell r="G561">
            <v>9</v>
          </cell>
          <cell r="H561">
            <v>27</v>
          </cell>
          <cell r="I561">
            <v>27</v>
          </cell>
          <cell r="J561">
            <v>25</v>
          </cell>
          <cell r="K561">
            <v>4.8499999999999996</v>
          </cell>
          <cell r="L561">
            <v>0.53888888888888886</v>
          </cell>
          <cell r="M561">
            <v>1.8225000000000002E-2</v>
          </cell>
        </row>
        <row r="562">
          <cell r="A562">
            <v>444930</v>
          </cell>
          <cell r="B562">
            <v>3118224449301</v>
          </cell>
          <cell r="E562" t="str">
            <v>OFFICE GAMME JAPONAISE FX COUTEAU DU CHEF T1</v>
          </cell>
          <cell r="F562">
            <v>150</v>
          </cell>
          <cell r="G562">
            <v>6</v>
          </cell>
          <cell r="H562">
            <v>40</v>
          </cell>
          <cell r="I562">
            <v>30</v>
          </cell>
          <cell r="J562">
            <v>20</v>
          </cell>
          <cell r="K562">
            <v>11.733000000000001</v>
          </cell>
          <cell r="L562">
            <v>7.8219999999999998E-2</v>
          </cell>
          <cell r="M562">
            <v>2.4E-2</v>
          </cell>
        </row>
        <row r="563">
          <cell r="A563">
            <v>444940</v>
          </cell>
          <cell r="B563">
            <v>3118224449400</v>
          </cell>
          <cell r="E563" t="str">
            <v>DEBA GAMME JAPONAISE FX COUTEAU DU CHEF T3</v>
          </cell>
          <cell r="F563">
            <v>72</v>
          </cell>
          <cell r="G563">
            <v>6</v>
          </cell>
          <cell r="H563">
            <v>40</v>
          </cell>
          <cell r="I563">
            <v>30</v>
          </cell>
          <cell r="J563">
            <v>20</v>
          </cell>
          <cell r="K563">
            <v>9.27</v>
          </cell>
          <cell r="L563">
            <v>0.12875</v>
          </cell>
          <cell r="M563">
            <v>2.4E-2</v>
          </cell>
        </row>
        <row r="564">
          <cell r="A564">
            <v>444950</v>
          </cell>
          <cell r="B564">
            <v>3118224449509</v>
          </cell>
          <cell r="E564" t="str">
            <v>UNIVERSEL GAMME JAPONAISE FX COUTEAU DU CHEF T2</v>
          </cell>
          <cell r="F564">
            <v>90</v>
          </cell>
          <cell r="G564">
            <v>6</v>
          </cell>
          <cell r="H564">
            <v>40</v>
          </cell>
          <cell r="I564">
            <v>30</v>
          </cell>
          <cell r="J564">
            <v>20</v>
          </cell>
          <cell r="K564">
            <v>10.54</v>
          </cell>
          <cell r="L564">
            <v>0.1171111111111111</v>
          </cell>
          <cell r="M564">
            <v>2.4E-2</v>
          </cell>
        </row>
        <row r="565">
          <cell r="A565">
            <v>444960</v>
          </cell>
          <cell r="B565">
            <v>3118224449608</v>
          </cell>
          <cell r="E565" t="str">
            <v>SANTUKO GAMME JAPONAISE FX COUTEAU DU CHEF T3</v>
          </cell>
          <cell r="F565">
            <v>72</v>
          </cell>
          <cell r="G565">
            <v>6</v>
          </cell>
          <cell r="H565">
            <v>40</v>
          </cell>
          <cell r="I565">
            <v>30</v>
          </cell>
          <cell r="J565">
            <v>20</v>
          </cell>
          <cell r="K565">
            <v>12.731999999999999</v>
          </cell>
          <cell r="L565">
            <v>0.17683333333333331</v>
          </cell>
          <cell r="M565">
            <v>2.4E-2</v>
          </cell>
        </row>
        <row r="566">
          <cell r="A566">
            <v>444970</v>
          </cell>
          <cell r="B566">
            <v>3118224449707</v>
          </cell>
          <cell r="E566" t="str">
            <v>YANAGIBA GAMME JAPONAISE FX COUTEAU DU CHEF T4</v>
          </cell>
          <cell r="F566">
            <v>120</v>
          </cell>
          <cell r="G566">
            <v>6</v>
          </cell>
          <cell r="H566">
            <v>44</v>
          </cell>
          <cell r="I566">
            <v>28</v>
          </cell>
          <cell r="J566">
            <v>29</v>
          </cell>
          <cell r="K566">
            <v>19.55</v>
          </cell>
          <cell r="L566">
            <v>0.16291666666666668</v>
          </cell>
          <cell r="M566">
            <v>3.5728000000000003E-2</v>
          </cell>
        </row>
        <row r="567">
          <cell r="A567">
            <v>445170</v>
          </cell>
          <cell r="B567">
            <v>3118224451700</v>
          </cell>
          <cell r="C567" t="str">
            <v>13118224451707</v>
          </cell>
          <cell r="D567" t="str">
            <v>23118224451704</v>
          </cell>
          <cell r="E567" t="str">
            <v>BOITE DE 12 STEAKS HERITAGE</v>
          </cell>
          <cell r="F567">
            <v>12</v>
          </cell>
          <cell r="G567">
            <v>12</v>
          </cell>
          <cell r="H567">
            <v>40</v>
          </cell>
          <cell r="I567">
            <v>30.5</v>
          </cell>
          <cell r="J567">
            <v>28</v>
          </cell>
          <cell r="K567">
            <v>22.498000000000001</v>
          </cell>
          <cell r="L567">
            <v>1.8748333333333334</v>
          </cell>
          <cell r="M567">
            <v>3.4160000000000003E-2</v>
          </cell>
        </row>
        <row r="568">
          <cell r="A568">
            <v>445180</v>
          </cell>
          <cell r="B568">
            <v>3118224451809</v>
          </cell>
          <cell r="C568" t="str">
            <v>13118224451806</v>
          </cell>
          <cell r="D568" t="str">
            <v>23118224451803</v>
          </cell>
          <cell r="E568" t="str">
            <v>M24 LAG NACRE ROUGE</v>
          </cell>
          <cell r="F568">
            <v>6</v>
          </cell>
          <cell r="G568">
            <v>6</v>
          </cell>
          <cell r="H568">
            <v>32.5</v>
          </cell>
          <cell r="I568">
            <v>29</v>
          </cell>
          <cell r="J568">
            <v>29</v>
          </cell>
          <cell r="K568">
            <v>8.01</v>
          </cell>
          <cell r="L568">
            <v>1.335</v>
          </cell>
          <cell r="M568">
            <v>2.7332499999999999E-2</v>
          </cell>
        </row>
        <row r="569">
          <cell r="A569">
            <v>445200</v>
          </cell>
          <cell r="B569">
            <v>3118224452004</v>
          </cell>
          <cell r="C569" t="str">
            <v>13118224452001</v>
          </cell>
          <cell r="D569" t="str">
            <v>23118224452008</v>
          </cell>
          <cell r="E569" t="str">
            <v>COFFRET BOIS 6 CX LAG BOIS NOIR TRADITION</v>
          </cell>
          <cell r="F569">
            <v>6</v>
          </cell>
          <cell r="G569">
            <v>6</v>
          </cell>
          <cell r="H569">
            <v>29.5</v>
          </cell>
          <cell r="I569">
            <v>17</v>
          </cell>
          <cell r="J569">
            <v>18.5</v>
          </cell>
          <cell r="K569">
            <v>5.4729999999999999</v>
          </cell>
          <cell r="L569">
            <v>0.91216666666666668</v>
          </cell>
          <cell r="M569">
            <v>9.2777499999999995E-3</v>
          </cell>
        </row>
        <row r="570">
          <cell r="A570">
            <v>445210</v>
          </cell>
          <cell r="B570">
            <v>3118224452103</v>
          </cell>
          <cell r="C570" t="str">
            <v>13118224452100</v>
          </cell>
          <cell r="D570" t="str">
            <v>23118224452107</v>
          </cell>
          <cell r="E570" t="str">
            <v>COFFRET BOIS 6 CX LAG BOIS CLAIR TRADITION</v>
          </cell>
          <cell r="F570">
            <v>6</v>
          </cell>
          <cell r="G570">
            <v>6</v>
          </cell>
          <cell r="H570">
            <v>29.5</v>
          </cell>
          <cell r="I570">
            <v>17</v>
          </cell>
          <cell r="J570">
            <v>18.5</v>
          </cell>
          <cell r="K570">
            <v>5.25</v>
          </cell>
          <cell r="L570">
            <v>0.875</v>
          </cell>
          <cell r="M570">
            <v>9.2777499999999995E-3</v>
          </cell>
        </row>
        <row r="571">
          <cell r="A571">
            <v>445250</v>
          </cell>
          <cell r="B571">
            <v>3609231691833</v>
          </cell>
          <cell r="E571" t="str">
            <v>BLOC MAGNETIQUE 5 CX GAMME EQUILIBRE JAPONAIS CDF X46CR13</v>
          </cell>
          <cell r="F571">
            <v>1</v>
          </cell>
          <cell r="G571">
            <v>1</v>
          </cell>
          <cell r="H571">
            <v>40</v>
          </cell>
          <cell r="I571">
            <v>30.5</v>
          </cell>
          <cell r="J571">
            <v>20.5</v>
          </cell>
          <cell r="K571">
            <v>2.81</v>
          </cell>
          <cell r="L571">
            <v>2.81</v>
          </cell>
          <cell r="M571">
            <v>2.5010000000000004E-2</v>
          </cell>
        </row>
        <row r="572">
          <cell r="A572">
            <v>445270</v>
          </cell>
          <cell r="B572">
            <v>3118224452707</v>
          </cell>
          <cell r="C572" t="str">
            <v>13118224452704</v>
          </cell>
          <cell r="D572" t="str">
            <v>23118224452701</v>
          </cell>
          <cell r="E572" t="str">
            <v>COFFRET 6 FOURCHETTES LAG BOIS NOIR TRADITION</v>
          </cell>
          <cell r="F572">
            <v>6</v>
          </cell>
          <cell r="G572">
            <v>6</v>
          </cell>
          <cell r="H572">
            <v>31</v>
          </cell>
          <cell r="I572">
            <v>29</v>
          </cell>
          <cell r="J572">
            <v>13</v>
          </cell>
          <cell r="K572">
            <v>6.45</v>
          </cell>
          <cell r="L572">
            <v>1.075</v>
          </cell>
          <cell r="M572">
            <v>1.1687000000000001E-2</v>
          </cell>
        </row>
        <row r="573">
          <cell r="A573">
            <v>445280</v>
          </cell>
          <cell r="B573">
            <v>3118224452806</v>
          </cell>
          <cell r="C573" t="str">
            <v>13118224452803</v>
          </cell>
          <cell r="D573" t="str">
            <v>23118224452800</v>
          </cell>
          <cell r="E573" t="str">
            <v>COFFRET BOIS 6 FETTES LAG BOIS CLAIR TRADITION</v>
          </cell>
          <cell r="F573">
            <v>6</v>
          </cell>
          <cell r="G573">
            <v>6</v>
          </cell>
          <cell r="H573">
            <v>28</v>
          </cell>
          <cell r="I573">
            <v>28</v>
          </cell>
          <cell r="J573">
            <v>25</v>
          </cell>
          <cell r="K573">
            <v>6.202</v>
          </cell>
          <cell r="L573">
            <v>1.0336666666666667</v>
          </cell>
          <cell r="M573">
            <v>1.9600000000000003E-2</v>
          </cell>
        </row>
        <row r="574">
          <cell r="A574">
            <v>445312</v>
          </cell>
          <cell r="B574">
            <v>3118224453124</v>
          </cell>
          <cell r="C574">
            <v>13118224453121</v>
          </cell>
          <cell r="D574">
            <v>23118224453128</v>
          </cell>
          <cell r="E574" t="str">
            <v>M16 DIANE BOITE COLLECTION INOX</v>
          </cell>
          <cell r="F574">
            <v>3</v>
          </cell>
          <cell r="G574">
            <v>3</v>
          </cell>
          <cell r="H574">
            <v>24.5</v>
          </cell>
          <cell r="I574">
            <v>17</v>
          </cell>
          <cell r="J574">
            <v>30.5</v>
          </cell>
          <cell r="K574">
            <v>3.84</v>
          </cell>
          <cell r="L574">
            <v>1.28</v>
          </cell>
          <cell r="M574">
            <v>1.2703249999999999E-2</v>
          </cell>
        </row>
        <row r="575">
          <cell r="A575">
            <v>445330</v>
          </cell>
          <cell r="B575">
            <v>3609231250009</v>
          </cell>
          <cell r="E575" t="str">
            <v>M16 ACIDULE ROUGE 185C CRF SS ABEILLE</v>
          </cell>
          <cell r="F575">
            <v>6</v>
          </cell>
          <cell r="G575">
            <v>6</v>
          </cell>
          <cell r="H575">
            <v>30</v>
          </cell>
          <cell r="I575">
            <v>29</v>
          </cell>
          <cell r="J575">
            <v>23</v>
          </cell>
          <cell r="K575">
            <v>5.04</v>
          </cell>
          <cell r="L575">
            <v>0.84</v>
          </cell>
          <cell r="M575">
            <v>2.001E-2</v>
          </cell>
        </row>
        <row r="576">
          <cell r="A576">
            <v>445376</v>
          </cell>
          <cell r="B576">
            <v>3118224453766</v>
          </cell>
          <cell r="C576" t="str">
            <v>13118224453763</v>
          </cell>
          <cell r="D576" t="str">
            <v>23118224453760</v>
          </cell>
          <cell r="E576" t="str">
            <v>EPLUCHEUR ACIDULE BEE COUL PANACH EN BTE DE 12</v>
          </cell>
          <cell r="F576">
            <v>144</v>
          </cell>
          <cell r="G576">
            <v>12</v>
          </cell>
          <cell r="H576">
            <v>24.5</v>
          </cell>
          <cell r="I576">
            <v>22.5</v>
          </cell>
          <cell r="J576">
            <v>17.5</v>
          </cell>
          <cell r="K576">
            <v>4.032</v>
          </cell>
          <cell r="L576">
            <v>2.8000000000000001E-2</v>
          </cell>
          <cell r="M576">
            <v>9.6468750000000009E-3</v>
          </cell>
        </row>
        <row r="577">
          <cell r="A577">
            <v>445386</v>
          </cell>
          <cell r="B577">
            <v>3118224453865</v>
          </cell>
          <cell r="C577" t="str">
            <v>13118224453862</v>
          </cell>
          <cell r="D577" t="str">
            <v>23118224453869</v>
          </cell>
          <cell r="E577" t="str">
            <v>OFFICE ACIDULE BEE COUL PANACH EN BTE DE 12</v>
          </cell>
          <cell r="F577">
            <v>144</v>
          </cell>
          <cell r="G577">
            <v>12</v>
          </cell>
          <cell r="H577">
            <v>25</v>
          </cell>
          <cell r="I577">
            <v>23</v>
          </cell>
          <cell r="J577">
            <v>19</v>
          </cell>
          <cell r="K577">
            <v>4.8959999999999999</v>
          </cell>
          <cell r="L577">
            <v>3.4000000000000002E-2</v>
          </cell>
          <cell r="M577">
            <v>1.0925000000000001E-2</v>
          </cell>
        </row>
        <row r="578">
          <cell r="A578">
            <v>445630</v>
          </cell>
          <cell r="B578">
            <v>3118224456309</v>
          </cell>
          <cell r="E578" t="str">
            <v>BLOC BLANC 6CX ACIDULE BEE MULTICOLORS</v>
          </cell>
          <cell r="F578">
            <v>6</v>
          </cell>
          <cell r="G578">
            <v>6</v>
          </cell>
          <cell r="H578">
            <v>29.5</v>
          </cell>
          <cell r="I578">
            <v>21</v>
          </cell>
          <cell r="J578">
            <v>29</v>
          </cell>
          <cell r="K578">
            <v>4.3440000000000003</v>
          </cell>
          <cell r="L578">
            <v>0.72400000000000009</v>
          </cell>
          <cell r="M578">
            <v>1.7965499999999995E-2</v>
          </cell>
        </row>
        <row r="579">
          <cell r="A579">
            <v>445640</v>
          </cell>
          <cell r="B579">
            <v>3118224456408</v>
          </cell>
          <cell r="E579" t="str">
            <v>BLOC BLANC 6CX ACIDULE BEE ROUGE</v>
          </cell>
          <cell r="F579">
            <v>6</v>
          </cell>
          <cell r="G579">
            <v>6</v>
          </cell>
          <cell r="H579">
            <v>29.5</v>
          </cell>
          <cell r="I579">
            <v>21</v>
          </cell>
          <cell r="J579">
            <v>29</v>
          </cell>
          <cell r="K579">
            <v>5.1340000000000003</v>
          </cell>
          <cell r="L579">
            <v>0.85566666666666669</v>
          </cell>
          <cell r="M579">
            <v>1.7965499999999995E-2</v>
          </cell>
        </row>
        <row r="580">
          <cell r="A580">
            <v>445650</v>
          </cell>
          <cell r="B580">
            <v>3118224456507</v>
          </cell>
          <cell r="E580" t="str">
            <v>BLOC BLANC 6CX ACIDULE BEE NOIR CARBONE</v>
          </cell>
          <cell r="F580">
            <v>6</v>
          </cell>
          <cell r="G580">
            <v>6</v>
          </cell>
          <cell r="H580">
            <v>29.5</v>
          </cell>
          <cell r="I580">
            <v>21</v>
          </cell>
          <cell r="J580">
            <v>29</v>
          </cell>
          <cell r="K580">
            <v>5.94</v>
          </cell>
          <cell r="L580">
            <v>0.9900000000000001</v>
          </cell>
          <cell r="M580">
            <v>1.7965499999999995E-2</v>
          </cell>
        </row>
        <row r="581">
          <cell r="A581">
            <v>445702</v>
          </cell>
          <cell r="B581">
            <v>3118224457023</v>
          </cell>
          <cell r="E581" t="str">
            <v>BEURRE ACIDULE BEE ROUGE 185C</v>
          </cell>
          <cell r="F581">
            <v>144</v>
          </cell>
          <cell r="G581">
            <v>12</v>
          </cell>
          <cell r="H581">
            <v>23.5</v>
          </cell>
          <cell r="I581">
            <v>20</v>
          </cell>
          <cell r="J581">
            <v>18</v>
          </cell>
          <cell r="K581">
            <v>4.9800000000000004</v>
          </cell>
          <cell r="L581">
            <v>3.4583333333333334E-2</v>
          </cell>
          <cell r="M581">
            <v>8.4599999999999988E-3</v>
          </cell>
        </row>
        <row r="582">
          <cell r="A582">
            <v>445706</v>
          </cell>
          <cell r="B582">
            <v>3118224457061</v>
          </cell>
          <cell r="C582" t="str">
            <v>13118224457068</v>
          </cell>
          <cell r="D582" t="str">
            <v>23118224457065</v>
          </cell>
          <cell r="E582" t="str">
            <v>BEURRE ACIDULE BEE COUL PANACH EN BTE DE 12</v>
          </cell>
          <cell r="F582">
            <v>144</v>
          </cell>
          <cell r="G582">
            <v>12</v>
          </cell>
          <cell r="H582">
            <v>24.5</v>
          </cell>
          <cell r="I582">
            <v>23</v>
          </cell>
          <cell r="J582">
            <v>18</v>
          </cell>
          <cell r="K582">
            <v>5.04</v>
          </cell>
          <cell r="L582">
            <v>3.5000000000000003E-2</v>
          </cell>
          <cell r="M582">
            <v>1.0142999999999999E-2</v>
          </cell>
        </row>
        <row r="583">
          <cell r="A583">
            <v>445741</v>
          </cell>
          <cell r="B583">
            <v>3118224457412</v>
          </cell>
          <cell r="E583" t="str">
            <v>CUISINE LAG EXPRESSION MANCHE BOIS NOIR FX COUTEAU DU CHEF T</v>
          </cell>
          <cell r="F583">
            <v>48</v>
          </cell>
          <cell r="G583">
            <v>6</v>
          </cell>
          <cell r="H583">
            <v>40</v>
          </cell>
          <cell r="I583">
            <v>30</v>
          </cell>
          <cell r="J583">
            <v>20</v>
          </cell>
          <cell r="K583">
            <v>15.74</v>
          </cell>
          <cell r="L583">
            <v>0.32791666666666669</v>
          </cell>
          <cell r="M583">
            <v>2.4E-2</v>
          </cell>
        </row>
        <row r="584">
          <cell r="A584">
            <v>445756</v>
          </cell>
          <cell r="B584">
            <v>3118224457566</v>
          </cell>
          <cell r="E584" t="str">
            <v>PAIN LAG EXPRESSION MANCHE BOIS NOIR EN BERLINGOT</v>
          </cell>
          <cell r="F584">
            <v>18</v>
          </cell>
          <cell r="G584">
            <v>6</v>
          </cell>
          <cell r="H584">
            <v>46</v>
          </cell>
          <cell r="I584">
            <v>15.5</v>
          </cell>
          <cell r="J584">
            <v>11</v>
          </cell>
          <cell r="K584">
            <v>6.05</v>
          </cell>
          <cell r="L584">
            <v>0.33611111111111108</v>
          </cell>
          <cell r="M584">
            <v>7.8429999999999993E-3</v>
          </cell>
        </row>
        <row r="585">
          <cell r="A585">
            <v>445761</v>
          </cell>
          <cell r="B585">
            <v>3118224457610</v>
          </cell>
          <cell r="E585" t="str">
            <v>TRANCHER 22 LAG EXPRESSION MANCHE BOIS NOIR FX COUTEAU DU CH</v>
          </cell>
          <cell r="F585">
            <v>48</v>
          </cell>
          <cell r="G585">
            <v>6</v>
          </cell>
          <cell r="H585">
            <v>44.5</v>
          </cell>
          <cell r="I585">
            <v>29</v>
          </cell>
          <cell r="J585">
            <v>17.5</v>
          </cell>
          <cell r="K585">
            <v>16.27</v>
          </cell>
          <cell r="L585">
            <v>0.33895833333333331</v>
          </cell>
          <cell r="M585">
            <v>2.258375E-2</v>
          </cell>
        </row>
        <row r="586">
          <cell r="A586">
            <v>445840</v>
          </cell>
          <cell r="B586">
            <v>3118224458402</v>
          </cell>
          <cell r="E586" t="str">
            <v>OFFICE 9 FURTIF EVERCUT CLASSIC MANCHE NOIR EN BOITE RETAIL</v>
          </cell>
          <cell r="F586">
            <v>6</v>
          </cell>
          <cell r="G586">
            <v>6</v>
          </cell>
          <cell r="H586">
            <v>29</v>
          </cell>
          <cell r="I586">
            <v>23.5</v>
          </cell>
          <cell r="J586">
            <v>9</v>
          </cell>
          <cell r="K586">
            <v>1.0740000000000001</v>
          </cell>
          <cell r="L586">
            <v>0.17900000000000002</v>
          </cell>
          <cell r="M586">
            <v>6.1334999999999983E-3</v>
          </cell>
        </row>
        <row r="587">
          <cell r="A587">
            <v>445850</v>
          </cell>
          <cell r="B587">
            <v>3118224458501</v>
          </cell>
          <cell r="E587" t="str">
            <v>POLYVALENT/EMINC 11 FURTIF EVERCUT CLASSIC MANCHE NOIR BT RT</v>
          </cell>
          <cell r="F587">
            <v>6</v>
          </cell>
          <cell r="G587">
            <v>6</v>
          </cell>
          <cell r="H587">
            <v>30</v>
          </cell>
          <cell r="I587">
            <v>23.5</v>
          </cell>
          <cell r="J587">
            <v>8.5</v>
          </cell>
          <cell r="K587">
            <v>1.1160000000000001</v>
          </cell>
          <cell r="L587">
            <v>0.18600000000000003</v>
          </cell>
          <cell r="M587">
            <v>5.9924999999999996E-3</v>
          </cell>
        </row>
        <row r="588">
          <cell r="A588">
            <v>445860</v>
          </cell>
          <cell r="B588">
            <v>3118224458600</v>
          </cell>
          <cell r="E588" t="str">
            <v>CHEF 19 FURTIF EVERCUT CLASSIC MANCHE NOIR EN BOITE RETAIL</v>
          </cell>
          <cell r="F588">
            <v>6</v>
          </cell>
          <cell r="G588">
            <v>6</v>
          </cell>
          <cell r="H588">
            <v>38.5</v>
          </cell>
          <cell r="I588">
            <v>19.5</v>
          </cell>
          <cell r="J588">
            <v>11.5</v>
          </cell>
          <cell r="K588">
            <v>2.34</v>
          </cell>
          <cell r="L588">
            <v>0.38999999999999996</v>
          </cell>
          <cell r="M588">
            <v>8.6336250000000007E-3</v>
          </cell>
        </row>
        <row r="589">
          <cell r="A589">
            <v>445870</v>
          </cell>
          <cell r="B589">
            <v>3118224458709</v>
          </cell>
          <cell r="E589" t="str">
            <v>SANTUKO 19 FURTIF EVERCUT CLASSIC MANCHE NOIR BOITE RETAIL</v>
          </cell>
          <cell r="F589">
            <v>6</v>
          </cell>
          <cell r="G589">
            <v>6</v>
          </cell>
          <cell r="H589">
            <v>38.5</v>
          </cell>
          <cell r="I589">
            <v>19.5</v>
          </cell>
          <cell r="J589">
            <v>11.5</v>
          </cell>
          <cell r="K589">
            <v>2.3340000000000001</v>
          </cell>
          <cell r="L589">
            <v>0.38900000000000001</v>
          </cell>
          <cell r="M589">
            <v>8.6336250000000007E-3</v>
          </cell>
        </row>
        <row r="590">
          <cell r="A590">
            <v>445880</v>
          </cell>
          <cell r="B590">
            <v>3118224458808</v>
          </cell>
          <cell r="E590" t="str">
            <v>CUISINE 21CM FURTIF EVERCUT CLASSIC MANCHE NOIR BOITE RETAIL</v>
          </cell>
          <cell r="F590">
            <v>6</v>
          </cell>
          <cell r="G590">
            <v>6</v>
          </cell>
          <cell r="H590">
            <v>39</v>
          </cell>
          <cell r="I590">
            <v>19.5</v>
          </cell>
          <cell r="J590">
            <v>12</v>
          </cell>
          <cell r="K590">
            <v>2.6</v>
          </cell>
          <cell r="L590">
            <v>0.43333333333333335</v>
          </cell>
          <cell r="M590">
            <v>9.1260000000000004E-3</v>
          </cell>
        </row>
        <row r="591">
          <cell r="A591">
            <v>446000</v>
          </cell>
          <cell r="B591">
            <v>3118224460009</v>
          </cell>
          <cell r="C591" t="str">
            <v>13118224460006</v>
          </cell>
          <cell r="D591" t="str">
            <v>23118224460003</v>
          </cell>
          <cell r="E591" t="str">
            <v>COUTEAU ACIDULE BEE PANACHE</v>
          </cell>
          <cell r="F591">
            <v>144</v>
          </cell>
          <cell r="G591">
            <v>12</v>
          </cell>
          <cell r="H591">
            <v>26.5</v>
          </cell>
          <cell r="I591">
            <v>26</v>
          </cell>
          <cell r="J591">
            <v>21.5</v>
          </cell>
          <cell r="K591">
            <v>6.3360000000000003</v>
          </cell>
          <cell r="L591">
            <v>4.4000000000000004E-2</v>
          </cell>
          <cell r="M591">
            <v>1.4813500000000002E-2</v>
          </cell>
        </row>
        <row r="592">
          <cell r="A592">
            <v>446001</v>
          </cell>
          <cell r="B592">
            <v>3118224460016</v>
          </cell>
          <cell r="C592" t="str">
            <v>13118224460013</v>
          </cell>
          <cell r="D592" t="str">
            <v>23118224460010</v>
          </cell>
          <cell r="E592" t="str">
            <v>COUTEAU ACIDULE BEE VIOLET LILAS 5145C +GENCOD</v>
          </cell>
          <cell r="F592">
            <v>144</v>
          </cell>
          <cell r="G592">
            <v>6</v>
          </cell>
          <cell r="H592">
            <v>26.5</v>
          </cell>
          <cell r="I592">
            <v>26.5</v>
          </cell>
          <cell r="J592">
            <v>27.5</v>
          </cell>
          <cell r="K592">
            <v>7.1589999999999998</v>
          </cell>
          <cell r="L592">
            <v>4.9715277777777775E-2</v>
          </cell>
          <cell r="M592">
            <v>1.9311874999999999E-2</v>
          </cell>
        </row>
        <row r="593">
          <cell r="A593">
            <v>446002</v>
          </cell>
          <cell r="B593">
            <v>3118224460023</v>
          </cell>
          <cell r="E593" t="str">
            <v>COUTEAU ACIDULE BEE BLEU ACIER 5405C +GENCOD</v>
          </cell>
          <cell r="F593">
            <v>144</v>
          </cell>
          <cell r="G593">
            <v>6</v>
          </cell>
          <cell r="H593">
            <v>26.5</v>
          </cell>
          <cell r="I593">
            <v>26.5</v>
          </cell>
          <cell r="J593">
            <v>27.5</v>
          </cell>
          <cell r="K593">
            <v>7.1589999999999998</v>
          </cell>
          <cell r="L593">
            <v>4.9715277777777775E-2</v>
          </cell>
          <cell r="M593">
            <v>1.9311874999999999E-2</v>
          </cell>
        </row>
        <row r="594">
          <cell r="A594">
            <v>446003</v>
          </cell>
          <cell r="B594">
            <v>3118224460030</v>
          </cell>
          <cell r="E594" t="str">
            <v>COUTEAU ACIDULE BEE TAUPE WARM GREY 8 +GENCOD</v>
          </cell>
          <cell r="F594">
            <v>144</v>
          </cell>
          <cell r="G594">
            <v>6</v>
          </cell>
          <cell r="H594">
            <v>26.5</v>
          </cell>
          <cell r="I594">
            <v>26.5</v>
          </cell>
          <cell r="J594">
            <v>27.5</v>
          </cell>
          <cell r="K594">
            <v>7.1589999999999998</v>
          </cell>
          <cell r="L594">
            <v>4.9715277777777775E-2</v>
          </cell>
          <cell r="M594">
            <v>1.9311874999999999E-2</v>
          </cell>
        </row>
        <row r="595">
          <cell r="A595">
            <v>446011</v>
          </cell>
          <cell r="B595">
            <v>3118224460115</v>
          </cell>
          <cell r="C595" t="str">
            <v>13118224460112</v>
          </cell>
          <cell r="D595" t="str">
            <v>23118224460119</v>
          </cell>
          <cell r="E595" t="str">
            <v>FOURCHETTE ACIDULE BEE VIOLET LILAS 5145C +GENCOD</v>
          </cell>
          <cell r="F595">
            <v>144</v>
          </cell>
          <cell r="G595">
            <v>6</v>
          </cell>
          <cell r="H595">
            <v>27</v>
          </cell>
          <cell r="I595">
            <v>24</v>
          </cell>
          <cell r="J595">
            <v>20.5</v>
          </cell>
          <cell r="K595">
            <v>8.2149999999999999</v>
          </cell>
          <cell r="L595">
            <v>5.7048611111111112E-2</v>
          </cell>
          <cell r="M595">
            <v>1.3284000000000002E-2</v>
          </cell>
        </row>
        <row r="596">
          <cell r="A596">
            <v>446012</v>
          </cell>
          <cell r="B596">
            <v>3118224460122</v>
          </cell>
          <cell r="E596" t="str">
            <v>FOURCHETTE ACIDULE BEE BLEU ACIER 5405C +GENCOD</v>
          </cell>
          <cell r="F596">
            <v>144</v>
          </cell>
          <cell r="G596">
            <v>6</v>
          </cell>
          <cell r="H596">
            <v>27</v>
          </cell>
          <cell r="I596">
            <v>24</v>
          </cell>
          <cell r="J596">
            <v>20.5</v>
          </cell>
          <cell r="K596">
            <v>8.2149999999999999</v>
          </cell>
          <cell r="L596">
            <v>5.7048611111111112E-2</v>
          </cell>
          <cell r="M596">
            <v>1.3284000000000002E-2</v>
          </cell>
        </row>
        <row r="597">
          <cell r="A597">
            <v>446013</v>
          </cell>
          <cell r="B597">
            <v>3118224460139</v>
          </cell>
          <cell r="E597" t="str">
            <v>FOURCHETTE ACIDULE BEE TAUPE WARM GREY 8 +GENCOD</v>
          </cell>
          <cell r="F597">
            <v>144</v>
          </cell>
          <cell r="G597">
            <v>6</v>
          </cell>
          <cell r="H597">
            <v>27</v>
          </cell>
          <cell r="I597">
            <v>24</v>
          </cell>
          <cell r="J597">
            <v>20.5</v>
          </cell>
          <cell r="K597">
            <v>8.2149999999999999</v>
          </cell>
          <cell r="L597">
            <v>5.7048611111111112E-2</v>
          </cell>
          <cell r="M597">
            <v>1.3284000000000002E-2</v>
          </cell>
        </row>
        <row r="598">
          <cell r="A598">
            <v>446021</v>
          </cell>
          <cell r="B598">
            <v>3118224460214</v>
          </cell>
          <cell r="C598" t="str">
            <v>13118224460211</v>
          </cell>
          <cell r="D598" t="str">
            <v>23118224460218</v>
          </cell>
          <cell r="E598" t="str">
            <v>CUILLERE ACIDULE BEE VIOLET LILAS 5145C +GENCOD</v>
          </cell>
          <cell r="F598">
            <v>144</v>
          </cell>
          <cell r="G598">
            <v>6</v>
          </cell>
          <cell r="H598">
            <v>23</v>
          </cell>
          <cell r="I598">
            <v>25</v>
          </cell>
          <cell r="J598">
            <v>26</v>
          </cell>
          <cell r="K598">
            <v>9.3670000000000009</v>
          </cell>
          <cell r="L598">
            <v>6.5048611111111113E-2</v>
          </cell>
          <cell r="M598">
            <v>1.4950000000000001E-2</v>
          </cell>
        </row>
        <row r="599">
          <cell r="A599">
            <v>446022</v>
          </cell>
          <cell r="B599">
            <v>3118224460221</v>
          </cell>
          <cell r="E599" t="str">
            <v>CUILLERE ACIDULE BEE BLEU ACIER 5405C +GENCOD</v>
          </cell>
          <cell r="F599">
            <v>144</v>
          </cell>
          <cell r="G599">
            <v>6</v>
          </cell>
          <cell r="H599">
            <v>23</v>
          </cell>
          <cell r="I599">
            <v>25</v>
          </cell>
          <cell r="J599">
            <v>26</v>
          </cell>
          <cell r="K599">
            <v>9.3670000000000009</v>
          </cell>
          <cell r="L599">
            <v>6.5048611111111113E-2</v>
          </cell>
          <cell r="M599">
            <v>1.4950000000000001E-2</v>
          </cell>
        </row>
        <row r="600">
          <cell r="A600">
            <v>446023</v>
          </cell>
          <cell r="B600">
            <v>3118224460238</v>
          </cell>
          <cell r="E600" t="str">
            <v>CUILLERE ACIDULE BEE TAUPE WARM GREY 8 +GENCOD</v>
          </cell>
          <cell r="F600">
            <v>144</v>
          </cell>
          <cell r="G600">
            <v>6</v>
          </cell>
          <cell r="H600">
            <v>23</v>
          </cell>
          <cell r="I600">
            <v>25</v>
          </cell>
          <cell r="J600">
            <v>26</v>
          </cell>
          <cell r="K600">
            <v>9.3670000000000009</v>
          </cell>
          <cell r="L600">
            <v>6.5048611111111113E-2</v>
          </cell>
          <cell r="M600">
            <v>1.4950000000000001E-2</v>
          </cell>
        </row>
        <row r="601">
          <cell r="A601">
            <v>446031</v>
          </cell>
          <cell r="B601">
            <v>3118224460313</v>
          </cell>
          <cell r="C601" t="str">
            <v>13118224460310</v>
          </cell>
          <cell r="D601" t="str">
            <v>23118224460317</v>
          </cell>
          <cell r="E601" t="str">
            <v>CAFE ACIDULE BEE VIOLET LILAS 5145C +GENCOD</v>
          </cell>
          <cell r="F601">
            <v>144</v>
          </cell>
          <cell r="G601">
            <v>6</v>
          </cell>
          <cell r="H601">
            <v>28.5</v>
          </cell>
          <cell r="I601">
            <v>20.5</v>
          </cell>
          <cell r="J601">
            <v>23</v>
          </cell>
          <cell r="K601">
            <v>4.5209999999999999</v>
          </cell>
          <cell r="L601">
            <v>3.1395833333333331E-2</v>
          </cell>
          <cell r="M601">
            <v>1.3437749999999997E-2</v>
          </cell>
        </row>
        <row r="602">
          <cell r="A602">
            <v>446032</v>
          </cell>
          <cell r="B602">
            <v>3118224460320</v>
          </cell>
          <cell r="E602" t="str">
            <v>CAFE ACIDULE BEE BLEU ACIER 5405C +GENCOD</v>
          </cell>
          <cell r="F602">
            <v>144</v>
          </cell>
          <cell r="G602">
            <v>6</v>
          </cell>
          <cell r="H602">
            <v>28.5</v>
          </cell>
          <cell r="I602">
            <v>20.5</v>
          </cell>
          <cell r="J602">
            <v>23</v>
          </cell>
          <cell r="K602">
            <v>4.5209999999999999</v>
          </cell>
          <cell r="L602">
            <v>3.1395833333333331E-2</v>
          </cell>
          <cell r="M602">
            <v>1.3437749999999997E-2</v>
          </cell>
        </row>
        <row r="603">
          <cell r="A603">
            <v>446033</v>
          </cell>
          <cell r="B603">
            <v>3118224460337</v>
          </cell>
          <cell r="E603" t="str">
            <v>CAFE ACIDULE BEE TAUPE WARM GREY 8 +GENCOD</v>
          </cell>
          <cell r="F603">
            <v>144</v>
          </cell>
          <cell r="G603">
            <v>6</v>
          </cell>
          <cell r="H603">
            <v>28.5</v>
          </cell>
          <cell r="I603">
            <v>20.5</v>
          </cell>
          <cell r="J603">
            <v>23</v>
          </cell>
          <cell r="K603">
            <v>4.5209999999999999</v>
          </cell>
          <cell r="L603">
            <v>3.1395833333333331E-2</v>
          </cell>
          <cell r="M603">
            <v>1.3437749999999997E-2</v>
          </cell>
        </row>
        <row r="604">
          <cell r="A604">
            <v>446040</v>
          </cell>
          <cell r="B604">
            <v>3118224460405</v>
          </cell>
          <cell r="C604" t="str">
            <v>13118224460402</v>
          </cell>
          <cell r="D604" t="str">
            <v>23118224460409</v>
          </cell>
          <cell r="E604" t="str">
            <v>FROMAGE ACIDULE BEE PANACHE VERT-ROSE-TURQ-RGE-NOIR-BLC</v>
          </cell>
          <cell r="F604">
            <v>144</v>
          </cell>
          <cell r="G604">
            <v>12</v>
          </cell>
          <cell r="H604">
            <v>26</v>
          </cell>
          <cell r="I604">
            <v>26</v>
          </cell>
          <cell r="J604">
            <v>21</v>
          </cell>
          <cell r="K604">
            <v>6.9119999999999999</v>
          </cell>
          <cell r="L604">
            <v>4.8000000000000001E-2</v>
          </cell>
          <cell r="M604">
            <v>1.4196E-2</v>
          </cell>
        </row>
        <row r="605">
          <cell r="A605">
            <v>446061</v>
          </cell>
          <cell r="B605">
            <v>3118224460610</v>
          </cell>
          <cell r="E605" t="str">
            <v>OFFICE BOIS NATUREL LAG EVOLUTION LASURE +SLEEVE+GENCOD</v>
          </cell>
          <cell r="F605">
            <v>144</v>
          </cell>
          <cell r="G605">
            <v>12</v>
          </cell>
          <cell r="H605">
            <v>31</v>
          </cell>
          <cell r="I605">
            <v>29</v>
          </cell>
          <cell r="J605">
            <v>13</v>
          </cell>
          <cell r="K605">
            <v>3.1</v>
          </cell>
          <cell r="L605">
            <v>2.1527777777777778E-2</v>
          </cell>
          <cell r="M605">
            <v>1.1687000000000001E-2</v>
          </cell>
        </row>
        <row r="606">
          <cell r="A606">
            <v>446063</v>
          </cell>
          <cell r="B606">
            <v>3118224460634</v>
          </cell>
          <cell r="E606" t="str">
            <v>OFFICE BOIS GRIS LAG EVOLUTION LASURE +SLEEVE+GENCOD</v>
          </cell>
          <cell r="F606">
            <v>144</v>
          </cell>
          <cell r="G606">
            <v>12</v>
          </cell>
          <cell r="H606">
            <v>31</v>
          </cell>
          <cell r="I606">
            <v>29</v>
          </cell>
          <cell r="J606">
            <v>13</v>
          </cell>
          <cell r="K606">
            <v>1.44</v>
          </cell>
          <cell r="L606">
            <v>0.01</v>
          </cell>
          <cell r="M606">
            <v>1.1687000000000001E-2</v>
          </cell>
        </row>
        <row r="607">
          <cell r="A607">
            <v>446070</v>
          </cell>
          <cell r="B607">
            <v>3118224460702</v>
          </cell>
          <cell r="E607" t="str">
            <v>STEAK LAG EVOLUTION LASURE COULEUR PANACHE</v>
          </cell>
          <cell r="F607">
            <v>144</v>
          </cell>
          <cell r="G607">
            <v>12</v>
          </cell>
          <cell r="H607">
            <v>31.5</v>
          </cell>
          <cell r="I607">
            <v>29</v>
          </cell>
          <cell r="J607">
            <v>14</v>
          </cell>
          <cell r="K607">
            <v>5.07</v>
          </cell>
          <cell r="L607">
            <v>3.5208333333333335E-2</v>
          </cell>
          <cell r="M607">
            <v>1.2789E-2</v>
          </cell>
        </row>
        <row r="608">
          <cell r="A608">
            <v>446080</v>
          </cell>
          <cell r="B608">
            <v>3118224460801</v>
          </cell>
          <cell r="E608" t="str">
            <v>EPLUCHEUR LAG EVOLUTION LASURE COULEUR PANACHE</v>
          </cell>
          <cell r="F608">
            <v>144</v>
          </cell>
          <cell r="G608">
            <v>12</v>
          </cell>
          <cell r="H608">
            <v>31.3</v>
          </cell>
          <cell r="I608">
            <v>28.8</v>
          </cell>
          <cell r="J608">
            <v>13</v>
          </cell>
          <cell r="K608">
            <v>2.56</v>
          </cell>
          <cell r="L608">
            <v>1.7777777777777778E-2</v>
          </cell>
          <cell r="M608">
            <v>1.171872E-2</v>
          </cell>
        </row>
        <row r="609">
          <cell r="A609">
            <v>446121</v>
          </cell>
          <cell r="B609">
            <v>3222475201387</v>
          </cell>
          <cell r="E609" t="str">
            <v>LOT 4 STEAK RECORD NOIR CASINO</v>
          </cell>
          <cell r="F609">
            <v>50</v>
          </cell>
          <cell r="G609">
            <v>1</v>
          </cell>
          <cell r="H609">
            <v>32</v>
          </cell>
          <cell r="I609">
            <v>29</v>
          </cell>
          <cell r="J609">
            <v>13.5</v>
          </cell>
          <cell r="K609">
            <v>5.15</v>
          </cell>
          <cell r="L609">
            <v>0.10300000000000001</v>
          </cell>
          <cell r="M609">
            <v>1.2527999999999999E-2</v>
          </cell>
        </row>
        <row r="610">
          <cell r="A610">
            <v>446290</v>
          </cell>
          <cell r="B610">
            <v>3118224462904</v>
          </cell>
          <cell r="E610" t="str">
            <v>JAMBON EXPRESSION LAG EVOLUTION MANCHE BOIS NOIR BOITE GRIS</v>
          </cell>
          <cell r="F610">
            <v>6</v>
          </cell>
          <cell r="G610">
            <v>6</v>
          </cell>
          <cell r="H610">
            <v>40</v>
          </cell>
          <cell r="I610">
            <v>30</v>
          </cell>
          <cell r="J610">
            <v>20</v>
          </cell>
          <cell r="K610">
            <v>1.98</v>
          </cell>
          <cell r="L610">
            <v>0.33</v>
          </cell>
          <cell r="M610">
            <v>2.4E-2</v>
          </cell>
        </row>
        <row r="611">
          <cell r="A611">
            <v>446300</v>
          </cell>
          <cell r="B611">
            <v>3118224463000</v>
          </cell>
          <cell r="E611" t="str">
            <v>PAIN EXPRESSION LAG EVOLUTION MANCHE BOIS NOIR BOITE GRISE</v>
          </cell>
          <cell r="F611">
            <v>4</v>
          </cell>
          <cell r="G611">
            <v>4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</row>
        <row r="612">
          <cell r="A612">
            <v>446355</v>
          </cell>
          <cell r="B612">
            <v>3118224463550</v>
          </cell>
          <cell r="E612" t="str">
            <v>DEBA EQUILIBRE JAPONAIS CDF EN BOITE CADEAU</v>
          </cell>
          <cell r="F612">
            <v>6</v>
          </cell>
          <cell r="G612">
            <v>6</v>
          </cell>
          <cell r="H612">
            <v>30.5</v>
          </cell>
          <cell r="I612">
            <v>17</v>
          </cell>
          <cell r="J612">
            <v>8.5</v>
          </cell>
          <cell r="K612">
            <v>1.44</v>
          </cell>
          <cell r="L612">
            <v>0.24</v>
          </cell>
          <cell r="M612">
            <v>4.4072499999999988E-3</v>
          </cell>
        </row>
        <row r="613">
          <cell r="A613">
            <v>446460</v>
          </cell>
          <cell r="B613">
            <v>3118224464601</v>
          </cell>
          <cell r="E613" t="str">
            <v>OFFICE 10CM JAPONAIS TB EN BOITE GRISE</v>
          </cell>
          <cell r="F613">
            <v>6</v>
          </cell>
          <cell r="G613">
            <v>6</v>
          </cell>
          <cell r="H613">
            <v>32</v>
          </cell>
          <cell r="I613">
            <v>15</v>
          </cell>
          <cell r="J613">
            <v>8</v>
          </cell>
          <cell r="K613">
            <v>1.0900000000000001</v>
          </cell>
          <cell r="L613">
            <v>0.18166666666666667</v>
          </cell>
          <cell r="M613">
            <v>3.8400000000000001E-3</v>
          </cell>
        </row>
        <row r="614">
          <cell r="A614">
            <v>446470</v>
          </cell>
          <cell r="B614">
            <v>3118224464700</v>
          </cell>
          <cell r="E614" t="str">
            <v>DEBA 10.5CM JAPONAIS TB EN BOITE GRISE</v>
          </cell>
          <cell r="F614">
            <v>6</v>
          </cell>
          <cell r="G614">
            <v>6</v>
          </cell>
          <cell r="H614">
            <v>32</v>
          </cell>
          <cell r="I614">
            <v>15</v>
          </cell>
          <cell r="J614">
            <v>8</v>
          </cell>
          <cell r="K614">
            <v>1.24</v>
          </cell>
          <cell r="L614">
            <v>0.20666666666666667</v>
          </cell>
          <cell r="M614">
            <v>3.8400000000000001E-3</v>
          </cell>
        </row>
        <row r="615">
          <cell r="A615">
            <v>446472</v>
          </cell>
          <cell r="B615">
            <v>3118224464724</v>
          </cell>
          <cell r="E615" t="str">
            <v>DEBA 10.5CM JAPONAIS TB FX TB T3</v>
          </cell>
          <cell r="F615">
            <v>72</v>
          </cell>
          <cell r="G615">
            <v>6</v>
          </cell>
          <cell r="H615">
            <v>40</v>
          </cell>
          <cell r="I615">
            <v>30</v>
          </cell>
          <cell r="J615">
            <v>20</v>
          </cell>
          <cell r="K615">
            <v>9.3800000000000008</v>
          </cell>
          <cell r="L615">
            <v>0.1302777777777778</v>
          </cell>
          <cell r="M615">
            <v>2.4E-2</v>
          </cell>
        </row>
        <row r="616">
          <cell r="A616">
            <v>446480</v>
          </cell>
          <cell r="B616">
            <v>3118224464809</v>
          </cell>
          <cell r="E616" t="str">
            <v>UNIVERSEL 15CM JAPONAIS TB EN BOITE GRISE</v>
          </cell>
          <cell r="F616">
            <v>6</v>
          </cell>
          <cell r="G616">
            <v>6</v>
          </cell>
          <cell r="H616">
            <v>43.5</v>
          </cell>
          <cell r="I616">
            <v>16.5</v>
          </cell>
          <cell r="J616">
            <v>11</v>
          </cell>
          <cell r="K616">
            <v>1.7</v>
          </cell>
          <cell r="L616">
            <v>0.28333333333333333</v>
          </cell>
          <cell r="M616">
            <v>7.8952499999999995E-3</v>
          </cell>
        </row>
        <row r="617">
          <cell r="A617">
            <v>446482</v>
          </cell>
          <cell r="B617">
            <v>3118224464823</v>
          </cell>
          <cell r="E617" t="str">
            <v>UNIVERSEL 15CM JAPONAIS TB FX TB T2</v>
          </cell>
          <cell r="F617">
            <v>90</v>
          </cell>
          <cell r="G617">
            <v>6</v>
          </cell>
          <cell r="H617">
            <v>40</v>
          </cell>
          <cell r="I617">
            <v>30</v>
          </cell>
          <cell r="J617">
            <v>20</v>
          </cell>
          <cell r="K617">
            <v>10.37</v>
          </cell>
          <cell r="L617">
            <v>0.11522222222222221</v>
          </cell>
          <cell r="M617">
            <v>2.4E-2</v>
          </cell>
        </row>
        <row r="618">
          <cell r="A618">
            <v>446492</v>
          </cell>
          <cell r="B618">
            <v>3118224464922</v>
          </cell>
          <cell r="E618" t="str">
            <v>SANTUKO 17CM JAPONAIS TB FX TB T3</v>
          </cell>
          <cell r="F618">
            <v>72</v>
          </cell>
          <cell r="G618">
            <v>6</v>
          </cell>
          <cell r="H618">
            <v>40</v>
          </cell>
          <cell r="I618">
            <v>30</v>
          </cell>
          <cell r="J618">
            <v>20</v>
          </cell>
          <cell r="K618">
            <v>12.962</v>
          </cell>
          <cell r="L618">
            <v>0.18002777777777779</v>
          </cell>
          <cell r="M618">
            <v>2.4E-2</v>
          </cell>
        </row>
        <row r="619">
          <cell r="A619">
            <v>446572</v>
          </cell>
          <cell r="B619">
            <v>3118224465721</v>
          </cell>
          <cell r="E619" t="str">
            <v>COUTEAU MANGO CHOCOLAT 7533C</v>
          </cell>
          <cell r="F619">
            <v>240</v>
          </cell>
          <cell r="G619">
            <v>6</v>
          </cell>
          <cell r="H619">
            <v>27</v>
          </cell>
          <cell r="I619">
            <v>28</v>
          </cell>
          <cell r="J619">
            <v>33</v>
          </cell>
          <cell r="K619">
            <v>8.66</v>
          </cell>
          <cell r="L619">
            <v>3.6083333333333335E-2</v>
          </cell>
          <cell r="M619">
            <v>2.4948000000000001E-2</v>
          </cell>
        </row>
        <row r="620">
          <cell r="A620">
            <v>446573</v>
          </cell>
          <cell r="B620">
            <v>3118224465738</v>
          </cell>
          <cell r="E620" t="str">
            <v>COUTEAU MANGO FRAMBOISE 220C</v>
          </cell>
          <cell r="F620">
            <v>240</v>
          </cell>
          <cell r="G620">
            <v>6</v>
          </cell>
          <cell r="H620">
            <v>27</v>
          </cell>
          <cell r="I620">
            <v>28</v>
          </cell>
          <cell r="J620">
            <v>33</v>
          </cell>
          <cell r="K620">
            <v>8.66</v>
          </cell>
          <cell r="L620">
            <v>3.6083333333333335E-2</v>
          </cell>
          <cell r="M620">
            <v>2.4948000000000001E-2</v>
          </cell>
        </row>
        <row r="621">
          <cell r="A621">
            <v>446574</v>
          </cell>
          <cell r="B621">
            <v>3118224465745</v>
          </cell>
          <cell r="E621" t="str">
            <v>COUTEAU MANGO ROUGE 185C</v>
          </cell>
          <cell r="F621">
            <v>240</v>
          </cell>
          <cell r="G621">
            <v>6</v>
          </cell>
          <cell r="H621">
            <v>27</v>
          </cell>
          <cell r="I621">
            <v>28</v>
          </cell>
          <cell r="J621">
            <v>33</v>
          </cell>
          <cell r="K621">
            <v>8.66</v>
          </cell>
          <cell r="L621">
            <v>3.6083333333333335E-2</v>
          </cell>
          <cell r="M621">
            <v>2.4948000000000001E-2</v>
          </cell>
        </row>
        <row r="622">
          <cell r="A622">
            <v>446575</v>
          </cell>
          <cell r="B622">
            <v>3118224465752</v>
          </cell>
          <cell r="E622" t="str">
            <v>COUTEAU MANGO TAUPE 7531C</v>
          </cell>
          <cell r="F622">
            <v>240</v>
          </cell>
          <cell r="G622">
            <v>6</v>
          </cell>
          <cell r="H622">
            <v>36</v>
          </cell>
          <cell r="I622">
            <v>27.5</v>
          </cell>
          <cell r="J622">
            <v>32.5</v>
          </cell>
          <cell r="K622">
            <v>8.4309999999999992</v>
          </cell>
          <cell r="L622">
            <v>3.5129166666666663E-2</v>
          </cell>
          <cell r="M622">
            <v>3.2175000000000002E-2</v>
          </cell>
        </row>
        <row r="623">
          <cell r="A623">
            <v>446576</v>
          </cell>
          <cell r="B623">
            <v>3118224465769</v>
          </cell>
          <cell r="E623" t="str">
            <v>COUTEAU MANGO TURQUOISE 7467C</v>
          </cell>
          <cell r="F623">
            <v>240</v>
          </cell>
          <cell r="G623">
            <v>6</v>
          </cell>
          <cell r="H623">
            <v>35</v>
          </cell>
          <cell r="I623">
            <v>27.5</v>
          </cell>
          <cell r="J623">
            <v>33.5</v>
          </cell>
          <cell r="K623">
            <v>8.8040000000000003</v>
          </cell>
          <cell r="L623">
            <v>3.6683333333333332E-2</v>
          </cell>
          <cell r="M623">
            <v>3.2243750000000002E-2</v>
          </cell>
        </row>
        <row r="624">
          <cell r="A624">
            <v>446577</v>
          </cell>
          <cell r="B624">
            <v>3118224465776</v>
          </cell>
          <cell r="E624" t="str">
            <v>COUTEAU MANGO PRUNE 7650C</v>
          </cell>
          <cell r="F624">
            <v>240</v>
          </cell>
          <cell r="G624">
            <v>6</v>
          </cell>
          <cell r="H624">
            <v>27</v>
          </cell>
          <cell r="I624">
            <v>28</v>
          </cell>
          <cell r="J624">
            <v>33</v>
          </cell>
          <cell r="K624">
            <v>8.66</v>
          </cell>
          <cell r="L624">
            <v>3.6083333333333335E-2</v>
          </cell>
          <cell r="M624">
            <v>2.4948000000000001E-2</v>
          </cell>
        </row>
        <row r="625">
          <cell r="A625">
            <v>446580</v>
          </cell>
          <cell r="B625">
            <v>3118224465806</v>
          </cell>
          <cell r="E625" t="str">
            <v>FOURCHETTE MANGO ANIS 382C</v>
          </cell>
          <cell r="F625">
            <v>240</v>
          </cell>
          <cell r="G625">
            <v>6</v>
          </cell>
          <cell r="H625">
            <v>27.5</v>
          </cell>
          <cell r="I625">
            <v>25</v>
          </cell>
          <cell r="J625">
            <v>35</v>
          </cell>
          <cell r="K625">
            <v>8.24</v>
          </cell>
          <cell r="L625">
            <v>3.4333333333333334E-2</v>
          </cell>
          <cell r="M625">
            <v>2.4062500000000001E-2</v>
          </cell>
        </row>
        <row r="626">
          <cell r="A626">
            <v>446582</v>
          </cell>
          <cell r="B626">
            <v>3118224465820</v>
          </cell>
          <cell r="E626" t="str">
            <v>FOURCHETTE MANGO CHOCOLAT 7533C</v>
          </cell>
          <cell r="F626">
            <v>240</v>
          </cell>
          <cell r="G626">
            <v>6</v>
          </cell>
          <cell r="H626">
            <v>27.5</v>
          </cell>
          <cell r="I626">
            <v>25</v>
          </cell>
          <cell r="J626">
            <v>35</v>
          </cell>
          <cell r="K626">
            <v>8.24</v>
          </cell>
          <cell r="L626">
            <v>3.4333333333333334E-2</v>
          </cell>
          <cell r="M626">
            <v>2.4062500000000001E-2</v>
          </cell>
        </row>
        <row r="627">
          <cell r="A627">
            <v>446583</v>
          </cell>
          <cell r="B627">
            <v>3118224465837</v>
          </cell>
          <cell r="E627" t="str">
            <v>FOURCHETTE MANGO FRAMBOISE 220C</v>
          </cell>
          <cell r="F627">
            <v>240</v>
          </cell>
          <cell r="G627">
            <v>6</v>
          </cell>
          <cell r="H627">
            <v>27.5</v>
          </cell>
          <cell r="I627">
            <v>25</v>
          </cell>
          <cell r="J627">
            <v>35</v>
          </cell>
          <cell r="K627">
            <v>8.24</v>
          </cell>
          <cell r="L627">
            <v>3.4333333333333334E-2</v>
          </cell>
          <cell r="M627">
            <v>2.4062500000000001E-2</v>
          </cell>
        </row>
        <row r="628">
          <cell r="A628">
            <v>446584</v>
          </cell>
          <cell r="B628">
            <v>3118224465844</v>
          </cell>
          <cell r="E628" t="str">
            <v>FOURCHETTE MANGO ROUGE 185C</v>
          </cell>
          <cell r="F628">
            <v>240</v>
          </cell>
          <cell r="G628">
            <v>6</v>
          </cell>
          <cell r="H628">
            <v>27.5</v>
          </cell>
          <cell r="I628">
            <v>25</v>
          </cell>
          <cell r="J628">
            <v>35</v>
          </cell>
          <cell r="K628">
            <v>8.24</v>
          </cell>
          <cell r="L628">
            <v>3.4333333333333334E-2</v>
          </cell>
          <cell r="M628">
            <v>2.4062500000000001E-2</v>
          </cell>
        </row>
        <row r="629">
          <cell r="A629">
            <v>446585</v>
          </cell>
          <cell r="B629">
            <v>3118224465851</v>
          </cell>
          <cell r="E629" t="str">
            <v>FOURCHETTE MANGO TAUPE 7531C</v>
          </cell>
          <cell r="F629">
            <v>240</v>
          </cell>
          <cell r="G629">
            <v>6</v>
          </cell>
          <cell r="H629">
            <v>27.5</v>
          </cell>
          <cell r="I629">
            <v>25</v>
          </cell>
          <cell r="J629">
            <v>35</v>
          </cell>
          <cell r="K629">
            <v>8.24</v>
          </cell>
          <cell r="L629">
            <v>3.4333333333333334E-2</v>
          </cell>
          <cell r="M629">
            <v>2.4062500000000001E-2</v>
          </cell>
        </row>
        <row r="630">
          <cell r="A630">
            <v>446586</v>
          </cell>
          <cell r="B630">
            <v>3118224465868</v>
          </cell>
          <cell r="E630" t="str">
            <v>FOURCHETTE MANGO TURQUOISE 7467C</v>
          </cell>
          <cell r="F630">
            <v>240</v>
          </cell>
          <cell r="G630">
            <v>6</v>
          </cell>
          <cell r="H630">
            <v>38</v>
          </cell>
          <cell r="I630">
            <v>24.5</v>
          </cell>
          <cell r="J630">
            <v>33</v>
          </cell>
          <cell r="K630">
            <v>8.6359999999999992</v>
          </cell>
          <cell r="L630">
            <v>3.5983333333333332E-2</v>
          </cell>
          <cell r="M630">
            <v>3.0723000000000004E-2</v>
          </cell>
        </row>
        <row r="631">
          <cell r="A631">
            <v>446587</v>
          </cell>
          <cell r="B631">
            <v>3118224465875</v>
          </cell>
          <cell r="E631" t="str">
            <v>FOURCHETTE MANGO PRUNE 7650C</v>
          </cell>
          <cell r="F631">
            <v>240</v>
          </cell>
          <cell r="G631">
            <v>6</v>
          </cell>
          <cell r="H631">
            <v>27.5</v>
          </cell>
          <cell r="I631">
            <v>25</v>
          </cell>
          <cell r="J631">
            <v>35</v>
          </cell>
          <cell r="K631">
            <v>8.24</v>
          </cell>
          <cell r="L631">
            <v>3.4333333333333334E-2</v>
          </cell>
          <cell r="M631">
            <v>2.4062500000000001E-2</v>
          </cell>
        </row>
        <row r="632">
          <cell r="A632">
            <v>446590</v>
          </cell>
          <cell r="B632">
            <v>3118224465905</v>
          </cell>
          <cell r="E632" t="str">
            <v>CUILLERE MANGO ANIS 382C</v>
          </cell>
          <cell r="F632">
            <v>240</v>
          </cell>
          <cell r="G632">
            <v>6</v>
          </cell>
          <cell r="H632">
            <v>38.5</v>
          </cell>
          <cell r="I632">
            <v>24.5</v>
          </cell>
          <cell r="J632">
            <v>33</v>
          </cell>
          <cell r="K632">
            <v>9.3450000000000006</v>
          </cell>
          <cell r="L632">
            <v>3.89375E-2</v>
          </cell>
          <cell r="M632">
            <v>3.1127250000000002E-2</v>
          </cell>
        </row>
        <row r="633">
          <cell r="A633">
            <v>446592</v>
          </cell>
          <cell r="B633">
            <v>3118224465929</v>
          </cell>
          <cell r="E633" t="str">
            <v>CUILLERE MANGO CHOCOLAT 7533C</v>
          </cell>
          <cell r="F633">
            <v>240</v>
          </cell>
          <cell r="G633">
            <v>6</v>
          </cell>
          <cell r="H633">
            <v>38.5</v>
          </cell>
          <cell r="I633">
            <v>24.5</v>
          </cell>
          <cell r="J633">
            <v>33</v>
          </cell>
          <cell r="K633">
            <v>9.3450000000000006</v>
          </cell>
          <cell r="L633">
            <v>3.89375E-2</v>
          </cell>
          <cell r="M633">
            <v>3.1127250000000002E-2</v>
          </cell>
        </row>
        <row r="634">
          <cell r="A634">
            <v>446593</v>
          </cell>
          <cell r="B634">
            <v>3118224465936</v>
          </cell>
          <cell r="E634" t="str">
            <v>CUILLERE MANGO FRAMBOISE 220C</v>
          </cell>
          <cell r="F634">
            <v>240</v>
          </cell>
          <cell r="G634">
            <v>6</v>
          </cell>
          <cell r="H634">
            <v>38.5</v>
          </cell>
          <cell r="I634">
            <v>24.5</v>
          </cell>
          <cell r="J634">
            <v>33</v>
          </cell>
          <cell r="K634">
            <v>9.3450000000000006</v>
          </cell>
          <cell r="L634">
            <v>3.89375E-2</v>
          </cell>
          <cell r="M634">
            <v>3.1127250000000002E-2</v>
          </cell>
        </row>
        <row r="635">
          <cell r="A635">
            <v>446594</v>
          </cell>
          <cell r="B635">
            <v>3118224465943</v>
          </cell>
          <cell r="E635" t="str">
            <v>CUILLERE MANGO ROUGE 185C</v>
          </cell>
          <cell r="F635">
            <v>240</v>
          </cell>
          <cell r="G635">
            <v>6</v>
          </cell>
          <cell r="H635">
            <v>38.5</v>
          </cell>
          <cell r="I635">
            <v>24.5</v>
          </cell>
          <cell r="J635">
            <v>33</v>
          </cell>
          <cell r="K635">
            <v>9.3450000000000006</v>
          </cell>
          <cell r="L635">
            <v>3.89375E-2</v>
          </cell>
          <cell r="M635">
            <v>3.1127250000000002E-2</v>
          </cell>
        </row>
        <row r="636">
          <cell r="A636">
            <v>446595</v>
          </cell>
          <cell r="B636">
            <v>3118224465950</v>
          </cell>
          <cell r="E636" t="str">
            <v>CUILLERE MANGO TAUPE 7531C</v>
          </cell>
          <cell r="F636">
            <v>240</v>
          </cell>
          <cell r="G636">
            <v>6</v>
          </cell>
          <cell r="H636">
            <v>38.5</v>
          </cell>
          <cell r="I636">
            <v>24.5</v>
          </cell>
          <cell r="J636">
            <v>33</v>
          </cell>
          <cell r="K636">
            <v>9.3450000000000006</v>
          </cell>
          <cell r="L636">
            <v>3.89375E-2</v>
          </cell>
          <cell r="M636">
            <v>3.1127250000000002E-2</v>
          </cell>
        </row>
        <row r="637">
          <cell r="A637">
            <v>446596</v>
          </cell>
          <cell r="B637">
            <v>3118224465967</v>
          </cell>
          <cell r="E637" t="str">
            <v>CUILLERE MANGO TURQUOISE 7467C</v>
          </cell>
          <cell r="F637">
            <v>240</v>
          </cell>
          <cell r="G637">
            <v>6</v>
          </cell>
          <cell r="H637">
            <v>38.5</v>
          </cell>
          <cell r="I637">
            <v>24.5</v>
          </cell>
          <cell r="J637">
            <v>33</v>
          </cell>
          <cell r="K637">
            <v>9.3450000000000006</v>
          </cell>
          <cell r="L637">
            <v>3.89375E-2</v>
          </cell>
          <cell r="M637">
            <v>3.1127250000000002E-2</v>
          </cell>
        </row>
        <row r="638">
          <cell r="A638">
            <v>446597</v>
          </cell>
          <cell r="B638">
            <v>3118224465974</v>
          </cell>
          <cell r="E638" t="str">
            <v>CUILLERE MANGO PRUNE 7650C</v>
          </cell>
          <cell r="F638">
            <v>240</v>
          </cell>
          <cell r="G638">
            <v>6</v>
          </cell>
          <cell r="H638">
            <v>38.5</v>
          </cell>
          <cell r="I638">
            <v>24.5</v>
          </cell>
          <cell r="J638">
            <v>33</v>
          </cell>
          <cell r="K638">
            <v>9.3450000000000006</v>
          </cell>
          <cell r="L638">
            <v>3.89375E-2</v>
          </cell>
          <cell r="M638">
            <v>3.1127250000000002E-2</v>
          </cell>
        </row>
        <row r="639">
          <cell r="A639">
            <v>446600</v>
          </cell>
          <cell r="B639">
            <v>3118224466001</v>
          </cell>
          <cell r="E639" t="str">
            <v>CAFE MANGO ANIS 382C</v>
          </cell>
          <cell r="F639">
            <v>240</v>
          </cell>
          <cell r="G639">
            <v>6</v>
          </cell>
          <cell r="H639">
            <v>26</v>
          </cell>
          <cell r="I639">
            <v>20.5</v>
          </cell>
          <cell r="J639">
            <v>31.5</v>
          </cell>
          <cell r="K639">
            <v>6.52</v>
          </cell>
          <cell r="L639">
            <v>2.7166666666666665E-2</v>
          </cell>
          <cell r="M639">
            <v>1.6789499999999999E-2</v>
          </cell>
        </row>
        <row r="640">
          <cell r="A640">
            <v>446604</v>
          </cell>
          <cell r="B640">
            <v>3118224466049</v>
          </cell>
          <cell r="E640" t="str">
            <v>CAFE MANGO ROUGE 185C</v>
          </cell>
          <cell r="F640">
            <v>240</v>
          </cell>
          <cell r="G640">
            <v>6</v>
          </cell>
          <cell r="H640">
            <v>26</v>
          </cell>
          <cell r="I640">
            <v>20.5</v>
          </cell>
          <cell r="J640">
            <v>31.5</v>
          </cell>
          <cell r="K640">
            <v>6.8010000000000002</v>
          </cell>
          <cell r="L640">
            <v>2.8337500000000002E-2</v>
          </cell>
          <cell r="M640">
            <v>1.6789499999999999E-2</v>
          </cell>
        </row>
        <row r="641">
          <cell r="A641">
            <v>446605</v>
          </cell>
          <cell r="B641">
            <v>3118224466056</v>
          </cell>
          <cell r="E641" t="str">
            <v>CAFE MANGO TAUPE 7531C</v>
          </cell>
          <cell r="F641">
            <v>240</v>
          </cell>
          <cell r="G641">
            <v>6</v>
          </cell>
          <cell r="H641">
            <v>39</v>
          </cell>
          <cell r="I641">
            <v>21</v>
          </cell>
          <cell r="J641">
            <v>29</v>
          </cell>
          <cell r="K641">
            <v>6.9390000000000001</v>
          </cell>
          <cell r="L641">
            <v>2.8912500000000001E-2</v>
          </cell>
          <cell r="M641">
            <v>2.3751000000000001E-2</v>
          </cell>
        </row>
        <row r="642">
          <cell r="A642">
            <v>446607</v>
          </cell>
          <cell r="B642">
            <v>3118224466070</v>
          </cell>
          <cell r="E642" t="str">
            <v>CAFE MANGO PRUNE 7650C</v>
          </cell>
          <cell r="F642">
            <v>240</v>
          </cell>
          <cell r="G642">
            <v>6</v>
          </cell>
          <cell r="H642">
            <v>26</v>
          </cell>
          <cell r="I642">
            <v>20.5</v>
          </cell>
          <cell r="J642">
            <v>31.5</v>
          </cell>
          <cell r="K642">
            <v>6.8010000000000002</v>
          </cell>
          <cell r="L642">
            <v>2.8337500000000002E-2</v>
          </cell>
          <cell r="M642">
            <v>1.6789499999999999E-2</v>
          </cell>
        </row>
        <row r="643">
          <cell r="A643">
            <v>446620</v>
          </cell>
          <cell r="B643">
            <v>3118224466209</v>
          </cell>
          <cell r="E643" t="str">
            <v>FOURCHETTE LAG EVOLUTION MIROIR</v>
          </cell>
          <cell r="F643">
            <v>120</v>
          </cell>
          <cell r="G643">
            <v>6</v>
          </cell>
          <cell r="H643">
            <v>32</v>
          </cell>
          <cell r="I643">
            <v>19</v>
          </cell>
          <cell r="J643">
            <v>9</v>
          </cell>
          <cell r="K643">
            <v>9.32</v>
          </cell>
          <cell r="L643">
            <v>7.7666666666666676E-2</v>
          </cell>
          <cell r="M643">
            <v>5.4720000000000003E-3</v>
          </cell>
        </row>
        <row r="644">
          <cell r="A644">
            <v>446640</v>
          </cell>
          <cell r="B644">
            <v>3118224466407</v>
          </cell>
          <cell r="E644" t="str">
            <v>CAFE LAG EVOLUTION MIROIR</v>
          </cell>
          <cell r="F644">
            <v>240</v>
          </cell>
          <cell r="G644">
            <v>6</v>
          </cell>
          <cell r="H644">
            <v>32</v>
          </cell>
          <cell r="I644">
            <v>19</v>
          </cell>
          <cell r="J644">
            <v>9</v>
          </cell>
          <cell r="K644">
            <v>4.0659999999999998</v>
          </cell>
          <cell r="L644">
            <v>1.6941666666666667E-2</v>
          </cell>
          <cell r="M644">
            <v>5.4720000000000003E-3</v>
          </cell>
        </row>
        <row r="645">
          <cell r="A645">
            <v>446660</v>
          </cell>
          <cell r="B645">
            <v>3118224466605</v>
          </cell>
          <cell r="E645" t="str">
            <v>M24 MANGO ANIS 382C EN PANIER FIL ACIER</v>
          </cell>
          <cell r="F645">
            <v>6</v>
          </cell>
          <cell r="G645">
            <v>6</v>
          </cell>
          <cell r="H645">
            <v>36</v>
          </cell>
          <cell r="I645">
            <v>25.5</v>
          </cell>
          <cell r="J645">
            <v>28</v>
          </cell>
          <cell r="K645">
            <v>5.0460000000000003</v>
          </cell>
          <cell r="L645">
            <v>0.84100000000000008</v>
          </cell>
          <cell r="M645">
            <v>2.5703999999999998E-2</v>
          </cell>
        </row>
        <row r="646">
          <cell r="A646">
            <v>446661</v>
          </cell>
          <cell r="B646">
            <v>3118224466612</v>
          </cell>
          <cell r="C646" t="str">
            <v>13118224466619</v>
          </cell>
          <cell r="D646" t="str">
            <v>23118224466616</v>
          </cell>
          <cell r="E646" t="str">
            <v>M24 MANGO ANTHRACITE 446C EN PANIER FIL ACIER</v>
          </cell>
          <cell r="F646">
            <v>6</v>
          </cell>
          <cell r="G646">
            <v>6</v>
          </cell>
          <cell r="H646">
            <v>40</v>
          </cell>
          <cell r="I646">
            <v>30</v>
          </cell>
          <cell r="J646">
            <v>20</v>
          </cell>
          <cell r="K646">
            <v>5.0460000000000003</v>
          </cell>
          <cell r="L646">
            <v>0.84100000000000008</v>
          </cell>
          <cell r="M646">
            <v>2.4E-2</v>
          </cell>
        </row>
        <row r="647">
          <cell r="A647">
            <v>446663</v>
          </cell>
          <cell r="B647">
            <v>3118224466636</v>
          </cell>
          <cell r="E647" t="str">
            <v>M24 MANGO FRAMBOISE 220C EN PANIER FIL ACIER</v>
          </cell>
          <cell r="F647">
            <v>6</v>
          </cell>
          <cell r="G647">
            <v>6</v>
          </cell>
          <cell r="H647">
            <v>36</v>
          </cell>
          <cell r="I647">
            <v>25.5</v>
          </cell>
          <cell r="J647">
            <v>28</v>
          </cell>
          <cell r="K647">
            <v>5.3970000000000002</v>
          </cell>
          <cell r="L647">
            <v>0.89950000000000008</v>
          </cell>
          <cell r="M647">
            <v>2.5703999999999998E-2</v>
          </cell>
        </row>
        <row r="648">
          <cell r="A648">
            <v>446664</v>
          </cell>
          <cell r="B648">
            <v>3118224466643</v>
          </cell>
          <cell r="E648" t="str">
            <v>M24 MANGO ROUGE 185C EN PANIER FIL ACIER</v>
          </cell>
          <cell r="F648">
            <v>6</v>
          </cell>
          <cell r="G648">
            <v>6</v>
          </cell>
          <cell r="H648">
            <v>26</v>
          </cell>
          <cell r="I648">
            <v>25.5</v>
          </cell>
          <cell r="J648">
            <v>28</v>
          </cell>
          <cell r="K648">
            <v>5.4260000000000002</v>
          </cell>
          <cell r="L648">
            <v>0.90433333333333332</v>
          </cell>
          <cell r="M648">
            <v>1.8563999999999997E-2</v>
          </cell>
        </row>
        <row r="649">
          <cell r="A649">
            <v>446665</v>
          </cell>
          <cell r="B649">
            <v>3118224466650</v>
          </cell>
          <cell r="E649" t="str">
            <v>M24 MANGO TAUPE 7531C EN PANIER FIL ACIER</v>
          </cell>
          <cell r="F649">
            <v>6</v>
          </cell>
          <cell r="G649">
            <v>6</v>
          </cell>
          <cell r="H649">
            <v>36</v>
          </cell>
          <cell r="I649">
            <v>25.5</v>
          </cell>
          <cell r="J649">
            <v>28</v>
          </cell>
          <cell r="K649">
            <v>5.3970000000000002</v>
          </cell>
          <cell r="L649">
            <v>0.89950000000000008</v>
          </cell>
          <cell r="M649">
            <v>2.5703999999999998E-2</v>
          </cell>
        </row>
        <row r="650">
          <cell r="A650">
            <v>446667</v>
          </cell>
          <cell r="B650">
            <v>3118224466674</v>
          </cell>
          <cell r="E650" t="str">
            <v>M24 MANGO PRUNE 7650C EN PANIER FIL ACIER</v>
          </cell>
          <cell r="F650">
            <v>6</v>
          </cell>
          <cell r="G650">
            <v>6</v>
          </cell>
          <cell r="H650">
            <v>36</v>
          </cell>
          <cell r="I650">
            <v>25.5</v>
          </cell>
          <cell r="J650">
            <v>28</v>
          </cell>
          <cell r="K650">
            <v>5.3970000000000002</v>
          </cell>
          <cell r="L650">
            <v>0.89950000000000008</v>
          </cell>
          <cell r="M650">
            <v>2.5703999999999998E-2</v>
          </cell>
        </row>
        <row r="651">
          <cell r="A651">
            <v>446669</v>
          </cell>
          <cell r="B651">
            <v>3118224466698</v>
          </cell>
          <cell r="E651" t="str">
            <v>M24 MANGO BLANC TRANSPARENT EN PANIER FIL ACIER</v>
          </cell>
          <cell r="F651">
            <v>6</v>
          </cell>
          <cell r="G651">
            <v>6</v>
          </cell>
          <cell r="H651">
            <v>36</v>
          </cell>
          <cell r="I651">
            <v>25.5</v>
          </cell>
          <cell r="J651">
            <v>28</v>
          </cell>
          <cell r="K651">
            <v>5.423</v>
          </cell>
          <cell r="L651">
            <v>0.90383333333333338</v>
          </cell>
          <cell r="M651">
            <v>2.5703999999999998E-2</v>
          </cell>
        </row>
        <row r="652">
          <cell r="A652">
            <v>446690</v>
          </cell>
          <cell r="B652">
            <v>3118224466902</v>
          </cell>
          <cell r="E652" t="str">
            <v>COFFRET 6 STEAK LAME ANTI ADHERENTE COUL ASS</v>
          </cell>
          <cell r="F652">
            <v>18</v>
          </cell>
          <cell r="G652">
            <v>18</v>
          </cell>
          <cell r="H652">
            <v>57</v>
          </cell>
          <cell r="I652">
            <v>29</v>
          </cell>
          <cell r="J652">
            <v>30</v>
          </cell>
          <cell r="K652">
            <v>12.6</v>
          </cell>
          <cell r="L652">
            <v>0.7</v>
          </cell>
          <cell r="M652">
            <v>4.9589999999999995E-2</v>
          </cell>
        </row>
        <row r="653">
          <cell r="A653">
            <v>446710</v>
          </cell>
          <cell r="B653">
            <v>3118224467107</v>
          </cell>
          <cell r="E653" t="str">
            <v>TRANCHE LARD 29CM FORGE+BERLINGOT+STICKER</v>
          </cell>
          <cell r="F653">
            <v>75</v>
          </cell>
          <cell r="G653">
            <v>75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</row>
        <row r="654">
          <cell r="A654">
            <v>446730</v>
          </cell>
          <cell r="B654">
            <v>3118224467305</v>
          </cell>
          <cell r="E654" t="str">
            <v>CUISINE 22CM FORGE+BTE GRISE+STICKER</v>
          </cell>
          <cell r="F654">
            <v>6</v>
          </cell>
          <cell r="G654">
            <v>6</v>
          </cell>
          <cell r="H654">
            <v>43.5</v>
          </cell>
          <cell r="I654">
            <v>16.5</v>
          </cell>
          <cell r="J654">
            <v>11</v>
          </cell>
          <cell r="K654">
            <v>0.96</v>
          </cell>
          <cell r="L654">
            <v>0.16</v>
          </cell>
          <cell r="M654">
            <v>7.8952499999999995E-3</v>
          </cell>
        </row>
        <row r="655">
          <cell r="A655">
            <v>446740</v>
          </cell>
          <cell r="B655">
            <v>3118224467404</v>
          </cell>
          <cell r="E655" t="str">
            <v>CUISINE 15CM FORGE+BTE GRISE+STICKER</v>
          </cell>
          <cell r="F655">
            <v>6</v>
          </cell>
          <cell r="G655">
            <v>6</v>
          </cell>
          <cell r="H655">
            <v>0</v>
          </cell>
          <cell r="I655">
            <v>0</v>
          </cell>
          <cell r="J655">
            <v>0</v>
          </cell>
          <cell r="K655">
            <v>1.44</v>
          </cell>
          <cell r="L655">
            <v>0.24</v>
          </cell>
          <cell r="M655">
            <v>0</v>
          </cell>
        </row>
        <row r="656">
          <cell r="A656">
            <v>446781</v>
          </cell>
          <cell r="B656">
            <v>3118224467817</v>
          </cell>
          <cell r="E656" t="str">
            <v>DESOSSER 15CM FORGE BOIS BACKELISE NOIR BOITE GRISE</v>
          </cell>
          <cell r="F656">
            <v>6</v>
          </cell>
          <cell r="G656">
            <v>6</v>
          </cell>
          <cell r="H656">
            <v>43.5</v>
          </cell>
          <cell r="I656">
            <v>16.5</v>
          </cell>
          <cell r="J656">
            <v>11</v>
          </cell>
          <cell r="K656">
            <v>1.83</v>
          </cell>
          <cell r="L656">
            <v>0.30499999999999999</v>
          </cell>
          <cell r="M656">
            <v>7.8952499999999995E-3</v>
          </cell>
        </row>
        <row r="657">
          <cell r="A657">
            <v>446811</v>
          </cell>
          <cell r="B657">
            <v>3118224468111</v>
          </cell>
          <cell r="E657" t="str">
            <v>FILET DE SOLE 16CM FORGE BOIS BACKELISE NOIR BOITE GRISE</v>
          </cell>
          <cell r="F657">
            <v>6</v>
          </cell>
          <cell r="G657">
            <v>6</v>
          </cell>
          <cell r="H657">
            <v>43.5</v>
          </cell>
          <cell r="I657">
            <v>16.5</v>
          </cell>
          <cell r="J657">
            <v>11.5</v>
          </cell>
          <cell r="K657">
            <v>1.538</v>
          </cell>
          <cell r="L657">
            <v>0.25633333333333336</v>
          </cell>
          <cell r="M657">
            <v>8.254125000000001E-3</v>
          </cell>
        </row>
        <row r="658">
          <cell r="A658">
            <v>446841</v>
          </cell>
          <cell r="B658">
            <v>3118224468418</v>
          </cell>
          <cell r="E658" t="str">
            <v>CUISINE 15CM FORGE BOIS BACKELISE NOIR BOITE GRISE</v>
          </cell>
          <cell r="F658">
            <v>6</v>
          </cell>
          <cell r="G658">
            <v>6</v>
          </cell>
          <cell r="H658">
            <v>43.5</v>
          </cell>
          <cell r="I658">
            <v>16.5</v>
          </cell>
          <cell r="J658">
            <v>11.5</v>
          </cell>
          <cell r="K658">
            <v>1.871</v>
          </cell>
          <cell r="L658">
            <v>0.31183333333333335</v>
          </cell>
          <cell r="M658">
            <v>8.254125000000001E-3</v>
          </cell>
        </row>
        <row r="659">
          <cell r="A659">
            <v>446861</v>
          </cell>
          <cell r="B659">
            <v>3118224468616</v>
          </cell>
          <cell r="E659" t="str">
            <v>CUISINE 22CM FORGE BOIS BACKELISE NOIR BOITE GRISE</v>
          </cell>
          <cell r="F659">
            <v>6</v>
          </cell>
          <cell r="G659">
            <v>6</v>
          </cell>
          <cell r="H659">
            <v>4.3</v>
          </cell>
          <cell r="I659">
            <v>16.5</v>
          </cell>
          <cell r="J659">
            <v>11.5</v>
          </cell>
          <cell r="K659">
            <v>1.9730000000000001</v>
          </cell>
          <cell r="L659">
            <v>0.32883333333333337</v>
          </cell>
          <cell r="M659">
            <v>8.159249999999999E-4</v>
          </cell>
        </row>
        <row r="660">
          <cell r="A660">
            <v>446871</v>
          </cell>
          <cell r="B660">
            <v>3118224468715</v>
          </cell>
          <cell r="E660" t="str">
            <v>CUISINE 25CM FORGE BOIS BACKELISE NOIR BOITE GRISE</v>
          </cell>
          <cell r="F660">
            <v>6</v>
          </cell>
          <cell r="G660">
            <v>6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</row>
        <row r="661">
          <cell r="A661">
            <v>446881</v>
          </cell>
          <cell r="B661">
            <v>3118224468814</v>
          </cell>
          <cell r="E661" t="str">
            <v>CUISINE 25CM LARGE FORGE BOIS BACKELISE NOIR BOITE GRISE</v>
          </cell>
          <cell r="F661">
            <v>6</v>
          </cell>
          <cell r="G661">
            <v>6</v>
          </cell>
          <cell r="H661">
            <v>43.5</v>
          </cell>
          <cell r="I661">
            <v>16.5</v>
          </cell>
          <cell r="J661">
            <v>11.5</v>
          </cell>
          <cell r="K661">
            <v>2.4910000000000001</v>
          </cell>
          <cell r="L661">
            <v>0.41516666666666668</v>
          </cell>
          <cell r="M661">
            <v>8.254125000000001E-3</v>
          </cell>
        </row>
        <row r="662">
          <cell r="A662">
            <v>446890</v>
          </cell>
          <cell r="B662">
            <v>3118224468906</v>
          </cell>
          <cell r="E662" t="str">
            <v>TRANCHE LARD 29CM LARGE FORGE BOIS BACKELISE NOIR BERLINGOT</v>
          </cell>
          <cell r="F662">
            <v>75</v>
          </cell>
          <cell r="G662">
            <v>75</v>
          </cell>
          <cell r="H662">
            <v>0</v>
          </cell>
          <cell r="I662">
            <v>0</v>
          </cell>
          <cell r="J662">
            <v>0</v>
          </cell>
          <cell r="K662">
            <v>18.524999999999999</v>
          </cell>
          <cell r="L662">
            <v>0.24699999999999997</v>
          </cell>
          <cell r="M662">
            <v>0</v>
          </cell>
        </row>
        <row r="663">
          <cell r="A663">
            <v>446901</v>
          </cell>
          <cell r="B663">
            <v>3118224469019</v>
          </cell>
          <cell r="E663" t="str">
            <v>JAMBON 25CM LARGE FORGE BOIS BACKELISE NOIR BOITE GRISE</v>
          </cell>
          <cell r="F663">
            <v>6</v>
          </cell>
          <cell r="G663">
            <v>6</v>
          </cell>
          <cell r="H663">
            <v>43.5</v>
          </cell>
          <cell r="I663">
            <v>16.5</v>
          </cell>
          <cell r="J663">
            <v>11.5</v>
          </cell>
          <cell r="K663">
            <v>1.9059999999999999</v>
          </cell>
          <cell r="L663">
            <v>0.31766666666666665</v>
          </cell>
          <cell r="M663">
            <v>8.254125000000001E-3</v>
          </cell>
        </row>
        <row r="664">
          <cell r="A664">
            <v>447000</v>
          </cell>
          <cell r="B664">
            <v>3118224470008</v>
          </cell>
          <cell r="E664" t="str">
            <v>OFFICE 9CM FURTIF CLASSIC MANCHE NOIR LAME NOIR BERLINGOT</v>
          </cell>
          <cell r="F664">
            <v>6</v>
          </cell>
          <cell r="G664">
            <v>6</v>
          </cell>
          <cell r="H664">
            <v>0</v>
          </cell>
          <cell r="I664">
            <v>0</v>
          </cell>
          <cell r="J664">
            <v>0</v>
          </cell>
          <cell r="K664">
            <v>0.36</v>
          </cell>
          <cell r="L664">
            <v>0.06</v>
          </cell>
          <cell r="M664">
            <v>0</v>
          </cell>
        </row>
        <row r="665">
          <cell r="A665">
            <v>447010</v>
          </cell>
          <cell r="B665">
            <v>3118224470107</v>
          </cell>
          <cell r="E665" t="str">
            <v>FILET DE SOLE 17CM FURTIF CLASSIC MANCHE NOIR LAME NOIR BERL</v>
          </cell>
          <cell r="F665">
            <v>6</v>
          </cell>
          <cell r="G665">
            <v>6</v>
          </cell>
          <cell r="H665">
            <v>0</v>
          </cell>
          <cell r="I665">
            <v>0</v>
          </cell>
          <cell r="J665">
            <v>0</v>
          </cell>
          <cell r="K665">
            <v>0.52200000000000002</v>
          </cell>
          <cell r="L665">
            <v>8.7000000000000008E-2</v>
          </cell>
          <cell r="M665">
            <v>0</v>
          </cell>
        </row>
        <row r="666">
          <cell r="A666">
            <v>447020</v>
          </cell>
          <cell r="B666">
            <v>3118224470206</v>
          </cell>
          <cell r="E666" t="str">
            <v>SANTUKO 19CM FURTIF CLASSIC MANCHE NOIR LAME NOIR BERLINGOT</v>
          </cell>
          <cell r="F666">
            <v>6</v>
          </cell>
          <cell r="G666">
            <v>6</v>
          </cell>
          <cell r="H666">
            <v>43.5</v>
          </cell>
          <cell r="I666">
            <v>16.5</v>
          </cell>
          <cell r="J666">
            <v>11.5</v>
          </cell>
          <cell r="K666">
            <v>1.32</v>
          </cell>
          <cell r="L666">
            <v>0.22</v>
          </cell>
          <cell r="M666">
            <v>8.254125000000001E-3</v>
          </cell>
        </row>
        <row r="667">
          <cell r="A667">
            <v>447030</v>
          </cell>
          <cell r="B667">
            <v>3118224470305</v>
          </cell>
          <cell r="E667" t="str">
            <v>CUISINE 21CM FURTIF CLASSIC MANCHE NOIR LAME NOIR BERLINGOT</v>
          </cell>
          <cell r="F667">
            <v>6</v>
          </cell>
          <cell r="G667">
            <v>6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</row>
        <row r="668">
          <cell r="A668">
            <v>447040</v>
          </cell>
          <cell r="B668">
            <v>3118224470404</v>
          </cell>
          <cell r="E668" t="str">
            <v>CHEF 19CM FURTIF CLASSIC MANCHE NOIR LAME NOIR BERLINGOT</v>
          </cell>
          <cell r="F668">
            <v>6</v>
          </cell>
          <cell r="G668">
            <v>6</v>
          </cell>
          <cell r="H668">
            <v>0</v>
          </cell>
          <cell r="I668">
            <v>0</v>
          </cell>
          <cell r="J668">
            <v>0</v>
          </cell>
          <cell r="K668">
            <v>1.35</v>
          </cell>
          <cell r="L668">
            <v>0.22500000000000001</v>
          </cell>
          <cell r="M668">
            <v>0</v>
          </cell>
        </row>
        <row r="669">
          <cell r="A669">
            <v>447261</v>
          </cell>
          <cell r="B669">
            <v>3118224472613</v>
          </cell>
          <cell r="E669" t="str">
            <v>MARAICHER ABSOLU ABS EN BERLINGOT</v>
          </cell>
          <cell r="F669">
            <v>150</v>
          </cell>
          <cell r="G669">
            <v>150</v>
          </cell>
          <cell r="H669">
            <v>40</v>
          </cell>
          <cell r="I669">
            <v>30</v>
          </cell>
          <cell r="J669">
            <v>20</v>
          </cell>
          <cell r="K669">
            <v>24</v>
          </cell>
          <cell r="L669">
            <v>0.16</v>
          </cell>
          <cell r="M669">
            <v>2.4E-2</v>
          </cell>
        </row>
        <row r="670">
          <cell r="A670">
            <v>447281</v>
          </cell>
          <cell r="B670">
            <v>3118224472811</v>
          </cell>
          <cell r="E670" t="str">
            <v>EMINCEUR ABSOLU ABS EN BERLINGOT</v>
          </cell>
          <cell r="F670">
            <v>75</v>
          </cell>
          <cell r="G670">
            <v>75</v>
          </cell>
          <cell r="H670">
            <v>40</v>
          </cell>
          <cell r="I670">
            <v>30</v>
          </cell>
          <cell r="J670">
            <v>20</v>
          </cell>
          <cell r="K670">
            <v>4.5</v>
          </cell>
          <cell r="L670">
            <v>0.06</v>
          </cell>
          <cell r="M670">
            <v>2.4E-2</v>
          </cell>
        </row>
        <row r="671">
          <cell r="A671">
            <v>447291</v>
          </cell>
          <cell r="B671">
            <v>3118224472910</v>
          </cell>
          <cell r="E671" t="str">
            <v>POLYVALENT ABSOLU ABS EN BERLINGOT</v>
          </cell>
          <cell r="F671">
            <v>75</v>
          </cell>
          <cell r="G671">
            <v>75</v>
          </cell>
          <cell r="H671">
            <v>40</v>
          </cell>
          <cell r="I671">
            <v>30</v>
          </cell>
          <cell r="J671">
            <v>20</v>
          </cell>
          <cell r="K671">
            <v>13.5</v>
          </cell>
          <cell r="L671">
            <v>0.18</v>
          </cell>
          <cell r="M671">
            <v>2.4E-2</v>
          </cell>
        </row>
        <row r="672">
          <cell r="A672">
            <v>447301</v>
          </cell>
          <cell r="B672">
            <v>3118224473016</v>
          </cell>
          <cell r="E672" t="str">
            <v>CUISINIER ABSOLU ABS EN BERLINGOT</v>
          </cell>
          <cell r="F672">
            <v>72</v>
          </cell>
          <cell r="G672">
            <v>72</v>
          </cell>
          <cell r="H672">
            <v>43.5</v>
          </cell>
          <cell r="I672">
            <v>28</v>
          </cell>
          <cell r="J672">
            <v>29</v>
          </cell>
          <cell r="K672">
            <v>25.2</v>
          </cell>
          <cell r="L672">
            <v>0.35</v>
          </cell>
          <cell r="M672">
            <v>3.5321999999999992E-2</v>
          </cell>
        </row>
        <row r="673">
          <cell r="A673">
            <v>447311</v>
          </cell>
          <cell r="B673">
            <v>3118224473115</v>
          </cell>
          <cell r="E673" t="str">
            <v>BOULANGER ABSOLU ABS EN BERLINGOT</v>
          </cell>
          <cell r="F673">
            <v>75</v>
          </cell>
          <cell r="G673">
            <v>75</v>
          </cell>
          <cell r="H673">
            <v>40</v>
          </cell>
          <cell r="I673">
            <v>30</v>
          </cell>
          <cell r="J673">
            <v>20</v>
          </cell>
          <cell r="K673">
            <v>15.75</v>
          </cell>
          <cell r="L673">
            <v>0.21</v>
          </cell>
          <cell r="M673">
            <v>2.4E-2</v>
          </cell>
        </row>
        <row r="674">
          <cell r="A674">
            <v>447420</v>
          </cell>
          <cell r="B674">
            <v>3118224474204</v>
          </cell>
          <cell r="E674" t="str">
            <v>BLOC MAGNETIQUE NOIR VIDE PM 20*12*15CM</v>
          </cell>
          <cell r="F674">
            <v>6</v>
          </cell>
          <cell r="G674">
            <v>6</v>
          </cell>
          <cell r="H674">
            <v>44</v>
          </cell>
          <cell r="I674">
            <v>28</v>
          </cell>
          <cell r="J674">
            <v>30</v>
          </cell>
          <cell r="K674">
            <v>4.71</v>
          </cell>
          <cell r="L674">
            <v>0.78500000000000003</v>
          </cell>
          <cell r="M674">
            <v>3.696E-2</v>
          </cell>
        </row>
        <row r="675">
          <cell r="A675">
            <v>447430</v>
          </cell>
          <cell r="B675">
            <v>3118224474303</v>
          </cell>
          <cell r="E675" t="str">
            <v>SET DE 5 COUTEAUX FURTIF CLASSIC LAME NOIRE MANCHE NOIR</v>
          </cell>
          <cell r="F675">
            <v>1</v>
          </cell>
          <cell r="G675">
            <v>1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</row>
        <row r="676">
          <cell r="A676">
            <v>447780</v>
          </cell>
          <cell r="B676">
            <v>3118224477809</v>
          </cell>
          <cell r="C676" t="str">
            <v>13118224477806</v>
          </cell>
          <cell r="D676" t="str">
            <v>23118224477803</v>
          </cell>
          <cell r="E676" t="str">
            <v>FOUET ACIDULE COUL PANACHE SACHET+GENCOD</v>
          </cell>
          <cell r="F676">
            <v>144</v>
          </cell>
          <cell r="G676">
            <v>12</v>
          </cell>
          <cell r="H676">
            <v>36</v>
          </cell>
          <cell r="I676">
            <v>24.5</v>
          </cell>
          <cell r="J676">
            <v>35</v>
          </cell>
          <cell r="K676">
            <v>6.6239999999999997</v>
          </cell>
          <cell r="L676">
            <v>4.5999999999999999E-2</v>
          </cell>
          <cell r="M676">
            <v>3.0870000000000002E-2</v>
          </cell>
        </row>
        <row r="677">
          <cell r="A677">
            <v>447790</v>
          </cell>
          <cell r="B677">
            <v>3118224477908</v>
          </cell>
          <cell r="C677" t="str">
            <v>13118224477905</v>
          </cell>
          <cell r="D677" t="str">
            <v>23118224477902</v>
          </cell>
          <cell r="E677" t="str">
            <v>RAPE ACIDULE COUL PANACHE SACHET+GENCOD</v>
          </cell>
          <cell r="F677">
            <v>144</v>
          </cell>
          <cell r="G677">
            <v>12</v>
          </cell>
          <cell r="H677">
            <v>27.5</v>
          </cell>
          <cell r="I677">
            <v>25.5</v>
          </cell>
          <cell r="J677">
            <v>33</v>
          </cell>
          <cell r="K677">
            <v>7.92</v>
          </cell>
          <cell r="L677">
            <v>5.5E-2</v>
          </cell>
          <cell r="M677">
            <v>2.3141250000000002E-2</v>
          </cell>
        </row>
        <row r="678">
          <cell r="A678">
            <v>447800</v>
          </cell>
          <cell r="B678">
            <v>3118224478004</v>
          </cell>
          <cell r="C678" t="str">
            <v>13118224478001</v>
          </cell>
          <cell r="D678" t="str">
            <v>23118224478008</v>
          </cell>
          <cell r="E678" t="str">
            <v>EPLUCHEUR FIL Y ACIDULE COUL PANACHE SACHET+GENCOD</v>
          </cell>
          <cell r="F678">
            <v>144</v>
          </cell>
          <cell r="G678">
            <v>12</v>
          </cell>
          <cell r="H678">
            <v>28.5</v>
          </cell>
          <cell r="I678">
            <v>25</v>
          </cell>
          <cell r="J678">
            <v>36</v>
          </cell>
          <cell r="K678">
            <v>6.7679999999999998</v>
          </cell>
          <cell r="L678">
            <v>4.7E-2</v>
          </cell>
          <cell r="M678">
            <v>2.5649999999999999E-2</v>
          </cell>
        </row>
        <row r="679">
          <cell r="A679">
            <v>447810</v>
          </cell>
          <cell r="B679">
            <v>3118224478103</v>
          </cell>
          <cell r="C679" t="str">
            <v>13118224478100</v>
          </cell>
          <cell r="D679" t="str">
            <v>23118224478107</v>
          </cell>
          <cell r="E679" t="str">
            <v>CUILLERE A GLACE ACIDULE COUL PANACHE SACHET+GENCOD</v>
          </cell>
          <cell r="F679">
            <v>144</v>
          </cell>
          <cell r="G679">
            <v>12</v>
          </cell>
          <cell r="H679">
            <v>26</v>
          </cell>
          <cell r="I679">
            <v>24</v>
          </cell>
          <cell r="J679">
            <v>28.5</v>
          </cell>
          <cell r="K679">
            <v>8.4120000000000008</v>
          </cell>
          <cell r="L679">
            <v>5.8416666666666672E-2</v>
          </cell>
          <cell r="M679">
            <v>1.7784000000000001E-2</v>
          </cell>
        </row>
        <row r="680">
          <cell r="A680">
            <v>447820</v>
          </cell>
          <cell r="B680">
            <v>3118224478202</v>
          </cell>
          <cell r="C680" t="str">
            <v>13118224478209</v>
          </cell>
          <cell r="D680" t="str">
            <v>23118224478206</v>
          </cell>
          <cell r="E680" t="str">
            <v>ROULETTE A PATE ACIDULE COUL PANACHE SACHET+GENCOD</v>
          </cell>
          <cell r="F680">
            <v>144</v>
          </cell>
          <cell r="G680">
            <v>12</v>
          </cell>
          <cell r="H680">
            <v>26</v>
          </cell>
          <cell r="I680">
            <v>24</v>
          </cell>
          <cell r="J680">
            <v>28.5</v>
          </cell>
          <cell r="K680">
            <v>6.43</v>
          </cell>
          <cell r="L680">
            <v>4.4652777777777777E-2</v>
          </cell>
          <cell r="M680">
            <v>1.7784000000000001E-2</v>
          </cell>
        </row>
        <row r="681">
          <cell r="A681">
            <v>447830</v>
          </cell>
          <cell r="B681">
            <v>3118224478301</v>
          </cell>
          <cell r="C681" t="str">
            <v>13118224478308</v>
          </cell>
          <cell r="D681" t="str">
            <v>23118224478305</v>
          </cell>
          <cell r="E681" t="str">
            <v>ZESTEUR ACIDULE COUL PANACHE SACHET+GENCOD</v>
          </cell>
          <cell r="F681">
            <v>144</v>
          </cell>
          <cell r="G681">
            <v>12</v>
          </cell>
          <cell r="H681">
            <v>25</v>
          </cell>
          <cell r="I681">
            <v>18</v>
          </cell>
          <cell r="J681">
            <v>18</v>
          </cell>
          <cell r="K681">
            <v>5.04</v>
          </cell>
          <cell r="L681">
            <v>3.5000000000000003E-2</v>
          </cell>
          <cell r="M681">
            <v>8.0999999999999996E-3</v>
          </cell>
        </row>
        <row r="682">
          <cell r="A682">
            <v>447840</v>
          </cell>
          <cell r="B682">
            <v>3118224478400</v>
          </cell>
          <cell r="E682" t="str">
            <v>OUVRE BOUTEILLE ACIDULE COUL PANACHE SACHET+GENCOD</v>
          </cell>
          <cell r="F682">
            <v>144</v>
          </cell>
          <cell r="G682">
            <v>12</v>
          </cell>
          <cell r="H682">
            <v>29</v>
          </cell>
          <cell r="I682">
            <v>18</v>
          </cell>
          <cell r="J682">
            <v>18</v>
          </cell>
          <cell r="K682">
            <v>5.94</v>
          </cell>
          <cell r="L682">
            <v>4.1250000000000002E-2</v>
          </cell>
          <cell r="M682">
            <v>9.3959999999999998E-3</v>
          </cell>
        </row>
        <row r="683">
          <cell r="A683">
            <v>447850</v>
          </cell>
          <cell r="B683">
            <v>3118224478509</v>
          </cell>
          <cell r="C683" t="str">
            <v>13118224478506</v>
          </cell>
          <cell r="D683" t="str">
            <v>23118224478503</v>
          </cell>
          <cell r="E683" t="str">
            <v>EPLUCHEUR TOMATE ACIDULE COUL PANACHE SACHET+GENCOD</v>
          </cell>
          <cell r="F683">
            <v>144</v>
          </cell>
          <cell r="G683">
            <v>12</v>
          </cell>
          <cell r="H683">
            <v>22</v>
          </cell>
          <cell r="I683">
            <v>20</v>
          </cell>
          <cell r="J683">
            <v>29</v>
          </cell>
          <cell r="K683">
            <v>6.7560000000000002</v>
          </cell>
          <cell r="L683">
            <v>4.6916666666666669E-2</v>
          </cell>
          <cell r="M683">
            <v>1.2760000000000001E-2</v>
          </cell>
        </row>
        <row r="684">
          <cell r="A684">
            <v>447860</v>
          </cell>
          <cell r="B684">
            <v>3118224478608</v>
          </cell>
          <cell r="C684" t="str">
            <v>13118224478605</v>
          </cell>
          <cell r="D684" t="str">
            <v>23118224478602</v>
          </cell>
          <cell r="E684" t="str">
            <v>ROULETTE A PIZZA ACIDULE COUL PANACHE SACHET+GENCOD</v>
          </cell>
          <cell r="F684">
            <v>144</v>
          </cell>
          <cell r="G684">
            <v>12</v>
          </cell>
          <cell r="H684">
            <v>31</v>
          </cell>
          <cell r="I684">
            <v>23.5</v>
          </cell>
          <cell r="J684">
            <v>36</v>
          </cell>
          <cell r="K684">
            <v>9.7919999999999998</v>
          </cell>
          <cell r="L684">
            <v>6.8000000000000005E-2</v>
          </cell>
          <cell r="M684">
            <v>2.6225999999999999E-2</v>
          </cell>
        </row>
        <row r="685">
          <cell r="A685">
            <v>447870</v>
          </cell>
          <cell r="B685">
            <v>3118224478707</v>
          </cell>
          <cell r="C685" t="str">
            <v>13118224478704</v>
          </cell>
          <cell r="D685" t="str">
            <v>23118224478701</v>
          </cell>
          <cell r="E685" t="str">
            <v>PINCEAU SILICONE ACIDULE COUL PANACHE SACHET+GENCOD</v>
          </cell>
          <cell r="F685">
            <v>144</v>
          </cell>
          <cell r="G685">
            <v>12</v>
          </cell>
          <cell r="H685">
            <v>30.5</v>
          </cell>
          <cell r="I685">
            <v>23.5</v>
          </cell>
          <cell r="J685">
            <v>33</v>
          </cell>
          <cell r="K685">
            <v>9.3049999999999997</v>
          </cell>
          <cell r="L685">
            <v>6.4618055555555554E-2</v>
          </cell>
          <cell r="M685">
            <v>2.3652749999999997E-2</v>
          </cell>
        </row>
        <row r="686">
          <cell r="A686">
            <v>447950</v>
          </cell>
          <cell r="B686">
            <v>3118224479506</v>
          </cell>
          <cell r="E686" t="str">
            <v>COFFRET SANTUKO 12 URBAN LAME CERAMIQUE BLANCHE</v>
          </cell>
          <cell r="F686">
            <v>18</v>
          </cell>
          <cell r="G686">
            <v>3</v>
          </cell>
          <cell r="H686">
            <v>37</v>
          </cell>
          <cell r="I686">
            <v>29</v>
          </cell>
          <cell r="J686">
            <v>25</v>
          </cell>
          <cell r="K686">
            <v>3.66</v>
          </cell>
          <cell r="L686">
            <v>0.20333333333333334</v>
          </cell>
          <cell r="M686">
            <v>2.6825000000000002E-2</v>
          </cell>
        </row>
        <row r="687">
          <cell r="A687">
            <v>447951</v>
          </cell>
          <cell r="B687">
            <v>3118224479513</v>
          </cell>
          <cell r="E687" t="str">
            <v>COFFRET SANTUKO 12 URBAN LAME CERAMIQUE NOIRE</v>
          </cell>
          <cell r="F687">
            <v>18</v>
          </cell>
          <cell r="G687">
            <v>3</v>
          </cell>
          <cell r="H687">
            <v>37</v>
          </cell>
          <cell r="I687">
            <v>29</v>
          </cell>
          <cell r="J687">
            <v>25</v>
          </cell>
          <cell r="K687">
            <v>3.66</v>
          </cell>
          <cell r="L687">
            <v>0.20333333333333334</v>
          </cell>
          <cell r="M687">
            <v>2.6825000000000002E-2</v>
          </cell>
        </row>
        <row r="688">
          <cell r="A688">
            <v>447980</v>
          </cell>
          <cell r="B688">
            <v>3118224479803</v>
          </cell>
          <cell r="E688" t="str">
            <v>COFFRET 6 CERAMIQUE OF-STEAK-C13-SANTUK-CHEF15-EPL LAME BLAN</v>
          </cell>
          <cell r="F688">
            <v>18</v>
          </cell>
          <cell r="G688">
            <v>3</v>
          </cell>
          <cell r="H688">
            <v>63</v>
          </cell>
          <cell r="I688">
            <v>40</v>
          </cell>
          <cell r="J688">
            <v>35.5</v>
          </cell>
          <cell r="K688">
            <v>12.01</v>
          </cell>
          <cell r="L688">
            <v>0.66722222222222216</v>
          </cell>
          <cell r="M688">
            <v>8.9459999999999998E-2</v>
          </cell>
        </row>
        <row r="689">
          <cell r="A689">
            <v>447990</v>
          </cell>
          <cell r="B689">
            <v>3118224479902</v>
          </cell>
          <cell r="E689" t="str">
            <v>COFFRET 6 CERAMIQUE OF-STEAK-C13-SANTUK-CHEF15-EPL LAME NOIR</v>
          </cell>
          <cell r="F689">
            <v>18</v>
          </cell>
          <cell r="G689">
            <v>3</v>
          </cell>
          <cell r="H689">
            <v>63</v>
          </cell>
          <cell r="I689">
            <v>40</v>
          </cell>
          <cell r="J689">
            <v>35.5</v>
          </cell>
          <cell r="K689">
            <v>12.01</v>
          </cell>
          <cell r="L689">
            <v>0.66722222222222216</v>
          </cell>
          <cell r="M689">
            <v>8.9459999999999998E-2</v>
          </cell>
        </row>
        <row r="690">
          <cell r="A690">
            <v>448060</v>
          </cell>
          <cell r="B690">
            <v>3118224480601</v>
          </cell>
          <cell r="E690" t="str">
            <v>UNIVERSEL LAME LISSE 13 ACIDULE MANCHE NOIR CARB FX T2 COUT</v>
          </cell>
          <cell r="F690">
            <v>96</v>
          </cell>
          <cell r="G690">
            <v>6</v>
          </cell>
          <cell r="H690">
            <v>40</v>
          </cell>
          <cell r="I690">
            <v>30</v>
          </cell>
          <cell r="J690">
            <v>20</v>
          </cell>
          <cell r="K690">
            <v>11.895</v>
          </cell>
          <cell r="L690">
            <v>0.12390625</v>
          </cell>
          <cell r="M690">
            <v>2.4E-2</v>
          </cell>
        </row>
        <row r="691">
          <cell r="A691">
            <v>448061</v>
          </cell>
          <cell r="B691">
            <v>3118224480618</v>
          </cell>
          <cell r="E691" t="str">
            <v>UNIVERSEL LAME LISSE 13 ACIDULE MANCHE ROUGE 185C FX T2 COUT</v>
          </cell>
          <cell r="F691">
            <v>96</v>
          </cell>
          <cell r="G691">
            <v>6</v>
          </cell>
          <cell r="H691">
            <v>40</v>
          </cell>
          <cell r="I691">
            <v>30</v>
          </cell>
          <cell r="J691">
            <v>20</v>
          </cell>
          <cell r="K691">
            <v>11.895</v>
          </cell>
          <cell r="L691">
            <v>0.12390625</v>
          </cell>
          <cell r="M691">
            <v>2.4E-2</v>
          </cell>
        </row>
        <row r="692">
          <cell r="A692">
            <v>448070</v>
          </cell>
          <cell r="B692">
            <v>3118224480700</v>
          </cell>
          <cell r="E692" t="str">
            <v>FRUIT LEG 14 ACIDULE MANCHE NOIR CARBONE SOUS FX T2 COUT DU</v>
          </cell>
          <cell r="F692">
            <v>96</v>
          </cell>
          <cell r="G692">
            <v>6</v>
          </cell>
          <cell r="H692">
            <v>40</v>
          </cell>
          <cell r="I692">
            <v>30</v>
          </cell>
          <cell r="J692">
            <v>20</v>
          </cell>
          <cell r="K692">
            <v>11.714</v>
          </cell>
          <cell r="L692">
            <v>0.12202083333333334</v>
          </cell>
          <cell r="M692">
            <v>2.4E-2</v>
          </cell>
        </row>
        <row r="693">
          <cell r="A693">
            <v>448071</v>
          </cell>
          <cell r="B693">
            <v>3118224480717</v>
          </cell>
          <cell r="E693" t="str">
            <v>FRUIT LEG 14 ACIDULE MANCHE ROUGE 185C SOUS FX T2 COUT DU CH</v>
          </cell>
          <cell r="F693">
            <v>96</v>
          </cell>
          <cell r="G693">
            <v>6</v>
          </cell>
          <cell r="H693">
            <v>40</v>
          </cell>
          <cell r="I693">
            <v>30</v>
          </cell>
          <cell r="J693">
            <v>20</v>
          </cell>
          <cell r="K693">
            <v>11.714</v>
          </cell>
          <cell r="L693">
            <v>0.12202083333333334</v>
          </cell>
          <cell r="M693">
            <v>2.4E-2</v>
          </cell>
        </row>
        <row r="694">
          <cell r="A694">
            <v>448080</v>
          </cell>
          <cell r="B694">
            <v>3118224480809</v>
          </cell>
          <cell r="E694" t="str">
            <v>CHEF 19 ACIDULE MANCHE NOIR CARBONE SOUS FX T3 COUT DU CHEF</v>
          </cell>
          <cell r="F694">
            <v>96</v>
          </cell>
          <cell r="G694">
            <v>6</v>
          </cell>
          <cell r="H694">
            <v>43</v>
          </cell>
          <cell r="I694">
            <v>29</v>
          </cell>
          <cell r="J694">
            <v>29</v>
          </cell>
          <cell r="K694">
            <v>15.488</v>
          </cell>
          <cell r="L694">
            <v>0.16133333333333333</v>
          </cell>
          <cell r="M694">
            <v>3.6163000000000001E-2</v>
          </cell>
        </row>
        <row r="695">
          <cell r="A695">
            <v>448081</v>
          </cell>
          <cell r="B695">
            <v>3118224480816</v>
          </cell>
          <cell r="E695" t="str">
            <v>CHEF 19 ACIDULE MANCHE ROUGE 185C SOUS FX T3 COUT DU CHEF</v>
          </cell>
          <cell r="F695">
            <v>96</v>
          </cell>
          <cell r="G695">
            <v>6</v>
          </cell>
          <cell r="H695">
            <v>43</v>
          </cell>
          <cell r="I695">
            <v>29</v>
          </cell>
          <cell r="J695">
            <v>29</v>
          </cell>
          <cell r="K695">
            <v>15.488</v>
          </cell>
          <cell r="L695">
            <v>0.16133333333333333</v>
          </cell>
          <cell r="M695">
            <v>3.6163000000000001E-2</v>
          </cell>
        </row>
        <row r="696">
          <cell r="A696">
            <v>448100</v>
          </cell>
          <cell r="B696">
            <v>3118224481004</v>
          </cell>
          <cell r="E696" t="str">
            <v>CUISINE 17 ACIDULE MANCHE NOIR CARBONE SOUS FX T3 COUT DU CH</v>
          </cell>
          <cell r="F696">
            <v>96</v>
          </cell>
          <cell r="G696">
            <v>6</v>
          </cell>
          <cell r="H696">
            <v>43</v>
          </cell>
          <cell r="I696">
            <v>29</v>
          </cell>
          <cell r="J696">
            <v>29</v>
          </cell>
          <cell r="K696">
            <v>16.253</v>
          </cell>
          <cell r="L696">
            <v>0.16930208333333333</v>
          </cell>
          <cell r="M696">
            <v>3.6163000000000001E-2</v>
          </cell>
        </row>
        <row r="697">
          <cell r="A697">
            <v>448101</v>
          </cell>
          <cell r="B697">
            <v>3118224481011</v>
          </cell>
          <cell r="E697" t="str">
            <v>CUISINE 17 ACIDULE MANCHE ROUGE 185C SOUS FX T3 COUT DU CHEF</v>
          </cell>
          <cell r="F697">
            <v>96</v>
          </cell>
          <cell r="G697">
            <v>6</v>
          </cell>
          <cell r="H697">
            <v>43</v>
          </cell>
          <cell r="I697">
            <v>29</v>
          </cell>
          <cell r="J697">
            <v>29</v>
          </cell>
          <cell r="K697">
            <v>16.253</v>
          </cell>
          <cell r="L697">
            <v>0.16930208333333333</v>
          </cell>
          <cell r="M697">
            <v>3.6163000000000001E-2</v>
          </cell>
        </row>
        <row r="698">
          <cell r="A698">
            <v>448160</v>
          </cell>
          <cell r="B698">
            <v>3257984139906</v>
          </cell>
          <cell r="E698" t="str">
            <v>COUTEAU TOMATE SLEEVE/ FX CORA</v>
          </cell>
          <cell r="F698">
            <v>240</v>
          </cell>
          <cell r="G698">
            <v>6</v>
          </cell>
          <cell r="H698">
            <v>44</v>
          </cell>
          <cell r="I698">
            <v>29</v>
          </cell>
          <cell r="J698">
            <v>30</v>
          </cell>
          <cell r="K698">
            <v>10.393000000000001</v>
          </cell>
          <cell r="L698">
            <v>4.3304166666666671E-2</v>
          </cell>
          <cell r="M698">
            <v>3.8280000000000002E-2</v>
          </cell>
        </row>
        <row r="699">
          <cell r="A699">
            <v>448202</v>
          </cell>
          <cell r="B699">
            <v>3118224482025</v>
          </cell>
          <cell r="E699" t="str">
            <v>CUISINE 17 LAG LASURE MANCHE BOIS NATUREL SOU FX TB T3</v>
          </cell>
          <cell r="F699">
            <v>96</v>
          </cell>
          <cell r="G699">
            <v>6</v>
          </cell>
          <cell r="H699">
            <v>43</v>
          </cell>
          <cell r="I699">
            <v>29</v>
          </cell>
          <cell r="J699">
            <v>29</v>
          </cell>
          <cell r="K699">
            <v>16.106000000000002</v>
          </cell>
          <cell r="L699">
            <v>0.16777083333333334</v>
          </cell>
          <cell r="M699">
            <v>3.6163000000000001E-2</v>
          </cell>
        </row>
        <row r="700">
          <cell r="A700">
            <v>448209</v>
          </cell>
          <cell r="B700">
            <v>3118224482094</v>
          </cell>
          <cell r="E700" t="str">
            <v>CUISINE 17 LAG LASURE MANCHE BOIS COUL PANACHE FX COUTEAU DU</v>
          </cell>
          <cell r="F700">
            <v>96</v>
          </cell>
          <cell r="G700">
            <v>6</v>
          </cell>
          <cell r="H700">
            <v>43</v>
          </cell>
          <cell r="I700">
            <v>29</v>
          </cell>
          <cell r="J700">
            <v>29</v>
          </cell>
          <cell r="K700">
            <v>16.106000000000002</v>
          </cell>
          <cell r="L700">
            <v>0.16777083333333334</v>
          </cell>
          <cell r="M700">
            <v>3.6163000000000001E-2</v>
          </cell>
        </row>
        <row r="701">
          <cell r="A701">
            <v>448219</v>
          </cell>
          <cell r="B701">
            <v>3118224482193</v>
          </cell>
          <cell r="E701" t="str">
            <v>CUISINE 19 LAG LASURE MANCHE BOIS COUL PANACHE FX COUTEAU DU</v>
          </cell>
          <cell r="F701">
            <v>96</v>
          </cell>
          <cell r="G701">
            <v>6</v>
          </cell>
          <cell r="H701">
            <v>43</v>
          </cell>
          <cell r="I701">
            <v>29</v>
          </cell>
          <cell r="J701">
            <v>29</v>
          </cell>
          <cell r="K701">
            <v>15.821999999999999</v>
          </cell>
          <cell r="L701">
            <v>0.1648125</v>
          </cell>
          <cell r="M701">
            <v>3.6163000000000001E-2</v>
          </cell>
        </row>
        <row r="702">
          <cell r="A702">
            <v>448221</v>
          </cell>
          <cell r="B702">
            <v>3118224482216</v>
          </cell>
          <cell r="E702" t="str">
            <v>PAIN LAG LASURE MANCHE BOIS BLANCHI SOUS FX TB T3</v>
          </cell>
          <cell r="F702">
            <v>96</v>
          </cell>
          <cell r="G702">
            <v>6</v>
          </cell>
          <cell r="H702">
            <v>43</v>
          </cell>
          <cell r="I702">
            <v>29</v>
          </cell>
          <cell r="J702">
            <v>29</v>
          </cell>
          <cell r="K702">
            <v>16.091999999999999</v>
          </cell>
          <cell r="L702">
            <v>0.167625</v>
          </cell>
          <cell r="M702">
            <v>3.6163000000000001E-2</v>
          </cell>
        </row>
        <row r="703">
          <cell r="A703">
            <v>448222</v>
          </cell>
          <cell r="B703">
            <v>3118224482223</v>
          </cell>
          <cell r="E703" t="str">
            <v>PAIN LAG LASURE MANCHE BOIS NATUREL SOUS FX TB T3</v>
          </cell>
          <cell r="F703">
            <v>96</v>
          </cell>
          <cell r="G703">
            <v>6</v>
          </cell>
          <cell r="H703">
            <v>43</v>
          </cell>
          <cell r="I703">
            <v>29</v>
          </cell>
          <cell r="J703">
            <v>29</v>
          </cell>
          <cell r="K703">
            <v>16.091999999999999</v>
          </cell>
          <cell r="L703">
            <v>0.167625</v>
          </cell>
          <cell r="M703">
            <v>3.6163000000000001E-2</v>
          </cell>
        </row>
        <row r="704">
          <cell r="A704">
            <v>448229</v>
          </cell>
          <cell r="B704">
            <v>3118224482292</v>
          </cell>
          <cell r="E704" t="str">
            <v>PAIN LAG LASURE MANCHE BOIS COUL PANACHE FX COUTEAU DU CHEF</v>
          </cell>
          <cell r="F704">
            <v>96</v>
          </cell>
          <cell r="G704">
            <v>6</v>
          </cell>
          <cell r="H704">
            <v>43</v>
          </cell>
          <cell r="I704">
            <v>29</v>
          </cell>
          <cell r="J704">
            <v>29</v>
          </cell>
          <cell r="K704">
            <v>16.091999999999999</v>
          </cell>
          <cell r="L704">
            <v>0.167625</v>
          </cell>
          <cell r="M704">
            <v>3.6163000000000001E-2</v>
          </cell>
        </row>
        <row r="705">
          <cell r="A705">
            <v>448230</v>
          </cell>
          <cell r="B705">
            <v>3118224482308</v>
          </cell>
          <cell r="E705" t="str">
            <v>HUITRE AVEC GARDE ACIDULE ROUGE 185C+GENCOD</v>
          </cell>
          <cell r="F705">
            <v>144</v>
          </cell>
          <cell r="G705">
            <v>12</v>
          </cell>
          <cell r="H705">
            <v>41</v>
          </cell>
          <cell r="I705">
            <v>24</v>
          </cell>
          <cell r="J705">
            <v>27</v>
          </cell>
          <cell r="K705">
            <v>7.056</v>
          </cell>
          <cell r="L705">
            <v>4.9000000000000002E-2</v>
          </cell>
          <cell r="M705">
            <v>2.6568000000000001E-2</v>
          </cell>
        </row>
        <row r="706">
          <cell r="A706">
            <v>448251</v>
          </cell>
          <cell r="B706">
            <v>3118224482513</v>
          </cell>
          <cell r="E706" t="str">
            <v>BLOC MAGNETIQUE 3 CX CUISINE ACIDULE BEE BRUME 430C LAME TIT</v>
          </cell>
          <cell r="F706">
            <v>3</v>
          </cell>
          <cell r="G706">
            <v>3</v>
          </cell>
          <cell r="H706">
            <v>61</v>
          </cell>
          <cell r="I706">
            <v>41</v>
          </cell>
          <cell r="J706">
            <v>32</v>
          </cell>
          <cell r="K706">
            <v>7.8719999999999999</v>
          </cell>
          <cell r="L706">
            <v>2.6240000000000001</v>
          </cell>
          <cell r="M706">
            <v>8.0031999999999992E-2</v>
          </cell>
        </row>
        <row r="707">
          <cell r="A707">
            <v>448290</v>
          </cell>
          <cell r="B707">
            <v>3118224482902</v>
          </cell>
          <cell r="E707" t="str">
            <v>ZESTEUR TRANSITION SACHET+GENCOD</v>
          </cell>
          <cell r="F707">
            <v>120</v>
          </cell>
          <cell r="G707">
            <v>12</v>
          </cell>
          <cell r="H707">
            <v>21.5</v>
          </cell>
          <cell r="I707">
            <v>19.5</v>
          </cell>
          <cell r="J707">
            <v>28</v>
          </cell>
          <cell r="K707">
            <v>6.6660000000000004</v>
          </cell>
          <cell r="L707">
            <v>5.5550000000000002E-2</v>
          </cell>
          <cell r="M707">
            <v>1.1738999999999999E-2</v>
          </cell>
        </row>
        <row r="708">
          <cell r="A708">
            <v>448300</v>
          </cell>
          <cell r="B708">
            <v>3118224483008</v>
          </cell>
          <cell r="E708" t="str">
            <v>ROULETTE A PATE TRANSITION SACHET+GENCOD</v>
          </cell>
          <cell r="F708">
            <v>144</v>
          </cell>
          <cell r="G708">
            <v>12</v>
          </cell>
          <cell r="H708">
            <v>24</v>
          </cell>
          <cell r="I708">
            <v>22</v>
          </cell>
          <cell r="J708">
            <v>34</v>
          </cell>
          <cell r="K708">
            <v>9.4410000000000007</v>
          </cell>
          <cell r="L708">
            <v>6.556250000000001E-2</v>
          </cell>
          <cell r="M708">
            <v>1.7951999999999996E-2</v>
          </cell>
        </row>
        <row r="709">
          <cell r="A709">
            <v>448310</v>
          </cell>
          <cell r="B709">
            <v>3118224483107</v>
          </cell>
          <cell r="E709" t="str">
            <v>OUVRE BOUTEILLE TRANSITION SACHET+GENCOD</v>
          </cell>
          <cell r="F709">
            <v>144</v>
          </cell>
          <cell r="G709">
            <v>12</v>
          </cell>
          <cell r="H709">
            <v>24</v>
          </cell>
          <cell r="I709">
            <v>19</v>
          </cell>
          <cell r="J709">
            <v>34.5</v>
          </cell>
          <cell r="K709">
            <v>9.1869999999999994</v>
          </cell>
          <cell r="L709">
            <v>6.3798611111111111E-2</v>
          </cell>
          <cell r="M709">
            <v>1.5731999999999996E-2</v>
          </cell>
        </row>
        <row r="710">
          <cell r="A710">
            <v>448320</v>
          </cell>
          <cell r="B710">
            <v>3118224483206</v>
          </cell>
          <cell r="E710" t="str">
            <v>ROULETTE A PIZZA TRANSITION SACHET+GENCOD</v>
          </cell>
          <cell r="F710">
            <v>120</v>
          </cell>
          <cell r="G710">
            <v>12</v>
          </cell>
          <cell r="H710">
            <v>35</v>
          </cell>
          <cell r="I710">
            <v>25</v>
          </cell>
          <cell r="J710">
            <v>32.5</v>
          </cell>
          <cell r="K710">
            <v>11.036</v>
          </cell>
          <cell r="L710">
            <v>9.1966666666666669E-2</v>
          </cell>
          <cell r="M710">
            <v>2.8437500000000001E-2</v>
          </cell>
        </row>
        <row r="711">
          <cell r="A711">
            <v>448330</v>
          </cell>
          <cell r="B711">
            <v>3118224483305</v>
          </cell>
          <cell r="E711" t="str">
            <v>RASOIR A LEGUMES TRANSITION SACHET+GENCOD</v>
          </cell>
          <cell r="F711">
            <v>120</v>
          </cell>
          <cell r="G711">
            <v>12</v>
          </cell>
          <cell r="H711">
            <v>24</v>
          </cell>
          <cell r="I711">
            <v>22.5</v>
          </cell>
          <cell r="J711">
            <v>29</v>
          </cell>
          <cell r="K711">
            <v>7.774</v>
          </cell>
          <cell r="L711">
            <v>6.4783333333333332E-2</v>
          </cell>
          <cell r="M711">
            <v>1.5659999999999997E-2</v>
          </cell>
        </row>
        <row r="712">
          <cell r="A712">
            <v>448350</v>
          </cell>
          <cell r="B712">
            <v>3118224483503</v>
          </cell>
          <cell r="E712" t="str">
            <v>PINCEAU SILICONE TRANSITION SACHET+GENCOD</v>
          </cell>
          <cell r="F712">
            <v>120</v>
          </cell>
          <cell r="G712">
            <v>12</v>
          </cell>
          <cell r="H712">
            <v>26.5</v>
          </cell>
          <cell r="I712">
            <v>24</v>
          </cell>
          <cell r="J712">
            <v>33</v>
          </cell>
          <cell r="K712">
            <v>9.8559999999999999</v>
          </cell>
          <cell r="L712">
            <v>8.2133333333333336E-2</v>
          </cell>
          <cell r="M712">
            <v>2.0988000000000003E-2</v>
          </cell>
        </row>
        <row r="713">
          <cell r="A713">
            <v>448360</v>
          </cell>
          <cell r="B713">
            <v>3118224483602</v>
          </cell>
          <cell r="E713" t="str">
            <v>FOUET TRANSITION SACHET+GENCOD</v>
          </cell>
          <cell r="F713">
            <v>120</v>
          </cell>
          <cell r="G713">
            <v>12</v>
          </cell>
          <cell r="H713">
            <v>35</v>
          </cell>
          <cell r="I713">
            <v>27.5</v>
          </cell>
          <cell r="J713">
            <v>53</v>
          </cell>
          <cell r="K713">
            <v>9.3680000000000003</v>
          </cell>
          <cell r="L713">
            <v>7.8066666666666673E-2</v>
          </cell>
          <cell r="M713">
            <v>5.1012500000000002E-2</v>
          </cell>
        </row>
        <row r="714">
          <cell r="A714">
            <v>448380</v>
          </cell>
          <cell r="B714">
            <v>3118224483800</v>
          </cell>
          <cell r="E714" t="str">
            <v>EPLUCHEUR TOMATE TRANSITION SACHET+GENCOD</v>
          </cell>
          <cell r="F714">
            <v>120</v>
          </cell>
          <cell r="G714">
            <v>12</v>
          </cell>
          <cell r="H714">
            <v>22</v>
          </cell>
          <cell r="I714">
            <v>19</v>
          </cell>
          <cell r="J714">
            <v>28</v>
          </cell>
          <cell r="K714">
            <v>8.1</v>
          </cell>
          <cell r="L714">
            <v>6.7499999999999991E-2</v>
          </cell>
          <cell r="M714">
            <v>1.1703999999999999E-2</v>
          </cell>
        </row>
        <row r="715">
          <cell r="A715">
            <v>448390</v>
          </cell>
          <cell r="B715">
            <v>3118224483909</v>
          </cell>
          <cell r="E715" t="str">
            <v>HUITRE AVEC GARDE TRANSITION SACHET+GENCOD</v>
          </cell>
          <cell r="F715">
            <v>144</v>
          </cell>
          <cell r="G715">
            <v>12</v>
          </cell>
          <cell r="H715">
            <v>29.5</v>
          </cell>
          <cell r="I715">
            <v>29.5</v>
          </cell>
          <cell r="J715">
            <v>40.5</v>
          </cell>
          <cell r="K715">
            <v>10.715</v>
          </cell>
          <cell r="L715">
            <v>7.4409722222222224E-2</v>
          </cell>
          <cell r="M715">
            <v>3.5245124999999995E-2</v>
          </cell>
        </row>
        <row r="716">
          <cell r="A716">
            <v>448411</v>
          </cell>
          <cell r="B716">
            <v>3118224484111</v>
          </cell>
          <cell r="E716" t="str">
            <v>COFFRET FROMAGE 3 PCES ACIDULE NOIR CARBONE</v>
          </cell>
          <cell r="F716">
            <v>6</v>
          </cell>
          <cell r="G716">
            <v>6</v>
          </cell>
          <cell r="H716">
            <v>29.5</v>
          </cell>
          <cell r="I716">
            <v>27.5</v>
          </cell>
          <cell r="J716">
            <v>15.5</v>
          </cell>
          <cell r="K716">
            <v>3.5</v>
          </cell>
          <cell r="L716">
            <v>0.58333333333333337</v>
          </cell>
          <cell r="M716">
            <v>1.2574374999999997E-2</v>
          </cell>
        </row>
        <row r="717">
          <cell r="A717">
            <v>448431</v>
          </cell>
          <cell r="B717">
            <v>3118224484319</v>
          </cell>
          <cell r="E717" t="str">
            <v>COFFRET HUITRE 7 PCES ACIDULE NOIR CARBONE</v>
          </cell>
          <cell r="F717">
            <v>6</v>
          </cell>
          <cell r="G717">
            <v>6</v>
          </cell>
          <cell r="H717">
            <v>28</v>
          </cell>
          <cell r="I717">
            <v>16.5</v>
          </cell>
          <cell r="J717">
            <v>30</v>
          </cell>
          <cell r="K717">
            <v>3.48</v>
          </cell>
          <cell r="L717">
            <v>0.57999999999999996</v>
          </cell>
          <cell r="M717">
            <v>1.3859999999999999E-2</v>
          </cell>
        </row>
        <row r="718">
          <cell r="A718">
            <v>448521</v>
          </cell>
          <cell r="B718">
            <v>3118224485217</v>
          </cell>
          <cell r="E718" t="str">
            <v>COUTEAU BASTILLE EMERAUDE 326C+GENCOD</v>
          </cell>
          <cell r="F718">
            <v>144</v>
          </cell>
          <cell r="G718">
            <v>6</v>
          </cell>
          <cell r="H718">
            <v>26</v>
          </cell>
          <cell r="I718">
            <v>26</v>
          </cell>
          <cell r="J718">
            <v>21</v>
          </cell>
          <cell r="K718">
            <v>7.6319999999999997</v>
          </cell>
          <cell r="L718">
            <v>5.2999999999999999E-2</v>
          </cell>
          <cell r="M718">
            <v>1.4196E-2</v>
          </cell>
        </row>
        <row r="719">
          <cell r="A719">
            <v>448522</v>
          </cell>
          <cell r="B719">
            <v>3118224485224</v>
          </cell>
          <cell r="E719" t="str">
            <v>COUTEAU BASTILLE BOUTON D'OR 7405C+GENCOD</v>
          </cell>
          <cell r="F719">
            <v>144</v>
          </cell>
          <cell r="G719">
            <v>6</v>
          </cell>
          <cell r="H719">
            <v>26</v>
          </cell>
          <cell r="I719">
            <v>26</v>
          </cell>
          <cell r="J719">
            <v>21</v>
          </cell>
          <cell r="K719">
            <v>7.5359999999999996</v>
          </cell>
          <cell r="L719">
            <v>5.2333333333333329E-2</v>
          </cell>
          <cell r="M719">
            <v>1.4196E-2</v>
          </cell>
        </row>
        <row r="720">
          <cell r="A720">
            <v>448523</v>
          </cell>
          <cell r="B720">
            <v>3118224485231</v>
          </cell>
          <cell r="E720" t="str">
            <v>COUTEAU BASTILLE VIOLETTE 2415C+GENCOD</v>
          </cell>
          <cell r="F720">
            <v>144</v>
          </cell>
          <cell r="G720">
            <v>6</v>
          </cell>
          <cell r="H720">
            <v>26</v>
          </cell>
          <cell r="I720">
            <v>26</v>
          </cell>
          <cell r="J720">
            <v>21</v>
          </cell>
          <cell r="K720">
            <v>7.6319999999999997</v>
          </cell>
          <cell r="L720">
            <v>5.2999999999999999E-2</v>
          </cell>
          <cell r="M720">
            <v>1.4196E-2</v>
          </cell>
        </row>
        <row r="721">
          <cell r="A721">
            <v>448524</v>
          </cell>
          <cell r="B721">
            <v>3118224485248</v>
          </cell>
          <cell r="E721" t="str">
            <v>COUTEAU BASTILLE BLANC+GENCOD</v>
          </cell>
          <cell r="F721">
            <v>144</v>
          </cell>
          <cell r="G721">
            <v>6</v>
          </cell>
          <cell r="H721">
            <v>26</v>
          </cell>
          <cell r="I721">
            <v>26</v>
          </cell>
          <cell r="J721">
            <v>21</v>
          </cell>
          <cell r="K721">
            <v>7.8810000000000002</v>
          </cell>
          <cell r="L721">
            <v>5.4729166666666669E-2</v>
          </cell>
          <cell r="M721">
            <v>1.4196E-2</v>
          </cell>
        </row>
        <row r="722">
          <cell r="A722">
            <v>448530</v>
          </cell>
          <cell r="B722">
            <v>3118224485309</v>
          </cell>
          <cell r="E722" t="str">
            <v>FOURCHETTE BASTILLE TOMATE 485C+GENCOD</v>
          </cell>
          <cell r="F722">
            <v>144</v>
          </cell>
          <cell r="G722">
            <v>6</v>
          </cell>
          <cell r="H722">
            <v>24.5</v>
          </cell>
          <cell r="I722">
            <v>24.5</v>
          </cell>
          <cell r="J722">
            <v>28</v>
          </cell>
          <cell r="K722">
            <v>6.9119999999999999</v>
          </cell>
          <cell r="L722">
            <v>4.8000000000000001E-2</v>
          </cell>
          <cell r="M722">
            <v>1.6806999999999999E-2</v>
          </cell>
        </row>
        <row r="723">
          <cell r="A723">
            <v>448531</v>
          </cell>
          <cell r="B723">
            <v>3118224485316</v>
          </cell>
          <cell r="E723" t="str">
            <v>FOURCHETTE BASTILLE EMERAUDE 326C+GENCOD</v>
          </cell>
          <cell r="F723">
            <v>144</v>
          </cell>
          <cell r="G723">
            <v>6</v>
          </cell>
          <cell r="H723">
            <v>24.5</v>
          </cell>
          <cell r="I723">
            <v>24.5</v>
          </cell>
          <cell r="J723">
            <v>28</v>
          </cell>
          <cell r="K723">
            <v>7.6319999999999997</v>
          </cell>
          <cell r="L723">
            <v>5.2999999999999999E-2</v>
          </cell>
          <cell r="M723">
            <v>1.6806999999999999E-2</v>
          </cell>
        </row>
        <row r="724">
          <cell r="A724">
            <v>448532</v>
          </cell>
          <cell r="B724">
            <v>3118224485323</v>
          </cell>
          <cell r="E724" t="str">
            <v>FOURCHETTE BASTILLE BOUTON D'OR 7405C+GENCOD</v>
          </cell>
          <cell r="F724">
            <v>144</v>
          </cell>
          <cell r="G724">
            <v>6</v>
          </cell>
          <cell r="H724">
            <v>24.5</v>
          </cell>
          <cell r="I724">
            <v>24.5</v>
          </cell>
          <cell r="J724">
            <v>28</v>
          </cell>
          <cell r="K724">
            <v>7.6319999999999997</v>
          </cell>
          <cell r="L724">
            <v>5.2999999999999999E-2</v>
          </cell>
          <cell r="M724">
            <v>1.6806999999999999E-2</v>
          </cell>
        </row>
        <row r="725">
          <cell r="A725">
            <v>448533</v>
          </cell>
          <cell r="B725">
            <v>3118224485330</v>
          </cell>
          <cell r="E725" t="str">
            <v>FOURCHETTE BASTILLE VIOLETTE 2415C+GENCOD</v>
          </cell>
          <cell r="F725">
            <v>144</v>
          </cell>
          <cell r="G725">
            <v>6</v>
          </cell>
          <cell r="H725">
            <v>24.5</v>
          </cell>
          <cell r="I725">
            <v>24.5</v>
          </cell>
          <cell r="J725">
            <v>28</v>
          </cell>
          <cell r="K725">
            <v>7.7759999999999998</v>
          </cell>
          <cell r="L725">
            <v>5.3999999999999999E-2</v>
          </cell>
          <cell r="M725">
            <v>1.6806999999999999E-2</v>
          </cell>
        </row>
        <row r="726">
          <cell r="A726">
            <v>448534</v>
          </cell>
          <cell r="B726">
            <v>3118224485347</v>
          </cell>
          <cell r="E726" t="str">
            <v>FOURCHETTE BASTILLE BLANC+GENCOD</v>
          </cell>
          <cell r="F726">
            <v>144</v>
          </cell>
          <cell r="G726">
            <v>6</v>
          </cell>
          <cell r="H726">
            <v>24.5</v>
          </cell>
          <cell r="I726">
            <v>24.5</v>
          </cell>
          <cell r="J726">
            <v>28</v>
          </cell>
          <cell r="K726">
            <v>8.0069999999999997</v>
          </cell>
          <cell r="L726">
            <v>5.5604166666666663E-2</v>
          </cell>
          <cell r="M726">
            <v>1.6806999999999999E-2</v>
          </cell>
        </row>
        <row r="727">
          <cell r="A727">
            <v>448535</v>
          </cell>
          <cell r="B727">
            <v>3118224485354</v>
          </cell>
          <cell r="E727" t="str">
            <v>FOURCHETTE BASTILLE NOIR+GENCOD</v>
          </cell>
          <cell r="F727">
            <v>144</v>
          </cell>
          <cell r="G727">
            <v>6</v>
          </cell>
          <cell r="H727">
            <v>24.5</v>
          </cell>
          <cell r="I727">
            <v>24.5</v>
          </cell>
          <cell r="J727">
            <v>28</v>
          </cell>
          <cell r="K727">
            <v>8.0069999999999997</v>
          </cell>
          <cell r="L727">
            <v>5.5604166666666663E-2</v>
          </cell>
          <cell r="M727">
            <v>1.6806999999999999E-2</v>
          </cell>
        </row>
        <row r="728">
          <cell r="A728">
            <v>448541</v>
          </cell>
          <cell r="B728">
            <v>3118224485415</v>
          </cell>
          <cell r="E728" t="str">
            <v>CUILLERE BASTILLE EMERAUDE 326C+GENCOD</v>
          </cell>
          <cell r="F728">
            <v>144</v>
          </cell>
          <cell r="G728">
            <v>6</v>
          </cell>
          <cell r="H728">
            <v>24.5</v>
          </cell>
          <cell r="I728">
            <v>24.5</v>
          </cell>
          <cell r="J728">
            <v>28</v>
          </cell>
          <cell r="K728">
            <v>7.2</v>
          </cell>
          <cell r="L728">
            <v>0.05</v>
          </cell>
          <cell r="M728">
            <v>1.6806999999999999E-2</v>
          </cell>
        </row>
        <row r="729">
          <cell r="A729">
            <v>448542</v>
          </cell>
          <cell r="B729">
            <v>3118224485422</v>
          </cell>
          <cell r="E729" t="str">
            <v>CUILLERE BASTILLE BOUTON D'OR 7405C+GENCOD</v>
          </cell>
          <cell r="F729">
            <v>144</v>
          </cell>
          <cell r="G729">
            <v>6</v>
          </cell>
          <cell r="H729">
            <v>24.5</v>
          </cell>
          <cell r="I729">
            <v>24.5</v>
          </cell>
          <cell r="J729">
            <v>28</v>
          </cell>
          <cell r="K729">
            <v>7.2</v>
          </cell>
          <cell r="L729">
            <v>0.05</v>
          </cell>
          <cell r="M729">
            <v>1.6806999999999999E-2</v>
          </cell>
        </row>
        <row r="730">
          <cell r="A730">
            <v>448543</v>
          </cell>
          <cell r="B730">
            <v>3118224485439</v>
          </cell>
          <cell r="E730" t="str">
            <v>CUILLERE BASTILLE VIOLETTE 2415C+GENCOD</v>
          </cell>
          <cell r="F730">
            <v>144</v>
          </cell>
          <cell r="G730">
            <v>6</v>
          </cell>
          <cell r="H730">
            <v>24.5</v>
          </cell>
          <cell r="I730">
            <v>24.5</v>
          </cell>
          <cell r="J730">
            <v>28</v>
          </cell>
          <cell r="K730">
            <v>7.2</v>
          </cell>
          <cell r="L730">
            <v>0.05</v>
          </cell>
          <cell r="M730">
            <v>1.6806999999999999E-2</v>
          </cell>
        </row>
        <row r="731">
          <cell r="A731">
            <v>448544</v>
          </cell>
          <cell r="B731">
            <v>3118224485446</v>
          </cell>
          <cell r="E731" t="str">
            <v>CUILLERE BASTILLE BLANC+GENCOD</v>
          </cell>
          <cell r="F731">
            <v>144</v>
          </cell>
          <cell r="G731">
            <v>6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</row>
        <row r="732">
          <cell r="A732">
            <v>448545</v>
          </cell>
          <cell r="B732">
            <v>3118224485453</v>
          </cell>
          <cell r="E732" t="str">
            <v>CUILLERE BASTILLE NOIR+GENCOD</v>
          </cell>
          <cell r="F732">
            <v>144</v>
          </cell>
          <cell r="G732">
            <v>6</v>
          </cell>
          <cell r="H732">
            <v>24.5</v>
          </cell>
          <cell r="I732">
            <v>24.5</v>
          </cell>
          <cell r="J732">
            <v>28</v>
          </cell>
          <cell r="K732">
            <v>8.07</v>
          </cell>
          <cell r="L732">
            <v>5.604166666666667E-2</v>
          </cell>
          <cell r="M732">
            <v>1.6806999999999999E-2</v>
          </cell>
        </row>
        <row r="733">
          <cell r="A733">
            <v>448550</v>
          </cell>
          <cell r="B733">
            <v>3118224485507</v>
          </cell>
          <cell r="E733" t="str">
            <v>CAFE BASTILLE TOMATE 485C+GENCOD</v>
          </cell>
          <cell r="F733">
            <v>144</v>
          </cell>
          <cell r="G733">
            <v>6</v>
          </cell>
          <cell r="H733">
            <v>26</v>
          </cell>
          <cell r="I733">
            <v>24.5</v>
          </cell>
          <cell r="J733">
            <v>22.5</v>
          </cell>
          <cell r="K733">
            <v>5.6159999999999997</v>
          </cell>
          <cell r="L733">
            <v>3.9E-2</v>
          </cell>
          <cell r="M733">
            <v>1.4332500000000001E-2</v>
          </cell>
        </row>
        <row r="734">
          <cell r="A734">
            <v>448552</v>
          </cell>
          <cell r="B734">
            <v>3118224485521</v>
          </cell>
          <cell r="E734" t="str">
            <v>CAFE BASTILLE BOUTON D'OR 7405C+GENCOD</v>
          </cell>
          <cell r="F734">
            <v>144</v>
          </cell>
          <cell r="G734">
            <v>6</v>
          </cell>
          <cell r="H734">
            <v>26</v>
          </cell>
          <cell r="I734">
            <v>24.5</v>
          </cell>
          <cell r="J734">
            <v>22.5</v>
          </cell>
          <cell r="K734">
            <v>6.36</v>
          </cell>
          <cell r="L734">
            <v>4.4166666666666667E-2</v>
          </cell>
          <cell r="M734">
            <v>1.4332500000000001E-2</v>
          </cell>
        </row>
        <row r="735">
          <cell r="A735">
            <v>448553</v>
          </cell>
          <cell r="B735">
            <v>3118224485538</v>
          </cell>
          <cell r="E735" t="str">
            <v>CAFE BASTILLE VIOLETTE 2415C+GENCOD</v>
          </cell>
          <cell r="F735">
            <v>144</v>
          </cell>
          <cell r="G735">
            <v>6</v>
          </cell>
          <cell r="H735">
            <v>26</v>
          </cell>
          <cell r="I735">
            <v>24.5</v>
          </cell>
          <cell r="J735">
            <v>22.5</v>
          </cell>
          <cell r="K735">
            <v>5.76</v>
          </cell>
          <cell r="L735">
            <v>0.04</v>
          </cell>
          <cell r="M735">
            <v>1.4332500000000001E-2</v>
          </cell>
        </row>
        <row r="736">
          <cell r="A736">
            <v>448554</v>
          </cell>
          <cell r="B736">
            <v>3118224485545</v>
          </cell>
          <cell r="E736" t="str">
            <v>CAFE BASTILLE BLANC+GENCOD</v>
          </cell>
          <cell r="F736">
            <v>144</v>
          </cell>
          <cell r="G736">
            <v>6</v>
          </cell>
          <cell r="H736">
            <v>26</v>
          </cell>
          <cell r="I736">
            <v>24.5</v>
          </cell>
          <cell r="J736">
            <v>22.5</v>
          </cell>
          <cell r="K736">
            <v>6.6669999999999998</v>
          </cell>
          <cell r="L736">
            <v>4.629861111111111E-2</v>
          </cell>
          <cell r="M736">
            <v>1.4332500000000001E-2</v>
          </cell>
        </row>
        <row r="737">
          <cell r="A737">
            <v>448670</v>
          </cell>
          <cell r="B737">
            <v>3118224486702</v>
          </cell>
          <cell r="E737" t="str">
            <v>COFFRET 6 CUILLERES MANGO COUL ASSORTIES</v>
          </cell>
          <cell r="F737">
            <v>6</v>
          </cell>
          <cell r="G737">
            <v>6</v>
          </cell>
          <cell r="H737">
            <v>26</v>
          </cell>
          <cell r="I737">
            <v>17.5</v>
          </cell>
          <cell r="J737">
            <v>28</v>
          </cell>
          <cell r="K737">
            <v>1.913</v>
          </cell>
          <cell r="L737">
            <v>0.31883333333333336</v>
          </cell>
          <cell r="M737">
            <v>1.274E-2</v>
          </cell>
        </row>
        <row r="738">
          <cell r="A738">
            <v>448680</v>
          </cell>
          <cell r="B738">
            <v>3118224486801</v>
          </cell>
          <cell r="E738" t="str">
            <v>COFFRET 6 CAFES MANGO COUL ASSORTIES</v>
          </cell>
          <cell r="F738">
            <v>6</v>
          </cell>
          <cell r="G738">
            <v>6</v>
          </cell>
          <cell r="H738">
            <v>22</v>
          </cell>
          <cell r="I738">
            <v>16</v>
          </cell>
          <cell r="J738">
            <v>24</v>
          </cell>
          <cell r="K738">
            <v>1.3380000000000001</v>
          </cell>
          <cell r="L738">
            <v>0.223</v>
          </cell>
          <cell r="M738">
            <v>8.4480000000000006E-3</v>
          </cell>
        </row>
        <row r="739">
          <cell r="A739">
            <v>448710</v>
          </cell>
          <cell r="B739">
            <v>3118224487105</v>
          </cell>
          <cell r="E739" t="str">
            <v>STEAK MANCHE ORANGE P1665C LAME MOTIF ARTICHAUD SOUS BERLING</v>
          </cell>
          <cell r="F739">
            <v>200</v>
          </cell>
          <cell r="G739">
            <v>200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</row>
        <row r="740">
          <cell r="A740">
            <v>448720</v>
          </cell>
          <cell r="B740">
            <v>3118224487204</v>
          </cell>
          <cell r="E740" t="str">
            <v>STEAK MANCHE CREME P7499C LAME MOTIF MOULE SOUS BERLINGOT</v>
          </cell>
          <cell r="F740">
            <v>200</v>
          </cell>
          <cell r="G740">
            <v>200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</row>
        <row r="741">
          <cell r="A741">
            <v>448730</v>
          </cell>
          <cell r="B741">
            <v>3118224487303</v>
          </cell>
          <cell r="E741" t="str">
            <v>COUTEAU EVOLUTION CUIR LIN 7535C+GENCOD</v>
          </cell>
          <cell r="F741">
            <v>240</v>
          </cell>
          <cell r="G741">
            <v>6</v>
          </cell>
          <cell r="H741">
            <v>32.5</v>
          </cell>
          <cell r="I741">
            <v>25.5</v>
          </cell>
          <cell r="J741">
            <v>26</v>
          </cell>
          <cell r="K741">
            <v>12.12</v>
          </cell>
          <cell r="L741">
            <v>5.0499999999999996E-2</v>
          </cell>
          <cell r="M741">
            <v>2.1547500000000001E-2</v>
          </cell>
        </row>
        <row r="742">
          <cell r="A742">
            <v>448731</v>
          </cell>
          <cell r="B742">
            <v>3118224487310</v>
          </cell>
          <cell r="E742" t="str">
            <v>COUTEAU EVOLUTION CUIR TANGERINE 166C+GENCOD</v>
          </cell>
          <cell r="F742">
            <v>240</v>
          </cell>
          <cell r="G742">
            <v>6</v>
          </cell>
          <cell r="H742">
            <v>32.5</v>
          </cell>
          <cell r="I742">
            <v>25.5</v>
          </cell>
          <cell r="J742">
            <v>26</v>
          </cell>
          <cell r="K742">
            <v>11.66</v>
          </cell>
          <cell r="L742">
            <v>4.8583333333333333E-2</v>
          </cell>
          <cell r="M742">
            <v>2.1547500000000001E-2</v>
          </cell>
        </row>
        <row r="743">
          <cell r="A743">
            <v>448732</v>
          </cell>
          <cell r="B743">
            <v>3118224487327</v>
          </cell>
          <cell r="E743" t="str">
            <v>COUTEAU EVOLUTION CUIR MARRON GLACE 438C+GENCOD</v>
          </cell>
          <cell r="F743">
            <v>240</v>
          </cell>
          <cell r="G743">
            <v>6</v>
          </cell>
          <cell r="H743">
            <v>32.5</v>
          </cell>
          <cell r="I743">
            <v>25.5</v>
          </cell>
          <cell r="J743">
            <v>26</v>
          </cell>
          <cell r="K743">
            <v>11.66</v>
          </cell>
          <cell r="L743">
            <v>4.8583333333333333E-2</v>
          </cell>
          <cell r="M743">
            <v>2.1547500000000001E-2</v>
          </cell>
        </row>
        <row r="744">
          <cell r="A744">
            <v>448733</v>
          </cell>
          <cell r="B744">
            <v>3118224487334</v>
          </cell>
          <cell r="E744" t="str">
            <v>COUTEAU EVOLUTION CUIR TAUPE WARM GREY 11C+GENCOD</v>
          </cell>
          <cell r="F744">
            <v>240</v>
          </cell>
          <cell r="G744">
            <v>6</v>
          </cell>
          <cell r="H744">
            <v>32.5</v>
          </cell>
          <cell r="I744">
            <v>25.5</v>
          </cell>
          <cell r="J744">
            <v>26</v>
          </cell>
          <cell r="K744">
            <v>11.66</v>
          </cell>
          <cell r="L744">
            <v>4.8583333333333333E-2</v>
          </cell>
          <cell r="M744">
            <v>2.1547500000000001E-2</v>
          </cell>
        </row>
        <row r="745">
          <cell r="A745">
            <v>448734</v>
          </cell>
          <cell r="B745">
            <v>3118224487341</v>
          </cell>
          <cell r="E745" t="str">
            <v>COUTEAU EVOLUTION CUIR ARDOISE COOL GREY 11C+GENCOD</v>
          </cell>
          <cell r="F745">
            <v>240</v>
          </cell>
          <cell r="G745">
            <v>6</v>
          </cell>
          <cell r="H745">
            <v>35</v>
          </cell>
          <cell r="I745">
            <v>27.5</v>
          </cell>
          <cell r="J745">
            <v>32</v>
          </cell>
          <cell r="K745">
            <v>12.04</v>
          </cell>
          <cell r="L745">
            <v>5.0166666666666665E-2</v>
          </cell>
          <cell r="M745">
            <v>3.0800000000000001E-2</v>
          </cell>
        </row>
        <row r="746">
          <cell r="A746">
            <v>448735</v>
          </cell>
          <cell r="B746">
            <v>3118224487358</v>
          </cell>
          <cell r="E746" t="str">
            <v>COUTEAU EVOLUTION CUIR CAMEL 7407C+GENCOD</v>
          </cell>
          <cell r="F746">
            <v>240</v>
          </cell>
          <cell r="G746">
            <v>6</v>
          </cell>
          <cell r="H746">
            <v>32.5</v>
          </cell>
          <cell r="I746">
            <v>25.5</v>
          </cell>
          <cell r="J746">
            <v>26</v>
          </cell>
          <cell r="K746">
            <v>11.66</v>
          </cell>
          <cell r="L746">
            <v>4.8583333333333333E-2</v>
          </cell>
          <cell r="M746">
            <v>2.1547500000000001E-2</v>
          </cell>
        </row>
        <row r="747">
          <cell r="A747">
            <v>448740</v>
          </cell>
          <cell r="B747">
            <v>3118224487402</v>
          </cell>
          <cell r="E747" t="str">
            <v>FOURCHETTE EVOLUTION CUIR LIN 7535C+GENCOD</v>
          </cell>
          <cell r="F747">
            <v>240</v>
          </cell>
          <cell r="G747">
            <v>6</v>
          </cell>
          <cell r="H747">
            <v>33</v>
          </cell>
          <cell r="I747">
            <v>24.5</v>
          </cell>
          <cell r="J747">
            <v>30</v>
          </cell>
          <cell r="K747">
            <v>11.52</v>
          </cell>
          <cell r="L747">
            <v>4.8000000000000001E-2</v>
          </cell>
          <cell r="M747">
            <v>2.4254999999999999E-2</v>
          </cell>
        </row>
        <row r="748">
          <cell r="A748">
            <v>448741</v>
          </cell>
          <cell r="B748">
            <v>3118224487419</v>
          </cell>
          <cell r="E748" t="str">
            <v>FOURCHETTE EVOLUTION CUIR TANGERINE 166C+GENCOD</v>
          </cell>
          <cell r="F748">
            <v>240</v>
          </cell>
          <cell r="G748">
            <v>6</v>
          </cell>
          <cell r="H748">
            <v>33</v>
          </cell>
          <cell r="I748">
            <v>24.5</v>
          </cell>
          <cell r="J748">
            <v>30</v>
          </cell>
          <cell r="K748">
            <v>12.73</v>
          </cell>
          <cell r="L748">
            <v>5.3041666666666668E-2</v>
          </cell>
          <cell r="M748">
            <v>2.4254999999999999E-2</v>
          </cell>
        </row>
        <row r="749">
          <cell r="A749">
            <v>448742</v>
          </cell>
          <cell r="B749">
            <v>3118224487426</v>
          </cell>
          <cell r="E749" t="str">
            <v>FOURCHETTE EVOLUTION CUIR MARRON GLACE 438C+GENCOD</v>
          </cell>
          <cell r="F749">
            <v>240</v>
          </cell>
          <cell r="G749">
            <v>6</v>
          </cell>
          <cell r="H749">
            <v>33</v>
          </cell>
          <cell r="I749">
            <v>24.5</v>
          </cell>
          <cell r="J749">
            <v>30</v>
          </cell>
          <cell r="K749">
            <v>12.73</v>
          </cell>
          <cell r="L749">
            <v>5.3041666666666668E-2</v>
          </cell>
          <cell r="M749">
            <v>2.4254999999999999E-2</v>
          </cell>
        </row>
        <row r="750">
          <cell r="A750">
            <v>448743</v>
          </cell>
          <cell r="B750">
            <v>3118224487433</v>
          </cell>
          <cell r="E750" t="str">
            <v>FOURCHETTE EVOLUTION CUIR TAUPE WARM GREY 11C+GENCOD</v>
          </cell>
          <cell r="F750">
            <v>240</v>
          </cell>
          <cell r="G750">
            <v>6</v>
          </cell>
          <cell r="H750">
            <v>33</v>
          </cell>
          <cell r="I750">
            <v>24.5</v>
          </cell>
          <cell r="J750">
            <v>30</v>
          </cell>
          <cell r="K750">
            <v>12.73</v>
          </cell>
          <cell r="L750">
            <v>5.3041666666666668E-2</v>
          </cell>
          <cell r="M750">
            <v>2.4254999999999999E-2</v>
          </cell>
        </row>
        <row r="751">
          <cell r="A751">
            <v>448744</v>
          </cell>
          <cell r="B751">
            <v>3118224487440</v>
          </cell>
          <cell r="E751" t="str">
            <v>FOURCHETTE EVOLUTION CUIR ARDOISE COOL GREY 11C+GENCOD</v>
          </cell>
          <cell r="F751">
            <v>240</v>
          </cell>
          <cell r="G751">
            <v>6</v>
          </cell>
          <cell r="H751">
            <v>33</v>
          </cell>
          <cell r="I751">
            <v>24.5</v>
          </cell>
          <cell r="J751">
            <v>30</v>
          </cell>
          <cell r="K751">
            <v>11.28</v>
          </cell>
          <cell r="L751">
            <v>4.7E-2</v>
          </cell>
          <cell r="M751">
            <v>2.4254999999999999E-2</v>
          </cell>
        </row>
        <row r="752">
          <cell r="A752">
            <v>448745</v>
          </cell>
          <cell r="B752">
            <v>3118224487457</v>
          </cell>
          <cell r="E752" t="str">
            <v>FOURCHETTE EVOLUTION CUIR CAMEL 7407C+GENCOD</v>
          </cell>
          <cell r="F752">
            <v>240</v>
          </cell>
          <cell r="G752">
            <v>6</v>
          </cell>
          <cell r="H752">
            <v>33</v>
          </cell>
          <cell r="I752">
            <v>24.5</v>
          </cell>
          <cell r="J752">
            <v>30</v>
          </cell>
          <cell r="K752">
            <v>12.73</v>
          </cell>
          <cell r="L752">
            <v>5.3041666666666668E-2</v>
          </cell>
          <cell r="M752">
            <v>2.4254999999999999E-2</v>
          </cell>
        </row>
        <row r="753">
          <cell r="A753">
            <v>448750</v>
          </cell>
          <cell r="B753">
            <v>3118224487501</v>
          </cell>
          <cell r="E753" t="str">
            <v>CUILLERE EVOLUTION CUIR LIN 7535C+GENCOD</v>
          </cell>
          <cell r="F753">
            <v>240</v>
          </cell>
          <cell r="G753">
            <v>6</v>
          </cell>
          <cell r="H753">
            <v>48</v>
          </cell>
          <cell r="I753">
            <v>24.5</v>
          </cell>
          <cell r="J753">
            <v>22</v>
          </cell>
          <cell r="K753">
            <v>14.76</v>
          </cell>
          <cell r="L753">
            <v>6.1499999999999999E-2</v>
          </cell>
          <cell r="M753">
            <v>2.5871999999999996E-2</v>
          </cell>
        </row>
        <row r="754">
          <cell r="A754">
            <v>448751</v>
          </cell>
          <cell r="B754">
            <v>3118224487518</v>
          </cell>
          <cell r="E754" t="str">
            <v>CUILLERE EVOLUTION CUIR TANGERINE 166C+GENCOD</v>
          </cell>
          <cell r="F754">
            <v>240</v>
          </cell>
          <cell r="G754">
            <v>6</v>
          </cell>
          <cell r="H754">
            <v>48</v>
          </cell>
          <cell r="I754">
            <v>24.5</v>
          </cell>
          <cell r="J754">
            <v>22</v>
          </cell>
          <cell r="K754">
            <v>14.69</v>
          </cell>
          <cell r="L754">
            <v>6.120833333333333E-2</v>
          </cell>
          <cell r="M754">
            <v>2.5871999999999996E-2</v>
          </cell>
        </row>
        <row r="755">
          <cell r="A755">
            <v>448752</v>
          </cell>
          <cell r="B755">
            <v>3118224487525</v>
          </cell>
          <cell r="E755" t="str">
            <v>CUILLERE EVOLUTION CUIR MARRON GLACE 438C+GENCOD</v>
          </cell>
          <cell r="F755">
            <v>240</v>
          </cell>
          <cell r="G755">
            <v>6</v>
          </cell>
          <cell r="H755">
            <v>48</v>
          </cell>
          <cell r="I755">
            <v>24.5</v>
          </cell>
          <cell r="J755">
            <v>22</v>
          </cell>
          <cell r="K755">
            <v>14.69</v>
          </cell>
          <cell r="L755">
            <v>6.120833333333333E-2</v>
          </cell>
          <cell r="M755">
            <v>2.5871999999999996E-2</v>
          </cell>
        </row>
        <row r="756">
          <cell r="A756">
            <v>448753</v>
          </cell>
          <cell r="B756">
            <v>3118224487532</v>
          </cell>
          <cell r="E756" t="str">
            <v>CUILLERE EVOLUTION CUIR TAUPE WARM GREY 11C+GENCOD</v>
          </cell>
          <cell r="F756">
            <v>240</v>
          </cell>
          <cell r="G756">
            <v>6</v>
          </cell>
          <cell r="H756">
            <v>48</v>
          </cell>
          <cell r="I756">
            <v>24.5</v>
          </cell>
          <cell r="J756">
            <v>22</v>
          </cell>
          <cell r="K756">
            <v>13.2</v>
          </cell>
          <cell r="L756">
            <v>5.5E-2</v>
          </cell>
          <cell r="M756">
            <v>2.5871999999999996E-2</v>
          </cell>
        </row>
        <row r="757">
          <cell r="A757">
            <v>448754</v>
          </cell>
          <cell r="B757">
            <v>3118224487549</v>
          </cell>
          <cell r="E757" t="str">
            <v>CUILLERE EVOLUTION CUIR ARDOISE COOL GREY 11C+GENCOD</v>
          </cell>
          <cell r="F757">
            <v>240</v>
          </cell>
          <cell r="G757">
            <v>6</v>
          </cell>
          <cell r="H757">
            <v>48</v>
          </cell>
          <cell r="I757">
            <v>24.5</v>
          </cell>
          <cell r="J757">
            <v>22</v>
          </cell>
          <cell r="K757">
            <v>13.2</v>
          </cell>
          <cell r="L757">
            <v>5.5E-2</v>
          </cell>
          <cell r="M757">
            <v>2.5871999999999996E-2</v>
          </cell>
        </row>
        <row r="758">
          <cell r="A758">
            <v>448760</v>
          </cell>
          <cell r="B758">
            <v>3118224487600</v>
          </cell>
          <cell r="E758" t="str">
            <v>CAFE EVOLUTION CUIR LIN 7535C+GENCOD</v>
          </cell>
          <cell r="F758">
            <v>240</v>
          </cell>
          <cell r="G758">
            <v>6</v>
          </cell>
          <cell r="H758">
            <v>42</v>
          </cell>
          <cell r="I758">
            <v>18</v>
          </cell>
          <cell r="J758">
            <v>22</v>
          </cell>
          <cell r="K758">
            <v>7.27</v>
          </cell>
          <cell r="L758">
            <v>3.0291666666666665E-2</v>
          </cell>
          <cell r="M758">
            <v>1.6632000000000001E-2</v>
          </cell>
        </row>
        <row r="759">
          <cell r="A759">
            <v>448761</v>
          </cell>
          <cell r="B759">
            <v>3118224487617</v>
          </cell>
          <cell r="E759" t="str">
            <v>CAFE EVOLUTION CUIR TANGERINE 166C+GENCOD</v>
          </cell>
          <cell r="F759">
            <v>240</v>
          </cell>
          <cell r="G759">
            <v>6</v>
          </cell>
          <cell r="H759">
            <v>42</v>
          </cell>
          <cell r="I759">
            <v>18</v>
          </cell>
          <cell r="J759">
            <v>22</v>
          </cell>
          <cell r="K759">
            <v>6.8</v>
          </cell>
          <cell r="L759">
            <v>2.8333333333333332E-2</v>
          </cell>
          <cell r="M759">
            <v>1.6632000000000001E-2</v>
          </cell>
        </row>
        <row r="760">
          <cell r="A760">
            <v>448762</v>
          </cell>
          <cell r="B760">
            <v>3118224487624</v>
          </cell>
          <cell r="E760" t="str">
            <v>CAFE EVOLUTION CUIR MARRON GLACE 438C+GENCOD</v>
          </cell>
          <cell r="F760">
            <v>240</v>
          </cell>
          <cell r="G760">
            <v>6</v>
          </cell>
          <cell r="H760">
            <v>42</v>
          </cell>
          <cell r="I760">
            <v>18</v>
          </cell>
          <cell r="J760">
            <v>22</v>
          </cell>
          <cell r="K760">
            <v>7.27</v>
          </cell>
          <cell r="L760">
            <v>3.0291666666666665E-2</v>
          </cell>
          <cell r="M760">
            <v>1.6632000000000001E-2</v>
          </cell>
        </row>
        <row r="761">
          <cell r="A761">
            <v>448763</v>
          </cell>
          <cell r="B761">
            <v>3118224487631</v>
          </cell>
          <cell r="E761" t="str">
            <v>CAFE EVOLUTION CUIR TAUPE WARM GREY 11C+GENCOD</v>
          </cell>
          <cell r="F761">
            <v>240</v>
          </cell>
          <cell r="G761">
            <v>6</v>
          </cell>
          <cell r="H761">
            <v>42</v>
          </cell>
          <cell r="I761">
            <v>18</v>
          </cell>
          <cell r="J761">
            <v>22</v>
          </cell>
          <cell r="K761">
            <v>6</v>
          </cell>
          <cell r="L761">
            <v>2.5000000000000001E-2</v>
          </cell>
          <cell r="M761">
            <v>1.6632000000000001E-2</v>
          </cell>
        </row>
        <row r="762">
          <cell r="A762">
            <v>448764</v>
          </cell>
          <cell r="B762">
            <v>3118224487648</v>
          </cell>
          <cell r="E762" t="str">
            <v>CAFE EVOLUTION CUIR ARDOISE COOL GREY 11C+GENCOD</v>
          </cell>
          <cell r="F762">
            <v>240</v>
          </cell>
          <cell r="G762">
            <v>6</v>
          </cell>
          <cell r="H762">
            <v>42</v>
          </cell>
          <cell r="I762">
            <v>18</v>
          </cell>
          <cell r="J762">
            <v>22</v>
          </cell>
          <cell r="K762">
            <v>4.8</v>
          </cell>
          <cell r="L762">
            <v>0.02</v>
          </cell>
          <cell r="M762">
            <v>1.6632000000000001E-2</v>
          </cell>
        </row>
        <row r="763">
          <cell r="A763">
            <v>448765</v>
          </cell>
          <cell r="B763">
            <v>3118224487655</v>
          </cell>
          <cell r="E763" t="str">
            <v>CAFE EVOLUTION CUIR CAMEL 7407C+GENCOD</v>
          </cell>
          <cell r="F763">
            <v>240</v>
          </cell>
          <cell r="G763">
            <v>6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</row>
        <row r="764">
          <cell r="A764">
            <v>448790</v>
          </cell>
          <cell r="B764">
            <v>3610882891190</v>
          </cell>
          <cell r="E764" t="str">
            <v>COFFRET 6 STEAK LAG DUO COULEUR PANACHE MAISON ETE</v>
          </cell>
          <cell r="F764">
            <v>12</v>
          </cell>
          <cell r="G764">
            <v>12</v>
          </cell>
          <cell r="H764">
            <v>28.5</v>
          </cell>
          <cell r="I764">
            <v>20.5</v>
          </cell>
          <cell r="J764">
            <v>25</v>
          </cell>
          <cell r="K764">
            <v>4.1449999999999996</v>
          </cell>
          <cell r="L764">
            <v>0.34541666666666665</v>
          </cell>
          <cell r="M764">
            <v>1.4606249999999998E-2</v>
          </cell>
        </row>
        <row r="765">
          <cell r="A765">
            <v>448800</v>
          </cell>
          <cell r="B765">
            <v>3610882891572</v>
          </cell>
          <cell r="E765" t="str">
            <v>COFFRET 6 STEAK 6 FETTES BARBECUE MAISON ETE RGE-VER-BLE-ORA</v>
          </cell>
          <cell r="F765">
            <v>12</v>
          </cell>
          <cell r="G765">
            <v>12</v>
          </cell>
          <cell r="H765">
            <v>33.5</v>
          </cell>
          <cell r="I765">
            <v>25</v>
          </cell>
          <cell r="J765">
            <v>32.5</v>
          </cell>
          <cell r="K765">
            <v>6.6609999999999996</v>
          </cell>
          <cell r="L765">
            <v>0.55508333333333326</v>
          </cell>
          <cell r="M765">
            <v>2.7218750000000003E-2</v>
          </cell>
        </row>
        <row r="766">
          <cell r="A766">
            <v>448820</v>
          </cell>
          <cell r="B766">
            <v>3610882891473</v>
          </cell>
          <cell r="E766" t="str">
            <v>COFFRET RASE LEGUME CERAMIQUE PANACH MAISON ETE LAME BLANCHE</v>
          </cell>
          <cell r="F766">
            <v>12</v>
          </cell>
          <cell r="G766">
            <v>3</v>
          </cell>
          <cell r="H766">
            <v>25</v>
          </cell>
          <cell r="I766">
            <v>24</v>
          </cell>
          <cell r="J766">
            <v>25.5</v>
          </cell>
          <cell r="K766">
            <v>1.41</v>
          </cell>
          <cell r="L766">
            <v>0.11749999999999999</v>
          </cell>
          <cell r="M766">
            <v>1.5300000000000001E-2</v>
          </cell>
        </row>
        <row r="767">
          <cell r="A767">
            <v>449020</v>
          </cell>
          <cell r="B767">
            <v>3118224490204</v>
          </cell>
          <cell r="E767" t="str">
            <v>FETTE A SPAGHETTI PENDERIE ACIDULE COUL ASS SUR CARTE</v>
          </cell>
          <cell r="F767">
            <v>72</v>
          </cell>
          <cell r="G767">
            <v>6</v>
          </cell>
          <cell r="H767">
            <v>39</v>
          </cell>
          <cell r="I767">
            <v>39</v>
          </cell>
          <cell r="J767">
            <v>36</v>
          </cell>
          <cell r="K767">
            <v>11.57</v>
          </cell>
          <cell r="L767">
            <v>0.16069444444444445</v>
          </cell>
          <cell r="M767">
            <v>5.4755999999999999E-2</v>
          </cell>
        </row>
        <row r="768">
          <cell r="A768">
            <v>449060</v>
          </cell>
          <cell r="B768">
            <v>3118224490600</v>
          </cell>
          <cell r="E768" t="str">
            <v>ECUMOIRE PENDERIE ACIDULE COUL ASS SUR CARTE</v>
          </cell>
          <cell r="F768">
            <v>72</v>
          </cell>
          <cell r="G768">
            <v>6</v>
          </cell>
          <cell r="H768">
            <v>45</v>
          </cell>
          <cell r="I768">
            <v>42</v>
          </cell>
          <cell r="J768">
            <v>40</v>
          </cell>
          <cell r="K768">
            <v>16.03</v>
          </cell>
          <cell r="L768">
            <v>0.22263888888888891</v>
          </cell>
          <cell r="M768">
            <v>7.5600000000000014E-2</v>
          </cell>
        </row>
        <row r="769">
          <cell r="A769">
            <v>449070</v>
          </cell>
          <cell r="B769">
            <v>3118224490709</v>
          </cell>
          <cell r="E769" t="str">
            <v>CUILLERE PENDERIE ACIDULE COUL ASS SUR CARTE</v>
          </cell>
          <cell r="F769">
            <v>72</v>
          </cell>
          <cell r="G769">
            <v>6</v>
          </cell>
          <cell r="H769">
            <v>41</v>
          </cell>
          <cell r="I769">
            <v>39</v>
          </cell>
          <cell r="J769">
            <v>37.5</v>
          </cell>
          <cell r="K769">
            <v>13.08</v>
          </cell>
          <cell r="L769">
            <v>0.18166666666666667</v>
          </cell>
          <cell r="M769">
            <v>5.9962500000000002E-2</v>
          </cell>
        </row>
        <row r="770">
          <cell r="A770">
            <v>449090</v>
          </cell>
          <cell r="B770">
            <v>3118224490907</v>
          </cell>
          <cell r="E770" t="str">
            <v>BLOC 6 STEAKS ACIDULE ROUGE 185C</v>
          </cell>
          <cell r="F770">
            <v>6</v>
          </cell>
          <cell r="G770">
            <v>6</v>
          </cell>
          <cell r="H770">
            <v>25.5</v>
          </cell>
          <cell r="I770">
            <v>18</v>
          </cell>
          <cell r="J770">
            <v>27</v>
          </cell>
          <cell r="K770">
            <v>3.7</v>
          </cell>
          <cell r="L770">
            <v>0.6166666666666667</v>
          </cell>
          <cell r="M770">
            <v>1.2392999999999998E-2</v>
          </cell>
        </row>
        <row r="771">
          <cell r="A771">
            <v>449100</v>
          </cell>
          <cell r="B771">
            <v>3118224491003</v>
          </cell>
          <cell r="E771" t="str">
            <v>COFFRET SERVICE DECOUPER C16+FETTE LAG ACIDULE ROUGE 185C</v>
          </cell>
          <cell r="F771">
            <v>6</v>
          </cell>
          <cell r="G771">
            <v>6</v>
          </cell>
          <cell r="H771">
            <v>34.5</v>
          </cell>
          <cell r="I771">
            <v>16.5</v>
          </cell>
          <cell r="J771">
            <v>29.5</v>
          </cell>
          <cell r="K771">
            <v>4.71</v>
          </cell>
          <cell r="L771">
            <v>0.78500000000000003</v>
          </cell>
          <cell r="M771">
            <v>1.6792874999999999E-2</v>
          </cell>
        </row>
        <row r="772">
          <cell r="A772">
            <v>449101</v>
          </cell>
          <cell r="B772">
            <v>3118224491010</v>
          </cell>
          <cell r="E772" t="str">
            <v>COFFRET SERVICE DECOUPER C16+FETTE LAG ACIDULE NOIR CARBONE</v>
          </cell>
          <cell r="F772">
            <v>6</v>
          </cell>
          <cell r="G772">
            <v>6</v>
          </cell>
          <cell r="H772">
            <v>34.5</v>
          </cell>
          <cell r="I772">
            <v>16.5</v>
          </cell>
          <cell r="J772">
            <v>29.5</v>
          </cell>
          <cell r="K772">
            <v>4.71</v>
          </cell>
          <cell r="L772">
            <v>0.78500000000000003</v>
          </cell>
          <cell r="M772">
            <v>1.6792874999999999E-2</v>
          </cell>
        </row>
        <row r="773">
          <cell r="A773">
            <v>449110</v>
          </cell>
          <cell r="B773">
            <v>3118224491102</v>
          </cell>
          <cell r="E773" t="str">
            <v>FUSIL A AIGUISER MECHE OVALE</v>
          </cell>
          <cell r="F773">
            <v>36</v>
          </cell>
          <cell r="G773">
            <v>6</v>
          </cell>
          <cell r="H773">
            <v>49</v>
          </cell>
          <cell r="I773">
            <v>29.5</v>
          </cell>
          <cell r="J773">
            <v>22</v>
          </cell>
          <cell r="K773">
            <v>1.4039999999999999</v>
          </cell>
          <cell r="L773">
            <v>3.9E-2</v>
          </cell>
          <cell r="M773">
            <v>3.1801000000000003E-2</v>
          </cell>
        </row>
        <row r="774">
          <cell r="A774">
            <v>449140</v>
          </cell>
          <cell r="B774">
            <v>3118224491409</v>
          </cell>
          <cell r="E774" t="str">
            <v>COFFRET EMINCEUR TRANSITION LAME BLANCHE CERAMIQUE</v>
          </cell>
          <cell r="F774">
            <v>18</v>
          </cell>
          <cell r="G774">
            <v>3</v>
          </cell>
          <cell r="H774">
            <v>31.5</v>
          </cell>
          <cell r="I774">
            <v>28.5</v>
          </cell>
          <cell r="J774">
            <v>25</v>
          </cell>
          <cell r="K774">
            <v>2.3809999999999998</v>
          </cell>
          <cell r="L774">
            <v>0.13227777777777777</v>
          </cell>
          <cell r="M774">
            <v>2.2443750000000002E-2</v>
          </cell>
        </row>
        <row r="775">
          <cell r="A775">
            <v>449141</v>
          </cell>
          <cell r="B775">
            <v>3118224491416</v>
          </cell>
          <cell r="E775" t="str">
            <v>COFFRET EMINCEUR TRANSITION LAME NOIRE CERAMIQUE</v>
          </cell>
          <cell r="F775">
            <v>18</v>
          </cell>
          <cell r="G775">
            <v>3</v>
          </cell>
          <cell r="H775">
            <v>31.5</v>
          </cell>
          <cell r="I775">
            <v>28.5</v>
          </cell>
          <cell r="J775">
            <v>25</v>
          </cell>
          <cell r="K775">
            <v>2.3809999999999998</v>
          </cell>
          <cell r="L775">
            <v>0.13227777777777777</v>
          </cell>
          <cell r="M775">
            <v>2.2443750000000002E-2</v>
          </cell>
        </row>
        <row r="776">
          <cell r="A776">
            <v>449150</v>
          </cell>
          <cell r="B776">
            <v>3118224491508</v>
          </cell>
          <cell r="E776" t="str">
            <v>COFFRET CUISINE TRANSITION LAME BLANCHE CERAMIQUE</v>
          </cell>
          <cell r="F776">
            <v>18</v>
          </cell>
          <cell r="G776">
            <v>3</v>
          </cell>
          <cell r="H776">
            <v>40</v>
          </cell>
          <cell r="I776">
            <v>34</v>
          </cell>
          <cell r="J776">
            <v>24.5</v>
          </cell>
          <cell r="K776">
            <v>3.83</v>
          </cell>
          <cell r="L776">
            <v>0.21277777777777779</v>
          </cell>
          <cell r="M776">
            <v>3.3320000000000002E-2</v>
          </cell>
        </row>
        <row r="777">
          <cell r="A777">
            <v>449151</v>
          </cell>
          <cell r="B777">
            <v>3118224491515</v>
          </cell>
          <cell r="E777" t="str">
            <v>COFFRET CUISINE TRANSITION LAME NOIRE CERAMIQUE</v>
          </cell>
          <cell r="F777">
            <v>18</v>
          </cell>
          <cell r="G777">
            <v>3</v>
          </cell>
          <cell r="H777">
            <v>40</v>
          </cell>
          <cell r="I777">
            <v>34</v>
          </cell>
          <cell r="J777">
            <v>24.5</v>
          </cell>
          <cell r="K777">
            <v>3.83</v>
          </cell>
          <cell r="L777">
            <v>0.21277777777777779</v>
          </cell>
          <cell r="M777">
            <v>3.3320000000000002E-2</v>
          </cell>
        </row>
        <row r="778">
          <cell r="A778">
            <v>449160</v>
          </cell>
          <cell r="B778">
            <v>3118224491607</v>
          </cell>
          <cell r="E778" t="str">
            <v>COFFRET CHEF TRANSITION LAME BLANCHE CERAMIQUE</v>
          </cell>
          <cell r="F778">
            <v>18</v>
          </cell>
          <cell r="G778">
            <v>3</v>
          </cell>
          <cell r="H778">
            <v>37</v>
          </cell>
          <cell r="I778">
            <v>29.5</v>
          </cell>
          <cell r="J778">
            <v>24.5</v>
          </cell>
          <cell r="K778">
            <v>3.52</v>
          </cell>
          <cell r="L778">
            <v>0.19555555555555557</v>
          </cell>
          <cell r="M778">
            <v>2.6741749999999998E-2</v>
          </cell>
        </row>
        <row r="779">
          <cell r="A779">
            <v>449161</v>
          </cell>
          <cell r="B779">
            <v>3118224491614</v>
          </cell>
          <cell r="E779" t="str">
            <v>COFFRET CHEF TRANSITION LAME NOIRE CERAMIQUE</v>
          </cell>
          <cell r="F779">
            <v>18</v>
          </cell>
          <cell r="G779">
            <v>3</v>
          </cell>
          <cell r="H779">
            <v>37</v>
          </cell>
          <cell r="I779">
            <v>29.5</v>
          </cell>
          <cell r="J779">
            <v>24.5</v>
          </cell>
          <cell r="K779">
            <v>3.52</v>
          </cell>
          <cell r="L779">
            <v>0.19555555555555557</v>
          </cell>
          <cell r="M779">
            <v>2.6741749999999998E-2</v>
          </cell>
        </row>
        <row r="780">
          <cell r="A780">
            <v>449170</v>
          </cell>
          <cell r="B780">
            <v>3118224491706</v>
          </cell>
          <cell r="E780" t="str">
            <v>COFFRET SANTUKO TRANSITION LAME BLANCHE CERAMIQUE</v>
          </cell>
          <cell r="F780">
            <v>18</v>
          </cell>
          <cell r="G780">
            <v>3</v>
          </cell>
          <cell r="H780">
            <v>37</v>
          </cell>
          <cell r="I780">
            <v>34.5</v>
          </cell>
          <cell r="J780">
            <v>24.5</v>
          </cell>
          <cell r="K780">
            <v>3.56</v>
          </cell>
          <cell r="L780">
            <v>0.19777777777777777</v>
          </cell>
          <cell r="M780">
            <v>3.1274250000000003E-2</v>
          </cell>
        </row>
        <row r="781">
          <cell r="A781">
            <v>449171</v>
          </cell>
          <cell r="B781">
            <v>3118224491713</v>
          </cell>
          <cell r="E781" t="str">
            <v>COFFRET SANTUKO TRANSITION LAME NOIRE CERAMIQUE</v>
          </cell>
          <cell r="F781">
            <v>18</v>
          </cell>
          <cell r="G781">
            <v>3</v>
          </cell>
          <cell r="H781">
            <v>37</v>
          </cell>
          <cell r="I781">
            <v>34.5</v>
          </cell>
          <cell r="J781">
            <v>24.5</v>
          </cell>
          <cell r="K781">
            <v>3.56</v>
          </cell>
          <cell r="L781">
            <v>0.19777777777777777</v>
          </cell>
          <cell r="M781">
            <v>3.1274250000000003E-2</v>
          </cell>
        </row>
        <row r="782">
          <cell r="A782">
            <v>449180</v>
          </cell>
          <cell r="B782">
            <v>3118224491805</v>
          </cell>
          <cell r="E782" t="str">
            <v>COFFRET 6 STEAK SENS BLANC ET ROUGE</v>
          </cell>
          <cell r="F782">
            <v>6</v>
          </cell>
          <cell r="G782">
            <v>6</v>
          </cell>
          <cell r="H782">
            <v>28</v>
          </cell>
          <cell r="I782">
            <v>28</v>
          </cell>
          <cell r="J782">
            <v>24.5</v>
          </cell>
          <cell r="K782">
            <v>4.1760000000000002</v>
          </cell>
          <cell r="L782">
            <v>0.69600000000000006</v>
          </cell>
          <cell r="M782">
            <v>1.9208000000000003E-2</v>
          </cell>
        </row>
        <row r="783">
          <cell r="A783">
            <v>449182</v>
          </cell>
          <cell r="B783">
            <v>3118224491829</v>
          </cell>
          <cell r="E783" t="str">
            <v>COFFRET 6 STEAK SENS BLANC</v>
          </cell>
          <cell r="F783">
            <v>6</v>
          </cell>
          <cell r="G783">
            <v>6</v>
          </cell>
          <cell r="H783">
            <v>28.5</v>
          </cell>
          <cell r="I783">
            <v>17.5</v>
          </cell>
          <cell r="J783">
            <v>18.5</v>
          </cell>
          <cell r="K783">
            <v>3.8580000000000001</v>
          </cell>
          <cell r="L783">
            <v>0.64300000000000002</v>
          </cell>
          <cell r="M783">
            <v>9.226874999999999E-3</v>
          </cell>
        </row>
        <row r="784">
          <cell r="A784">
            <v>449183</v>
          </cell>
          <cell r="B784">
            <v>3118224491836</v>
          </cell>
          <cell r="E784" t="str">
            <v>COFFRET 6 STEAK SENS ROUGE 185C</v>
          </cell>
          <cell r="F784">
            <v>6</v>
          </cell>
          <cell r="G784">
            <v>6</v>
          </cell>
          <cell r="H784">
            <v>28.5</v>
          </cell>
          <cell r="I784">
            <v>17.5</v>
          </cell>
          <cell r="J784">
            <v>18.5</v>
          </cell>
          <cell r="K784">
            <v>3.8580000000000001</v>
          </cell>
          <cell r="L784">
            <v>0.64300000000000002</v>
          </cell>
          <cell r="M784">
            <v>9.226874999999999E-3</v>
          </cell>
        </row>
        <row r="785">
          <cell r="A785">
            <v>449186</v>
          </cell>
          <cell r="B785">
            <v>3118224491867</v>
          </cell>
          <cell r="E785" t="str">
            <v>COFFRET 6 STEAK SENS NOIR CARBONE</v>
          </cell>
          <cell r="F785">
            <v>6</v>
          </cell>
          <cell r="G785">
            <v>6</v>
          </cell>
          <cell r="H785">
            <v>30</v>
          </cell>
          <cell r="I785">
            <v>17.5</v>
          </cell>
          <cell r="J785">
            <v>17.5</v>
          </cell>
          <cell r="K785">
            <v>4.0199999999999996</v>
          </cell>
          <cell r="L785">
            <v>0.66999999999999993</v>
          </cell>
          <cell r="M785">
            <v>9.1874999999999995E-3</v>
          </cell>
        </row>
        <row r="786">
          <cell r="A786">
            <v>449190</v>
          </cell>
          <cell r="B786">
            <v>3118224491904</v>
          </cell>
          <cell r="C786" t="str">
            <v>13118224491901</v>
          </cell>
          <cell r="D786" t="str">
            <v>23118224491908</v>
          </cell>
          <cell r="E786" t="str">
            <v>COUTEAU SENS BLEU 7700C+GENCOD</v>
          </cell>
          <cell r="F786">
            <v>144</v>
          </cell>
          <cell r="G786">
            <v>6</v>
          </cell>
          <cell r="H786">
            <v>23</v>
          </cell>
          <cell r="I786">
            <v>24</v>
          </cell>
          <cell r="J786">
            <v>17</v>
          </cell>
          <cell r="K786">
            <v>7.55</v>
          </cell>
          <cell r="L786">
            <v>5.2430555555555557E-2</v>
          </cell>
          <cell r="M786">
            <v>9.3840000000000017E-3</v>
          </cell>
        </row>
        <row r="787">
          <cell r="A787">
            <v>449191</v>
          </cell>
          <cell r="B787">
            <v>3118224491911</v>
          </cell>
          <cell r="E787" t="str">
            <v>COUTEAU SENS ANIS 583C+GENCOD</v>
          </cell>
          <cell r="F787">
            <v>144</v>
          </cell>
          <cell r="G787">
            <v>6</v>
          </cell>
          <cell r="H787">
            <v>23</v>
          </cell>
          <cell r="I787">
            <v>24</v>
          </cell>
          <cell r="J787">
            <v>17</v>
          </cell>
          <cell r="K787">
            <v>8.0640000000000001</v>
          </cell>
          <cell r="L787">
            <v>5.6000000000000001E-2</v>
          </cell>
          <cell r="M787">
            <v>9.3840000000000017E-3</v>
          </cell>
        </row>
        <row r="788">
          <cell r="A788">
            <v>449193</v>
          </cell>
          <cell r="B788">
            <v>3118224491935</v>
          </cell>
          <cell r="C788" t="str">
            <v>13118224491932</v>
          </cell>
          <cell r="D788" t="str">
            <v>23118224491939</v>
          </cell>
          <cell r="E788" t="str">
            <v>COUTEAU SENS ROUGE 185C+GENCOD</v>
          </cell>
          <cell r="F788">
            <v>144</v>
          </cell>
          <cell r="G788">
            <v>6</v>
          </cell>
          <cell r="H788">
            <v>23</v>
          </cell>
          <cell r="I788">
            <v>24</v>
          </cell>
          <cell r="J788">
            <v>17</v>
          </cell>
          <cell r="K788">
            <v>7.92</v>
          </cell>
          <cell r="L788">
            <v>5.5E-2</v>
          </cell>
          <cell r="M788">
            <v>9.3840000000000017E-3</v>
          </cell>
        </row>
        <row r="789">
          <cell r="A789">
            <v>449200</v>
          </cell>
          <cell r="B789">
            <v>3118224492000</v>
          </cell>
          <cell r="C789" t="str">
            <v>13118224492007</v>
          </cell>
          <cell r="D789" t="str">
            <v>23118224492004</v>
          </cell>
          <cell r="E789" t="str">
            <v>FOURCHETTE SENS BLEU 7700C+GENCOD</v>
          </cell>
          <cell r="F789">
            <v>144</v>
          </cell>
          <cell r="G789">
            <v>6</v>
          </cell>
          <cell r="H789">
            <v>33</v>
          </cell>
          <cell r="I789">
            <v>26</v>
          </cell>
          <cell r="J789">
            <v>22.5</v>
          </cell>
          <cell r="K789">
            <v>7.4880000000000004</v>
          </cell>
          <cell r="L789">
            <v>5.2000000000000005E-2</v>
          </cell>
          <cell r="M789">
            <v>1.9305000000000003E-2</v>
          </cell>
        </row>
        <row r="790">
          <cell r="A790">
            <v>449201</v>
          </cell>
          <cell r="B790">
            <v>3118224492017</v>
          </cell>
          <cell r="E790" t="str">
            <v>FOURCHETTE SENS ANIS 583C+GENCOD</v>
          </cell>
          <cell r="F790">
            <v>144</v>
          </cell>
          <cell r="G790">
            <v>6</v>
          </cell>
          <cell r="H790">
            <v>33</v>
          </cell>
          <cell r="I790">
            <v>26</v>
          </cell>
          <cell r="J790">
            <v>22.5</v>
          </cell>
          <cell r="K790">
            <v>7.4880000000000004</v>
          </cell>
          <cell r="L790">
            <v>5.2000000000000005E-2</v>
          </cell>
          <cell r="M790">
            <v>1.9305000000000003E-2</v>
          </cell>
        </row>
        <row r="791">
          <cell r="A791">
            <v>449202</v>
          </cell>
          <cell r="B791">
            <v>3118224492024</v>
          </cell>
          <cell r="E791" t="str">
            <v>FOURCHETTE SENS BLANC PUR+GENCOD</v>
          </cell>
          <cell r="F791">
            <v>144</v>
          </cell>
          <cell r="G791">
            <v>6</v>
          </cell>
          <cell r="H791">
            <v>33</v>
          </cell>
          <cell r="I791">
            <v>26</v>
          </cell>
          <cell r="J791">
            <v>22.5</v>
          </cell>
          <cell r="K791">
            <v>8.2799999999999994</v>
          </cell>
          <cell r="L791">
            <v>5.7499999999999996E-2</v>
          </cell>
          <cell r="M791">
            <v>1.9305000000000003E-2</v>
          </cell>
        </row>
        <row r="792">
          <cell r="A792">
            <v>449203</v>
          </cell>
          <cell r="B792">
            <v>3118224492031</v>
          </cell>
          <cell r="C792" t="str">
            <v>13118224492038</v>
          </cell>
          <cell r="D792" t="str">
            <v>23118224492035</v>
          </cell>
          <cell r="E792" t="str">
            <v>FOURCHETTE SENS ROUGE 185C+GENCOD</v>
          </cell>
          <cell r="F792">
            <v>144</v>
          </cell>
          <cell r="G792">
            <v>6</v>
          </cell>
          <cell r="H792">
            <v>33</v>
          </cell>
          <cell r="I792">
            <v>26</v>
          </cell>
          <cell r="J792">
            <v>22.5</v>
          </cell>
          <cell r="K792">
            <v>7.4880000000000004</v>
          </cell>
          <cell r="L792">
            <v>5.2000000000000005E-2</v>
          </cell>
          <cell r="M792">
            <v>1.9305000000000003E-2</v>
          </cell>
        </row>
        <row r="793">
          <cell r="A793">
            <v>449206</v>
          </cell>
          <cell r="B793">
            <v>3118224492062</v>
          </cell>
          <cell r="E793" t="str">
            <v>FOURCHETTE SENS NOIR CARBONE+GENCOD</v>
          </cell>
          <cell r="F793">
            <v>144</v>
          </cell>
          <cell r="G793">
            <v>6</v>
          </cell>
          <cell r="H793">
            <v>33</v>
          </cell>
          <cell r="I793">
            <v>26</v>
          </cell>
          <cell r="J793">
            <v>22.5</v>
          </cell>
          <cell r="K793">
            <v>8.2799999999999994</v>
          </cell>
          <cell r="L793">
            <v>5.7499999999999996E-2</v>
          </cell>
          <cell r="M793">
            <v>1.9305000000000003E-2</v>
          </cell>
        </row>
        <row r="794">
          <cell r="A794">
            <v>449210</v>
          </cell>
          <cell r="B794">
            <v>3118224492109</v>
          </cell>
          <cell r="C794" t="str">
            <v>13118224492106</v>
          </cell>
          <cell r="D794" t="str">
            <v>23118224492103</v>
          </cell>
          <cell r="E794" t="str">
            <v>CUILLERE SENS BLEU 7700C+GENCOD</v>
          </cell>
          <cell r="F794">
            <v>144</v>
          </cell>
          <cell r="G794">
            <v>6</v>
          </cell>
          <cell r="H794">
            <v>33</v>
          </cell>
          <cell r="I794">
            <v>26</v>
          </cell>
          <cell r="J794">
            <v>22.5</v>
          </cell>
          <cell r="K794">
            <v>7.4880000000000004</v>
          </cell>
          <cell r="L794">
            <v>5.2000000000000005E-2</v>
          </cell>
          <cell r="M794">
            <v>1.9305000000000003E-2</v>
          </cell>
        </row>
        <row r="795">
          <cell r="A795">
            <v>449211</v>
          </cell>
          <cell r="B795">
            <v>3118224492116</v>
          </cell>
          <cell r="E795" t="str">
            <v>CUILLERE SENS ANIS 583C+GENCOD</v>
          </cell>
          <cell r="F795">
            <v>144</v>
          </cell>
          <cell r="G795">
            <v>6</v>
          </cell>
          <cell r="H795">
            <v>33</v>
          </cell>
          <cell r="I795">
            <v>26</v>
          </cell>
          <cell r="J795">
            <v>22.5</v>
          </cell>
          <cell r="K795">
            <v>9.0500000000000007</v>
          </cell>
          <cell r="L795">
            <v>6.2847222222222221E-2</v>
          </cell>
          <cell r="M795">
            <v>1.9305000000000003E-2</v>
          </cell>
        </row>
        <row r="796">
          <cell r="A796">
            <v>449212</v>
          </cell>
          <cell r="B796">
            <v>3118224492123</v>
          </cell>
          <cell r="E796" t="str">
            <v>CUILLERE SENS BLANC PUR+GENCOD</v>
          </cell>
          <cell r="F796">
            <v>144</v>
          </cell>
          <cell r="G796">
            <v>6</v>
          </cell>
          <cell r="H796">
            <v>33</v>
          </cell>
          <cell r="I796">
            <v>26</v>
          </cell>
          <cell r="J796">
            <v>22.5</v>
          </cell>
          <cell r="K796">
            <v>9.0500000000000007</v>
          </cell>
          <cell r="L796">
            <v>6.2847222222222221E-2</v>
          </cell>
          <cell r="M796">
            <v>1.9305000000000003E-2</v>
          </cell>
        </row>
        <row r="797">
          <cell r="A797">
            <v>449213</v>
          </cell>
          <cell r="B797">
            <v>3118224492130</v>
          </cell>
          <cell r="C797" t="str">
            <v>13118224492137</v>
          </cell>
          <cell r="D797" t="str">
            <v>23118224492134</v>
          </cell>
          <cell r="E797" t="str">
            <v>CUILLERE SENS ROUGE 185C+GENCOD</v>
          </cell>
          <cell r="F797">
            <v>144</v>
          </cell>
          <cell r="G797">
            <v>6</v>
          </cell>
          <cell r="H797">
            <v>33</v>
          </cell>
          <cell r="I797">
            <v>26</v>
          </cell>
          <cell r="J797">
            <v>22.5</v>
          </cell>
          <cell r="K797">
            <v>9.36</v>
          </cell>
          <cell r="L797">
            <v>6.5000000000000002E-2</v>
          </cell>
          <cell r="M797">
            <v>1.9305000000000003E-2</v>
          </cell>
        </row>
        <row r="798">
          <cell r="A798">
            <v>449216</v>
          </cell>
          <cell r="B798">
            <v>3118224492161</v>
          </cell>
          <cell r="E798" t="str">
            <v>CUILLERE SENS NOIR CARBONE+GENCOD</v>
          </cell>
          <cell r="F798">
            <v>144</v>
          </cell>
          <cell r="G798">
            <v>6</v>
          </cell>
          <cell r="H798">
            <v>33</v>
          </cell>
          <cell r="I798">
            <v>26</v>
          </cell>
          <cell r="J798">
            <v>22.5</v>
          </cell>
          <cell r="K798">
            <v>9.0500000000000007</v>
          </cell>
          <cell r="L798">
            <v>6.2847222222222221E-2</v>
          </cell>
          <cell r="M798">
            <v>1.9305000000000003E-2</v>
          </cell>
        </row>
        <row r="799">
          <cell r="A799">
            <v>449220</v>
          </cell>
          <cell r="B799">
            <v>3118224492208</v>
          </cell>
          <cell r="C799" t="str">
            <v>13118224492205</v>
          </cell>
          <cell r="D799" t="str">
            <v>23118224492202</v>
          </cell>
          <cell r="E799" t="str">
            <v>CAFE SENS BLEU 7700C+GENCOD</v>
          </cell>
          <cell r="F799">
            <v>144</v>
          </cell>
          <cell r="G799">
            <v>6</v>
          </cell>
          <cell r="H799">
            <v>23</v>
          </cell>
          <cell r="I799">
            <v>18.5</v>
          </cell>
          <cell r="J799">
            <v>15.5</v>
          </cell>
          <cell r="K799">
            <v>3.9790000000000001</v>
          </cell>
          <cell r="L799">
            <v>2.7631944444444445E-2</v>
          </cell>
          <cell r="M799">
            <v>6.5952499999999996E-3</v>
          </cell>
        </row>
        <row r="800">
          <cell r="A800">
            <v>449221</v>
          </cell>
          <cell r="B800">
            <v>3118224492215</v>
          </cell>
          <cell r="E800" t="str">
            <v>CAFE SENS ANIS 583C+GENCOD</v>
          </cell>
          <cell r="F800">
            <v>144</v>
          </cell>
          <cell r="G800">
            <v>6</v>
          </cell>
          <cell r="H800">
            <v>23</v>
          </cell>
          <cell r="I800">
            <v>18.5</v>
          </cell>
          <cell r="J800">
            <v>15.5</v>
          </cell>
          <cell r="K800">
            <v>3.9790000000000001</v>
          </cell>
          <cell r="L800">
            <v>2.7631944444444445E-2</v>
          </cell>
          <cell r="M800">
            <v>6.5952499999999996E-3</v>
          </cell>
        </row>
        <row r="801">
          <cell r="A801">
            <v>449222</v>
          </cell>
          <cell r="B801">
            <v>3118224492222</v>
          </cell>
          <cell r="E801" t="str">
            <v>CAFE SENS BLANC PUR+GENCOD</v>
          </cell>
          <cell r="F801">
            <v>144</v>
          </cell>
          <cell r="G801">
            <v>6</v>
          </cell>
          <cell r="H801">
            <v>23</v>
          </cell>
          <cell r="I801">
            <v>18.5</v>
          </cell>
          <cell r="J801">
            <v>15.5</v>
          </cell>
          <cell r="K801">
            <v>3.9790000000000001</v>
          </cell>
          <cell r="L801">
            <v>2.7631944444444445E-2</v>
          </cell>
          <cell r="M801">
            <v>6.5952499999999996E-3</v>
          </cell>
        </row>
        <row r="802">
          <cell r="A802">
            <v>449223</v>
          </cell>
          <cell r="B802">
            <v>3118224492239</v>
          </cell>
          <cell r="C802" t="str">
            <v>13118224492236</v>
          </cell>
          <cell r="D802" t="str">
            <v>23118224492233</v>
          </cell>
          <cell r="E802" t="str">
            <v>CAFE SENS ROUGE 185C+GENCOD</v>
          </cell>
          <cell r="F802">
            <v>144</v>
          </cell>
          <cell r="G802">
            <v>6</v>
          </cell>
          <cell r="H802">
            <v>23</v>
          </cell>
          <cell r="I802">
            <v>18.5</v>
          </cell>
          <cell r="J802">
            <v>15.5</v>
          </cell>
          <cell r="K802">
            <v>3.9790000000000001</v>
          </cell>
          <cell r="L802">
            <v>2.7631944444444445E-2</v>
          </cell>
          <cell r="M802">
            <v>6.5952499999999996E-3</v>
          </cell>
        </row>
        <row r="803">
          <cell r="A803">
            <v>449226</v>
          </cell>
          <cell r="B803">
            <v>3118224492260</v>
          </cell>
          <cell r="E803" t="str">
            <v>CAFE SENS NOIR CARBONE+GENCOD</v>
          </cell>
          <cell r="F803">
            <v>144</v>
          </cell>
          <cell r="G803">
            <v>6</v>
          </cell>
          <cell r="H803">
            <v>23</v>
          </cell>
          <cell r="I803">
            <v>18.5</v>
          </cell>
          <cell r="J803">
            <v>15.5</v>
          </cell>
          <cell r="K803">
            <v>3.9790000000000001</v>
          </cell>
          <cell r="L803">
            <v>2.7631944444444445E-2</v>
          </cell>
          <cell r="M803">
            <v>6.5952499999999996E-3</v>
          </cell>
        </row>
        <row r="804">
          <cell r="A804">
            <v>449230</v>
          </cell>
          <cell r="B804">
            <v>3118224492307</v>
          </cell>
          <cell r="E804" t="str">
            <v>COFFRET 6 FOURCHETTES SENS MULTICOLOR</v>
          </cell>
          <cell r="F804">
            <v>6</v>
          </cell>
          <cell r="G804">
            <v>6</v>
          </cell>
          <cell r="H804">
            <v>28</v>
          </cell>
          <cell r="I804">
            <v>28</v>
          </cell>
          <cell r="J804">
            <v>25.5</v>
          </cell>
          <cell r="K804">
            <v>6.1580000000000004</v>
          </cell>
          <cell r="L804">
            <v>1.0263333333333333</v>
          </cell>
          <cell r="M804">
            <v>1.9992000000000003E-2</v>
          </cell>
        </row>
        <row r="805">
          <cell r="A805">
            <v>449232</v>
          </cell>
          <cell r="B805">
            <v>3118224492321</v>
          </cell>
          <cell r="E805" t="str">
            <v>COFFRET 6 FOURCHETTES SENS BLANC PUR</v>
          </cell>
          <cell r="F805">
            <v>6</v>
          </cell>
          <cell r="G805">
            <v>6</v>
          </cell>
          <cell r="H805">
            <v>29</v>
          </cell>
          <cell r="I805">
            <v>27</v>
          </cell>
          <cell r="J805">
            <v>23.5</v>
          </cell>
          <cell r="K805">
            <v>3.99</v>
          </cell>
          <cell r="L805">
            <v>0.66500000000000004</v>
          </cell>
          <cell r="M805">
            <v>1.84005E-2</v>
          </cell>
        </row>
        <row r="806">
          <cell r="A806">
            <v>449240</v>
          </cell>
          <cell r="B806">
            <v>3118224492406</v>
          </cell>
          <cell r="E806" t="str">
            <v>COFFRET 6 CUILLERES SENS MULTICOLOR</v>
          </cell>
          <cell r="F806">
            <v>6</v>
          </cell>
          <cell r="G806">
            <v>6</v>
          </cell>
          <cell r="H806">
            <v>29</v>
          </cell>
          <cell r="I806">
            <v>27.5</v>
          </cell>
          <cell r="J806">
            <v>36</v>
          </cell>
          <cell r="K806">
            <v>4.6900000000000004</v>
          </cell>
          <cell r="L806">
            <v>0.78166666666666673</v>
          </cell>
          <cell r="M806">
            <v>2.8709999999999999E-2</v>
          </cell>
        </row>
        <row r="807">
          <cell r="A807">
            <v>449242</v>
          </cell>
          <cell r="B807">
            <v>3118224492420</v>
          </cell>
          <cell r="E807" t="str">
            <v>COFFRET 6 CUILLERES SENS BLANC PUR</v>
          </cell>
          <cell r="F807">
            <v>6</v>
          </cell>
          <cell r="G807">
            <v>6</v>
          </cell>
          <cell r="H807">
            <v>29</v>
          </cell>
          <cell r="I807">
            <v>27.5</v>
          </cell>
          <cell r="J807">
            <v>36</v>
          </cell>
          <cell r="K807">
            <v>4.6900000000000004</v>
          </cell>
          <cell r="L807">
            <v>0.78166666666666673</v>
          </cell>
          <cell r="M807">
            <v>2.8709999999999999E-2</v>
          </cell>
        </row>
        <row r="808">
          <cell r="A808">
            <v>449250</v>
          </cell>
          <cell r="B808">
            <v>3118224492505</v>
          </cell>
          <cell r="E808" t="str">
            <v>COFFRET 6 CAFES SENS MULTICOLOR</v>
          </cell>
          <cell r="F808">
            <v>6</v>
          </cell>
          <cell r="G808">
            <v>6</v>
          </cell>
          <cell r="H808">
            <v>21</v>
          </cell>
          <cell r="I808">
            <v>22.5</v>
          </cell>
          <cell r="J808">
            <v>23</v>
          </cell>
          <cell r="K808">
            <v>2.34</v>
          </cell>
          <cell r="L808">
            <v>0.38999999999999996</v>
          </cell>
          <cell r="M808">
            <v>1.0867499999999999E-2</v>
          </cell>
        </row>
        <row r="809">
          <cell r="A809">
            <v>449252</v>
          </cell>
          <cell r="B809">
            <v>3118224492529</v>
          </cell>
          <cell r="E809" t="str">
            <v>COFFRET 6 CAFES SENS BLANC PUR</v>
          </cell>
          <cell r="F809">
            <v>6</v>
          </cell>
          <cell r="G809">
            <v>6</v>
          </cell>
          <cell r="H809">
            <v>21</v>
          </cell>
          <cell r="I809">
            <v>22.5</v>
          </cell>
          <cell r="J809">
            <v>23</v>
          </cell>
          <cell r="K809">
            <v>2.34</v>
          </cell>
          <cell r="L809">
            <v>0.38999999999999996</v>
          </cell>
          <cell r="M809">
            <v>1.0867499999999999E-2</v>
          </cell>
        </row>
        <row r="810">
          <cell r="A810">
            <v>450000</v>
          </cell>
          <cell r="B810">
            <v>3118224500002</v>
          </cell>
          <cell r="E810" t="str">
            <v>POLYVALENT EVERCUT LAME 20CM EN ECRIN</v>
          </cell>
          <cell r="F810">
            <v>4</v>
          </cell>
          <cell r="G810">
            <v>4</v>
          </cell>
          <cell r="H810">
            <v>43</v>
          </cell>
          <cell r="I810">
            <v>26</v>
          </cell>
          <cell r="J810">
            <v>10</v>
          </cell>
          <cell r="K810">
            <v>3.49</v>
          </cell>
          <cell r="L810">
            <v>0.87250000000000005</v>
          </cell>
          <cell r="M810">
            <v>1.1179999999999999E-2</v>
          </cell>
        </row>
        <row r="811">
          <cell r="A811">
            <v>450002</v>
          </cell>
          <cell r="B811">
            <v>3118224500026</v>
          </cell>
          <cell r="E811" t="str">
            <v>POLYVALENT EVERCUT MANCHE BLANC LAME 20CM EN ECRIN</v>
          </cell>
          <cell r="F811">
            <v>4</v>
          </cell>
          <cell r="G811">
            <v>4</v>
          </cell>
          <cell r="H811">
            <v>43</v>
          </cell>
          <cell r="I811">
            <v>26</v>
          </cell>
          <cell r="J811">
            <v>10</v>
          </cell>
          <cell r="K811">
            <v>3.69</v>
          </cell>
          <cell r="L811">
            <v>0.92249999999999999</v>
          </cell>
          <cell r="M811">
            <v>1.1179999999999999E-2</v>
          </cell>
        </row>
        <row r="812">
          <cell r="A812">
            <v>450010</v>
          </cell>
          <cell r="B812">
            <v>3118224500101</v>
          </cell>
          <cell r="E812" t="str">
            <v>SANTUKO EVERCUT EN ECRIN</v>
          </cell>
          <cell r="F812">
            <v>4</v>
          </cell>
          <cell r="G812">
            <v>4</v>
          </cell>
          <cell r="H812">
            <v>43</v>
          </cell>
          <cell r="I812">
            <v>26</v>
          </cell>
          <cell r="J812">
            <v>10</v>
          </cell>
          <cell r="K812">
            <v>3.12</v>
          </cell>
          <cell r="L812">
            <v>0.78</v>
          </cell>
          <cell r="M812">
            <v>1.1179999999999999E-2</v>
          </cell>
        </row>
        <row r="813">
          <cell r="A813">
            <v>535811</v>
          </cell>
          <cell r="B813">
            <v>3118225358114</v>
          </cell>
          <cell r="C813" t="str">
            <v>13118225358111</v>
          </cell>
          <cell r="D813" t="str">
            <v>23118225358118</v>
          </cell>
          <cell r="E813" t="str">
            <v>M24 TROQUET ROUGE PS POT PET</v>
          </cell>
          <cell r="F813">
            <v>9</v>
          </cell>
          <cell r="G813">
            <v>9</v>
          </cell>
          <cell r="H813">
            <v>28</v>
          </cell>
          <cell r="I813">
            <v>28</v>
          </cell>
          <cell r="J813">
            <v>24</v>
          </cell>
          <cell r="K813">
            <v>7.69</v>
          </cell>
          <cell r="L813">
            <v>0.85444444444444445</v>
          </cell>
          <cell r="M813">
            <v>1.8816000000000003E-2</v>
          </cell>
        </row>
        <row r="814">
          <cell r="A814">
            <v>535820</v>
          </cell>
          <cell r="B814">
            <v>3118225358206</v>
          </cell>
          <cell r="C814" t="str">
            <v>13118225358203</v>
          </cell>
          <cell r="D814" t="str">
            <v>23118225358200</v>
          </cell>
          <cell r="E814" t="str">
            <v>M24 TROQUET MARINE PS POT PET</v>
          </cell>
          <cell r="F814">
            <v>9</v>
          </cell>
          <cell r="G814">
            <v>9</v>
          </cell>
          <cell r="H814">
            <v>28</v>
          </cell>
          <cell r="I814">
            <v>28</v>
          </cell>
          <cell r="J814">
            <v>24</v>
          </cell>
          <cell r="K814">
            <v>7.6289999999999996</v>
          </cell>
          <cell r="L814">
            <v>0.84766666666666657</v>
          </cell>
          <cell r="M814">
            <v>1.8816000000000003E-2</v>
          </cell>
        </row>
        <row r="815">
          <cell r="A815">
            <v>650354</v>
          </cell>
          <cell r="B815">
            <v>3118226503544</v>
          </cell>
          <cell r="E815" t="str">
            <v>CUISINE 17 CM SUPER PRALEL 2</v>
          </cell>
          <cell r="F815">
            <v>12</v>
          </cell>
          <cell r="G815">
            <v>12</v>
          </cell>
          <cell r="H815">
            <v>32</v>
          </cell>
          <cell r="I815">
            <v>19</v>
          </cell>
          <cell r="J815">
            <v>9.5</v>
          </cell>
          <cell r="K815">
            <v>1.3620000000000001</v>
          </cell>
          <cell r="L815">
            <v>0.1135</v>
          </cell>
          <cell r="M815">
            <v>5.7759999999999999E-3</v>
          </cell>
        </row>
        <row r="816">
          <cell r="A816">
            <v>917854</v>
          </cell>
          <cell r="B816" t="str">
            <v>3118229178541</v>
          </cell>
          <cell r="C816" t="str">
            <v xml:space="preserve"> /</v>
          </cell>
          <cell r="D816" t="str">
            <v xml:space="preserve"> /</v>
          </cell>
          <cell r="E816" t="str">
            <v>HOUSSE BIVOUAC KAKI</v>
          </cell>
          <cell r="F816">
            <v>600</v>
          </cell>
          <cell r="G816">
            <v>10</v>
          </cell>
          <cell r="H816">
            <v>31</v>
          </cell>
          <cell r="I816">
            <v>29</v>
          </cell>
          <cell r="J816">
            <v>14</v>
          </cell>
          <cell r="K816">
            <v>2.5</v>
          </cell>
          <cell r="L816">
            <v>4.1666666666666666E-3</v>
          </cell>
          <cell r="M816">
            <v>1.2586000000000002E-2</v>
          </cell>
        </row>
        <row r="817">
          <cell r="A817">
            <v>10010023</v>
          </cell>
          <cell r="B817">
            <v>3118220002807</v>
          </cell>
          <cell r="E817" t="str">
            <v>COFFRET 2 CX CERAMIQUE 125MM ET 75MM LAME BLANCHE PAS MARQ</v>
          </cell>
          <cell r="F817">
            <v>18</v>
          </cell>
          <cell r="G817">
            <v>3</v>
          </cell>
          <cell r="H817">
            <v>43</v>
          </cell>
          <cell r="I817">
            <v>37.5</v>
          </cell>
          <cell r="J817">
            <v>25</v>
          </cell>
          <cell r="K817">
            <v>4.2320000000000002</v>
          </cell>
          <cell r="L817">
            <v>0.23511111111111113</v>
          </cell>
          <cell r="M817">
            <v>4.0312500000000001E-2</v>
          </cell>
        </row>
        <row r="818">
          <cell r="A818">
            <v>10010025</v>
          </cell>
          <cell r="B818">
            <v>3118220003750</v>
          </cell>
          <cell r="E818" t="str">
            <v>COFFRET 5 CERAMIQUE OF-C15-C13-STEAK-EPL LAME BLANCHE</v>
          </cell>
          <cell r="F818">
            <v>24</v>
          </cell>
          <cell r="G818">
            <v>6</v>
          </cell>
          <cell r="H818">
            <v>53</v>
          </cell>
          <cell r="I818">
            <v>40</v>
          </cell>
          <cell r="J818">
            <v>45</v>
          </cell>
          <cell r="K818">
            <v>11.026</v>
          </cell>
          <cell r="L818">
            <v>0.45941666666666664</v>
          </cell>
          <cell r="M818">
            <v>9.5400000000000013E-2</v>
          </cell>
        </row>
        <row r="819">
          <cell r="A819">
            <v>10010038</v>
          </cell>
          <cell r="B819">
            <v>3118220004245</v>
          </cell>
          <cell r="E819" t="str">
            <v>COFFRET 5 CERAMIQUE OF-C15-C13-STEAK-EPL LAME NOIRE</v>
          </cell>
          <cell r="F819">
            <v>24</v>
          </cell>
          <cell r="G819">
            <v>6</v>
          </cell>
          <cell r="H819">
            <v>54</v>
          </cell>
          <cell r="I819">
            <v>41.5</v>
          </cell>
          <cell r="J819">
            <v>44.5</v>
          </cell>
          <cell r="K819">
            <v>12.196999999999999</v>
          </cell>
          <cell r="L819">
            <v>0.50820833333333326</v>
          </cell>
          <cell r="M819">
            <v>9.9724500000000008E-2</v>
          </cell>
        </row>
        <row r="820">
          <cell r="A820">
            <v>10010039</v>
          </cell>
          <cell r="B820">
            <v>3118220004672</v>
          </cell>
          <cell r="E820" t="str">
            <v>COFFRET 4CERAMIQUE OF+STEAK+C13+EPL MANCHE COUL LAME BLANCHE</v>
          </cell>
          <cell r="F820">
            <v>18</v>
          </cell>
          <cell r="G820">
            <v>3</v>
          </cell>
          <cell r="H820">
            <v>44.5</v>
          </cell>
          <cell r="I820">
            <v>37.5</v>
          </cell>
          <cell r="J820">
            <v>35</v>
          </cell>
          <cell r="K820">
            <v>7.4</v>
          </cell>
          <cell r="L820">
            <v>0.41111111111111115</v>
          </cell>
          <cell r="M820">
            <v>5.840625E-2</v>
          </cell>
        </row>
        <row r="821">
          <cell r="A821">
            <v>10010040</v>
          </cell>
          <cell r="B821">
            <v>3118220004719</v>
          </cell>
          <cell r="E821" t="str">
            <v>COFFRET 1 OFFICE CERAMIQUE MANCHE UNION JACK LAME BLANCHE</v>
          </cell>
          <cell r="F821">
            <v>18</v>
          </cell>
          <cell r="G821">
            <v>3</v>
          </cell>
          <cell r="H821">
            <v>29.5</v>
          </cell>
          <cell r="I821">
            <v>29.5</v>
          </cell>
          <cell r="J821">
            <v>24</v>
          </cell>
          <cell r="K821">
            <v>1.26</v>
          </cell>
          <cell r="L821">
            <v>7.0000000000000007E-2</v>
          </cell>
          <cell r="M821">
            <v>2.0885999999999995E-2</v>
          </cell>
        </row>
        <row r="822">
          <cell r="A822">
            <v>10010041</v>
          </cell>
          <cell r="B822">
            <v>3118220004726</v>
          </cell>
          <cell r="E822" t="str">
            <v>COFFRET 1 CHEF 15 CERAMIQUE MANCHE UNION JACK LAME BLANCHE</v>
          </cell>
          <cell r="F822">
            <v>18</v>
          </cell>
          <cell r="G822">
            <v>3</v>
          </cell>
          <cell r="H822">
            <v>40</v>
          </cell>
          <cell r="I822">
            <v>34.5</v>
          </cell>
          <cell r="J822">
            <v>24.5</v>
          </cell>
          <cell r="K822">
            <v>3.7170000000000001</v>
          </cell>
          <cell r="L822">
            <v>0.20650000000000002</v>
          </cell>
          <cell r="M822">
            <v>3.381E-2</v>
          </cell>
        </row>
        <row r="823">
          <cell r="A823">
            <v>10010045</v>
          </cell>
          <cell r="B823">
            <v>3118220005143</v>
          </cell>
          <cell r="E823" t="str">
            <v>COFFRET 1 OFFICE CERAMIQUE USA LAME BLANCHE</v>
          </cell>
          <cell r="F823">
            <v>18</v>
          </cell>
          <cell r="G823">
            <v>3</v>
          </cell>
          <cell r="H823">
            <v>29.5</v>
          </cell>
          <cell r="I823">
            <v>29.5</v>
          </cell>
          <cell r="J823">
            <v>24</v>
          </cell>
          <cell r="K823">
            <v>1.88</v>
          </cell>
          <cell r="L823">
            <v>0.10444444444444444</v>
          </cell>
          <cell r="M823">
            <v>2.0885999999999995E-2</v>
          </cell>
        </row>
        <row r="824">
          <cell r="A824">
            <v>10010046</v>
          </cell>
          <cell r="B824">
            <v>3118220005150</v>
          </cell>
          <cell r="E824" t="str">
            <v>COFFRET 1 CHEF 15 CERAMIQUE MANCHE USA LAME BLANCHE</v>
          </cell>
          <cell r="F824">
            <v>18</v>
          </cell>
          <cell r="G824">
            <v>3</v>
          </cell>
          <cell r="H824">
            <v>40</v>
          </cell>
          <cell r="I824">
            <v>34.5</v>
          </cell>
          <cell r="J824">
            <v>24.5</v>
          </cell>
          <cell r="K824">
            <v>3.6970000000000001</v>
          </cell>
          <cell r="L824">
            <v>0.2053888888888889</v>
          </cell>
          <cell r="M824">
            <v>3.381E-2</v>
          </cell>
        </row>
        <row r="825">
          <cell r="A825">
            <v>10010047</v>
          </cell>
          <cell r="B825">
            <v>3118220005167</v>
          </cell>
          <cell r="E825" t="str">
            <v>COFFRET 1 RASE LEGUME CERAMIQUE USA LAME BLANCHE</v>
          </cell>
          <cell r="F825">
            <v>18</v>
          </cell>
          <cell r="G825">
            <v>3</v>
          </cell>
          <cell r="H825">
            <v>36.5</v>
          </cell>
          <cell r="I825">
            <v>24</v>
          </cell>
          <cell r="J825">
            <v>24.5</v>
          </cell>
          <cell r="K825">
            <v>2.016</v>
          </cell>
          <cell r="L825">
            <v>0.112</v>
          </cell>
          <cell r="M825">
            <v>2.1461999999999998E-2</v>
          </cell>
        </row>
        <row r="826">
          <cell r="A826">
            <v>10010048</v>
          </cell>
          <cell r="B826">
            <v>3118220005280</v>
          </cell>
          <cell r="E826" t="str">
            <v>COFFRET 3 STEAK CERAMIQUE MANCHE USA LAME BLANCHE</v>
          </cell>
          <cell r="F826">
            <v>18</v>
          </cell>
          <cell r="G826">
            <v>3</v>
          </cell>
          <cell r="H826">
            <v>79.5</v>
          </cell>
          <cell r="I826">
            <v>32.5</v>
          </cell>
          <cell r="J826">
            <v>25.5</v>
          </cell>
          <cell r="K826">
            <v>4.2</v>
          </cell>
          <cell r="L826">
            <v>0.23333333333333334</v>
          </cell>
          <cell r="M826">
            <v>6.5885625000000003E-2</v>
          </cell>
        </row>
        <row r="827">
          <cell r="A827">
            <v>10010050</v>
          </cell>
          <cell r="B827">
            <v>3118220005303</v>
          </cell>
          <cell r="E827" t="str">
            <v>COFFRET 3CERAMIQUE CHEF+STEAK+EPL MANCHE USA LAME BLANCHE</v>
          </cell>
          <cell r="F827">
            <v>18</v>
          </cell>
          <cell r="G827">
            <v>3</v>
          </cell>
          <cell r="H827">
            <v>52.5</v>
          </cell>
          <cell r="I827">
            <v>40.5</v>
          </cell>
          <cell r="J827">
            <v>24.5</v>
          </cell>
          <cell r="K827">
            <v>6.04</v>
          </cell>
          <cell r="L827">
            <v>0.33555555555555555</v>
          </cell>
          <cell r="M827">
            <v>5.209312499999999E-2</v>
          </cell>
        </row>
        <row r="828">
          <cell r="A828">
            <v>10010051</v>
          </cell>
          <cell r="B828">
            <v>3118220005877</v>
          </cell>
          <cell r="E828" t="str">
            <v>COFFRET 4CERAMIQUE OF+STEAK+C13+EP MANCHE POIS COUL LAME BLC</v>
          </cell>
          <cell r="F828">
            <v>18</v>
          </cell>
          <cell r="G828">
            <v>3</v>
          </cell>
          <cell r="H828">
            <v>65.5</v>
          </cell>
          <cell r="I828">
            <v>37.5</v>
          </cell>
          <cell r="J828">
            <v>23.5</v>
          </cell>
          <cell r="K828">
            <v>6.8170000000000002</v>
          </cell>
          <cell r="L828">
            <v>0.37872222222222224</v>
          </cell>
          <cell r="M828">
            <v>5.7721875000000006E-2</v>
          </cell>
        </row>
        <row r="829">
          <cell r="A829">
            <v>10010054</v>
          </cell>
          <cell r="B829">
            <v>3118220005945</v>
          </cell>
          <cell r="E829" t="str">
            <v>COFFRET 1 OFFICE CERAMIQUE BLANCHE MANCHE BRETAGNE</v>
          </cell>
          <cell r="F829">
            <v>18</v>
          </cell>
          <cell r="G829">
            <v>3</v>
          </cell>
          <cell r="H829">
            <v>29.5</v>
          </cell>
          <cell r="I829">
            <v>29.5</v>
          </cell>
          <cell r="J829">
            <v>24</v>
          </cell>
          <cell r="K829">
            <v>1.88</v>
          </cell>
          <cell r="L829">
            <v>0.10444444444444444</v>
          </cell>
          <cell r="M829">
            <v>2.0885999999999995E-2</v>
          </cell>
        </row>
        <row r="830">
          <cell r="A830">
            <v>10010055</v>
          </cell>
          <cell r="B830">
            <v>3118220005952</v>
          </cell>
          <cell r="E830" t="str">
            <v>COFFRET 1 CHEF 15 CERAMIQUE BLANCHE MANCHE BRETAGNE</v>
          </cell>
          <cell r="F830">
            <v>18</v>
          </cell>
          <cell r="G830">
            <v>3</v>
          </cell>
          <cell r="H830">
            <v>40</v>
          </cell>
          <cell r="I830">
            <v>34.5</v>
          </cell>
          <cell r="J830">
            <v>24.5</v>
          </cell>
          <cell r="K830">
            <v>3.74</v>
          </cell>
          <cell r="L830">
            <v>0.20777777777777778</v>
          </cell>
          <cell r="M830">
            <v>3.381E-2</v>
          </cell>
        </row>
        <row r="831">
          <cell r="A831">
            <v>10010056</v>
          </cell>
          <cell r="B831">
            <v>3118220005969</v>
          </cell>
          <cell r="E831" t="str">
            <v>COFFRET 3 STEAK CERAMIQUE BLANCHE MANCHE BRETAGNE</v>
          </cell>
          <cell r="F831">
            <v>18</v>
          </cell>
          <cell r="G831">
            <v>3</v>
          </cell>
          <cell r="H831">
            <v>49.5</v>
          </cell>
          <cell r="I831">
            <v>32.5</v>
          </cell>
          <cell r="J831">
            <v>25.5</v>
          </cell>
          <cell r="K831">
            <v>4.7</v>
          </cell>
          <cell r="L831">
            <v>0.26111111111111113</v>
          </cell>
          <cell r="M831">
            <v>4.1023125000000001E-2</v>
          </cell>
        </row>
        <row r="832">
          <cell r="A832">
            <v>10010057</v>
          </cell>
          <cell r="B832">
            <v>3118220005976</v>
          </cell>
          <cell r="E832" t="str">
            <v>COFFRET 3CERAMIQUE BLANCHE CHEF+STEAK+EPL MANCHE BRETAGNE</v>
          </cell>
          <cell r="F832">
            <v>18</v>
          </cell>
          <cell r="G832">
            <v>3</v>
          </cell>
          <cell r="H832">
            <v>52.5</v>
          </cell>
          <cell r="I832">
            <v>40.5</v>
          </cell>
          <cell r="J832">
            <v>24.5</v>
          </cell>
          <cell r="K832">
            <v>6.04</v>
          </cell>
          <cell r="L832">
            <v>0.33555555555555555</v>
          </cell>
          <cell r="M832">
            <v>5.209312499999999E-2</v>
          </cell>
        </row>
        <row r="833">
          <cell r="A833">
            <v>10010058</v>
          </cell>
          <cell r="B833">
            <v>3118220005983</v>
          </cell>
          <cell r="E833" t="str">
            <v>COFFRET 2 CERAMIQUE BLANCHE CUISINE13+OFFICE MANCHE BRETAGNE</v>
          </cell>
          <cell r="F833">
            <v>18</v>
          </cell>
          <cell r="G833">
            <v>3</v>
          </cell>
          <cell r="H833">
            <v>42.5</v>
          </cell>
          <cell r="I833">
            <v>37</v>
          </cell>
          <cell r="J833">
            <v>24</v>
          </cell>
          <cell r="K833">
            <v>4.3499999999999996</v>
          </cell>
          <cell r="L833">
            <v>0.24166666666666664</v>
          </cell>
          <cell r="M833">
            <v>3.7740000000000003E-2</v>
          </cell>
        </row>
        <row r="834">
          <cell r="A834">
            <v>10010059</v>
          </cell>
          <cell r="B834">
            <v>3118220006027</v>
          </cell>
          <cell r="E834" t="str">
            <v>COFFRET 4 CERAMIQUE BLANCHE OF+STEAK+C13+EPL MANCHE USA</v>
          </cell>
          <cell r="F834">
            <v>18</v>
          </cell>
          <cell r="G834">
            <v>3</v>
          </cell>
          <cell r="H834">
            <v>44.5</v>
          </cell>
          <cell r="I834">
            <v>37.5</v>
          </cell>
          <cell r="J834">
            <v>36</v>
          </cell>
          <cell r="K834">
            <v>6.0720000000000001</v>
          </cell>
          <cell r="L834">
            <v>0.33733333333333332</v>
          </cell>
          <cell r="M834">
            <v>6.0075000000000003E-2</v>
          </cell>
        </row>
        <row r="835">
          <cell r="A835">
            <v>10010061</v>
          </cell>
          <cell r="B835">
            <v>3118220006287</v>
          </cell>
          <cell r="E835" t="str">
            <v>COFFRET 9 CERAMIQUE MANCHES COUL ASSORTIES LAME BLANCHE</v>
          </cell>
          <cell r="F835">
            <v>6</v>
          </cell>
          <cell r="G835">
            <v>3</v>
          </cell>
          <cell r="H835">
            <v>45.5</v>
          </cell>
          <cell r="I835">
            <v>41</v>
          </cell>
          <cell r="J835">
            <v>25.5</v>
          </cell>
          <cell r="K835">
            <v>5.56</v>
          </cell>
          <cell r="L835">
            <v>0.92666666666666664</v>
          </cell>
          <cell r="M835">
            <v>4.7570250000000008E-2</v>
          </cell>
        </row>
        <row r="836">
          <cell r="A836">
            <v>10010068</v>
          </cell>
          <cell r="B836">
            <v>3118220007611</v>
          </cell>
          <cell r="E836" t="str">
            <v>COFFRET 4 STEAK CERAMIQUE METALLISE ARGENT LAME BLANCHE</v>
          </cell>
          <cell r="F836">
            <v>18</v>
          </cell>
          <cell r="G836">
            <v>3</v>
          </cell>
          <cell r="H836">
            <v>44.5</v>
          </cell>
          <cell r="I836">
            <v>32.5</v>
          </cell>
          <cell r="J836">
            <v>35</v>
          </cell>
          <cell r="K836">
            <v>4.8419999999999996</v>
          </cell>
          <cell r="L836">
            <v>0.26899999999999996</v>
          </cell>
          <cell r="M836">
            <v>5.0618750000000004E-2</v>
          </cell>
        </row>
        <row r="837">
          <cell r="A837">
            <v>10010069</v>
          </cell>
          <cell r="B837">
            <v>3118220007628</v>
          </cell>
          <cell r="E837" t="str">
            <v>COFFRET 4CERAMIQUE OF+ST+C13+EP METALLISE ARGEN LAME BLANCHE</v>
          </cell>
          <cell r="F837">
            <v>18</v>
          </cell>
          <cell r="G837">
            <v>3</v>
          </cell>
          <cell r="H837">
            <v>45</v>
          </cell>
          <cell r="I837">
            <v>38</v>
          </cell>
          <cell r="J837">
            <v>35</v>
          </cell>
          <cell r="K837">
            <v>6.609</v>
          </cell>
          <cell r="L837">
            <v>0.36716666666666664</v>
          </cell>
          <cell r="M837">
            <v>5.985E-2</v>
          </cell>
        </row>
        <row r="838">
          <cell r="A838">
            <v>10010077</v>
          </cell>
          <cell r="B838">
            <v>3606507296969</v>
          </cell>
          <cell r="E838" t="str">
            <v>COFFRET 2 CERAMIQUE FINLANDEK C13+OFFICE LAME BLANCHE</v>
          </cell>
          <cell r="F838">
            <v>18</v>
          </cell>
          <cell r="G838">
            <v>3</v>
          </cell>
          <cell r="H838">
            <v>38</v>
          </cell>
          <cell r="I838">
            <v>29.5</v>
          </cell>
          <cell r="J838">
            <v>38</v>
          </cell>
          <cell r="K838">
            <v>4.3860000000000001</v>
          </cell>
          <cell r="L838">
            <v>0.24366666666666667</v>
          </cell>
          <cell r="M838">
            <v>4.2598000000000004E-2</v>
          </cell>
        </row>
        <row r="839">
          <cell r="A839">
            <v>10010078</v>
          </cell>
          <cell r="B839">
            <v>3606507297256</v>
          </cell>
          <cell r="E839" t="str">
            <v>COFFRET 3 STEAK CERAMIQUE FINLANDEK LAME BLANCHE</v>
          </cell>
          <cell r="F839">
            <v>18</v>
          </cell>
          <cell r="G839">
            <v>3</v>
          </cell>
          <cell r="H839">
            <v>39</v>
          </cell>
          <cell r="I839">
            <v>34.5</v>
          </cell>
          <cell r="J839">
            <v>33</v>
          </cell>
          <cell r="K839">
            <v>6.484</v>
          </cell>
          <cell r="L839">
            <v>0.36022222222222222</v>
          </cell>
          <cell r="M839">
            <v>4.4401500000000003E-2</v>
          </cell>
        </row>
        <row r="840">
          <cell r="A840">
            <v>10010079</v>
          </cell>
          <cell r="B840">
            <v>3606507297270</v>
          </cell>
          <cell r="E840" t="str">
            <v>COFFRET 3 CERAMIQUE FINLANDEK OF+STEAK+C13 LAME BLANCHE</v>
          </cell>
          <cell r="F840">
            <v>18</v>
          </cell>
          <cell r="G840">
            <v>3</v>
          </cell>
          <cell r="H840">
            <v>38</v>
          </cell>
          <cell r="I840">
            <v>37</v>
          </cell>
          <cell r="J840">
            <v>37.5</v>
          </cell>
          <cell r="K840">
            <v>6.08</v>
          </cell>
          <cell r="L840">
            <v>0.33777777777777779</v>
          </cell>
          <cell r="M840">
            <v>5.2725000000000001E-2</v>
          </cell>
        </row>
        <row r="841">
          <cell r="A841">
            <v>10010082</v>
          </cell>
          <cell r="B841">
            <v>3606507297294</v>
          </cell>
          <cell r="E841" t="str">
            <v>COFFRET 3 CERAMIQUE FINLANDEK STEAK+C15+EPL LAME BLANCHE</v>
          </cell>
          <cell r="F841">
            <v>18</v>
          </cell>
          <cell r="G841">
            <v>3</v>
          </cell>
          <cell r="H841">
            <v>35.5</v>
          </cell>
          <cell r="I841">
            <v>38.5</v>
          </cell>
          <cell r="J841">
            <v>41.5</v>
          </cell>
          <cell r="K841">
            <v>6.391</v>
          </cell>
          <cell r="L841">
            <v>0.35505555555555557</v>
          </cell>
          <cell r="M841">
            <v>5.6720124999999989E-2</v>
          </cell>
        </row>
        <row r="842">
          <cell r="A842">
            <v>10010086</v>
          </cell>
          <cell r="B842">
            <v>3118220009288</v>
          </cell>
          <cell r="E842" t="str">
            <v>COFFRET 1 CHEF 15 CERAMIQUE MANCHE BASQUE LAME BLANCHE</v>
          </cell>
          <cell r="F842">
            <v>18</v>
          </cell>
          <cell r="G842">
            <v>3</v>
          </cell>
          <cell r="H842">
            <v>40</v>
          </cell>
          <cell r="I842">
            <v>34.5</v>
          </cell>
          <cell r="J842">
            <v>24.5</v>
          </cell>
          <cell r="K842">
            <v>3.74</v>
          </cell>
          <cell r="L842">
            <v>0.20777777777777778</v>
          </cell>
          <cell r="M842">
            <v>3.381E-2</v>
          </cell>
        </row>
        <row r="843">
          <cell r="A843">
            <v>10010089</v>
          </cell>
          <cell r="B843">
            <v>3118220009318</v>
          </cell>
          <cell r="E843" t="str">
            <v>COFFRET 3CERAMIQUE C15+STEAK+EPL MANCHE BASQUE LAME BLANCHE</v>
          </cell>
          <cell r="F843">
            <v>18</v>
          </cell>
          <cell r="G843">
            <v>3</v>
          </cell>
          <cell r="H843">
            <v>52.5</v>
          </cell>
          <cell r="I843">
            <v>40.5</v>
          </cell>
          <cell r="J843">
            <v>24.5</v>
          </cell>
          <cell r="K843">
            <v>6.04</v>
          </cell>
          <cell r="L843">
            <v>0.33555555555555555</v>
          </cell>
          <cell r="M843">
            <v>5.209312499999999E-2</v>
          </cell>
        </row>
        <row r="844">
          <cell r="A844">
            <v>10010096</v>
          </cell>
          <cell r="B844">
            <v>3118220010314</v>
          </cell>
          <cell r="E844" t="str">
            <v>COFFRET 1 OFFICE CERAMIQUE METALLISE ARGENT LAME BLANCHE</v>
          </cell>
          <cell r="F844">
            <v>18</v>
          </cell>
          <cell r="G844">
            <v>3</v>
          </cell>
          <cell r="H844">
            <v>28.5</v>
          </cell>
          <cell r="I844">
            <v>29.5</v>
          </cell>
          <cell r="J844">
            <v>25</v>
          </cell>
          <cell r="K844">
            <v>1.83</v>
          </cell>
          <cell r="L844">
            <v>0.10166666666666667</v>
          </cell>
          <cell r="M844">
            <v>2.1018749999999996E-2</v>
          </cell>
        </row>
        <row r="845">
          <cell r="A845">
            <v>10010097</v>
          </cell>
          <cell r="B845">
            <v>3118220010321</v>
          </cell>
          <cell r="E845" t="str">
            <v>COFFRET 1 CHEF 15 CERAMIQUE METALLISE ARGENT LAME BLANCHE</v>
          </cell>
          <cell r="F845">
            <v>18</v>
          </cell>
          <cell r="G845">
            <v>3</v>
          </cell>
          <cell r="H845">
            <v>40</v>
          </cell>
          <cell r="I845">
            <v>34.5</v>
          </cell>
          <cell r="J845">
            <v>25</v>
          </cell>
          <cell r="K845">
            <v>3.74</v>
          </cell>
          <cell r="L845">
            <v>0.20777777777777778</v>
          </cell>
          <cell r="M845">
            <v>3.4500000000000003E-2</v>
          </cell>
        </row>
        <row r="846">
          <cell r="A846">
            <v>10010098</v>
          </cell>
          <cell r="B846">
            <v>3118220010338</v>
          </cell>
          <cell r="E846" t="str">
            <v>COFFRET 2 CERAMIQUE METALLISE ARGENT 1 OF+1 C13 LAME BLANCHE</v>
          </cell>
          <cell r="F846">
            <v>18</v>
          </cell>
          <cell r="G846">
            <v>3</v>
          </cell>
          <cell r="H846">
            <v>42.5</v>
          </cell>
          <cell r="I846">
            <v>37.5</v>
          </cell>
          <cell r="J846">
            <v>24.5</v>
          </cell>
          <cell r="K846">
            <v>4.1399999999999997</v>
          </cell>
          <cell r="L846">
            <v>0.22999999999999998</v>
          </cell>
          <cell r="M846">
            <v>3.9046874999999995E-2</v>
          </cell>
        </row>
        <row r="847">
          <cell r="A847">
            <v>10010101</v>
          </cell>
          <cell r="B847">
            <v>3118220010376</v>
          </cell>
          <cell r="E847" t="str">
            <v>COFFRET 1 OFFICE CERAMIQUE METALLISE BRONZE LAME BLANCHE</v>
          </cell>
          <cell r="F847">
            <v>18</v>
          </cell>
          <cell r="G847">
            <v>3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</row>
        <row r="848">
          <cell r="A848">
            <v>10010127</v>
          </cell>
          <cell r="B848">
            <v>3118220011328</v>
          </cell>
          <cell r="E848" t="str">
            <v>COFFRET 4 STEAK CERAMIQUE METALLISE 4 COUL LAME BLANCHE</v>
          </cell>
          <cell r="F848">
            <v>18</v>
          </cell>
          <cell r="G848">
            <v>3</v>
          </cell>
          <cell r="H848">
            <v>44.5</v>
          </cell>
          <cell r="I848">
            <v>32</v>
          </cell>
          <cell r="J848">
            <v>35.5</v>
          </cell>
          <cell r="K848">
            <v>6.173</v>
          </cell>
          <cell r="L848">
            <v>0.34294444444444444</v>
          </cell>
          <cell r="M848">
            <v>5.0552E-2</v>
          </cell>
        </row>
        <row r="849">
          <cell r="A849">
            <v>10010129</v>
          </cell>
          <cell r="B849">
            <v>3118220011342</v>
          </cell>
          <cell r="E849" t="str">
            <v>COFFRET 2 CERAMIQUE 1OFFICE LISSE+1OFFICE DENTE LAME BLANCHE</v>
          </cell>
          <cell r="F849">
            <v>18</v>
          </cell>
          <cell r="G849">
            <v>3</v>
          </cell>
          <cell r="H849">
            <v>43.5</v>
          </cell>
          <cell r="I849">
            <v>33</v>
          </cell>
          <cell r="J849">
            <v>24.5</v>
          </cell>
          <cell r="K849">
            <v>3.63</v>
          </cell>
          <cell r="L849">
            <v>0.20166666666666666</v>
          </cell>
          <cell r="M849">
            <v>3.5169750000000007E-2</v>
          </cell>
        </row>
        <row r="850">
          <cell r="A850">
            <v>10010131</v>
          </cell>
          <cell r="B850">
            <v>3118220011366</v>
          </cell>
          <cell r="E850" t="str">
            <v>COFFRET 2 CERAMIQUE 2 STEAK DENTE LAME BLANCHE</v>
          </cell>
          <cell r="F850">
            <v>18</v>
          </cell>
          <cell r="G850">
            <v>3</v>
          </cell>
          <cell r="H850">
            <v>43</v>
          </cell>
          <cell r="I850">
            <v>33</v>
          </cell>
          <cell r="J850">
            <v>25</v>
          </cell>
          <cell r="K850">
            <v>3.6429999999999998</v>
          </cell>
          <cell r="L850">
            <v>0.20238888888888887</v>
          </cell>
          <cell r="M850">
            <v>3.5475E-2</v>
          </cell>
        </row>
        <row r="851">
          <cell r="A851">
            <v>10010132</v>
          </cell>
          <cell r="B851">
            <v>3118220011373</v>
          </cell>
          <cell r="E851" t="str">
            <v>COFFRET 2 CERAMIQUE 2 STEAK DENTE LAME NOIRE</v>
          </cell>
          <cell r="F851">
            <v>18</v>
          </cell>
          <cell r="G851">
            <v>3</v>
          </cell>
          <cell r="H851">
            <v>43</v>
          </cell>
          <cell r="I851">
            <v>33</v>
          </cell>
          <cell r="J851">
            <v>25</v>
          </cell>
          <cell r="K851">
            <v>2.88</v>
          </cell>
          <cell r="L851">
            <v>0.16</v>
          </cell>
          <cell r="M851">
            <v>3.5475E-2</v>
          </cell>
        </row>
        <row r="852">
          <cell r="A852">
            <v>10010133</v>
          </cell>
          <cell r="B852">
            <v>3118220011380</v>
          </cell>
          <cell r="E852" t="str">
            <v>COFFRET 2 CERAMIQUES C13+OFFICE LAME BLANCHE LISSE ET DENTE</v>
          </cell>
          <cell r="F852">
            <v>18</v>
          </cell>
          <cell r="G852">
            <v>3</v>
          </cell>
          <cell r="H852">
            <v>43</v>
          </cell>
          <cell r="I852">
            <v>37.5</v>
          </cell>
          <cell r="J852">
            <v>25</v>
          </cell>
          <cell r="K852">
            <v>4.4829999999999997</v>
          </cell>
          <cell r="L852">
            <v>0.24905555555555553</v>
          </cell>
          <cell r="M852">
            <v>4.0312500000000001E-2</v>
          </cell>
        </row>
        <row r="853">
          <cell r="A853">
            <v>10010134</v>
          </cell>
          <cell r="B853">
            <v>3118220011397</v>
          </cell>
          <cell r="E853" t="str">
            <v>COFFRET 2 CERAMIQUE DENTE CUISINE13+OFFICE LAME NOIRE</v>
          </cell>
          <cell r="F853">
            <v>18</v>
          </cell>
          <cell r="G853">
            <v>3</v>
          </cell>
          <cell r="H853">
            <v>43</v>
          </cell>
          <cell r="I853">
            <v>37.5</v>
          </cell>
          <cell r="J853">
            <v>25</v>
          </cell>
          <cell r="K853">
            <v>4.4829999999999997</v>
          </cell>
          <cell r="L853">
            <v>0.24905555555555553</v>
          </cell>
          <cell r="M853">
            <v>4.0312500000000001E-2</v>
          </cell>
        </row>
        <row r="854">
          <cell r="A854">
            <v>10010135</v>
          </cell>
          <cell r="B854">
            <v>3118220012165</v>
          </cell>
          <cell r="E854" t="str">
            <v>COFFRET 4 CERAMIQUE OF+ST+C13+EP GEOMIX LOSANGE LAME BLANCHE</v>
          </cell>
          <cell r="F854">
            <v>18</v>
          </cell>
          <cell r="G854">
            <v>3</v>
          </cell>
          <cell r="H854">
            <v>45.5</v>
          </cell>
          <cell r="I854">
            <v>37.5</v>
          </cell>
          <cell r="J854">
            <v>37</v>
          </cell>
          <cell r="K854">
            <v>7.085</v>
          </cell>
          <cell r="L854">
            <v>0.39361111111111113</v>
          </cell>
          <cell r="M854">
            <v>6.313125E-2</v>
          </cell>
        </row>
        <row r="855">
          <cell r="A855">
            <v>10010136</v>
          </cell>
          <cell r="B855">
            <v>3118220012172</v>
          </cell>
          <cell r="E855" t="str">
            <v>COFFRET 2 CERAMIQUE CUIS13+OF GEOMIX LOSANGE LAME BLANCHE</v>
          </cell>
          <cell r="F855">
            <v>18</v>
          </cell>
          <cell r="G855">
            <v>3</v>
          </cell>
          <cell r="H855">
            <v>43</v>
          </cell>
          <cell r="I855">
            <v>37.5</v>
          </cell>
          <cell r="J855">
            <v>25</v>
          </cell>
          <cell r="K855">
            <v>4.4829999999999997</v>
          </cell>
          <cell r="L855">
            <v>0.24905555555555553</v>
          </cell>
          <cell r="M855">
            <v>4.0312500000000001E-2</v>
          </cell>
        </row>
        <row r="856">
          <cell r="A856">
            <v>10010137</v>
          </cell>
          <cell r="B856">
            <v>3118220012721</v>
          </cell>
          <cell r="E856" t="str">
            <v>COFFRET CERAMIQUE 6 STEAK LAME BLANCHE</v>
          </cell>
          <cell r="F856">
            <v>24</v>
          </cell>
          <cell r="G856">
            <v>6</v>
          </cell>
          <cell r="H856">
            <v>62.5</v>
          </cell>
          <cell r="I856">
            <v>31.5</v>
          </cell>
          <cell r="J856">
            <v>43</v>
          </cell>
          <cell r="K856">
            <v>10.058999999999999</v>
          </cell>
          <cell r="L856">
            <v>0.41912499999999997</v>
          </cell>
          <cell r="M856">
            <v>8.4656249999999988E-2</v>
          </cell>
        </row>
        <row r="857">
          <cell r="A857">
            <v>10010138</v>
          </cell>
          <cell r="B857">
            <v>3118220012738</v>
          </cell>
          <cell r="E857" t="str">
            <v>COFFRET CERAMIQUE 6 STEAK LAME NOIRE</v>
          </cell>
          <cell r="F857">
            <v>24</v>
          </cell>
          <cell r="G857">
            <v>24</v>
          </cell>
          <cell r="H857">
            <v>62.5</v>
          </cell>
          <cell r="I857">
            <v>31.5</v>
          </cell>
          <cell r="J857">
            <v>43</v>
          </cell>
          <cell r="K857">
            <v>10.058999999999999</v>
          </cell>
          <cell r="L857">
            <v>0.41912499999999997</v>
          </cell>
          <cell r="M857">
            <v>8.4656249999999988E-2</v>
          </cell>
        </row>
        <row r="858">
          <cell r="A858">
            <v>10010139</v>
          </cell>
          <cell r="B858">
            <v>3118220012943</v>
          </cell>
          <cell r="E858" t="str">
            <v>COFFRET 1 OFFICE MANGO CERAMIQUE LAME BLANCHE PANACHE 6 COUL</v>
          </cell>
          <cell r="F858">
            <v>18</v>
          </cell>
          <cell r="G858">
            <v>6</v>
          </cell>
          <cell r="H858">
            <v>29.5</v>
          </cell>
          <cell r="I858">
            <v>29.5</v>
          </cell>
          <cell r="J858">
            <v>26</v>
          </cell>
          <cell r="K858">
            <v>1.974</v>
          </cell>
          <cell r="L858">
            <v>0.10966666666666666</v>
          </cell>
          <cell r="M858">
            <v>2.2626499999999997E-2</v>
          </cell>
        </row>
        <row r="859">
          <cell r="A859">
            <v>10010140</v>
          </cell>
          <cell r="B859">
            <v>3118220012950</v>
          </cell>
          <cell r="E859" t="str">
            <v>COFFRET OF+CUIS DENT MANGO CERAMIQUE LAME BLANCHE PANACHE 6</v>
          </cell>
          <cell r="F859">
            <v>18</v>
          </cell>
          <cell r="G859">
            <v>6</v>
          </cell>
          <cell r="H859">
            <v>44</v>
          </cell>
          <cell r="I859">
            <v>37</v>
          </cell>
          <cell r="J859">
            <v>25</v>
          </cell>
          <cell r="K859">
            <v>4.57</v>
          </cell>
          <cell r="L859">
            <v>0.25388888888888889</v>
          </cell>
          <cell r="M859">
            <v>4.07E-2</v>
          </cell>
        </row>
        <row r="860">
          <cell r="A860">
            <v>10010141</v>
          </cell>
          <cell r="B860">
            <v>3118220012967</v>
          </cell>
          <cell r="E860" t="str">
            <v>COFFRET OF+CUIS LISSE MANGO CERAMIQUE LAME BLANCHE PANACHE 6</v>
          </cell>
          <cell r="F860">
            <v>18</v>
          </cell>
          <cell r="G860">
            <v>6</v>
          </cell>
          <cell r="H860">
            <v>44</v>
          </cell>
          <cell r="I860">
            <v>37</v>
          </cell>
          <cell r="J860">
            <v>25</v>
          </cell>
          <cell r="K860">
            <v>4.57</v>
          </cell>
          <cell r="L860">
            <v>0.25388888888888889</v>
          </cell>
          <cell r="M860">
            <v>4.07E-2</v>
          </cell>
        </row>
        <row r="861">
          <cell r="A861">
            <v>10010142</v>
          </cell>
          <cell r="B861">
            <v>3118220012974</v>
          </cell>
          <cell r="E861" t="str">
            <v>COFFRET 3 STEAK DENT MANGO CERAMIQUE LAME BLANCHE PANACHE 6</v>
          </cell>
          <cell r="F861">
            <v>18</v>
          </cell>
          <cell r="G861">
            <v>6</v>
          </cell>
          <cell r="H861">
            <v>50</v>
          </cell>
          <cell r="I861">
            <v>33</v>
          </cell>
          <cell r="J861">
            <v>25</v>
          </cell>
          <cell r="K861">
            <v>5.08</v>
          </cell>
          <cell r="L861">
            <v>0.28222222222222221</v>
          </cell>
          <cell r="M861">
            <v>4.1250000000000002E-2</v>
          </cell>
        </row>
        <row r="862">
          <cell r="A862">
            <v>10010143</v>
          </cell>
          <cell r="B862">
            <v>3118220012981</v>
          </cell>
          <cell r="E862" t="str">
            <v>COFFRET 3 STEAK LISSE MANGO CERAMIQUE LAME BLANCHE PANACHE 6</v>
          </cell>
          <cell r="F862">
            <v>18</v>
          </cell>
          <cell r="G862">
            <v>6</v>
          </cell>
          <cell r="H862">
            <v>50</v>
          </cell>
          <cell r="I862">
            <v>33</v>
          </cell>
          <cell r="J862">
            <v>25</v>
          </cell>
          <cell r="K862">
            <v>5.08</v>
          </cell>
          <cell r="L862">
            <v>0.28222222222222221</v>
          </cell>
          <cell r="M862">
            <v>4.1250000000000002E-2</v>
          </cell>
        </row>
        <row r="863">
          <cell r="A863">
            <v>10010144</v>
          </cell>
          <cell r="B863">
            <v>3118220012998</v>
          </cell>
          <cell r="E863" t="str">
            <v>COFFRET CUISINE LISSE MANGO CERAMIQUE LAME BLANCHE PANACHE 6</v>
          </cell>
          <cell r="F863">
            <v>18</v>
          </cell>
          <cell r="G863">
            <v>6</v>
          </cell>
          <cell r="H863">
            <v>37</v>
          </cell>
          <cell r="I863">
            <v>29</v>
          </cell>
          <cell r="J863">
            <v>25</v>
          </cell>
          <cell r="K863">
            <v>3.01</v>
          </cell>
          <cell r="L863">
            <v>0.16722222222222222</v>
          </cell>
          <cell r="M863">
            <v>2.6825000000000002E-2</v>
          </cell>
        </row>
        <row r="864">
          <cell r="A864">
            <v>10010151</v>
          </cell>
          <cell r="B864">
            <v>3118220013414</v>
          </cell>
          <cell r="E864" t="str">
            <v>COFFRET 4 CERAMIQUE OF+ST+C13+EP METALLISE BLEU ACI LAME BLC</v>
          </cell>
          <cell r="F864">
            <v>18</v>
          </cell>
          <cell r="G864">
            <v>3</v>
          </cell>
          <cell r="H864">
            <v>44.5</v>
          </cell>
          <cell r="I864">
            <v>37.5</v>
          </cell>
          <cell r="J864">
            <v>36</v>
          </cell>
          <cell r="K864">
            <v>6.8739999999999997</v>
          </cell>
          <cell r="L864">
            <v>0.38188888888888889</v>
          </cell>
          <cell r="M864">
            <v>6.0075000000000003E-2</v>
          </cell>
        </row>
        <row r="865">
          <cell r="A865">
            <v>10010152</v>
          </cell>
          <cell r="B865">
            <v>3601029888692</v>
          </cell>
          <cell r="C865" t="str">
            <v>23660444375426</v>
          </cell>
          <cell r="D865" t="str">
            <v>23660444138892</v>
          </cell>
          <cell r="E865" t="str">
            <v>EPLUCHEUR CERAMIQUE SIPLEC10300667 LAME BLANCHE BLISTER PEGB</v>
          </cell>
          <cell r="F865">
            <v>18</v>
          </cell>
          <cell r="G865">
            <v>6</v>
          </cell>
          <cell r="H865">
            <v>38</v>
          </cell>
          <cell r="I865">
            <v>29</v>
          </cell>
          <cell r="J865">
            <v>13</v>
          </cell>
          <cell r="K865">
            <v>1.42</v>
          </cell>
          <cell r="L865">
            <v>7.8888888888888883E-2</v>
          </cell>
          <cell r="M865">
            <v>1.4325999999999998E-2</v>
          </cell>
        </row>
        <row r="866">
          <cell r="A866">
            <v>10010153</v>
          </cell>
          <cell r="B866">
            <v>3601029888715</v>
          </cell>
          <cell r="C866" t="str">
            <v>23660444375358</v>
          </cell>
          <cell r="D866" t="str">
            <v>23660444139097</v>
          </cell>
          <cell r="E866" t="str">
            <v>OFFICE CERAMIQUE SIPLEC10300664 LAME BLANCHE BLISTER PEGB</v>
          </cell>
          <cell r="F866">
            <v>18</v>
          </cell>
          <cell r="G866">
            <v>6</v>
          </cell>
          <cell r="H866">
            <v>28.5</v>
          </cell>
          <cell r="I866">
            <v>28.5</v>
          </cell>
          <cell r="J866">
            <v>13</v>
          </cell>
          <cell r="K866">
            <v>1.2230000000000001</v>
          </cell>
          <cell r="L866">
            <v>6.7944444444444446E-2</v>
          </cell>
          <cell r="M866">
            <v>1.0559249999999997E-2</v>
          </cell>
        </row>
        <row r="867">
          <cell r="A867">
            <v>10010154</v>
          </cell>
          <cell r="B867">
            <v>3601029888661</v>
          </cell>
          <cell r="C867" t="str">
            <v>23660444375341</v>
          </cell>
          <cell r="D867" t="str">
            <v>23660444138861</v>
          </cell>
          <cell r="E867" t="str">
            <v>CUISINE CERAMIQUE SIPLEC10300663 LAME BLANCHE BLISTER PEGB</v>
          </cell>
          <cell r="F867">
            <v>18</v>
          </cell>
          <cell r="G867">
            <v>6</v>
          </cell>
          <cell r="H867">
            <v>36</v>
          </cell>
          <cell r="I867">
            <v>33</v>
          </cell>
          <cell r="J867">
            <v>14.5</v>
          </cell>
          <cell r="K867">
            <v>2.2759999999999998</v>
          </cell>
          <cell r="L867">
            <v>0.12644444444444444</v>
          </cell>
          <cell r="M867">
            <v>1.7225999999999998E-2</v>
          </cell>
        </row>
        <row r="868">
          <cell r="A868">
            <v>10010155</v>
          </cell>
          <cell r="B868">
            <v>3601029888654</v>
          </cell>
          <cell r="C868" t="str">
            <v>23660444375334</v>
          </cell>
          <cell r="D868" t="str">
            <v>23660444138854</v>
          </cell>
          <cell r="E868" t="str">
            <v>CHEF 15 CERAMIQUE SIPLEC10300662 LAME BLANCHE BLISTER PEGB</v>
          </cell>
          <cell r="F868">
            <v>18</v>
          </cell>
          <cell r="G868">
            <v>6</v>
          </cell>
          <cell r="H868">
            <v>37</v>
          </cell>
          <cell r="I868">
            <v>32</v>
          </cell>
          <cell r="J868">
            <v>16</v>
          </cell>
          <cell r="K868">
            <v>3.0110000000000001</v>
          </cell>
          <cell r="L868">
            <v>0.16727777777777778</v>
          </cell>
          <cell r="M868">
            <v>1.8944000000000003E-2</v>
          </cell>
        </row>
        <row r="869">
          <cell r="A869">
            <v>10010156</v>
          </cell>
          <cell r="B869">
            <v>3118220014015</v>
          </cell>
          <cell r="E869" t="str">
            <v>COFFRET 1 OFFICE CERAMIQUE MANCHE VENDEE LAME BLANCHE</v>
          </cell>
          <cell r="F869">
            <v>18</v>
          </cell>
          <cell r="G869">
            <v>3</v>
          </cell>
          <cell r="H869">
            <v>29.5</v>
          </cell>
          <cell r="I869">
            <v>29.5</v>
          </cell>
          <cell r="J869">
            <v>24</v>
          </cell>
          <cell r="K869">
            <v>1.88</v>
          </cell>
          <cell r="L869">
            <v>0.10444444444444444</v>
          </cell>
          <cell r="M869">
            <v>2.0885999999999995E-2</v>
          </cell>
        </row>
        <row r="870">
          <cell r="A870">
            <v>10010157</v>
          </cell>
          <cell r="B870">
            <v>3118220014022</v>
          </cell>
          <cell r="E870" t="str">
            <v>COFFRET 1 CHEF 15 CERAMIQUE MANCHE VENDEE LAME BLANCHE</v>
          </cell>
          <cell r="F870">
            <v>18</v>
          </cell>
          <cell r="G870">
            <v>3</v>
          </cell>
          <cell r="H870">
            <v>40</v>
          </cell>
          <cell r="I870">
            <v>34.5</v>
          </cell>
          <cell r="J870">
            <v>24.5</v>
          </cell>
          <cell r="K870">
            <v>3.74</v>
          </cell>
          <cell r="L870">
            <v>0.20777777777777778</v>
          </cell>
          <cell r="M870">
            <v>3.381E-2</v>
          </cell>
        </row>
        <row r="871">
          <cell r="A871">
            <v>10010158</v>
          </cell>
          <cell r="B871">
            <v>3118220014039</v>
          </cell>
          <cell r="E871" t="str">
            <v>COFFRET 2 CERAMIQUE CUISINE13+OFFICE VENDEE LAME BLANCHE</v>
          </cell>
          <cell r="F871">
            <v>18</v>
          </cell>
          <cell r="G871">
            <v>3</v>
          </cell>
          <cell r="H871">
            <v>43</v>
          </cell>
          <cell r="I871">
            <v>37.5</v>
          </cell>
          <cell r="J871">
            <v>25</v>
          </cell>
          <cell r="K871">
            <v>4.2</v>
          </cell>
          <cell r="L871">
            <v>0.23333333333333334</v>
          </cell>
          <cell r="M871">
            <v>4.0312500000000001E-2</v>
          </cell>
        </row>
        <row r="872">
          <cell r="A872">
            <v>10010159</v>
          </cell>
          <cell r="B872">
            <v>3118220014046</v>
          </cell>
          <cell r="E872" t="str">
            <v>COFFRET 3 STEAK CERAMIQUE MANCHE VENDEE LAME BLANCHE</v>
          </cell>
          <cell r="F872">
            <v>18</v>
          </cell>
          <cell r="G872">
            <v>3</v>
          </cell>
          <cell r="H872">
            <v>49.5</v>
          </cell>
          <cell r="I872">
            <v>32.5</v>
          </cell>
          <cell r="J872">
            <v>25.5</v>
          </cell>
          <cell r="K872">
            <v>4.7</v>
          </cell>
          <cell r="L872">
            <v>0.26111111111111113</v>
          </cell>
          <cell r="M872">
            <v>4.1023125000000001E-2</v>
          </cell>
        </row>
        <row r="873">
          <cell r="A873">
            <v>10010160</v>
          </cell>
          <cell r="B873">
            <v>3118220014053</v>
          </cell>
          <cell r="E873" t="str">
            <v>COFFRET 3 CERAMIQUE STEAK+C15+EPL VENDEE LAME BLANCHE</v>
          </cell>
          <cell r="F873">
            <v>18</v>
          </cell>
          <cell r="G873">
            <v>3</v>
          </cell>
          <cell r="H873">
            <v>52.5</v>
          </cell>
          <cell r="I873">
            <v>40.5</v>
          </cell>
          <cell r="J873">
            <v>24.5</v>
          </cell>
          <cell r="K873">
            <v>5.4</v>
          </cell>
          <cell r="L873">
            <v>0.30000000000000004</v>
          </cell>
          <cell r="M873">
            <v>5.209312499999999E-2</v>
          </cell>
        </row>
        <row r="874">
          <cell r="A874">
            <v>10010170</v>
          </cell>
          <cell r="B874">
            <v>3118220014916</v>
          </cell>
          <cell r="E874" t="str">
            <v>COFFRET 4 STEAK CERAMIQUE BLANCHE MANCHE BRETAGNE</v>
          </cell>
          <cell r="F874">
            <v>18</v>
          </cell>
          <cell r="G874">
            <v>3</v>
          </cell>
          <cell r="H874">
            <v>43.5</v>
          </cell>
          <cell r="I874">
            <v>33</v>
          </cell>
          <cell r="J874">
            <v>35.5</v>
          </cell>
          <cell r="K874">
            <v>6.0579999999999998</v>
          </cell>
          <cell r="L874">
            <v>0.33655555555555555</v>
          </cell>
          <cell r="M874">
            <v>5.0960249999999999E-2</v>
          </cell>
        </row>
        <row r="875">
          <cell r="A875">
            <v>10010174</v>
          </cell>
          <cell r="B875">
            <v>3118220016248</v>
          </cell>
          <cell r="E875" t="str">
            <v>COFFRET OFFICE CERAMIQUE DENTE LAME BLANCHE</v>
          </cell>
          <cell r="F875">
            <v>18</v>
          </cell>
          <cell r="G875">
            <v>3</v>
          </cell>
          <cell r="H875">
            <v>29.5</v>
          </cell>
          <cell r="I875">
            <v>29</v>
          </cell>
          <cell r="J875">
            <v>24.5</v>
          </cell>
          <cell r="K875">
            <v>1.26</v>
          </cell>
          <cell r="L875">
            <v>7.0000000000000007E-2</v>
          </cell>
          <cell r="M875">
            <v>2.0959750000000003E-2</v>
          </cell>
        </row>
        <row r="876">
          <cell r="A876">
            <v>10010175</v>
          </cell>
          <cell r="B876">
            <v>3118220017634</v>
          </cell>
          <cell r="E876" t="str">
            <v>COFFRET OFFICE CERAMIQUE DENTE LAME BLANCHE SUR CRAVATE</v>
          </cell>
          <cell r="F876">
            <v>12</v>
          </cell>
          <cell r="G876">
            <v>12</v>
          </cell>
          <cell r="H876">
            <v>110</v>
          </cell>
          <cell r="I876">
            <v>16.5</v>
          </cell>
          <cell r="J876">
            <v>9.5</v>
          </cell>
          <cell r="K876">
            <v>1.43</v>
          </cell>
          <cell r="L876">
            <v>0.11916666666666666</v>
          </cell>
          <cell r="M876">
            <v>1.7242500000000004E-2</v>
          </cell>
        </row>
        <row r="877">
          <cell r="A877">
            <v>10010177</v>
          </cell>
          <cell r="B877">
            <v>3118220017993</v>
          </cell>
          <cell r="E877" t="str">
            <v>COFFRET 1 CERAMIQUE CHEF 15 DENTE LAME BLANCHE</v>
          </cell>
          <cell r="F877">
            <v>18</v>
          </cell>
          <cell r="G877">
            <v>3</v>
          </cell>
          <cell r="H877">
            <v>39.5</v>
          </cell>
          <cell r="I877">
            <v>34.5</v>
          </cell>
          <cell r="J877">
            <v>25</v>
          </cell>
          <cell r="K877">
            <v>3.294</v>
          </cell>
          <cell r="L877">
            <v>0.183</v>
          </cell>
          <cell r="M877">
            <v>3.4068750000000002E-2</v>
          </cell>
        </row>
        <row r="878">
          <cell r="A878">
            <v>10010187</v>
          </cell>
          <cell r="B878">
            <v>3118220027510</v>
          </cell>
          <cell r="E878" t="str">
            <v>COFFRET 3 CERAMIQUES OFF STEAK EPL LAME BLANCHE MANCHE GRIS</v>
          </cell>
          <cell r="F878">
            <v>18</v>
          </cell>
          <cell r="G878">
            <v>3</v>
          </cell>
          <cell r="H878">
            <v>56</v>
          </cell>
          <cell r="I878">
            <v>36.5</v>
          </cell>
          <cell r="J878">
            <v>23.5</v>
          </cell>
          <cell r="K878">
            <v>4.9359999999999999</v>
          </cell>
          <cell r="L878">
            <v>0.2742222222222222</v>
          </cell>
          <cell r="M878">
            <v>4.8034000000000007E-2</v>
          </cell>
        </row>
        <row r="879">
          <cell r="A879">
            <v>10010188</v>
          </cell>
          <cell r="B879">
            <v>3118220027527</v>
          </cell>
          <cell r="E879" t="str">
            <v>COFFRET 3 CERAMIQUES OFF STEAK EPL LAME BLANCHE MANCHE NOIR</v>
          </cell>
          <cell r="F879">
            <v>18</v>
          </cell>
          <cell r="G879">
            <v>3</v>
          </cell>
          <cell r="H879">
            <v>55.5</v>
          </cell>
          <cell r="I879">
            <v>37.5</v>
          </cell>
          <cell r="J879">
            <v>24</v>
          </cell>
          <cell r="K879">
            <v>4.9619999999999997</v>
          </cell>
          <cell r="L879">
            <v>0.27566666666666667</v>
          </cell>
          <cell r="M879">
            <v>4.9950000000000008E-2</v>
          </cell>
        </row>
        <row r="880">
          <cell r="A880">
            <v>10010189</v>
          </cell>
          <cell r="B880">
            <v>3118220027534</v>
          </cell>
          <cell r="E880" t="str">
            <v>COFFRET 3 CERAMIQUES OFF STEAK EPL LAME NOIRE MANCHE NOIR</v>
          </cell>
          <cell r="F880">
            <v>18</v>
          </cell>
          <cell r="G880">
            <v>3</v>
          </cell>
          <cell r="H880">
            <v>56</v>
          </cell>
          <cell r="I880">
            <v>36.5</v>
          </cell>
          <cell r="J880">
            <v>23.5</v>
          </cell>
          <cell r="K880">
            <v>4.9359999999999999</v>
          </cell>
          <cell r="L880">
            <v>0.2742222222222222</v>
          </cell>
          <cell r="M880">
            <v>4.8034000000000007E-2</v>
          </cell>
        </row>
        <row r="881">
          <cell r="A881">
            <v>10010190</v>
          </cell>
          <cell r="B881">
            <v>3118220027541</v>
          </cell>
          <cell r="E881" t="str">
            <v>COFFRET 2 CERAMIQUES 125MN + 75MN LAME BLANCHE MANCHE GRIS</v>
          </cell>
          <cell r="F881">
            <v>18</v>
          </cell>
          <cell r="G881">
            <v>3</v>
          </cell>
          <cell r="H881">
            <v>43.5</v>
          </cell>
          <cell r="I881">
            <v>37</v>
          </cell>
          <cell r="J881">
            <v>24.5</v>
          </cell>
          <cell r="K881">
            <v>4.4850000000000003</v>
          </cell>
          <cell r="L881">
            <v>0.24916666666666668</v>
          </cell>
          <cell r="M881">
            <v>3.9432749999999996E-2</v>
          </cell>
        </row>
        <row r="882">
          <cell r="A882">
            <v>10010191</v>
          </cell>
          <cell r="B882">
            <v>3118220027558</v>
          </cell>
          <cell r="E882" t="str">
            <v>COFFRET 2 CERAMIQUES 125MN + 75MN LAME BLANCHE MANCHE BLEU</v>
          </cell>
          <cell r="F882">
            <v>18</v>
          </cell>
          <cell r="G882">
            <v>3</v>
          </cell>
          <cell r="H882">
            <v>43.5</v>
          </cell>
          <cell r="I882">
            <v>37</v>
          </cell>
          <cell r="J882">
            <v>24.5</v>
          </cell>
          <cell r="K882">
            <v>4.4850000000000003</v>
          </cell>
          <cell r="L882">
            <v>0.24916666666666668</v>
          </cell>
          <cell r="M882">
            <v>3.9432749999999996E-2</v>
          </cell>
        </row>
        <row r="883">
          <cell r="A883">
            <v>10010192</v>
          </cell>
          <cell r="B883">
            <v>3250392858278</v>
          </cell>
          <cell r="E883" t="str">
            <v>COFFRET 3 COUTEAUX STEAK CERAMIQUE LAME BLANCHE DOMEDIA</v>
          </cell>
          <cell r="F883">
            <v>18</v>
          </cell>
          <cell r="G883">
            <v>6</v>
          </cell>
          <cell r="H883">
            <v>51</v>
          </cell>
          <cell r="I883">
            <v>33</v>
          </cell>
          <cell r="J883">
            <v>24</v>
          </cell>
          <cell r="K883">
            <v>5.0869999999999997</v>
          </cell>
          <cell r="L883">
            <v>0.28261111111111109</v>
          </cell>
          <cell r="M883">
            <v>4.0392000000000004E-2</v>
          </cell>
        </row>
        <row r="884">
          <cell r="A884">
            <v>10010193</v>
          </cell>
          <cell r="B884">
            <v>3118220029064</v>
          </cell>
          <cell r="E884" t="str">
            <v>DISPLAY CARTON 36 COFFRET 4 CERAMIQUE MANCHE POIS COULEUR</v>
          </cell>
          <cell r="F884">
            <v>1</v>
          </cell>
          <cell r="G884">
            <v>1</v>
          </cell>
          <cell r="H884">
            <v>63.5</v>
          </cell>
          <cell r="I884">
            <v>49.5</v>
          </cell>
          <cell r="J884">
            <v>40</v>
          </cell>
          <cell r="K884">
            <v>13.555</v>
          </cell>
          <cell r="L884">
            <v>13.555</v>
          </cell>
          <cell r="M884">
            <v>0.12573000000000001</v>
          </cell>
        </row>
        <row r="885">
          <cell r="A885">
            <v>10010196</v>
          </cell>
          <cell r="B885">
            <v>3616479606574</v>
          </cell>
          <cell r="C885" t="str">
            <v>13616479606571</v>
          </cell>
          <cell r="D885" t="str">
            <v>23616479606578</v>
          </cell>
          <cell r="E885" t="str">
            <v>EPLUCHEUR UNIVERSAL CERAMIC CRF SS BLISTER PEGB</v>
          </cell>
          <cell r="F885">
            <v>18</v>
          </cell>
          <cell r="G885">
            <v>6</v>
          </cell>
          <cell r="H885">
            <v>38</v>
          </cell>
          <cell r="I885">
            <v>24.5</v>
          </cell>
          <cell r="J885">
            <v>12.5</v>
          </cell>
          <cell r="K885">
            <v>1.262</v>
          </cell>
          <cell r="L885">
            <v>7.011111111111111E-2</v>
          </cell>
          <cell r="M885">
            <v>1.16375E-2</v>
          </cell>
        </row>
        <row r="886">
          <cell r="A886">
            <v>10010197</v>
          </cell>
          <cell r="B886">
            <v>3616479617792</v>
          </cell>
          <cell r="C886" t="str">
            <v>13616479617799</v>
          </cell>
          <cell r="D886" t="str">
            <v>23616479617796</v>
          </cell>
          <cell r="E886" t="str">
            <v>OFFICE UNIVERSAL CERAMIC CRF SS BLISTER PEGB</v>
          </cell>
          <cell r="F886">
            <v>18</v>
          </cell>
          <cell r="G886">
            <v>6</v>
          </cell>
          <cell r="H886">
            <v>28</v>
          </cell>
          <cell r="I886">
            <v>28.5</v>
          </cell>
          <cell r="J886">
            <v>12.5</v>
          </cell>
          <cell r="K886">
            <v>1.2390000000000001</v>
          </cell>
          <cell r="L886">
            <v>6.8833333333333344E-2</v>
          </cell>
          <cell r="M886">
            <v>9.9750000000000012E-3</v>
          </cell>
        </row>
        <row r="887">
          <cell r="A887">
            <v>10010198</v>
          </cell>
          <cell r="B887">
            <v>3616479617808</v>
          </cell>
          <cell r="C887" t="str">
            <v>13616479617805</v>
          </cell>
          <cell r="D887" t="str">
            <v>23616479617802</v>
          </cell>
          <cell r="E887" t="str">
            <v>STEAK UNIVERSAL CERAMIC CRF SS BLISTER PEGB</v>
          </cell>
          <cell r="F887">
            <v>18</v>
          </cell>
          <cell r="G887">
            <v>6</v>
          </cell>
          <cell r="H887">
            <v>31.5</v>
          </cell>
          <cell r="I887">
            <v>31.5</v>
          </cell>
          <cell r="J887">
            <v>13.5</v>
          </cell>
          <cell r="K887">
            <v>1.524</v>
          </cell>
          <cell r="L887">
            <v>8.4666666666666668E-2</v>
          </cell>
          <cell r="M887">
            <v>1.3395374999999998E-2</v>
          </cell>
        </row>
        <row r="888">
          <cell r="A888">
            <v>10010199</v>
          </cell>
          <cell r="B888">
            <v>3616479617815</v>
          </cell>
          <cell r="C888" t="str">
            <v>13616479617812</v>
          </cell>
          <cell r="D888" t="str">
            <v>23616479617819</v>
          </cell>
          <cell r="E888" t="str">
            <v>CHEF UNIVERSAL CERAMIC CRF SS BLISTER PEGB</v>
          </cell>
          <cell r="F888">
            <v>18</v>
          </cell>
          <cell r="G888">
            <v>6</v>
          </cell>
          <cell r="H888">
            <v>37</v>
          </cell>
          <cell r="I888">
            <v>32</v>
          </cell>
          <cell r="J888">
            <v>16</v>
          </cell>
          <cell r="K888">
            <v>2.7650000000000001</v>
          </cell>
          <cell r="L888">
            <v>0.15361111111111111</v>
          </cell>
          <cell r="M888">
            <v>1.8944000000000003E-2</v>
          </cell>
        </row>
        <row r="889">
          <cell r="A889">
            <v>10010200</v>
          </cell>
          <cell r="B889">
            <v>3118220046818</v>
          </cell>
          <cell r="C889" t="str">
            <v>13118220046815</v>
          </cell>
          <cell r="D889" t="str">
            <v>23118220046812</v>
          </cell>
          <cell r="E889" t="str">
            <v>OFFICE METALIS CERAMIQUE LAME BLANCHE MANCHE METAL EN BOITE</v>
          </cell>
          <cell r="F889">
            <v>24</v>
          </cell>
          <cell r="G889">
            <v>6</v>
          </cell>
          <cell r="H889">
            <v>37</v>
          </cell>
          <cell r="I889">
            <v>19</v>
          </cell>
          <cell r="J889">
            <v>34</v>
          </cell>
          <cell r="K889">
            <v>3.3849999999999998</v>
          </cell>
          <cell r="L889">
            <v>0.14104166666666665</v>
          </cell>
          <cell r="M889">
            <v>2.3902E-2</v>
          </cell>
        </row>
        <row r="890">
          <cell r="A890">
            <v>10010201</v>
          </cell>
          <cell r="B890">
            <v>3118220046825</v>
          </cell>
          <cell r="C890" t="str">
            <v>13118220046822</v>
          </cell>
          <cell r="D890" t="str">
            <v>23118220046829</v>
          </cell>
          <cell r="E890" t="str">
            <v>STEAK METALIS CERAMIQUE LAME BLANCHE MANCHE METAL EN BOITE</v>
          </cell>
          <cell r="F890">
            <v>24</v>
          </cell>
          <cell r="G890">
            <v>6</v>
          </cell>
          <cell r="H890">
            <v>37</v>
          </cell>
          <cell r="I890">
            <v>19</v>
          </cell>
          <cell r="J890">
            <v>34</v>
          </cell>
          <cell r="K890">
            <v>3.4649999999999999</v>
          </cell>
          <cell r="L890">
            <v>0.144375</v>
          </cell>
          <cell r="M890">
            <v>2.3902E-2</v>
          </cell>
        </row>
        <row r="891">
          <cell r="A891">
            <v>10010202</v>
          </cell>
          <cell r="B891">
            <v>3118220046832</v>
          </cell>
          <cell r="C891" t="str">
            <v>13118220046839</v>
          </cell>
          <cell r="D891" t="str">
            <v>23118220046836</v>
          </cell>
          <cell r="E891" t="str">
            <v>CHEF METALIS CERAMIQUE LAME BLANCHE MANCHE METAL EN BOITE</v>
          </cell>
          <cell r="F891">
            <v>18</v>
          </cell>
          <cell r="G891">
            <v>6</v>
          </cell>
          <cell r="H891">
            <v>36</v>
          </cell>
          <cell r="I891">
            <v>27</v>
          </cell>
          <cell r="J891">
            <v>17.5</v>
          </cell>
          <cell r="K891">
            <v>3.476</v>
          </cell>
          <cell r="L891">
            <v>0.19311111111111112</v>
          </cell>
          <cell r="M891">
            <v>1.7009999999999997E-2</v>
          </cell>
        </row>
        <row r="892">
          <cell r="A892">
            <v>10010203</v>
          </cell>
          <cell r="B892">
            <v>3118220046849</v>
          </cell>
          <cell r="C892" t="str">
            <v>13118220046846</v>
          </cell>
          <cell r="D892" t="str">
            <v>23118220046843</v>
          </cell>
          <cell r="E892" t="str">
            <v>SANTOKU METALIS CERAMIQUE LAME BLANCHE MANCHE METAL EN BOITE</v>
          </cell>
          <cell r="F892">
            <v>18</v>
          </cell>
          <cell r="G892">
            <v>6</v>
          </cell>
          <cell r="H892">
            <v>36</v>
          </cell>
          <cell r="I892">
            <v>28</v>
          </cell>
          <cell r="J892">
            <v>17</v>
          </cell>
          <cell r="K892">
            <v>3.6629999999999998</v>
          </cell>
          <cell r="L892">
            <v>0.20349999999999999</v>
          </cell>
          <cell r="M892">
            <v>1.7135999999999998E-2</v>
          </cell>
        </row>
        <row r="893">
          <cell r="A893">
            <v>10010204</v>
          </cell>
          <cell r="B893">
            <v>3118220050792</v>
          </cell>
          <cell r="C893">
            <v>13118220050799</v>
          </cell>
          <cell r="D893">
            <v>23118220050796</v>
          </cell>
          <cell r="E893" t="str">
            <v>OFFICE EQUILIBRE CERAMIQUE LAME BLANCHE MANCHE METAL BTE CDF</v>
          </cell>
          <cell r="F893">
            <v>24</v>
          </cell>
          <cell r="G893">
            <v>6</v>
          </cell>
          <cell r="H893">
            <v>39</v>
          </cell>
          <cell r="I893">
            <v>20</v>
          </cell>
          <cell r="J893">
            <v>36</v>
          </cell>
          <cell r="K893">
            <v>2.77</v>
          </cell>
          <cell r="L893">
            <v>0.11541666666666667</v>
          </cell>
          <cell r="M893">
            <v>2.8080000000000008E-2</v>
          </cell>
        </row>
        <row r="894">
          <cell r="A894">
            <v>10010205</v>
          </cell>
          <cell r="B894">
            <v>3118220050808</v>
          </cell>
          <cell r="C894">
            <v>13118220050805</v>
          </cell>
          <cell r="D894">
            <v>23118220050802</v>
          </cell>
          <cell r="E894" t="str">
            <v>STEAK EQUILIBRE CERAMIQUE LAME BLANCHE MANCHE METAL BTE CDF</v>
          </cell>
          <cell r="F894">
            <v>24</v>
          </cell>
          <cell r="G894">
            <v>6</v>
          </cell>
          <cell r="H894">
            <v>39</v>
          </cell>
          <cell r="I894">
            <v>20.5</v>
          </cell>
          <cell r="J894">
            <v>36</v>
          </cell>
          <cell r="K894">
            <v>2.82</v>
          </cell>
          <cell r="L894">
            <v>0.11749999999999999</v>
          </cell>
          <cell r="M894">
            <v>2.8782000000000002E-2</v>
          </cell>
        </row>
        <row r="895">
          <cell r="A895">
            <v>10010206</v>
          </cell>
          <cell r="B895">
            <v>3118220050815</v>
          </cell>
          <cell r="C895">
            <v>13118220050812</v>
          </cell>
          <cell r="D895">
            <v>23118220050819</v>
          </cell>
          <cell r="E895" t="str">
            <v>CUISINE EQUILIBRE CERAMIQUE LAME BLANCHE MANCH METAL BTE CDF</v>
          </cell>
          <cell r="F895">
            <v>18</v>
          </cell>
          <cell r="G895">
            <v>6</v>
          </cell>
          <cell r="H895">
            <v>39.5</v>
          </cell>
          <cell r="I895">
            <v>30</v>
          </cell>
          <cell r="J895">
            <v>20</v>
          </cell>
          <cell r="K895">
            <v>2.77</v>
          </cell>
          <cell r="L895">
            <v>0.15388888888888888</v>
          </cell>
          <cell r="M895">
            <v>2.3700000000000002E-2</v>
          </cell>
        </row>
        <row r="896">
          <cell r="A896">
            <v>10010207</v>
          </cell>
          <cell r="B896">
            <v>3118220050822</v>
          </cell>
          <cell r="C896">
            <v>13118220050829</v>
          </cell>
          <cell r="D896">
            <v>23118220050826</v>
          </cell>
          <cell r="E896" t="str">
            <v>SANTOKU EQUILIBRE CERAMIQUE LAME BLANCHE MANCH METAL BTE CDF</v>
          </cell>
          <cell r="F896">
            <v>18</v>
          </cell>
          <cell r="G896">
            <v>6</v>
          </cell>
          <cell r="H896">
            <v>39.5</v>
          </cell>
          <cell r="I896">
            <v>30</v>
          </cell>
          <cell r="J896">
            <v>20</v>
          </cell>
          <cell r="K896">
            <v>2.7</v>
          </cell>
          <cell r="L896">
            <v>0.15000000000000002</v>
          </cell>
          <cell r="M896">
            <v>2.3700000000000002E-2</v>
          </cell>
        </row>
        <row r="897">
          <cell r="A897">
            <v>10010208</v>
          </cell>
          <cell r="B897">
            <v>3118220050839</v>
          </cell>
          <cell r="C897">
            <v>13118220050836</v>
          </cell>
          <cell r="D897">
            <v>23118220050833</v>
          </cell>
          <cell r="E897" t="str">
            <v>NAKIRI EQUILIBRE CERAMIQUE LAME BLANCHE MANCH METAL BTE CDF</v>
          </cell>
          <cell r="F897">
            <v>18</v>
          </cell>
          <cell r="G897">
            <v>6</v>
          </cell>
          <cell r="H897">
            <v>39.5</v>
          </cell>
          <cell r="I897">
            <v>30.5</v>
          </cell>
          <cell r="J897">
            <v>19.5</v>
          </cell>
          <cell r="K897">
            <v>2.83</v>
          </cell>
          <cell r="L897">
            <v>0.15722222222222224</v>
          </cell>
          <cell r="M897">
            <v>2.3492625E-2</v>
          </cell>
        </row>
        <row r="898">
          <cell r="A898">
            <v>10020009</v>
          </cell>
          <cell r="B898">
            <v>3118220001886</v>
          </cell>
          <cell r="E898" t="str">
            <v>COFFRET BI MAT 3 PIECES ENFANT ACIDULE ROSE 226C</v>
          </cell>
          <cell r="F898">
            <v>6</v>
          </cell>
          <cell r="G898">
            <v>6</v>
          </cell>
          <cell r="H898">
            <v>28</v>
          </cell>
          <cell r="I898">
            <v>16.5</v>
          </cell>
          <cell r="J898">
            <v>30</v>
          </cell>
          <cell r="K898">
            <v>2.8439999999999999</v>
          </cell>
          <cell r="L898">
            <v>0.47399999999999998</v>
          </cell>
          <cell r="M898">
            <v>1.3859999999999999E-2</v>
          </cell>
        </row>
        <row r="899">
          <cell r="A899">
            <v>10020011</v>
          </cell>
          <cell r="B899">
            <v>3118220002005</v>
          </cell>
          <cell r="E899" t="str">
            <v>UNIVERSEL LISSE13 ACIDULE ROUGE 185C FX T2 COUT CHEF SUISSE</v>
          </cell>
          <cell r="F899">
            <v>96</v>
          </cell>
          <cell r="G899">
            <v>6</v>
          </cell>
          <cell r="H899">
            <v>40</v>
          </cell>
          <cell r="I899">
            <v>30</v>
          </cell>
          <cell r="J899">
            <v>20</v>
          </cell>
          <cell r="K899">
            <v>11.52</v>
          </cell>
          <cell r="L899">
            <v>0.12</v>
          </cell>
          <cell r="M899">
            <v>2.4E-2</v>
          </cell>
        </row>
        <row r="900">
          <cell r="A900">
            <v>10020016</v>
          </cell>
          <cell r="B900">
            <v>3118220003637</v>
          </cell>
          <cell r="E900" t="str">
            <v>POCHE ACIDULE BLANC LAME INOX AVEC ETUI COFFRET BI MAT</v>
          </cell>
          <cell r="F900">
            <v>6</v>
          </cell>
          <cell r="G900">
            <v>6</v>
          </cell>
          <cell r="H900">
            <v>22.5</v>
          </cell>
          <cell r="I900">
            <v>15.5</v>
          </cell>
          <cell r="J900">
            <v>24.5</v>
          </cell>
          <cell r="K900">
            <v>2.331</v>
          </cell>
          <cell r="L900">
            <v>0.38850000000000001</v>
          </cell>
          <cell r="M900">
            <v>8.5443749999999999E-3</v>
          </cell>
        </row>
        <row r="901">
          <cell r="A901">
            <v>10020017</v>
          </cell>
          <cell r="B901">
            <v>3118220003644</v>
          </cell>
          <cell r="E901" t="str">
            <v>POCHE ACIDULE NOIR CARBON LAME INOX AVEC ETUI COFFRET BI MAT</v>
          </cell>
          <cell r="F901">
            <v>6</v>
          </cell>
          <cell r="G901">
            <v>6</v>
          </cell>
          <cell r="H901">
            <v>22.5</v>
          </cell>
          <cell r="I901">
            <v>15.5</v>
          </cell>
          <cell r="J901">
            <v>24.5</v>
          </cell>
          <cell r="K901">
            <v>2.331</v>
          </cell>
          <cell r="L901">
            <v>0.38850000000000001</v>
          </cell>
          <cell r="M901">
            <v>8.5443749999999999E-3</v>
          </cell>
        </row>
        <row r="902">
          <cell r="A902">
            <v>10020018</v>
          </cell>
          <cell r="B902">
            <v>3118220003651</v>
          </cell>
          <cell r="E902" t="str">
            <v>POCHE ACIDULE ROUGE 185C LAME INOX BOITE NEUTRE</v>
          </cell>
          <cell r="F902">
            <v>144</v>
          </cell>
          <cell r="G902">
            <v>12</v>
          </cell>
          <cell r="H902">
            <v>35</v>
          </cell>
          <cell r="I902">
            <v>15.5</v>
          </cell>
          <cell r="J902">
            <v>36</v>
          </cell>
          <cell r="K902">
            <v>10.944000000000001</v>
          </cell>
          <cell r="L902">
            <v>7.6000000000000012E-2</v>
          </cell>
          <cell r="M902">
            <v>1.9530000000000002E-2</v>
          </cell>
        </row>
        <row r="903">
          <cell r="A903">
            <v>10020019</v>
          </cell>
          <cell r="B903">
            <v>3118220003668</v>
          </cell>
          <cell r="E903" t="str">
            <v>POCHE ACIDULE BLANC LAME INOX BOITE NEUTRE</v>
          </cell>
          <cell r="F903">
            <v>144</v>
          </cell>
          <cell r="G903">
            <v>12</v>
          </cell>
          <cell r="H903">
            <v>35</v>
          </cell>
          <cell r="I903">
            <v>15.5</v>
          </cell>
          <cell r="J903">
            <v>36</v>
          </cell>
          <cell r="K903">
            <v>11.654999999999999</v>
          </cell>
          <cell r="L903">
            <v>8.0937499999999996E-2</v>
          </cell>
          <cell r="M903">
            <v>1.9530000000000002E-2</v>
          </cell>
        </row>
        <row r="904">
          <cell r="A904">
            <v>10020020</v>
          </cell>
          <cell r="B904">
            <v>3118220003675</v>
          </cell>
          <cell r="E904" t="str">
            <v>POCHE ACIDULE NOIR CARBONE LAME INOX BOITE NEUTRE</v>
          </cell>
          <cell r="F904">
            <v>144</v>
          </cell>
          <cell r="G904">
            <v>12</v>
          </cell>
          <cell r="H904">
            <v>35</v>
          </cell>
          <cell r="I904">
            <v>15.5</v>
          </cell>
          <cell r="J904">
            <v>36</v>
          </cell>
          <cell r="K904">
            <v>10.944000000000001</v>
          </cell>
          <cell r="L904">
            <v>7.6000000000000012E-2</v>
          </cell>
          <cell r="M904">
            <v>1.9530000000000002E-2</v>
          </cell>
        </row>
        <row r="905">
          <cell r="A905">
            <v>10020022</v>
          </cell>
          <cell r="B905">
            <v>3118220003699</v>
          </cell>
          <cell r="D905"/>
          <cell r="E905" t="str">
            <v>POCHE ACIDULE BLANC LAME TITANE AVEC ETUI COFFRET BI MAT</v>
          </cell>
          <cell r="F905">
            <v>6</v>
          </cell>
          <cell r="G905">
            <v>6</v>
          </cell>
          <cell r="H905">
            <v>22.5</v>
          </cell>
          <cell r="I905">
            <v>15.5</v>
          </cell>
          <cell r="J905">
            <v>24.5</v>
          </cell>
          <cell r="K905">
            <v>2.331</v>
          </cell>
          <cell r="L905">
            <v>0.38850000000000001</v>
          </cell>
          <cell r="M905">
            <v>8.5443749999999999E-3</v>
          </cell>
        </row>
        <row r="906">
          <cell r="A906">
            <v>10020023</v>
          </cell>
          <cell r="B906">
            <v>3118220003705</v>
          </cell>
          <cell r="E906" t="str">
            <v>POCHE ACIDULE NOIR LAME TITANE AVEC ETUI COFFRET BI MAT</v>
          </cell>
          <cell r="F906">
            <v>6</v>
          </cell>
          <cell r="G906">
            <v>6</v>
          </cell>
          <cell r="H906">
            <v>22.5</v>
          </cell>
          <cell r="I906">
            <v>15.5</v>
          </cell>
          <cell r="J906">
            <v>24.5</v>
          </cell>
          <cell r="K906">
            <v>2.1240000000000001</v>
          </cell>
          <cell r="L906">
            <v>0.35400000000000004</v>
          </cell>
          <cell r="M906">
            <v>8.5443749999999999E-3</v>
          </cell>
        </row>
        <row r="907">
          <cell r="A907">
            <v>10020028</v>
          </cell>
          <cell r="B907">
            <v>3118220003804</v>
          </cell>
          <cell r="E907" t="str">
            <v>FRUIT LEG 14 ACIDULE COUL PANACHE FX T2 COUT DU CHEF</v>
          </cell>
          <cell r="F907">
            <v>96</v>
          </cell>
          <cell r="G907">
            <v>6</v>
          </cell>
          <cell r="H907">
            <v>40</v>
          </cell>
          <cell r="I907">
            <v>30</v>
          </cell>
          <cell r="J907">
            <v>20</v>
          </cell>
          <cell r="K907">
            <v>11.327999999999999</v>
          </cell>
          <cell r="L907">
            <v>0.11799999999999999</v>
          </cell>
          <cell r="M907">
            <v>2.4E-2</v>
          </cell>
        </row>
        <row r="908">
          <cell r="A908">
            <v>10020034</v>
          </cell>
          <cell r="B908">
            <v>3118220005389</v>
          </cell>
          <cell r="E908" t="str">
            <v>COTE DE BOEUF 12CM ACIDULE BEE MANCHE ROUGE LAME INOX VRAC</v>
          </cell>
          <cell r="F908">
            <v>144</v>
          </cell>
          <cell r="G908">
            <v>6</v>
          </cell>
          <cell r="H908">
            <v>28.5</v>
          </cell>
          <cell r="I908">
            <v>33</v>
          </cell>
          <cell r="J908">
            <v>25.5</v>
          </cell>
          <cell r="K908">
            <v>7.4880000000000004</v>
          </cell>
          <cell r="L908">
            <v>5.2000000000000005E-2</v>
          </cell>
          <cell r="M908">
            <v>2.3982750000000001E-2</v>
          </cell>
        </row>
        <row r="909">
          <cell r="A909">
            <v>10020035</v>
          </cell>
          <cell r="B909">
            <v>3118220005396</v>
          </cell>
          <cell r="D909"/>
          <cell r="E909" t="str">
            <v>COTE DE BOEUF 12CM ACIDULE BEE MANCHE NOIR LAME INOX VRAC</v>
          </cell>
          <cell r="F909">
            <v>144</v>
          </cell>
          <cell r="G909">
            <v>6</v>
          </cell>
          <cell r="H909">
            <v>28.5</v>
          </cell>
          <cell r="I909">
            <v>33</v>
          </cell>
          <cell r="J909">
            <v>25.5</v>
          </cell>
          <cell r="K909">
            <v>7.4880000000000004</v>
          </cell>
          <cell r="L909">
            <v>5.2000000000000005E-2</v>
          </cell>
          <cell r="M909">
            <v>2.3982750000000001E-2</v>
          </cell>
        </row>
        <row r="910">
          <cell r="A910">
            <v>10020037</v>
          </cell>
          <cell r="B910">
            <v>3118220008915</v>
          </cell>
          <cell r="E910" t="str">
            <v>CISEAU 22.5CM ACIDULE ROSE SUR CARTE</v>
          </cell>
          <cell r="F910">
            <v>48</v>
          </cell>
          <cell r="G910">
            <v>6</v>
          </cell>
          <cell r="H910">
            <v>48.5</v>
          </cell>
          <cell r="I910">
            <v>31</v>
          </cell>
          <cell r="J910">
            <v>20</v>
          </cell>
          <cell r="K910">
            <v>9.39</v>
          </cell>
          <cell r="L910">
            <v>0.19562500000000002</v>
          </cell>
          <cell r="M910">
            <v>3.007E-2</v>
          </cell>
        </row>
        <row r="911">
          <cell r="A911">
            <v>10020039</v>
          </cell>
          <cell r="B911">
            <v>3118220008946</v>
          </cell>
          <cell r="E911" t="str">
            <v>CISEAU 22.5CM ACIDULE TURQUOISE SUR CARTE</v>
          </cell>
          <cell r="F911">
            <v>48</v>
          </cell>
          <cell r="G911">
            <v>6</v>
          </cell>
          <cell r="H911">
            <v>48.5</v>
          </cell>
          <cell r="I911">
            <v>31</v>
          </cell>
          <cell r="J911">
            <v>20</v>
          </cell>
          <cell r="K911">
            <v>7.68</v>
          </cell>
          <cell r="L911">
            <v>0.16</v>
          </cell>
          <cell r="M911">
            <v>3.007E-2</v>
          </cell>
        </row>
        <row r="912">
          <cell r="A912">
            <v>10020040</v>
          </cell>
          <cell r="B912">
            <v>3118220008960</v>
          </cell>
          <cell r="E912" t="str">
            <v>CISEAU 22.5CM ACIDULE ANIS SUR CARTE</v>
          </cell>
          <cell r="F912">
            <v>48</v>
          </cell>
          <cell r="G912">
            <v>6</v>
          </cell>
          <cell r="H912">
            <v>48.5</v>
          </cell>
          <cell r="I912">
            <v>31</v>
          </cell>
          <cell r="J912">
            <v>20</v>
          </cell>
          <cell r="K912">
            <v>9.39</v>
          </cell>
          <cell r="L912">
            <v>0.19562500000000002</v>
          </cell>
          <cell r="M912">
            <v>3.007E-2</v>
          </cell>
        </row>
        <row r="913">
          <cell r="A913">
            <v>10020042</v>
          </cell>
          <cell r="B913">
            <v>3118220008984</v>
          </cell>
          <cell r="E913" t="str">
            <v>CISEAU 22.5CM ACIDULE NOIR SUR CARTE</v>
          </cell>
          <cell r="F913">
            <v>48</v>
          </cell>
          <cell r="G913">
            <v>6</v>
          </cell>
          <cell r="H913">
            <v>48.5</v>
          </cell>
          <cell r="I913">
            <v>31</v>
          </cell>
          <cell r="J913">
            <v>20</v>
          </cell>
          <cell r="K913">
            <v>9.39</v>
          </cell>
          <cell r="L913">
            <v>0.19562500000000002</v>
          </cell>
          <cell r="M913">
            <v>3.007E-2</v>
          </cell>
        </row>
        <row r="914">
          <cell r="A914">
            <v>10020043</v>
          </cell>
          <cell r="B914">
            <v>3118220008991</v>
          </cell>
          <cell r="C914" t="str">
            <v>13118220008998</v>
          </cell>
          <cell r="D914" t="str">
            <v>23118220008995</v>
          </cell>
          <cell r="E914" t="str">
            <v>CISEAU 22.5CM ACIDULE SUR CARTE COULEUR ASSORTIE</v>
          </cell>
          <cell r="F914">
            <v>48</v>
          </cell>
          <cell r="G914">
            <v>6</v>
          </cell>
          <cell r="H914">
            <v>49</v>
          </cell>
          <cell r="I914">
            <v>32</v>
          </cell>
          <cell r="J914">
            <v>20.5</v>
          </cell>
          <cell r="K914">
            <v>9.1199999999999992</v>
          </cell>
          <cell r="L914">
            <v>0.18999999999999997</v>
          </cell>
          <cell r="M914">
            <v>3.2143999999999999E-2</v>
          </cell>
        </row>
        <row r="915">
          <cell r="A915">
            <v>10020044</v>
          </cell>
          <cell r="B915">
            <v>3118220009004</v>
          </cell>
          <cell r="E915" t="str">
            <v>EPLUCHEUR FIL Y ACIDULE ROSE SOUS BLISTER</v>
          </cell>
          <cell r="F915">
            <v>48</v>
          </cell>
          <cell r="G915">
            <v>6</v>
          </cell>
          <cell r="H915">
            <v>47.5</v>
          </cell>
          <cell r="I915">
            <v>95</v>
          </cell>
          <cell r="J915">
            <v>31</v>
          </cell>
          <cell r="K915">
            <v>6.05</v>
          </cell>
          <cell r="L915">
            <v>0.12604166666666666</v>
          </cell>
          <cell r="M915">
            <v>0.1398875</v>
          </cell>
        </row>
        <row r="916">
          <cell r="A916">
            <v>10020046</v>
          </cell>
          <cell r="B916">
            <v>3118220009028</v>
          </cell>
          <cell r="E916" t="str">
            <v>EPLUCHEUR FIL Y ACIDULE TURQUOISE SOUS BLISTER</v>
          </cell>
          <cell r="F916">
            <v>48</v>
          </cell>
          <cell r="G916">
            <v>6</v>
          </cell>
          <cell r="H916">
            <v>47.5</v>
          </cell>
          <cell r="I916">
            <v>39.5</v>
          </cell>
          <cell r="J916">
            <v>31</v>
          </cell>
          <cell r="K916">
            <v>6.05</v>
          </cell>
          <cell r="L916">
            <v>0.12604166666666666</v>
          </cell>
          <cell r="M916">
            <v>5.816375E-2</v>
          </cell>
        </row>
        <row r="917">
          <cell r="A917">
            <v>10020047</v>
          </cell>
          <cell r="B917">
            <v>3118220009035</v>
          </cell>
          <cell r="E917" t="str">
            <v>EPLUCHEUR FIL Y ACIDULE ANIS SOUS BLISTER</v>
          </cell>
          <cell r="F917">
            <v>48</v>
          </cell>
          <cell r="G917">
            <v>6</v>
          </cell>
          <cell r="H917">
            <v>47.5</v>
          </cell>
          <cell r="I917">
            <v>39.5</v>
          </cell>
          <cell r="J917">
            <v>31</v>
          </cell>
          <cell r="K917">
            <v>3.84</v>
          </cell>
          <cell r="L917">
            <v>0.08</v>
          </cell>
          <cell r="M917">
            <v>5.816375E-2</v>
          </cell>
        </row>
        <row r="918">
          <cell r="A918">
            <v>10020050</v>
          </cell>
          <cell r="B918">
            <v>3118220009066</v>
          </cell>
          <cell r="C918" t="str">
            <v>13118220009063</v>
          </cell>
          <cell r="D918" t="str">
            <v>23118220009060</v>
          </cell>
          <cell r="E918" t="str">
            <v>EPLUCHEUR FIL Y ACIDULE SOUS BLISTER COULEUR ASSORTIE 2015</v>
          </cell>
          <cell r="F918">
            <v>48</v>
          </cell>
          <cell r="G918">
            <v>6</v>
          </cell>
          <cell r="H918">
            <v>47.5</v>
          </cell>
          <cell r="I918">
            <v>39.5</v>
          </cell>
          <cell r="J918">
            <v>31</v>
          </cell>
          <cell r="K918">
            <v>6.05</v>
          </cell>
          <cell r="L918">
            <v>0.12604166666666666</v>
          </cell>
          <cell r="M918">
            <v>5.816375E-2</v>
          </cell>
        </row>
        <row r="919">
          <cell r="A919">
            <v>10020051</v>
          </cell>
          <cell r="B919">
            <v>3118220009424</v>
          </cell>
          <cell r="E919" t="str">
            <v>BLOC UNIVERSEL PICOTS 5 COUTEAUX ACIDULE ROUGE</v>
          </cell>
          <cell r="F919">
            <v>6</v>
          </cell>
          <cell r="G919">
            <v>6</v>
          </cell>
          <cell r="H919">
            <v>60</v>
          </cell>
          <cell r="I919">
            <v>41</v>
          </cell>
          <cell r="J919">
            <v>52</v>
          </cell>
          <cell r="K919">
            <v>15.14</v>
          </cell>
          <cell r="L919">
            <v>2.5233333333333334</v>
          </cell>
          <cell r="M919">
            <v>0.12791999999999998</v>
          </cell>
        </row>
        <row r="920">
          <cell r="A920">
            <v>10020052</v>
          </cell>
          <cell r="B920">
            <v>3118220009431</v>
          </cell>
          <cell r="E920" t="str">
            <v>BLOC UNIVERSEL PICOTS 5 COUTEAUX ACIDULE NOIR</v>
          </cell>
          <cell r="F920">
            <v>6</v>
          </cell>
          <cell r="G920">
            <v>6</v>
          </cell>
          <cell r="H920">
            <v>60</v>
          </cell>
          <cell r="I920">
            <v>41</v>
          </cell>
          <cell r="J920">
            <v>52</v>
          </cell>
          <cell r="K920">
            <v>13.692</v>
          </cell>
          <cell r="L920">
            <v>2.282</v>
          </cell>
          <cell r="M920">
            <v>0.12791999999999998</v>
          </cell>
        </row>
        <row r="921">
          <cell r="A921">
            <v>10020065</v>
          </cell>
          <cell r="B921">
            <v>3118220012486</v>
          </cell>
          <cell r="E921" t="str">
            <v>BARRE AIMANTEE ACIDULE SOUS BLISTER COUL PANACHE</v>
          </cell>
          <cell r="F921">
            <v>36</v>
          </cell>
          <cell r="G921">
            <v>6</v>
          </cell>
          <cell r="H921">
            <v>47.5</v>
          </cell>
          <cell r="I921">
            <v>43.5</v>
          </cell>
          <cell r="J921">
            <v>20.5</v>
          </cell>
          <cell r="K921">
            <v>11.52</v>
          </cell>
          <cell r="L921">
            <v>0.32</v>
          </cell>
          <cell r="M921">
            <v>4.2358124999999996E-2</v>
          </cell>
        </row>
        <row r="922">
          <cell r="A922">
            <v>10020066</v>
          </cell>
          <cell r="B922">
            <v>3118220012493</v>
          </cell>
          <cell r="E922" t="str">
            <v>BARRE AIMANTEE ACIDULE NOIR SOUS BLISTER</v>
          </cell>
          <cell r="F922">
            <v>36</v>
          </cell>
          <cell r="G922">
            <v>6</v>
          </cell>
          <cell r="H922">
            <v>47.5</v>
          </cell>
          <cell r="I922">
            <v>43.5</v>
          </cell>
          <cell r="J922">
            <v>20.5</v>
          </cell>
          <cell r="K922">
            <v>11.52</v>
          </cell>
          <cell r="L922">
            <v>0.32</v>
          </cell>
          <cell r="M922">
            <v>4.2358124999999996E-2</v>
          </cell>
        </row>
        <row r="923">
          <cell r="A923">
            <v>10020067</v>
          </cell>
          <cell r="B923">
            <v>3118220012509</v>
          </cell>
          <cell r="E923" t="str">
            <v>BARRE AIMANTEE ACIDULE ROUGE SOUS BLISTER</v>
          </cell>
          <cell r="F923">
            <v>36</v>
          </cell>
          <cell r="G923">
            <v>6</v>
          </cell>
          <cell r="H923">
            <v>47.5</v>
          </cell>
          <cell r="I923">
            <v>43.5</v>
          </cell>
          <cell r="J923">
            <v>20.5</v>
          </cell>
          <cell r="K923">
            <v>10.44</v>
          </cell>
          <cell r="L923">
            <v>0.28999999999999998</v>
          </cell>
          <cell r="M923">
            <v>4.2358124999999996E-2</v>
          </cell>
        </row>
        <row r="924">
          <cell r="A924">
            <v>10020069</v>
          </cell>
          <cell r="B924">
            <v>3118220013261</v>
          </cell>
          <cell r="E924" t="str">
            <v>SECATEUR A VOLAILLE ACIDULE ROUGE CARTE PEGB</v>
          </cell>
          <cell r="F924">
            <v>48</v>
          </cell>
          <cell r="G924">
            <v>6</v>
          </cell>
          <cell r="H924">
            <v>56</v>
          </cell>
          <cell r="I924">
            <v>33</v>
          </cell>
          <cell r="J924">
            <v>22</v>
          </cell>
          <cell r="K924">
            <v>10.56</v>
          </cell>
          <cell r="L924">
            <v>0.22</v>
          </cell>
          <cell r="M924">
            <v>4.0655999999999998E-2</v>
          </cell>
        </row>
        <row r="925">
          <cell r="A925">
            <v>10020074</v>
          </cell>
          <cell r="B925">
            <v>3118220013315</v>
          </cell>
          <cell r="C925" t="str">
            <v>13118220013312</v>
          </cell>
          <cell r="D925" t="str">
            <v>23118220013319</v>
          </cell>
          <cell r="E925" t="str">
            <v>SECATEUR A VOLAILLE ACIDULE COULEUR ASSORTIE CARTE PEGB</v>
          </cell>
          <cell r="F925">
            <v>48</v>
          </cell>
          <cell r="G925">
            <v>6</v>
          </cell>
          <cell r="H925">
            <v>56</v>
          </cell>
          <cell r="I925">
            <v>33</v>
          </cell>
          <cell r="J925">
            <v>22</v>
          </cell>
          <cell r="K925">
            <v>11.944000000000001</v>
          </cell>
          <cell r="L925">
            <v>0.24883333333333335</v>
          </cell>
          <cell r="M925">
            <v>4.0655999999999998E-2</v>
          </cell>
        </row>
        <row r="926">
          <cell r="A926">
            <v>10020076</v>
          </cell>
          <cell r="B926">
            <v>3118220013872</v>
          </cell>
          <cell r="E926" t="str">
            <v>CISAILLE A CRUSTACES ACIDULE ROUGE SUR CARTE</v>
          </cell>
          <cell r="F926">
            <v>48</v>
          </cell>
          <cell r="G926">
            <v>6</v>
          </cell>
          <cell r="H926">
            <v>49</v>
          </cell>
          <cell r="I926">
            <v>32.5</v>
          </cell>
          <cell r="J926">
            <v>20.5</v>
          </cell>
          <cell r="K926">
            <v>9.08</v>
          </cell>
          <cell r="L926">
            <v>0.18916666666666668</v>
          </cell>
          <cell r="M926">
            <v>3.2646250000000002E-2</v>
          </cell>
        </row>
        <row r="927">
          <cell r="A927">
            <v>10020080</v>
          </cell>
          <cell r="B927">
            <v>3118220013919</v>
          </cell>
          <cell r="E927" t="str">
            <v>CISAILLE A CRUSTACES ACIDULE NOIR SUR CARTE</v>
          </cell>
          <cell r="F927">
            <v>48</v>
          </cell>
          <cell r="G927">
            <v>6</v>
          </cell>
          <cell r="H927">
            <v>49</v>
          </cell>
          <cell r="I927">
            <v>32.5</v>
          </cell>
          <cell r="J927">
            <v>20.5</v>
          </cell>
          <cell r="K927">
            <v>9.08</v>
          </cell>
          <cell r="L927">
            <v>0.18916666666666668</v>
          </cell>
          <cell r="M927">
            <v>3.2646250000000002E-2</v>
          </cell>
        </row>
        <row r="928">
          <cell r="A928">
            <v>10020081</v>
          </cell>
          <cell r="B928">
            <v>3118220013926</v>
          </cell>
          <cell r="E928" t="str">
            <v>CISAILLE A CRUSTACES ACIDULE COUL ASSORTIE SUR CARTE</v>
          </cell>
          <cell r="F928">
            <v>48</v>
          </cell>
          <cell r="G928">
            <v>6</v>
          </cell>
          <cell r="H928">
            <v>49</v>
          </cell>
          <cell r="I928">
            <v>32.5</v>
          </cell>
          <cell r="J928">
            <v>20.5</v>
          </cell>
          <cell r="K928">
            <v>9.08</v>
          </cell>
          <cell r="L928">
            <v>0.18916666666666668</v>
          </cell>
          <cell r="M928">
            <v>3.2646250000000002E-2</v>
          </cell>
        </row>
        <row r="929">
          <cell r="A929">
            <v>10020088</v>
          </cell>
          <cell r="B929">
            <v>3118220017566</v>
          </cell>
          <cell r="E929" t="str">
            <v>OFFICE ACIDULE COULEUR PANACHE SUR CARTE PEGB +GENCOD</v>
          </cell>
          <cell r="F929">
            <v>144</v>
          </cell>
          <cell r="G929">
            <v>36</v>
          </cell>
          <cell r="H929">
            <v>34.5</v>
          </cell>
          <cell r="I929">
            <v>21.5</v>
          </cell>
          <cell r="J929">
            <v>36</v>
          </cell>
          <cell r="K929">
            <v>7.4980000000000002</v>
          </cell>
          <cell r="L929">
            <v>5.2069444444444446E-2</v>
          </cell>
          <cell r="M929">
            <v>2.6702999999999998E-2</v>
          </cell>
        </row>
        <row r="930">
          <cell r="A930">
            <v>10020090</v>
          </cell>
          <cell r="B930">
            <v>3118220017580</v>
          </cell>
          <cell r="E930" t="str">
            <v>BEURRE ACIDULE COULEUR PANACHE SUR CARTE PEGB +GENCOD</v>
          </cell>
          <cell r="F930">
            <v>144</v>
          </cell>
          <cell r="G930">
            <v>36</v>
          </cell>
          <cell r="H930">
            <v>34.5</v>
          </cell>
          <cell r="I930">
            <v>21.5</v>
          </cell>
          <cell r="J930">
            <v>36</v>
          </cell>
          <cell r="K930">
            <v>6.7679999999999998</v>
          </cell>
          <cell r="L930">
            <v>4.7E-2</v>
          </cell>
          <cell r="M930">
            <v>2.6702999999999998E-2</v>
          </cell>
        </row>
        <row r="931">
          <cell r="A931">
            <v>10020091</v>
          </cell>
          <cell r="B931">
            <v>3118220017641</v>
          </cell>
          <cell r="E931" t="str">
            <v>CISEAUX 22.5CM ACIDULE CARTE COUL ASSORTIE SUR CRAVATE</v>
          </cell>
          <cell r="F931">
            <v>12</v>
          </cell>
          <cell r="G931">
            <v>12</v>
          </cell>
          <cell r="H931">
            <v>90</v>
          </cell>
          <cell r="I931">
            <v>17.5</v>
          </cell>
          <cell r="J931">
            <v>13.5</v>
          </cell>
          <cell r="K931">
            <v>1.92</v>
          </cell>
          <cell r="L931">
            <v>0.16</v>
          </cell>
          <cell r="M931">
            <v>2.1262500000000004E-2</v>
          </cell>
        </row>
        <row r="932">
          <cell r="A932">
            <v>10020092</v>
          </cell>
          <cell r="B932">
            <v>3118220017658</v>
          </cell>
          <cell r="C932" t="str">
            <v>13118220017655</v>
          </cell>
          <cell r="D932" t="str">
            <v>23118220017652</v>
          </cell>
          <cell r="E932" t="str">
            <v>EPLUCHEUR FIL Y ACIDULE BLISTER COUL ASSORTI SUR CRAVATE</v>
          </cell>
          <cell r="F932">
            <v>12</v>
          </cell>
          <cell r="G932">
            <v>12</v>
          </cell>
          <cell r="H932">
            <v>90</v>
          </cell>
          <cell r="I932">
            <v>16.5</v>
          </cell>
          <cell r="J932">
            <v>13.5</v>
          </cell>
          <cell r="K932">
            <v>0.84</v>
          </cell>
          <cell r="L932">
            <v>6.9999999999999993E-2</v>
          </cell>
          <cell r="M932">
            <v>2.0047499999999999E-2</v>
          </cell>
        </row>
        <row r="933">
          <cell r="A933">
            <v>10020093</v>
          </cell>
          <cell r="B933">
            <v>3118220017672</v>
          </cell>
          <cell r="E933" t="str">
            <v>COFFRET BI MAT CRUSTACES 13PCES ACIDULE ROUGE</v>
          </cell>
          <cell r="F933">
            <v>6</v>
          </cell>
          <cell r="G933">
            <v>6</v>
          </cell>
          <cell r="H933">
            <v>35</v>
          </cell>
          <cell r="I933">
            <v>15.5</v>
          </cell>
          <cell r="J933">
            <v>29</v>
          </cell>
          <cell r="K933">
            <v>4.7699999999999996</v>
          </cell>
          <cell r="L933">
            <v>0.79499999999999993</v>
          </cell>
          <cell r="M933">
            <v>1.57325E-2</v>
          </cell>
        </row>
        <row r="934">
          <cell r="A934">
            <v>10020094</v>
          </cell>
          <cell r="B934">
            <v>3118220017689</v>
          </cell>
          <cell r="E934" t="str">
            <v>COFFRET BOIS SERVICE A DECOUPER FOURCH+SECAT ACIDULE ROUGE</v>
          </cell>
          <cell r="F934">
            <v>6</v>
          </cell>
          <cell r="G934">
            <v>6</v>
          </cell>
          <cell r="H934">
            <v>36.5</v>
          </cell>
          <cell r="I934">
            <v>27.5</v>
          </cell>
          <cell r="J934">
            <v>19</v>
          </cell>
          <cell r="K934">
            <v>7.2</v>
          </cell>
          <cell r="L934">
            <v>1.2</v>
          </cell>
          <cell r="M934">
            <v>1.9071249999999998E-2</v>
          </cell>
        </row>
        <row r="935">
          <cell r="A935">
            <v>10020096</v>
          </cell>
          <cell r="B935">
            <v>3118220018525</v>
          </cell>
          <cell r="E935" t="str">
            <v>STEAK ACIDULE COULEUR PANACHE SUR CARTE PEGB +GENCOD</v>
          </cell>
          <cell r="F935">
            <v>288</v>
          </cell>
          <cell r="G935">
            <v>36</v>
          </cell>
          <cell r="H935">
            <v>41.5</v>
          </cell>
          <cell r="I935">
            <v>35.5</v>
          </cell>
          <cell r="J935">
            <v>36</v>
          </cell>
          <cell r="K935">
            <v>17.280999999999999</v>
          </cell>
          <cell r="L935">
            <v>6.0003472222222215E-2</v>
          </cell>
          <cell r="M935">
            <v>5.3037000000000001E-2</v>
          </cell>
        </row>
        <row r="936">
          <cell r="A936">
            <v>10020103</v>
          </cell>
          <cell r="B936">
            <v>3118220020597</v>
          </cell>
          <cell r="C936">
            <v>13118220020594</v>
          </cell>
          <cell r="D936">
            <v>23118220020591</v>
          </cell>
          <cell r="E936" t="str">
            <v>CISEAU UNIVERSEL ACIDULE SUR CARTE COULEUR ASSORTIE</v>
          </cell>
          <cell r="F936">
            <v>48</v>
          </cell>
          <cell r="G936">
            <v>6</v>
          </cell>
          <cell r="H936">
            <v>53</v>
          </cell>
          <cell r="I936">
            <v>29.5</v>
          </cell>
          <cell r="J936">
            <v>20.5</v>
          </cell>
          <cell r="K936">
            <v>4.8959999999999999</v>
          </cell>
          <cell r="L936">
            <v>0.10199999999999999</v>
          </cell>
          <cell r="M936">
            <v>3.2051750000000004E-2</v>
          </cell>
        </row>
        <row r="937">
          <cell r="A937">
            <v>10020104</v>
          </cell>
          <cell r="B937">
            <v>3118220021747</v>
          </cell>
          <cell r="E937" t="str">
            <v>HUITRE AVEC GARDE LAGUIOLE INTUITION METAL SACHET+GENCOD</v>
          </cell>
          <cell r="F937">
            <v>144</v>
          </cell>
          <cell r="G937">
            <v>12</v>
          </cell>
          <cell r="H937">
            <v>47.5</v>
          </cell>
          <cell r="I937">
            <v>19</v>
          </cell>
          <cell r="J937">
            <v>38</v>
          </cell>
          <cell r="K937">
            <v>8.44</v>
          </cell>
          <cell r="L937">
            <v>5.8611111111111107E-2</v>
          </cell>
          <cell r="M937">
            <v>3.4294999999999999E-2</v>
          </cell>
        </row>
        <row r="938">
          <cell r="A938">
            <v>10020106</v>
          </cell>
          <cell r="B938">
            <v>3118220022546</v>
          </cell>
          <cell r="E938" t="str">
            <v>6 STEAK LAGUIOLE INTUITION METAL COFFRET BOIS ENCOCHE</v>
          </cell>
          <cell r="F938">
            <v>6</v>
          </cell>
          <cell r="G938">
            <v>6</v>
          </cell>
          <cell r="H938">
            <v>29.5</v>
          </cell>
          <cell r="I938">
            <v>17</v>
          </cell>
          <cell r="J938">
            <v>17.5</v>
          </cell>
          <cell r="K938">
            <v>4.266</v>
          </cell>
          <cell r="L938">
            <v>0.71099999999999997</v>
          </cell>
          <cell r="M938">
            <v>8.7762499999999993E-3</v>
          </cell>
        </row>
        <row r="939">
          <cell r="A939">
            <v>10020108</v>
          </cell>
          <cell r="B939">
            <v>3118220022560</v>
          </cell>
          <cell r="C939">
            <v>13118220022567</v>
          </cell>
          <cell r="D939">
            <v>23118220022564</v>
          </cell>
          <cell r="E939" t="str">
            <v>SET FROMAGE 3 PCES LAG INTUITION METAL COFFRET BOIS ENCOCHE</v>
          </cell>
          <cell r="F939">
            <v>6</v>
          </cell>
          <cell r="G939">
            <v>6</v>
          </cell>
          <cell r="H939">
            <v>29.5</v>
          </cell>
          <cell r="I939">
            <v>17</v>
          </cell>
          <cell r="J939">
            <v>17.5</v>
          </cell>
          <cell r="K939">
            <v>3.48</v>
          </cell>
          <cell r="L939">
            <v>0.57999999999999996</v>
          </cell>
          <cell r="M939">
            <v>8.7762499999999993E-3</v>
          </cell>
        </row>
        <row r="940">
          <cell r="A940">
            <v>10020110</v>
          </cell>
          <cell r="B940">
            <v>3118220023970</v>
          </cell>
          <cell r="C940">
            <v>13118220023977</v>
          </cell>
          <cell r="D940">
            <v>23118220023974</v>
          </cell>
          <cell r="E940" t="str">
            <v>SET FRUIT DE MER 14 PCE INTUITION METAL COFFRET BOIS ENCOCHE</v>
          </cell>
          <cell r="F940">
            <v>6</v>
          </cell>
          <cell r="G940">
            <v>6</v>
          </cell>
          <cell r="H940">
            <v>36</v>
          </cell>
          <cell r="I940">
            <v>17.5</v>
          </cell>
          <cell r="J940">
            <v>15.5</v>
          </cell>
          <cell r="K940">
            <v>4.7759999999999998</v>
          </cell>
          <cell r="L940">
            <v>0.79599999999999993</v>
          </cell>
          <cell r="M940">
            <v>9.7650000000000011E-3</v>
          </cell>
        </row>
        <row r="941">
          <cell r="A941">
            <v>10020111</v>
          </cell>
          <cell r="B941">
            <v>3118220025387</v>
          </cell>
          <cell r="E941" t="str">
            <v>EPLUCHEUR LAGUIOLE INTUITION 6 COULEURS ASSORTIES 523016</v>
          </cell>
          <cell r="F941">
            <v>144</v>
          </cell>
          <cell r="G941">
            <v>144</v>
          </cell>
          <cell r="H941">
            <v>21</v>
          </cell>
          <cell r="I941">
            <v>19</v>
          </cell>
          <cell r="J941">
            <v>15.5</v>
          </cell>
          <cell r="K941">
            <v>3.9860000000000002</v>
          </cell>
          <cell r="L941">
            <v>2.7680555555555555E-2</v>
          </cell>
          <cell r="M941">
            <v>6.184499999999999E-3</v>
          </cell>
        </row>
        <row r="942">
          <cell r="A942">
            <v>10020112</v>
          </cell>
          <cell r="B942">
            <v>3118220025394</v>
          </cell>
          <cell r="C942">
            <v>13118220025391</v>
          </cell>
          <cell r="D942">
            <v>23118220025398</v>
          </cell>
          <cell r="E942" t="str">
            <v>OFFICE ACIDULE COLLECTION COULEUR 2.9</v>
          </cell>
          <cell r="F942">
            <v>144</v>
          </cell>
          <cell r="G942">
            <v>6</v>
          </cell>
          <cell r="H942">
            <v>29.5</v>
          </cell>
          <cell r="I942">
            <v>25.5</v>
          </cell>
          <cell r="J942">
            <v>27</v>
          </cell>
          <cell r="K942">
            <v>5.1120000000000001</v>
          </cell>
          <cell r="L942">
            <v>3.5500000000000004E-2</v>
          </cell>
          <cell r="M942">
            <v>2.0310749999999999E-2</v>
          </cell>
        </row>
        <row r="943">
          <cell r="A943">
            <v>10020113</v>
          </cell>
          <cell r="B943">
            <v>3118220025400</v>
          </cell>
          <cell r="C943">
            <v>13118220025407</v>
          </cell>
          <cell r="D943">
            <v>23118220025404</v>
          </cell>
          <cell r="E943" t="str">
            <v>EPLUCHEUR ACIDULE COLLECTION COULEUR 2.9</v>
          </cell>
          <cell r="F943">
            <v>144</v>
          </cell>
          <cell r="G943">
            <v>6</v>
          </cell>
          <cell r="H943">
            <v>32.5</v>
          </cell>
          <cell r="I943">
            <v>20</v>
          </cell>
          <cell r="J943">
            <v>21</v>
          </cell>
          <cell r="K943">
            <v>4.3920000000000003</v>
          </cell>
          <cell r="L943">
            <v>3.0500000000000003E-2</v>
          </cell>
          <cell r="M943">
            <v>1.3650000000000001E-2</v>
          </cell>
        </row>
        <row r="944">
          <cell r="A944">
            <v>10020114</v>
          </cell>
          <cell r="B944">
            <v>3118220025417</v>
          </cell>
          <cell r="C944">
            <v>13118220025414</v>
          </cell>
          <cell r="D944">
            <v>23118220025411</v>
          </cell>
          <cell r="E944" t="str">
            <v>TARTINEUR ACIDULE COLLECTION COULEUR 2.9</v>
          </cell>
          <cell r="F944">
            <v>144</v>
          </cell>
          <cell r="G944">
            <v>6</v>
          </cell>
          <cell r="H944">
            <v>32</v>
          </cell>
          <cell r="I944">
            <v>20</v>
          </cell>
          <cell r="J944">
            <v>20.5</v>
          </cell>
          <cell r="K944">
            <v>4.6079999999999997</v>
          </cell>
          <cell r="L944">
            <v>3.2000000000000001E-2</v>
          </cell>
          <cell r="M944">
            <v>1.312E-2</v>
          </cell>
        </row>
        <row r="945">
          <cell r="A945">
            <v>10020115</v>
          </cell>
          <cell r="B945">
            <v>3118220025424</v>
          </cell>
          <cell r="C945">
            <v>13118220025421</v>
          </cell>
          <cell r="D945">
            <v>23118220025428</v>
          </cell>
          <cell r="E945" t="str">
            <v>STEAK ACIDULE COLLECTION COULEUR 2.9</v>
          </cell>
          <cell r="F945">
            <v>144</v>
          </cell>
          <cell r="G945">
            <v>6</v>
          </cell>
          <cell r="H945">
            <v>26.5</v>
          </cell>
          <cell r="I945">
            <v>26.5</v>
          </cell>
          <cell r="J945">
            <v>20</v>
          </cell>
          <cell r="K945">
            <v>6.98</v>
          </cell>
          <cell r="L945">
            <v>4.8472222222222222E-2</v>
          </cell>
          <cell r="M945">
            <v>1.4044999999999998E-2</v>
          </cell>
        </row>
        <row r="946">
          <cell r="A946">
            <v>10020116</v>
          </cell>
          <cell r="B946">
            <v>3118220025486</v>
          </cell>
          <cell r="C946">
            <v>13118220025483</v>
          </cell>
          <cell r="D946">
            <v>23118220025480</v>
          </cell>
          <cell r="E946" t="str">
            <v>FROMAGE ACIDULE COLLECTION COULEUR 2.9</v>
          </cell>
          <cell r="F946">
            <v>144</v>
          </cell>
          <cell r="G946">
            <v>6</v>
          </cell>
          <cell r="H946">
            <v>27.5</v>
          </cell>
          <cell r="I946">
            <v>27</v>
          </cell>
          <cell r="J946">
            <v>27.5</v>
          </cell>
          <cell r="K946">
            <v>7.875</v>
          </cell>
          <cell r="L946">
            <v>5.46875E-2</v>
          </cell>
          <cell r="M946">
            <v>2.0418749999999999E-2</v>
          </cell>
        </row>
        <row r="947">
          <cell r="A947">
            <v>10020118</v>
          </cell>
          <cell r="B947">
            <v>3118220026643</v>
          </cell>
          <cell r="E947" t="str">
            <v>6 CUILLERES LAGUIOLE INTUITION METAL COFFRET BOIS ENCOCHE</v>
          </cell>
          <cell r="F947">
            <v>6</v>
          </cell>
          <cell r="G947">
            <v>6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</row>
        <row r="948">
          <cell r="A948">
            <v>10020123</v>
          </cell>
          <cell r="B948">
            <v>3118220031005</v>
          </cell>
          <cell r="E948" t="str">
            <v>COFFRET SERVICE A DÉCOUPER 3 PIÈCES ACIDULE ROUGE</v>
          </cell>
          <cell r="F948">
            <v>6</v>
          </cell>
          <cell r="G948">
            <v>6</v>
          </cell>
          <cell r="H948">
            <v>36</v>
          </cell>
          <cell r="I948">
            <v>27.5</v>
          </cell>
          <cell r="J948">
            <v>19</v>
          </cell>
          <cell r="K948">
            <v>5.7</v>
          </cell>
          <cell r="L948">
            <v>0.95000000000000007</v>
          </cell>
          <cell r="M948">
            <v>1.881E-2</v>
          </cell>
        </row>
        <row r="949">
          <cell r="A949">
            <v>10020124</v>
          </cell>
          <cell r="B949">
            <v>3118220032910</v>
          </cell>
          <cell r="E949" t="str">
            <v>FOURCHETTE A DECOUPER LAGUIOLE ACIDULE ROUGE 185C</v>
          </cell>
          <cell r="F949">
            <v>120</v>
          </cell>
          <cell r="G949">
            <v>120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</row>
        <row r="950">
          <cell r="A950">
            <v>10020125</v>
          </cell>
          <cell r="B950">
            <v>3118220032927</v>
          </cell>
          <cell r="E950" t="str">
            <v>COUTEAU A DECOUPER LAGUIOLE ACIDULE ROUGE 185C</v>
          </cell>
          <cell r="F950">
            <v>120</v>
          </cell>
          <cell r="G950">
            <v>120</v>
          </cell>
          <cell r="H950">
            <v>36.5</v>
          </cell>
          <cell r="I950">
            <v>28</v>
          </cell>
          <cell r="J950">
            <v>14</v>
          </cell>
          <cell r="K950">
            <v>15.52</v>
          </cell>
          <cell r="L950">
            <v>0.12933333333333333</v>
          </cell>
          <cell r="M950">
            <v>1.4307999999999998E-2</v>
          </cell>
        </row>
        <row r="951">
          <cell r="A951">
            <v>10020127</v>
          </cell>
          <cell r="B951" t="str">
            <v>3118220051157</v>
          </cell>
          <cell r="C951" t="str">
            <v>13118220051154</v>
          </cell>
          <cell r="D951" t="str">
            <v>23118220051151</v>
          </cell>
          <cell r="E951" t="str">
            <v>COFFRET LAGUIOLE HERITAGE FROMAGE 3P ACIDULE ROUGE</v>
          </cell>
          <cell r="F951">
            <v>6</v>
          </cell>
          <cell r="G951">
            <v>6</v>
          </cell>
          <cell r="H951">
            <v>27</v>
          </cell>
          <cell r="I951">
            <v>19</v>
          </cell>
          <cell r="J951">
            <v>18</v>
          </cell>
          <cell r="K951">
            <v>1.44</v>
          </cell>
          <cell r="L951">
            <v>0.24</v>
          </cell>
          <cell r="M951">
            <v>9.2340000000000009E-3</v>
          </cell>
        </row>
        <row r="952">
          <cell r="A952">
            <v>10020129</v>
          </cell>
          <cell r="B952" t="str">
            <v>3661075394639</v>
          </cell>
          <cell r="C952" t="str">
            <v>3661075402617</v>
          </cell>
          <cell r="D952" t="str">
            <v>3661075394646</v>
          </cell>
          <cell r="E952" t="str">
            <v>LAG HERITAGE CISEAU 22.5CM ACIDULE NOIR POLYFLAME</v>
          </cell>
          <cell r="F952">
            <v>48</v>
          </cell>
          <cell r="G952">
            <v>6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</row>
        <row r="953">
          <cell r="A953">
            <v>10020279</v>
          </cell>
          <cell r="B953" t="str">
            <v xml:space="preserve"> /</v>
          </cell>
          <cell r="C953" t="str">
            <v xml:space="preserve"> /</v>
          </cell>
          <cell r="D953" t="str">
            <v xml:space="preserve"> /</v>
          </cell>
          <cell r="E953" t="str">
            <v>MITRE MIM PM LAGUIOLE HERITAGE PJT_AVEYRON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</row>
        <row r="954">
          <cell r="A954">
            <v>10020280</v>
          </cell>
          <cell r="B954" t="str">
            <v xml:space="preserve"> /</v>
          </cell>
          <cell r="C954" t="str">
            <v xml:space="preserve"> /</v>
          </cell>
          <cell r="D954" t="str">
            <v xml:space="preserve"> /</v>
          </cell>
          <cell r="E954" t="str">
            <v>MITRE MIM GM LAGUIOLE HERITAGE PJT_AVEYRON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</row>
        <row r="955">
          <cell r="A955">
            <v>10020313</v>
          </cell>
          <cell r="B955" t="str">
            <v xml:space="preserve"> /</v>
          </cell>
          <cell r="C955" t="str">
            <v xml:space="preserve"> /</v>
          </cell>
          <cell r="D955" t="str">
            <v xml:space="preserve"> /</v>
          </cell>
          <cell r="E955" t="str">
            <v>KIT COFFRET 6 STEAK LAGUIOLE ACCESS POLYMERE_POLYFLAME</v>
          </cell>
          <cell r="F955">
            <v>120</v>
          </cell>
          <cell r="G955">
            <v>120</v>
          </cell>
          <cell r="H955">
            <v>40</v>
          </cell>
          <cell r="I955">
            <v>40</v>
          </cell>
          <cell r="J955">
            <v>35</v>
          </cell>
          <cell r="K955">
            <v>9.6</v>
          </cell>
          <cell r="L955">
            <v>0.08</v>
          </cell>
          <cell r="M955">
            <v>5.6000000000000008E-2</v>
          </cell>
        </row>
        <row r="956">
          <cell r="A956">
            <v>10040023</v>
          </cell>
          <cell r="B956"/>
          <cell r="C956"/>
          <cell r="D956"/>
          <cell r="E956" t="str">
            <v>KIT COFFRET 4 COUTEAUX JOSEPH SIGNATURE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 t="e">
            <v>#DIV/0!</v>
          </cell>
          <cell r="M956">
            <v>0</v>
          </cell>
        </row>
        <row r="957">
          <cell r="A957">
            <v>10040026</v>
          </cell>
          <cell r="B957"/>
          <cell r="C957"/>
          <cell r="D957"/>
          <cell r="E957" t="str">
            <v>KIT COFFRET 4 COUTEAUX JOSEPH SIGNATURE PANACHE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 t="e">
            <v>#DIV/0!</v>
          </cell>
          <cell r="M957">
            <v>0</v>
          </cell>
        </row>
        <row r="958">
          <cell r="A958">
            <v>10050013</v>
          </cell>
          <cell r="B958">
            <v>3118220005044</v>
          </cell>
          <cell r="C958">
            <v>13118220005041</v>
          </cell>
          <cell r="D958">
            <v>23118220005048</v>
          </cell>
          <cell r="E958" t="str">
            <v>HUITRE HERITAGE SENS LASURE COULEUR PANACHE +GENCOD</v>
          </cell>
          <cell r="F958">
            <v>144</v>
          </cell>
          <cell r="G958">
            <v>12</v>
          </cell>
          <cell r="H958">
            <v>43</v>
          </cell>
          <cell r="I958">
            <v>25</v>
          </cell>
          <cell r="J958">
            <v>27</v>
          </cell>
          <cell r="K958">
            <v>7.9669999999999996</v>
          </cell>
          <cell r="L958">
            <v>5.5326388888888883E-2</v>
          </cell>
          <cell r="M958">
            <v>2.9024999999999999E-2</v>
          </cell>
        </row>
        <row r="959">
          <cell r="A959">
            <v>10050014</v>
          </cell>
          <cell r="B959">
            <v>3118220005051</v>
          </cell>
          <cell r="C959">
            <v>13118220005058</v>
          </cell>
          <cell r="D959">
            <v>23118220005055</v>
          </cell>
          <cell r="E959" t="str">
            <v>FROMAGE HERITAGE SENS LASURE COULEUR PANACHE +GENCOD</v>
          </cell>
          <cell r="F959">
            <v>144</v>
          </cell>
          <cell r="G959">
            <v>12</v>
          </cell>
          <cell r="H959">
            <v>26.5</v>
          </cell>
          <cell r="I959">
            <v>26.5</v>
          </cell>
          <cell r="J959">
            <v>18.5</v>
          </cell>
          <cell r="K959">
            <v>6.3360000000000003</v>
          </cell>
          <cell r="L959">
            <v>4.4000000000000004E-2</v>
          </cell>
          <cell r="M959">
            <v>1.2991625E-2</v>
          </cell>
        </row>
        <row r="960">
          <cell r="A960">
            <v>10050015</v>
          </cell>
          <cell r="B960">
            <v>3118220005068</v>
          </cell>
          <cell r="E960" t="str">
            <v>BEURRE HERITAGE SENS LASURE COULEUR PANACHE +GENCOD</v>
          </cell>
          <cell r="F960">
            <v>144</v>
          </cell>
          <cell r="G960">
            <v>12</v>
          </cell>
          <cell r="H960">
            <v>27</v>
          </cell>
          <cell r="I960">
            <v>22</v>
          </cell>
          <cell r="J960">
            <v>19</v>
          </cell>
          <cell r="K960">
            <v>4.6079999999999997</v>
          </cell>
          <cell r="L960">
            <v>3.2000000000000001E-2</v>
          </cell>
          <cell r="M960">
            <v>1.1286000000000001E-2</v>
          </cell>
        </row>
        <row r="961">
          <cell r="A961">
            <v>10050016</v>
          </cell>
          <cell r="B961">
            <v>3118220005075</v>
          </cell>
          <cell r="C961">
            <v>13118220005072</v>
          </cell>
          <cell r="D961">
            <v>23118220005079</v>
          </cell>
          <cell r="E961" t="str">
            <v>STEAK HERITAGE SENS LASURE COULEUR PANACHE +GENCOD</v>
          </cell>
          <cell r="F961">
            <v>144</v>
          </cell>
          <cell r="G961">
            <v>12</v>
          </cell>
          <cell r="H961">
            <v>27</v>
          </cell>
          <cell r="I961">
            <v>24.5</v>
          </cell>
          <cell r="J961">
            <v>18.5</v>
          </cell>
          <cell r="K961">
            <v>7.7759999999999998</v>
          </cell>
          <cell r="L961">
            <v>5.3999999999999999E-2</v>
          </cell>
          <cell r="M961">
            <v>1.223775E-2</v>
          </cell>
        </row>
        <row r="962">
          <cell r="A962">
            <v>10050017</v>
          </cell>
          <cell r="B962">
            <v>3118220005099</v>
          </cell>
          <cell r="C962">
            <v>13118220005096</v>
          </cell>
          <cell r="D962">
            <v>23118220005093</v>
          </cell>
          <cell r="E962" t="str">
            <v>OFFICE HERITAGE SENS LASURE COULEUR PANACHE +GENCOD</v>
          </cell>
          <cell r="F962">
            <v>144</v>
          </cell>
          <cell r="G962">
            <v>12</v>
          </cell>
          <cell r="H962">
            <v>25</v>
          </cell>
          <cell r="I962">
            <v>22</v>
          </cell>
          <cell r="J962">
            <v>19</v>
          </cell>
          <cell r="K962">
            <v>5.4720000000000004</v>
          </cell>
          <cell r="L962">
            <v>3.8000000000000006E-2</v>
          </cell>
          <cell r="M962">
            <v>1.0449999999999999E-2</v>
          </cell>
        </row>
        <row r="963">
          <cell r="A963">
            <v>10050018</v>
          </cell>
          <cell r="B963">
            <v>3118220005105</v>
          </cell>
          <cell r="C963">
            <v>13118220005102</v>
          </cell>
          <cell r="D963">
            <v>23118220005109</v>
          </cell>
          <cell r="E963" t="str">
            <v>EPLUCHEUR HERITAGE SENS LASURE COULEUR PANACHE +GENCOD</v>
          </cell>
          <cell r="F963">
            <v>144</v>
          </cell>
          <cell r="G963">
            <v>12</v>
          </cell>
          <cell r="H963">
            <v>23.5</v>
          </cell>
          <cell r="I963">
            <v>20</v>
          </cell>
          <cell r="J963">
            <v>18.5</v>
          </cell>
          <cell r="K963">
            <v>4.7519999999999998</v>
          </cell>
          <cell r="L963">
            <v>3.3000000000000002E-2</v>
          </cell>
          <cell r="M963">
            <v>8.6949999999999979E-3</v>
          </cell>
        </row>
        <row r="964">
          <cell r="A964">
            <v>10050020</v>
          </cell>
          <cell r="B964">
            <v>3118220005617</v>
          </cell>
          <cell r="E964" t="str">
            <v>COTE DE BOEUF HERITAGE SENS LASURE CLAIR+GENCOD+SLEEVE</v>
          </cell>
          <cell r="F964">
            <v>120</v>
          </cell>
          <cell r="G964">
            <v>12</v>
          </cell>
          <cell r="H964">
            <v>28</v>
          </cell>
          <cell r="I964">
            <v>28</v>
          </cell>
          <cell r="J964">
            <v>15.5</v>
          </cell>
          <cell r="K964">
            <v>8.0399999999999991</v>
          </cell>
          <cell r="L964">
            <v>6.699999999999999E-2</v>
          </cell>
          <cell r="M964">
            <v>1.2152000000000003E-2</v>
          </cell>
        </row>
        <row r="965">
          <cell r="A965">
            <v>10050022</v>
          </cell>
          <cell r="B965">
            <v>3118220011632</v>
          </cell>
          <cell r="E965" t="str">
            <v>OFFICE HERITAGE SENS LASURE BOIS CLAIR SUR CARTE PEGB</v>
          </cell>
          <cell r="F965">
            <v>144</v>
          </cell>
          <cell r="G965">
            <v>6</v>
          </cell>
          <cell r="H965">
            <v>48</v>
          </cell>
          <cell r="I965">
            <v>36.5</v>
          </cell>
          <cell r="J965">
            <v>25</v>
          </cell>
          <cell r="K965">
            <v>8.18</v>
          </cell>
          <cell r="L965">
            <v>5.6805555555555554E-2</v>
          </cell>
          <cell r="M965">
            <v>4.3799999999999999E-2</v>
          </cell>
        </row>
        <row r="966">
          <cell r="A966">
            <v>10050023</v>
          </cell>
          <cell r="B966">
            <v>3118220011649</v>
          </cell>
          <cell r="E966" t="str">
            <v>STEAK HERITAGE SENS LASURE BOIS CLAIR SUR CARTE PEGB</v>
          </cell>
          <cell r="F966">
            <v>144</v>
          </cell>
          <cell r="G966">
            <v>6</v>
          </cell>
          <cell r="H966">
            <v>48</v>
          </cell>
          <cell r="I966">
            <v>36</v>
          </cell>
          <cell r="J966">
            <v>25</v>
          </cell>
          <cell r="K966">
            <v>7.7759999999999998</v>
          </cell>
          <cell r="L966">
            <v>5.3999999999999999E-2</v>
          </cell>
          <cell r="M966">
            <v>4.3200000000000002E-2</v>
          </cell>
        </row>
        <row r="967">
          <cell r="A967">
            <v>10050024</v>
          </cell>
          <cell r="B967">
            <v>3118220011656</v>
          </cell>
          <cell r="E967" t="str">
            <v>COTE BOEUF HERITAGE SENS LASURE BOIS CLAIR SUR CARTE PEGB</v>
          </cell>
          <cell r="F967">
            <v>144</v>
          </cell>
          <cell r="G967">
            <v>6</v>
          </cell>
          <cell r="H967">
            <v>48</v>
          </cell>
          <cell r="I967">
            <v>36</v>
          </cell>
          <cell r="J967">
            <v>25</v>
          </cell>
          <cell r="K967">
            <v>12.384</v>
          </cell>
          <cell r="L967">
            <v>8.6000000000000007E-2</v>
          </cell>
          <cell r="M967">
            <v>4.3200000000000002E-2</v>
          </cell>
        </row>
        <row r="968">
          <cell r="A968">
            <v>10050027</v>
          </cell>
          <cell r="B968">
            <v>3118220020221</v>
          </cell>
          <cell r="E968" t="str">
            <v>CUISINE 17 LAGUIOLE SENS BOIS CLAIR IMPORT VRAC</v>
          </cell>
          <cell r="F968">
            <v>96</v>
          </cell>
          <cell r="G968">
            <v>6</v>
          </cell>
          <cell r="H968">
            <v>37</v>
          </cell>
          <cell r="I968">
            <v>21</v>
          </cell>
          <cell r="J968">
            <v>18</v>
          </cell>
          <cell r="K968">
            <v>11.904</v>
          </cell>
          <cell r="L968">
            <v>0.124</v>
          </cell>
          <cell r="M968">
            <v>1.3985999999999998E-2</v>
          </cell>
        </row>
        <row r="969">
          <cell r="A969">
            <v>10050028</v>
          </cell>
          <cell r="B969">
            <v>3118220020238</v>
          </cell>
          <cell r="E969" t="str">
            <v>CUISINE 17 LAGUIOLE SENS BOIS CLAIR IMPORT FX CDF</v>
          </cell>
          <cell r="F969">
            <v>96</v>
          </cell>
          <cell r="G969">
            <v>6</v>
          </cell>
          <cell r="H969">
            <v>43</v>
          </cell>
          <cell r="I969">
            <v>28.5</v>
          </cell>
          <cell r="J969">
            <v>29</v>
          </cell>
          <cell r="K969">
            <v>15.36</v>
          </cell>
          <cell r="L969">
            <v>0.16</v>
          </cell>
          <cell r="M969">
            <v>3.5539500000000002E-2</v>
          </cell>
        </row>
        <row r="970">
          <cell r="A970">
            <v>10050029</v>
          </cell>
          <cell r="B970">
            <v>3118220025219</v>
          </cell>
          <cell r="E970" t="str">
            <v>OFFICE SENS MANCHE OLIVIER SACHET + GENCOD</v>
          </cell>
          <cell r="F970">
            <v>144</v>
          </cell>
          <cell r="G970">
            <v>12</v>
          </cell>
          <cell r="H970">
            <v>23</v>
          </cell>
          <cell r="I970">
            <v>20.5</v>
          </cell>
          <cell r="J970">
            <v>31</v>
          </cell>
          <cell r="K970">
            <v>6.6</v>
          </cell>
          <cell r="L970">
            <v>4.583333333333333E-2</v>
          </cell>
          <cell r="M970">
            <v>1.4616499999999999E-2</v>
          </cell>
        </row>
        <row r="971">
          <cell r="A971">
            <v>10050030</v>
          </cell>
          <cell r="B971">
            <v>3118220025226</v>
          </cell>
          <cell r="C971" t="str">
            <v>13118220025223</v>
          </cell>
          <cell r="D971" t="str">
            <v>23118220025220</v>
          </cell>
          <cell r="E971" t="str">
            <v>COTE A L OS SENS MANCHE OLIVIER SACHET + GENCOD</v>
          </cell>
          <cell r="F971">
            <v>144</v>
          </cell>
          <cell r="G971">
            <v>12</v>
          </cell>
          <cell r="H971">
            <v>32</v>
          </cell>
          <cell r="I971">
            <v>27</v>
          </cell>
          <cell r="J971">
            <v>20</v>
          </cell>
          <cell r="K971">
            <v>11.057</v>
          </cell>
          <cell r="L971">
            <v>7.6784722222222226E-2</v>
          </cell>
          <cell r="M971">
            <v>1.7280000000000004E-2</v>
          </cell>
        </row>
        <row r="972">
          <cell r="A972">
            <v>10050031</v>
          </cell>
          <cell r="B972">
            <v>3118220025233</v>
          </cell>
          <cell r="E972" t="str">
            <v>COUTEAU FROMAGE SENS MANCHE OLIVIER SACHET + GENCOD</v>
          </cell>
          <cell r="F972">
            <v>144</v>
          </cell>
          <cell r="G972">
            <v>12</v>
          </cell>
          <cell r="H972">
            <v>32</v>
          </cell>
          <cell r="I972">
            <v>27</v>
          </cell>
          <cell r="J972">
            <v>20</v>
          </cell>
          <cell r="K972">
            <v>7.9249999999999998</v>
          </cell>
          <cell r="L972">
            <v>5.5034722222222221E-2</v>
          </cell>
          <cell r="M972">
            <v>1.7280000000000004E-2</v>
          </cell>
        </row>
        <row r="973">
          <cell r="A973">
            <v>10050032</v>
          </cell>
          <cell r="B973">
            <v>3118220025240</v>
          </cell>
          <cell r="E973" t="str">
            <v>COUTEAU STEAK SENS MANCHE OLIVIER SACHET + GENCOD</v>
          </cell>
          <cell r="F973">
            <v>144</v>
          </cell>
          <cell r="G973">
            <v>12</v>
          </cell>
          <cell r="H973">
            <v>33</v>
          </cell>
          <cell r="I973">
            <v>27</v>
          </cell>
          <cell r="J973">
            <v>19</v>
          </cell>
          <cell r="K973">
            <v>9.19</v>
          </cell>
          <cell r="L973">
            <v>6.3819444444444443E-2</v>
          </cell>
          <cell r="M973">
            <v>1.6929E-2</v>
          </cell>
        </row>
        <row r="974">
          <cell r="A974">
            <v>10050033</v>
          </cell>
          <cell r="B974" t="str">
            <v>3118220050389</v>
          </cell>
          <cell r="C974" t="str">
            <v>13118220050386</v>
          </cell>
          <cell r="D974" t="str">
            <v>23118220050383</v>
          </cell>
          <cell r="E974" t="str">
            <v>COFFRET LAGUIOLE HERITAGE FROMAGE 3P SENS BOIS D'OLIVIER</v>
          </cell>
          <cell r="F974">
            <v>6</v>
          </cell>
          <cell r="G974">
            <v>6</v>
          </cell>
          <cell r="H974">
            <v>27</v>
          </cell>
          <cell r="I974">
            <v>19</v>
          </cell>
          <cell r="J974">
            <v>18</v>
          </cell>
          <cell r="K974">
            <v>1.59</v>
          </cell>
          <cell r="L974">
            <v>0.26500000000000001</v>
          </cell>
          <cell r="M974">
            <v>9.2340000000000009E-3</v>
          </cell>
        </row>
        <row r="975">
          <cell r="A975">
            <v>10050034</v>
          </cell>
          <cell r="B975" t="str">
            <v>3118220051126</v>
          </cell>
          <cell r="C975" t="str">
            <v>13118220051123</v>
          </cell>
          <cell r="D975" t="str">
            <v>23118220051120</v>
          </cell>
          <cell r="E975" t="str">
            <v>COFFRET LAGUIOLE HERITAGE FROMAGE 3P SENS PAKKAWOOD</v>
          </cell>
          <cell r="F975">
            <v>6</v>
          </cell>
          <cell r="G975">
            <v>6</v>
          </cell>
          <cell r="H975">
            <v>27</v>
          </cell>
          <cell r="I975">
            <v>19</v>
          </cell>
          <cell r="J975">
            <v>18</v>
          </cell>
          <cell r="K975">
            <v>1.37</v>
          </cell>
          <cell r="L975">
            <v>0.22833333333333336</v>
          </cell>
          <cell r="M975">
            <v>9.2340000000000009E-3</v>
          </cell>
        </row>
        <row r="976">
          <cell r="A976">
            <v>10070006</v>
          </cell>
          <cell r="B976">
            <v>3118220015968</v>
          </cell>
          <cell r="E976" t="str">
            <v>BLOC NOIR +6 STEAKS FURTIF COULEURS ASSORTIES</v>
          </cell>
          <cell r="F976">
            <v>6</v>
          </cell>
          <cell r="G976">
            <v>6</v>
          </cell>
          <cell r="H976">
            <v>25</v>
          </cell>
          <cell r="I976">
            <v>19.5</v>
          </cell>
          <cell r="J976">
            <v>30.5</v>
          </cell>
          <cell r="K976">
            <v>4.2119999999999997</v>
          </cell>
          <cell r="L976">
            <v>0.70199999999999996</v>
          </cell>
          <cell r="M976">
            <v>1.486875E-2</v>
          </cell>
        </row>
        <row r="977">
          <cell r="A977">
            <v>10070012</v>
          </cell>
          <cell r="B977">
            <v>3118220026339</v>
          </cell>
          <cell r="E977" t="str">
            <v>BLOC 5 COUTEAUX FURTIF CLASSIC LAME NOIRE MANCHE NOIR</v>
          </cell>
          <cell r="F977">
            <v>2</v>
          </cell>
          <cell r="G977">
            <v>2</v>
          </cell>
          <cell r="H977">
            <v>37</v>
          </cell>
          <cell r="I977">
            <v>28</v>
          </cell>
          <cell r="J977">
            <v>19</v>
          </cell>
          <cell r="K977">
            <v>3.84</v>
          </cell>
          <cell r="L977">
            <v>1.92</v>
          </cell>
          <cell r="M977">
            <v>1.9684E-2</v>
          </cell>
        </row>
        <row r="978">
          <cell r="A978">
            <v>10070013</v>
          </cell>
          <cell r="B978">
            <v>3118220030220</v>
          </cell>
          <cell r="E978" t="str">
            <v>STEAK 11CM FURTIF CLASSIC MANCHE NOIR LAME NOIR BERLINGOT</v>
          </cell>
          <cell r="F978">
            <v>6</v>
          </cell>
          <cell r="G978">
            <v>6</v>
          </cell>
          <cell r="H978">
            <v>32</v>
          </cell>
          <cell r="I978">
            <v>1.5</v>
          </cell>
          <cell r="J978">
            <v>8</v>
          </cell>
          <cell r="K978">
            <v>0.36</v>
          </cell>
          <cell r="L978">
            <v>0.06</v>
          </cell>
          <cell r="M978">
            <v>3.8399999999999996E-4</v>
          </cell>
        </row>
        <row r="979">
          <cell r="A979">
            <v>10070014</v>
          </cell>
          <cell r="B979">
            <v>3118220035478</v>
          </cell>
          <cell r="E979" t="str">
            <v>OFFICE 9CM FURTIF BASIC LAME INOX EN BOITE ACCESS</v>
          </cell>
          <cell r="F979">
            <v>6</v>
          </cell>
          <cell r="G979">
            <v>6</v>
          </cell>
          <cell r="H979">
            <v>43.5</v>
          </cell>
          <cell r="I979">
            <v>16.5</v>
          </cell>
          <cell r="J979">
            <v>11</v>
          </cell>
          <cell r="K979">
            <v>0.6</v>
          </cell>
          <cell r="L979">
            <v>9.9999999999999992E-2</v>
          </cell>
          <cell r="M979">
            <v>7.8952499999999995E-3</v>
          </cell>
        </row>
        <row r="980">
          <cell r="A980">
            <v>10070015</v>
          </cell>
          <cell r="B980">
            <v>3118220035485</v>
          </cell>
          <cell r="E980" t="str">
            <v>STEAK 11CM FURTIF BASIC LAME INOX EN BOITE ACCESS</v>
          </cell>
          <cell r="F980">
            <v>6</v>
          </cell>
          <cell r="G980">
            <v>6</v>
          </cell>
          <cell r="H980">
            <v>43.5</v>
          </cell>
          <cell r="I980">
            <v>16.5</v>
          </cell>
          <cell r="J980">
            <v>11</v>
          </cell>
          <cell r="K980">
            <v>0.6</v>
          </cell>
          <cell r="L980">
            <v>9.9999999999999992E-2</v>
          </cell>
          <cell r="M980">
            <v>7.8952499999999995E-3</v>
          </cell>
        </row>
        <row r="981">
          <cell r="A981">
            <v>10070016</v>
          </cell>
          <cell r="B981">
            <v>3118220035492</v>
          </cell>
          <cell r="E981" t="str">
            <v>FILET DE SOLE 17CM FURTIF BASIC LAME INOX EN BOITE ACCESS</v>
          </cell>
          <cell r="F981">
            <v>6</v>
          </cell>
          <cell r="G981">
            <v>6</v>
          </cell>
          <cell r="H981">
            <v>43</v>
          </cell>
          <cell r="I981">
            <v>16.5</v>
          </cell>
          <cell r="J981">
            <v>11</v>
          </cell>
          <cell r="K981">
            <v>0.64800000000000002</v>
          </cell>
          <cell r="L981">
            <v>0.108</v>
          </cell>
          <cell r="M981">
            <v>7.8044999999999998E-3</v>
          </cell>
        </row>
        <row r="982">
          <cell r="A982">
            <v>10070017</v>
          </cell>
          <cell r="B982">
            <v>3118220035508</v>
          </cell>
          <cell r="E982" t="str">
            <v>CHEF 19CM FURTIF BASIC LAME INOX EN BOITE ACCESS</v>
          </cell>
          <cell r="F982">
            <v>6</v>
          </cell>
          <cell r="G982">
            <v>6</v>
          </cell>
          <cell r="H982">
            <v>45</v>
          </cell>
          <cell r="I982">
            <v>30.5</v>
          </cell>
          <cell r="J982">
            <v>15</v>
          </cell>
          <cell r="K982">
            <v>1.4339999999999999</v>
          </cell>
          <cell r="L982">
            <v>0.23899999999999999</v>
          </cell>
          <cell r="M982">
            <v>2.0587499999999998E-2</v>
          </cell>
        </row>
        <row r="983">
          <cell r="A983">
            <v>10070018</v>
          </cell>
          <cell r="B983">
            <v>3118220035515</v>
          </cell>
          <cell r="E983" t="str">
            <v>SANTUKO 19CM FURTIF BASIC LAME INOX EN BOITE ACCESS</v>
          </cell>
          <cell r="F983">
            <v>6</v>
          </cell>
          <cell r="G983">
            <v>6</v>
          </cell>
          <cell r="H983">
            <v>45</v>
          </cell>
          <cell r="I983">
            <v>30.5</v>
          </cell>
          <cell r="J983">
            <v>15.5</v>
          </cell>
          <cell r="K983">
            <v>1.494</v>
          </cell>
          <cell r="L983">
            <v>0.249</v>
          </cell>
          <cell r="M983">
            <v>2.1273749999999998E-2</v>
          </cell>
        </row>
        <row r="984">
          <cell r="A984">
            <v>10070019</v>
          </cell>
          <cell r="B984">
            <v>3118220035522</v>
          </cell>
          <cell r="E984" t="str">
            <v>CUISINE 21 CM FURTIF BASIC LAME INOX EN BOITE ACCESS</v>
          </cell>
          <cell r="F984">
            <v>6</v>
          </cell>
          <cell r="G984">
            <v>6</v>
          </cell>
          <cell r="H984">
            <v>45</v>
          </cell>
          <cell r="I984">
            <v>30.5</v>
          </cell>
          <cell r="J984">
            <v>15</v>
          </cell>
          <cell r="K984">
            <v>1.3440000000000001</v>
          </cell>
          <cell r="L984">
            <v>0.224</v>
          </cell>
          <cell r="M984">
            <v>2.0587499999999998E-2</v>
          </cell>
        </row>
        <row r="985">
          <cell r="A985">
            <v>10070020</v>
          </cell>
          <cell r="B985">
            <v>3118220036475</v>
          </cell>
          <cell r="E985" t="str">
            <v>OFFICE 9CM FURTIF METAL CARTONNETTE TB C</v>
          </cell>
          <cell r="F985">
            <v>90</v>
          </cell>
          <cell r="G985">
            <v>6</v>
          </cell>
          <cell r="H985">
            <v>45</v>
          </cell>
          <cell r="I985">
            <v>31.5</v>
          </cell>
          <cell r="J985">
            <v>19</v>
          </cell>
          <cell r="K985">
            <v>5.3289999999999997</v>
          </cell>
          <cell r="L985">
            <v>5.921111111111111E-2</v>
          </cell>
          <cell r="M985">
            <v>2.6932500000000005E-2</v>
          </cell>
        </row>
        <row r="986">
          <cell r="A986">
            <v>10070021</v>
          </cell>
          <cell r="B986">
            <v>3118220036482</v>
          </cell>
          <cell r="E986" t="str">
            <v>STEAK 12 CM FURTIF METAL CARTONNETTE TB C</v>
          </cell>
          <cell r="F986">
            <v>90</v>
          </cell>
          <cell r="G986">
            <v>6</v>
          </cell>
          <cell r="H986">
            <v>40</v>
          </cell>
          <cell r="I986">
            <v>30</v>
          </cell>
          <cell r="J986">
            <v>20</v>
          </cell>
          <cell r="K986">
            <v>6.12</v>
          </cell>
          <cell r="L986">
            <v>6.8000000000000005E-2</v>
          </cell>
          <cell r="M986">
            <v>2.4E-2</v>
          </cell>
        </row>
        <row r="987">
          <cell r="A987">
            <v>10070022</v>
          </cell>
          <cell r="B987">
            <v>3118220036499</v>
          </cell>
          <cell r="E987" t="str">
            <v>CUISINE 21 FURTIF METAL CARTONNETTE TB C</v>
          </cell>
          <cell r="F987">
            <v>72</v>
          </cell>
          <cell r="G987">
            <v>6</v>
          </cell>
          <cell r="H987">
            <v>40</v>
          </cell>
          <cell r="I987">
            <v>30</v>
          </cell>
          <cell r="J987">
            <v>20</v>
          </cell>
          <cell r="K987">
            <v>13.32</v>
          </cell>
          <cell r="L987">
            <v>0.185</v>
          </cell>
          <cell r="M987">
            <v>2.4E-2</v>
          </cell>
        </row>
        <row r="988">
          <cell r="A988">
            <v>10070023</v>
          </cell>
          <cell r="B988">
            <v>3118220036505</v>
          </cell>
          <cell r="E988" t="str">
            <v>CHEF 19 FURTIF METAL CARTONNETTE TB C</v>
          </cell>
          <cell r="F988">
            <v>72</v>
          </cell>
          <cell r="G988">
            <v>6</v>
          </cell>
          <cell r="H988">
            <v>40</v>
          </cell>
          <cell r="I988">
            <v>30</v>
          </cell>
          <cell r="J988">
            <v>20</v>
          </cell>
          <cell r="K988">
            <v>14.112</v>
          </cell>
          <cell r="L988">
            <v>0.19600000000000001</v>
          </cell>
          <cell r="M988">
            <v>2.4E-2</v>
          </cell>
        </row>
        <row r="989">
          <cell r="A989">
            <v>10070024</v>
          </cell>
          <cell r="B989">
            <v>3118220036512</v>
          </cell>
          <cell r="E989" t="str">
            <v>SANTUKO 19 CM FURTIF METAL CARTONNETTE TB C</v>
          </cell>
          <cell r="F989">
            <v>72</v>
          </cell>
          <cell r="G989">
            <v>6</v>
          </cell>
          <cell r="H989">
            <v>40</v>
          </cell>
          <cell r="I989">
            <v>30</v>
          </cell>
          <cell r="J989">
            <v>20</v>
          </cell>
          <cell r="K989">
            <v>14.688000000000001</v>
          </cell>
          <cell r="L989">
            <v>0.20400000000000001</v>
          </cell>
          <cell r="M989">
            <v>2.4E-2</v>
          </cell>
        </row>
        <row r="990">
          <cell r="A990">
            <v>10070026</v>
          </cell>
          <cell r="B990">
            <v>3118220037649</v>
          </cell>
          <cell r="E990" t="str">
            <v>COFFRET 3 COUTEAUX FURTIF</v>
          </cell>
          <cell r="F990">
            <v>6</v>
          </cell>
          <cell r="G990">
            <v>6</v>
          </cell>
          <cell r="H990">
            <v>40</v>
          </cell>
          <cell r="I990">
            <v>30</v>
          </cell>
          <cell r="J990">
            <v>20</v>
          </cell>
          <cell r="K990">
            <v>4.62</v>
          </cell>
          <cell r="L990">
            <v>0.77</v>
          </cell>
          <cell r="M990">
            <v>2.4E-2</v>
          </cell>
        </row>
        <row r="991">
          <cell r="A991">
            <v>10070027</v>
          </cell>
          <cell r="B991">
            <v>3118220042162</v>
          </cell>
          <cell r="E991" t="str">
            <v>BLOC 5 COUTEAUX FURTIF CLASSIQUE</v>
          </cell>
          <cell r="F991">
            <v>3</v>
          </cell>
          <cell r="G991">
            <v>3</v>
          </cell>
          <cell r="H991">
            <v>61</v>
          </cell>
          <cell r="I991">
            <v>41</v>
          </cell>
          <cell r="J991">
            <v>32</v>
          </cell>
          <cell r="K991">
            <v>8.27</v>
          </cell>
          <cell r="L991">
            <v>2.7566666666666664</v>
          </cell>
          <cell r="M991">
            <v>8.0031999999999992E-2</v>
          </cell>
        </row>
        <row r="992">
          <cell r="A992">
            <v>10070028</v>
          </cell>
          <cell r="B992">
            <v>3118220044104</v>
          </cell>
          <cell r="E992" t="str">
            <v>BLOC DU GAGNANT TOP CHEF LAME INOX</v>
          </cell>
          <cell r="F992">
            <v>6</v>
          </cell>
          <cell r="G992">
            <v>6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</row>
        <row r="993">
          <cell r="A993">
            <v>10070029</v>
          </cell>
          <cell r="B993">
            <v>3118220044111</v>
          </cell>
          <cell r="E993" t="str">
            <v>BLOC DU GAGNANT TOP CHEF LAME ORANGE</v>
          </cell>
          <cell r="F993">
            <v>1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</row>
        <row r="994">
          <cell r="A994">
            <v>10080001</v>
          </cell>
          <cell r="B994">
            <v>3118220003514</v>
          </cell>
          <cell r="E994" t="str">
            <v>SET DE 4 COUTEAUX FURTIF EVERCUT CLASSIC MANCHE NOIR</v>
          </cell>
          <cell r="F994">
            <v>1</v>
          </cell>
          <cell r="G994">
            <v>1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</row>
        <row r="995">
          <cell r="A995">
            <v>10080004</v>
          </cell>
          <cell r="B995">
            <v>3118220023796</v>
          </cell>
          <cell r="E995" t="str">
            <v>SET DE 4 COUTEAUX FURTIF EVERCUT CLASSIC MANCHE NOIR</v>
          </cell>
          <cell r="F995">
            <v>1</v>
          </cell>
          <cell r="G995">
            <v>1</v>
          </cell>
          <cell r="H995">
            <v>46</v>
          </cell>
          <cell r="I995">
            <v>15</v>
          </cell>
          <cell r="J995">
            <v>11</v>
          </cell>
          <cell r="K995">
            <v>1.69</v>
          </cell>
          <cell r="L995">
            <v>1.69</v>
          </cell>
          <cell r="M995">
            <v>7.5900000000000013E-3</v>
          </cell>
        </row>
        <row r="996">
          <cell r="A996">
            <v>10080005</v>
          </cell>
          <cell r="B996">
            <v>3118220034518</v>
          </cell>
          <cell r="E996" t="str">
            <v>SET DE 4 COUTEAUX FURTIF EVERCUT CLASSIC MANCHE NOIR</v>
          </cell>
          <cell r="F996">
            <v>1</v>
          </cell>
          <cell r="G996">
            <v>1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</row>
        <row r="997">
          <cell r="A997">
            <v>10080006</v>
          </cell>
          <cell r="B997">
            <v>3118220035003</v>
          </cell>
          <cell r="E997" t="str">
            <v>CHEF 19 FURTIF EVERCUT V2 CLASSIC MANCHE NOIR BTE RETAIL</v>
          </cell>
          <cell r="F997">
            <v>6</v>
          </cell>
          <cell r="G997">
            <v>6</v>
          </cell>
          <cell r="H997">
            <v>38.5</v>
          </cell>
          <cell r="I997">
            <v>19.5</v>
          </cell>
          <cell r="J997">
            <v>11.5</v>
          </cell>
          <cell r="K997">
            <v>2.298</v>
          </cell>
          <cell r="L997">
            <v>0.38300000000000001</v>
          </cell>
          <cell r="M997">
            <v>8.6336250000000007E-3</v>
          </cell>
        </row>
        <row r="998">
          <cell r="A998">
            <v>10080007</v>
          </cell>
          <cell r="B998">
            <v>3118220035010</v>
          </cell>
          <cell r="E998" t="str">
            <v>CUISINE 21 FURTIF EVERCUT V2 CLASSIC MANCHE NOIR BTE RETAIL</v>
          </cell>
          <cell r="F998">
            <v>6</v>
          </cell>
          <cell r="G998">
            <v>6</v>
          </cell>
          <cell r="H998">
            <v>46</v>
          </cell>
          <cell r="I998">
            <v>30</v>
          </cell>
          <cell r="J998">
            <v>15.5</v>
          </cell>
          <cell r="K998">
            <v>2.4300000000000002</v>
          </cell>
          <cell r="L998">
            <v>0.40500000000000003</v>
          </cell>
          <cell r="M998">
            <v>2.1390000000000003E-2</v>
          </cell>
        </row>
        <row r="999">
          <cell r="A999">
            <v>10080008</v>
          </cell>
          <cell r="B999">
            <v>3118220035027</v>
          </cell>
          <cell r="E999" t="str">
            <v>EMINCEUR 11 FURTIF EVERCUT V2 CLASSIC MANCHE NOIR BTE RETAIL</v>
          </cell>
          <cell r="F999">
            <v>6</v>
          </cell>
          <cell r="G999">
            <v>6</v>
          </cell>
          <cell r="H999">
            <v>30</v>
          </cell>
          <cell r="I999">
            <v>29</v>
          </cell>
          <cell r="J999">
            <v>13.5</v>
          </cell>
          <cell r="K999">
            <v>1.1040000000000001</v>
          </cell>
          <cell r="L999">
            <v>0.18400000000000002</v>
          </cell>
          <cell r="M999">
            <v>1.1744999999999998E-2</v>
          </cell>
        </row>
        <row r="1000">
          <cell r="A1000">
            <v>10080009</v>
          </cell>
          <cell r="B1000">
            <v>3118220035034</v>
          </cell>
          <cell r="E1000" t="str">
            <v>OFFICE 9 FURTIF EVERCUT V2 CLASSIC MANCHE NOIR BTE RETAIL</v>
          </cell>
          <cell r="F1000">
            <v>6</v>
          </cell>
          <cell r="G1000">
            <v>6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</row>
        <row r="1001">
          <cell r="A1001">
            <v>10080010</v>
          </cell>
          <cell r="B1001">
            <v>3118220035041</v>
          </cell>
          <cell r="E1001" t="str">
            <v>SANTUKO 19 FURTIF EVERCUT V2 CLASSIC MANCHE NOIR BTE RETAIL</v>
          </cell>
          <cell r="F1001">
            <v>6</v>
          </cell>
          <cell r="G1001">
            <v>6</v>
          </cell>
          <cell r="H1001">
            <v>38.5</v>
          </cell>
          <cell r="I1001">
            <v>19.5</v>
          </cell>
          <cell r="J1001">
            <v>11.5</v>
          </cell>
          <cell r="K1001">
            <v>2.3580000000000001</v>
          </cell>
          <cell r="L1001">
            <v>0.39300000000000002</v>
          </cell>
          <cell r="M1001">
            <v>8.6336250000000007E-3</v>
          </cell>
        </row>
        <row r="1002">
          <cell r="A1002">
            <v>10080011</v>
          </cell>
          <cell r="B1002">
            <v>3118220036352</v>
          </cell>
          <cell r="E1002" t="str">
            <v>SET FURTIF EVERCUT 4 PCES OFFICE POLYVALENT CHEF CUISINE</v>
          </cell>
          <cell r="F1002">
            <v>1</v>
          </cell>
          <cell r="G1002">
            <v>1</v>
          </cell>
          <cell r="H1002">
            <v>46</v>
          </cell>
          <cell r="I1002">
            <v>15</v>
          </cell>
          <cell r="J1002">
            <v>11.5</v>
          </cell>
          <cell r="K1002">
            <v>1.7</v>
          </cell>
          <cell r="L1002">
            <v>1.7</v>
          </cell>
          <cell r="M1002">
            <v>7.9350000000000011E-3</v>
          </cell>
        </row>
        <row r="1003">
          <cell r="A1003">
            <v>10080012</v>
          </cell>
          <cell r="B1003">
            <v>3118220038585</v>
          </cell>
          <cell r="E1003" t="str">
            <v>COFFRET 2 PIECES FURTIF EVERCUT POLY 11CM + CHEF 19CM</v>
          </cell>
          <cell r="F1003">
            <v>1</v>
          </cell>
          <cell r="G1003">
            <v>1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</row>
        <row r="1004">
          <cell r="A1004">
            <v>10080013</v>
          </cell>
          <cell r="B1004">
            <v>3118220041042</v>
          </cell>
          <cell r="E1004" t="str">
            <v>BLOC MAGNETIQUE 4 COUTEAUX FURTIF EVERCUT</v>
          </cell>
          <cell r="F1004">
            <v>6</v>
          </cell>
          <cell r="G1004">
            <v>6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</row>
        <row r="1005">
          <cell r="A1005">
            <v>10080014</v>
          </cell>
          <cell r="B1005">
            <v>3118220043039</v>
          </cell>
          <cell r="E1005" t="str">
            <v>SET DE 3 COUTEAUX FURTIF EVERCUT CLASSIC MANCHE NOIR</v>
          </cell>
          <cell r="F1005">
            <v>1</v>
          </cell>
          <cell r="G1005">
            <v>1</v>
          </cell>
          <cell r="H1005">
            <v>40</v>
          </cell>
          <cell r="I1005">
            <v>13</v>
          </cell>
          <cell r="J1005">
            <v>9</v>
          </cell>
          <cell r="K1005">
            <v>0.96</v>
          </cell>
          <cell r="L1005">
            <v>0.96</v>
          </cell>
          <cell r="M1005">
            <v>4.6800000000000001E-3</v>
          </cell>
        </row>
        <row r="1006">
          <cell r="A1006">
            <v>10100002</v>
          </cell>
          <cell r="B1006">
            <v>3118220014954</v>
          </cell>
          <cell r="E1006" t="str">
            <v>BLOC ARGENT 6 COUTEAUX LAG METAL</v>
          </cell>
          <cell r="F1006">
            <v>6</v>
          </cell>
          <cell r="G1006">
            <v>6</v>
          </cell>
          <cell r="H1006">
            <v>30.5</v>
          </cell>
          <cell r="I1006">
            <v>21</v>
          </cell>
          <cell r="J1006">
            <v>28.5</v>
          </cell>
          <cell r="K1006">
            <v>5.37</v>
          </cell>
          <cell r="L1006">
            <v>0.89500000000000002</v>
          </cell>
          <cell r="M1006">
            <v>1.825425E-2</v>
          </cell>
        </row>
        <row r="1007">
          <cell r="A1007">
            <v>10100003</v>
          </cell>
          <cell r="B1007">
            <v>3118220015753</v>
          </cell>
          <cell r="E1007" t="str">
            <v>SET 6 PIECES BARBECUE LAGUIOLE MARBRE ROUGE</v>
          </cell>
          <cell r="F1007">
            <v>6</v>
          </cell>
          <cell r="G1007">
            <v>6</v>
          </cell>
          <cell r="H1007">
            <v>43.5</v>
          </cell>
          <cell r="I1007">
            <v>30.5</v>
          </cell>
          <cell r="J1007">
            <v>40</v>
          </cell>
          <cell r="K1007">
            <v>7.02</v>
          </cell>
          <cell r="L1007">
            <v>1.17</v>
          </cell>
          <cell r="M1007">
            <v>5.3069999999999992E-2</v>
          </cell>
        </row>
        <row r="1008">
          <cell r="A1008">
            <v>10100004</v>
          </cell>
          <cell r="B1008">
            <v>3118220015760</v>
          </cell>
          <cell r="C1008" t="str">
            <v>13118220015767</v>
          </cell>
          <cell r="D1008" t="str">
            <v>23118220015764</v>
          </cell>
          <cell r="E1008" t="str">
            <v>SET 6 PIECES BARBECUE LAGUIOLE MARBRE GRIS</v>
          </cell>
          <cell r="F1008">
            <v>6</v>
          </cell>
          <cell r="G1008">
            <v>6</v>
          </cell>
          <cell r="H1008">
            <v>43.5</v>
          </cell>
          <cell r="I1008">
            <v>30.5</v>
          </cell>
          <cell r="J1008">
            <v>40</v>
          </cell>
          <cell r="K1008">
            <v>7.1219999999999999</v>
          </cell>
          <cell r="L1008">
            <v>1.1870000000000001</v>
          </cell>
          <cell r="M1008">
            <v>5.3069999999999992E-2</v>
          </cell>
        </row>
        <row r="1009">
          <cell r="A1009">
            <v>10100006</v>
          </cell>
          <cell r="B1009">
            <v>3118220020184</v>
          </cell>
          <cell r="E1009" t="str">
            <v>BLOC PIN BLANC DESIGN 6 CTX LAG TRANSPARENT COLORIS CHAUD</v>
          </cell>
          <cell r="F1009">
            <v>6</v>
          </cell>
          <cell r="G1009">
            <v>6</v>
          </cell>
          <cell r="H1009">
            <v>20.5</v>
          </cell>
          <cell r="I1009">
            <v>14.5</v>
          </cell>
          <cell r="J1009">
            <v>28</v>
          </cell>
          <cell r="K1009">
            <v>2.2679999999999998</v>
          </cell>
          <cell r="L1009">
            <v>0.37799999999999995</v>
          </cell>
          <cell r="M1009">
            <v>8.3229999999999988E-3</v>
          </cell>
        </row>
        <row r="1010">
          <cell r="A1010">
            <v>10100011</v>
          </cell>
          <cell r="B1010">
            <v>3118220031104</v>
          </cell>
          <cell r="C1010" t="str">
            <v>13118220031101</v>
          </cell>
          <cell r="D1010" t="str">
            <v>23118220031108</v>
          </cell>
          <cell r="E1010" t="str">
            <v>BLOC 6 COUTEAUX LAGUIOLE PRODUCTION AMAZON AUTOMNE</v>
          </cell>
          <cell r="F1010">
            <v>6</v>
          </cell>
          <cell r="G1010">
            <v>6</v>
          </cell>
          <cell r="H1010">
            <v>27.5</v>
          </cell>
          <cell r="I1010">
            <v>22</v>
          </cell>
          <cell r="J1010">
            <v>15.5</v>
          </cell>
          <cell r="K1010">
            <v>2.4420000000000002</v>
          </cell>
          <cell r="L1010">
            <v>0.40700000000000003</v>
          </cell>
          <cell r="M1010">
            <v>9.3775000000000004E-3</v>
          </cell>
        </row>
        <row r="1011">
          <cell r="A1011">
            <v>10100012</v>
          </cell>
          <cell r="B1011">
            <v>3118220031111</v>
          </cell>
          <cell r="C1011" t="str">
            <v>13118220031118</v>
          </cell>
          <cell r="D1011" t="str">
            <v>23118220031115</v>
          </cell>
          <cell r="E1011" t="str">
            <v>BLOC 6 COUTEAUX LAGUIOLE PRODUCTION AMAZON HIVER</v>
          </cell>
          <cell r="F1011">
            <v>6</v>
          </cell>
          <cell r="G1011">
            <v>6</v>
          </cell>
          <cell r="H1011">
            <v>27.5</v>
          </cell>
          <cell r="I1011">
            <v>22</v>
          </cell>
          <cell r="J1011">
            <v>15.5</v>
          </cell>
          <cell r="K1011">
            <v>2.4420000000000002</v>
          </cell>
          <cell r="L1011">
            <v>0.40700000000000003</v>
          </cell>
          <cell r="M1011">
            <v>9.3775000000000004E-3</v>
          </cell>
        </row>
        <row r="1012">
          <cell r="A1012">
            <v>10100013</v>
          </cell>
          <cell r="B1012">
            <v>3118220031128</v>
          </cell>
          <cell r="C1012" t="str">
            <v>13118220031125</v>
          </cell>
          <cell r="D1012" t="str">
            <v>23118220031122</v>
          </cell>
          <cell r="E1012" t="str">
            <v>BLOC 6 COUTEAUX LAGUIOLE PRODUCTION AMAZON PRINTEMPS</v>
          </cell>
          <cell r="F1012">
            <v>6</v>
          </cell>
          <cell r="G1012">
            <v>6</v>
          </cell>
          <cell r="H1012">
            <v>27.5</v>
          </cell>
          <cell r="I1012">
            <v>22</v>
          </cell>
          <cell r="J1012">
            <v>15.5</v>
          </cell>
          <cell r="K1012">
            <v>2.4540000000000002</v>
          </cell>
          <cell r="L1012">
            <v>0.40900000000000003</v>
          </cell>
          <cell r="M1012">
            <v>9.3775000000000004E-3</v>
          </cell>
        </row>
        <row r="1013">
          <cell r="A1013">
            <v>10100014</v>
          </cell>
          <cell r="B1013">
            <v>3118220031135</v>
          </cell>
          <cell r="C1013" t="str">
            <v>13118220031132</v>
          </cell>
          <cell r="D1013" t="str">
            <v>23118220031139</v>
          </cell>
          <cell r="E1013" t="str">
            <v>BLOC 6 COUTEAUX LAGUIOLE PRODUCTION AMAZON ETE</v>
          </cell>
          <cell r="F1013">
            <v>6</v>
          </cell>
          <cell r="G1013">
            <v>6</v>
          </cell>
          <cell r="H1013">
            <v>27.5</v>
          </cell>
          <cell r="I1013">
            <v>22</v>
          </cell>
          <cell r="J1013">
            <v>15.5</v>
          </cell>
          <cell r="K1013">
            <v>2.4420000000000002</v>
          </cell>
          <cell r="L1013">
            <v>0.40700000000000003</v>
          </cell>
          <cell r="M1013">
            <v>9.3775000000000004E-3</v>
          </cell>
        </row>
        <row r="1014">
          <cell r="A1014">
            <v>10100015</v>
          </cell>
          <cell r="B1014">
            <v>3118220031302</v>
          </cell>
          <cell r="E1014" t="str">
            <v>COFFRET BOIS 6 COUTEAUX LAGUIOLE ABS NOIR MARBRE</v>
          </cell>
          <cell r="F1014">
            <v>6</v>
          </cell>
          <cell r="G1014">
            <v>6</v>
          </cell>
          <cell r="H1014">
            <v>28.5</v>
          </cell>
          <cell r="I1014">
            <v>17.5</v>
          </cell>
          <cell r="J1014">
            <v>18.5</v>
          </cell>
          <cell r="K1014">
            <v>3.9319999999999999</v>
          </cell>
          <cell r="L1014">
            <v>0.65533333333333332</v>
          </cell>
          <cell r="M1014">
            <v>9.226874999999999E-3</v>
          </cell>
        </row>
        <row r="1015">
          <cell r="A1015">
            <v>10100016</v>
          </cell>
          <cell r="B1015">
            <v>3118220031319</v>
          </cell>
          <cell r="E1015" t="str">
            <v>COFFRET BOIS 6 COUTEAUX LAGUIOLE ABS GRIS MARBRE</v>
          </cell>
          <cell r="F1015">
            <v>6</v>
          </cell>
          <cell r="G1015">
            <v>6</v>
          </cell>
          <cell r="H1015">
            <v>28.5</v>
          </cell>
          <cell r="I1015">
            <v>17.5</v>
          </cell>
          <cell r="J1015">
            <v>18.5</v>
          </cell>
          <cell r="K1015">
            <v>3.9319999999999999</v>
          </cell>
          <cell r="L1015">
            <v>0.65533333333333332</v>
          </cell>
          <cell r="M1015">
            <v>9.226874999999999E-3</v>
          </cell>
        </row>
        <row r="1016">
          <cell r="A1016">
            <v>10100017</v>
          </cell>
          <cell r="B1016">
            <v>3118220031326</v>
          </cell>
          <cell r="E1016" t="str">
            <v>COFFRET BOIS 6 COUTEAUX LAGUIOLE ABS ROUGE MARBRE</v>
          </cell>
          <cell r="F1016">
            <v>6</v>
          </cell>
          <cell r="G1016">
            <v>6</v>
          </cell>
          <cell r="H1016">
            <v>28.5</v>
          </cell>
          <cell r="I1016">
            <v>17.5</v>
          </cell>
          <cell r="J1016">
            <v>18.5</v>
          </cell>
          <cell r="K1016">
            <v>3.7320000000000002</v>
          </cell>
          <cell r="L1016">
            <v>0.622</v>
          </cell>
          <cell r="M1016">
            <v>9.226874999999999E-3</v>
          </cell>
        </row>
        <row r="1017">
          <cell r="A1017">
            <v>10100018</v>
          </cell>
          <cell r="B1017">
            <v>3118220031333</v>
          </cell>
          <cell r="E1017" t="str">
            <v>COFFRET BOIS 6 COUTEAUX LAGUIOLE METAL</v>
          </cell>
          <cell r="F1017">
            <v>6</v>
          </cell>
          <cell r="G1017">
            <v>6</v>
          </cell>
          <cell r="H1017">
            <v>28.5</v>
          </cell>
          <cell r="I1017">
            <v>17.5</v>
          </cell>
          <cell r="J1017">
            <v>18.5</v>
          </cell>
          <cell r="K1017">
            <v>4.1459999999999999</v>
          </cell>
          <cell r="L1017">
            <v>0.69099999999999995</v>
          </cell>
          <cell r="M1017">
            <v>9.226874999999999E-3</v>
          </cell>
        </row>
        <row r="1018">
          <cell r="A1018">
            <v>10100019</v>
          </cell>
          <cell r="B1018">
            <v>3118220044456</v>
          </cell>
          <cell r="C1018">
            <v>13118220044453</v>
          </cell>
          <cell r="D1018">
            <v>23118220044450</v>
          </cell>
          <cell r="E1018" t="str">
            <v>CISEAU UNIVERSEL LAGUIOLE HERITAGE ABS NOIR</v>
          </cell>
          <cell r="F1018">
            <v>48</v>
          </cell>
          <cell r="G1018">
            <v>6</v>
          </cell>
          <cell r="H1018">
            <v>48</v>
          </cell>
          <cell r="I1018">
            <v>31</v>
          </cell>
          <cell r="J1018">
            <v>22</v>
          </cell>
          <cell r="K1018">
            <v>7.68</v>
          </cell>
          <cell r="L1018">
            <v>0.16</v>
          </cell>
          <cell r="M1018">
            <v>3.2735999999999994E-2</v>
          </cell>
        </row>
        <row r="1019">
          <cell r="A1019">
            <v>10100020</v>
          </cell>
          <cell r="B1019">
            <v>3118220044463</v>
          </cell>
          <cell r="E1019" t="str">
            <v>SECATEUR A VOLAILLE LAGUIOLE HERITAGE ABS NOIR</v>
          </cell>
          <cell r="F1019">
            <v>48</v>
          </cell>
          <cell r="G1019">
            <v>6</v>
          </cell>
          <cell r="H1019">
            <v>56</v>
          </cell>
          <cell r="I1019">
            <v>33</v>
          </cell>
          <cell r="J1019">
            <v>23</v>
          </cell>
          <cell r="K1019">
            <v>0.42399999999999999</v>
          </cell>
          <cell r="L1019">
            <v>8.8333333333333337E-3</v>
          </cell>
          <cell r="M1019">
            <v>4.2504E-2</v>
          </cell>
        </row>
        <row r="1020">
          <cell r="A1020">
            <v>10100026</v>
          </cell>
          <cell r="B1020">
            <v>3616958444215</v>
          </cell>
          <cell r="C1020" t="str">
            <v>03616956527996</v>
          </cell>
          <cell r="D1020" t="str">
            <v>03616955387096</v>
          </cell>
          <cell r="E1020" t="str">
            <v>CISAILLE A VOLAILLE ABS NOIR CARREFOUR</v>
          </cell>
          <cell r="F1020">
            <v>48</v>
          </cell>
          <cell r="G1020">
            <v>6</v>
          </cell>
          <cell r="H1020">
            <v>33</v>
          </cell>
          <cell r="I1020">
            <v>54.5</v>
          </cell>
          <cell r="J1020">
            <v>25</v>
          </cell>
          <cell r="K1020">
            <v>0</v>
          </cell>
          <cell r="L1020">
            <v>0</v>
          </cell>
          <cell r="M1020">
            <v>4.4962500000000009E-2</v>
          </cell>
        </row>
        <row r="1021">
          <cell r="A1021">
            <v>10100027</v>
          </cell>
          <cell r="B1021">
            <v>3661075364175</v>
          </cell>
          <cell r="C1021" t="str">
            <v xml:space="preserve"> /</v>
          </cell>
          <cell r="D1021" t="str">
            <v>3661075364182</v>
          </cell>
          <cell r="E1021" t="str">
            <v>BLOC BOIS NOIR 6 CTX LG INTUITION METAL PVD NOIR  POLYFLAME</v>
          </cell>
          <cell r="F1021">
            <v>6</v>
          </cell>
          <cell r="G1021">
            <v>6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</row>
        <row r="1022">
          <cell r="A1022">
            <v>10110001</v>
          </cell>
          <cell r="B1022">
            <v>3118220026278</v>
          </cell>
          <cell r="E1022" t="str">
            <v>TARTINEUR LAGUIOLE HERITAGE+GENCOD</v>
          </cell>
          <cell r="F1022">
            <v>144</v>
          </cell>
          <cell r="G1022">
            <v>12</v>
          </cell>
          <cell r="H1022">
            <v>29</v>
          </cell>
          <cell r="I1022">
            <v>24.5</v>
          </cell>
          <cell r="J1022">
            <v>18</v>
          </cell>
          <cell r="K1022">
            <v>11.808</v>
          </cell>
          <cell r="L1022">
            <v>8.2000000000000003E-2</v>
          </cell>
          <cell r="M1022">
            <v>1.2789000000000002E-2</v>
          </cell>
        </row>
        <row r="1023">
          <cell r="A1023">
            <v>10110002</v>
          </cell>
          <cell r="B1023">
            <v>3118220027701</v>
          </cell>
          <cell r="E1023" t="str">
            <v>TARTINEUR LAGUIOLE HERITAGE SUR CARTE PEGBORDABLE</v>
          </cell>
          <cell r="F1023">
            <v>144</v>
          </cell>
          <cell r="G1023">
            <v>12</v>
          </cell>
          <cell r="H1023">
            <v>35</v>
          </cell>
          <cell r="I1023">
            <v>30</v>
          </cell>
          <cell r="J1023">
            <v>27</v>
          </cell>
          <cell r="K1023">
            <v>15.946999999999999</v>
          </cell>
          <cell r="L1023">
            <v>0.11074305555555555</v>
          </cell>
          <cell r="M1023">
            <v>2.835E-2</v>
          </cell>
        </row>
        <row r="1024">
          <cell r="A1024">
            <v>10110003</v>
          </cell>
          <cell r="B1024">
            <v>3118220029590</v>
          </cell>
          <cell r="E1024" t="str">
            <v>TARTINEUR LAGUIOLE HERITAGE FINITION SABLE SUR CARTE PEG</v>
          </cell>
          <cell r="F1024">
            <v>144</v>
          </cell>
          <cell r="G1024">
            <v>12</v>
          </cell>
          <cell r="H1024">
            <v>35</v>
          </cell>
          <cell r="I1024">
            <v>30</v>
          </cell>
          <cell r="J1024">
            <v>27</v>
          </cell>
          <cell r="K1024">
            <v>15.731</v>
          </cell>
          <cell r="L1024">
            <v>0.10924305555555555</v>
          </cell>
          <cell r="M1024">
            <v>2.835E-2</v>
          </cell>
        </row>
        <row r="1025">
          <cell r="A1025">
            <v>10110004</v>
          </cell>
          <cell r="B1025">
            <v>3118220034532</v>
          </cell>
          <cell r="C1025" t="str">
            <v>13118220034539</v>
          </cell>
          <cell r="D1025" t="str">
            <v>23118220034536</v>
          </cell>
          <cell r="E1025" t="str">
            <v>OFFICE LAGUIOLE HERITAGE MANCHE PAKKAWOOD EN BOITE CARTON</v>
          </cell>
          <cell r="F1025">
            <v>6</v>
          </cell>
          <cell r="G1025">
            <v>6</v>
          </cell>
          <cell r="H1025">
            <v>33</v>
          </cell>
          <cell r="I1025">
            <v>17.5</v>
          </cell>
          <cell r="J1025">
            <v>11.5</v>
          </cell>
          <cell r="K1025">
            <v>1.044</v>
          </cell>
          <cell r="L1025">
            <v>0.17400000000000002</v>
          </cell>
          <cell r="M1025">
            <v>6.6412500000000005E-3</v>
          </cell>
        </row>
        <row r="1026">
          <cell r="A1026">
            <v>10110005</v>
          </cell>
          <cell r="B1026">
            <v>3118220034549</v>
          </cell>
          <cell r="E1026" t="str">
            <v>LOT 2 STEAK LAGUIOLE HERITAGE MANCHE PAKKAWOOD BOITE CARTON</v>
          </cell>
          <cell r="F1026">
            <v>6</v>
          </cell>
          <cell r="G1026">
            <v>6</v>
          </cell>
          <cell r="H1026">
            <v>35</v>
          </cell>
          <cell r="I1026">
            <v>24</v>
          </cell>
          <cell r="J1026">
            <v>11.5</v>
          </cell>
          <cell r="K1026">
            <v>2.0099999999999998</v>
          </cell>
          <cell r="L1026">
            <v>0.33499999999999996</v>
          </cell>
          <cell r="M1026">
            <v>9.6599999999999984E-3</v>
          </cell>
        </row>
        <row r="1027">
          <cell r="A1027">
            <v>10110006</v>
          </cell>
          <cell r="B1027">
            <v>3118220034556</v>
          </cell>
          <cell r="C1027" t="str">
            <v>13118220034553</v>
          </cell>
          <cell r="D1027" t="str">
            <v>23118220034550</v>
          </cell>
          <cell r="E1027" t="str">
            <v>CUISINE 16 LAGUIOLE HERITAGE MANCHE PAKKAWOOD BOITE CARTON</v>
          </cell>
          <cell r="F1027">
            <v>6</v>
          </cell>
          <cell r="G1027">
            <v>6</v>
          </cell>
          <cell r="H1027">
            <v>46</v>
          </cell>
          <cell r="I1027">
            <v>18</v>
          </cell>
          <cell r="J1027">
            <v>11</v>
          </cell>
          <cell r="K1027">
            <v>1.8839999999999999</v>
          </cell>
          <cell r="L1027">
            <v>0.314</v>
          </cell>
          <cell r="M1027">
            <v>9.1080000000000015E-3</v>
          </cell>
        </row>
        <row r="1028">
          <cell r="A1028">
            <v>10110007</v>
          </cell>
          <cell r="B1028">
            <v>3118220034563</v>
          </cell>
          <cell r="C1028" t="str">
            <v>13118220034560</v>
          </cell>
          <cell r="D1028" t="str">
            <v>23118220034567</v>
          </cell>
          <cell r="E1028" t="str">
            <v>UTILITAIRE LAGUIOLE HERITAGE MANCHE PAKKAWOOD EN BTE CARTON</v>
          </cell>
          <cell r="F1028">
            <v>6</v>
          </cell>
          <cell r="G1028">
            <v>6</v>
          </cell>
          <cell r="H1028">
            <v>35.5</v>
          </cell>
          <cell r="I1028">
            <v>18.5</v>
          </cell>
          <cell r="J1028">
            <v>11</v>
          </cell>
          <cell r="K1028">
            <v>1.1279999999999999</v>
          </cell>
          <cell r="L1028">
            <v>0.18799999999999997</v>
          </cell>
          <cell r="M1028">
            <v>7.2242499999999998E-3</v>
          </cell>
        </row>
        <row r="1029">
          <cell r="A1029">
            <v>10110008</v>
          </cell>
          <cell r="B1029">
            <v>3118220034570</v>
          </cell>
          <cell r="C1029" t="str">
            <v>13118220034577</v>
          </cell>
          <cell r="D1029" t="str">
            <v>23118220034574</v>
          </cell>
          <cell r="E1029" t="str">
            <v>CHEF 22 LAGUIOLE HERITAGE MANCHE PAKKAWOOD EN BOITE CARTON</v>
          </cell>
          <cell r="F1029">
            <v>6</v>
          </cell>
          <cell r="G1029">
            <v>6</v>
          </cell>
          <cell r="H1029">
            <v>46</v>
          </cell>
          <cell r="I1029">
            <v>18</v>
          </cell>
          <cell r="J1029">
            <v>10.7</v>
          </cell>
          <cell r="K1029">
            <v>2.04</v>
          </cell>
          <cell r="L1029">
            <v>0.34</v>
          </cell>
          <cell r="M1029">
            <v>8.8596000000000005E-3</v>
          </cell>
        </row>
        <row r="1030">
          <cell r="A1030">
            <v>10110009</v>
          </cell>
          <cell r="B1030">
            <v>3118220034587</v>
          </cell>
          <cell r="C1030" t="str">
            <v>13118220034584</v>
          </cell>
          <cell r="D1030" t="str">
            <v>23118220034581</v>
          </cell>
          <cell r="E1030" t="str">
            <v>SANTOKU LAGUIOLE HERITAGE MANCHE PAKKAWOOD EN BOITE CARTON</v>
          </cell>
          <cell r="F1030">
            <v>6</v>
          </cell>
          <cell r="G1030">
            <v>6</v>
          </cell>
          <cell r="H1030">
            <v>48</v>
          </cell>
          <cell r="I1030">
            <v>18.5</v>
          </cell>
          <cell r="J1030">
            <v>12</v>
          </cell>
          <cell r="K1030">
            <v>2.0099999999999998</v>
          </cell>
          <cell r="L1030">
            <v>0.33499999999999996</v>
          </cell>
          <cell r="M1030">
            <v>1.0655999999999999E-2</v>
          </cell>
        </row>
        <row r="1031">
          <cell r="A1031">
            <v>10110010</v>
          </cell>
          <cell r="B1031">
            <v>3118220034594</v>
          </cell>
          <cell r="C1031" t="str">
            <v>13118220034591</v>
          </cell>
          <cell r="D1031" t="str">
            <v>23118220034598</v>
          </cell>
          <cell r="E1031" t="str">
            <v>PAIN LAGUIOLE HERITAGE MANCHE PAKKAWOOD EN BOITE CARTON</v>
          </cell>
          <cell r="F1031">
            <v>6</v>
          </cell>
          <cell r="G1031">
            <v>6</v>
          </cell>
          <cell r="H1031">
            <v>48</v>
          </cell>
          <cell r="I1031">
            <v>18.5</v>
          </cell>
          <cell r="J1031">
            <v>12</v>
          </cell>
          <cell r="K1031">
            <v>1.998</v>
          </cell>
          <cell r="L1031">
            <v>0.33300000000000002</v>
          </cell>
          <cell r="M1031">
            <v>1.0655999999999999E-2</v>
          </cell>
        </row>
        <row r="1032">
          <cell r="A1032">
            <v>10110011</v>
          </cell>
          <cell r="B1032">
            <v>3118220034600</v>
          </cell>
          <cell r="C1032" t="str">
            <v>13118220034607</v>
          </cell>
          <cell r="D1032" t="str">
            <v>23118220034604</v>
          </cell>
          <cell r="E1032" t="str">
            <v>BLOC POUR CTX DE CUISINE LAG HERITAGE ACACIA EN BOITE CARTON</v>
          </cell>
          <cell r="F1032">
            <v>2</v>
          </cell>
          <cell r="G1032">
            <v>2</v>
          </cell>
          <cell r="H1032">
            <v>30</v>
          </cell>
          <cell r="I1032">
            <v>17.5</v>
          </cell>
          <cell r="J1032">
            <v>29</v>
          </cell>
          <cell r="K1032">
            <v>4.3179999999999996</v>
          </cell>
          <cell r="L1032">
            <v>2.1589999999999998</v>
          </cell>
          <cell r="M1032">
            <v>1.5224999999999999E-2</v>
          </cell>
        </row>
        <row r="1033">
          <cell r="A1033">
            <v>10110012</v>
          </cell>
          <cell r="B1033">
            <v>3118220036055</v>
          </cell>
          <cell r="C1033" t="str">
            <v>13118220036052</v>
          </cell>
          <cell r="D1033" t="str">
            <v>23118220036059</v>
          </cell>
          <cell r="E1033" t="str">
            <v>JAMBON LAGUIOLE HERITAGE MANCHE PAKKAWOOD EN BOITE CARTON</v>
          </cell>
          <cell r="F1033">
            <v>6</v>
          </cell>
          <cell r="G1033">
            <v>6</v>
          </cell>
          <cell r="H1033">
            <v>48</v>
          </cell>
          <cell r="I1033">
            <v>18.5</v>
          </cell>
          <cell r="J1033">
            <v>12</v>
          </cell>
          <cell r="K1033">
            <v>1.581</v>
          </cell>
          <cell r="L1033">
            <v>0.26350000000000001</v>
          </cell>
          <cell r="M1033">
            <v>1.0655999999999999E-2</v>
          </cell>
        </row>
        <row r="1034">
          <cell r="A1034">
            <v>10110013</v>
          </cell>
          <cell r="B1034">
            <v>3118220036062</v>
          </cell>
          <cell r="C1034" t="str">
            <v>13118220036069</v>
          </cell>
          <cell r="D1034" t="str">
            <v>23118220036066</v>
          </cell>
          <cell r="E1034" t="str">
            <v>FUSIL A AIGUISER MANCHE ACACIA</v>
          </cell>
          <cell r="F1034">
            <v>36</v>
          </cell>
          <cell r="G1034">
            <v>6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</row>
        <row r="1035">
          <cell r="A1035">
            <v>10110014</v>
          </cell>
          <cell r="B1035">
            <v>3118220044548</v>
          </cell>
          <cell r="E1035" t="str">
            <v>STEAK LAGUIOLE HERITAGE MANCHE PAKKAWOOD BOITE CARTON</v>
          </cell>
          <cell r="F1035">
            <v>6</v>
          </cell>
          <cell r="G1035">
            <v>6</v>
          </cell>
          <cell r="H1035">
            <v>35.5</v>
          </cell>
          <cell r="I1035">
            <v>18.5</v>
          </cell>
          <cell r="J1035">
            <v>11</v>
          </cell>
          <cell r="K1035">
            <v>1.06</v>
          </cell>
          <cell r="L1035">
            <v>0.17666666666666667</v>
          </cell>
          <cell r="M1035">
            <v>7.2242499999999998E-3</v>
          </cell>
        </row>
        <row r="1036">
          <cell r="A1036">
            <v>10110015</v>
          </cell>
          <cell r="B1036">
            <v>3118220044555</v>
          </cell>
          <cell r="E1036" t="str">
            <v>MULTI USAGE DENTE LAG HERITAGE MANCHE PAKKAWOOD BTE CARTON</v>
          </cell>
          <cell r="F1036">
            <v>6</v>
          </cell>
          <cell r="G1036">
            <v>6</v>
          </cell>
          <cell r="H1036">
            <v>35.5</v>
          </cell>
          <cell r="I1036">
            <v>18.5</v>
          </cell>
          <cell r="J1036">
            <v>11</v>
          </cell>
          <cell r="K1036">
            <v>0</v>
          </cell>
          <cell r="L1036">
            <v>0</v>
          </cell>
          <cell r="M1036">
            <v>7.2242499999999998E-3</v>
          </cell>
        </row>
        <row r="1037">
          <cell r="A1037">
            <v>10110016</v>
          </cell>
          <cell r="B1037">
            <v>3118220045095</v>
          </cell>
          <cell r="E1037" t="str">
            <v>OFFICE LAGUIOLE HERITAGE MANCHE PAKKAWOOD EN VRAC</v>
          </cell>
          <cell r="F1037">
            <v>50</v>
          </cell>
          <cell r="G1037">
            <v>25</v>
          </cell>
          <cell r="H1037">
            <v>28.5</v>
          </cell>
          <cell r="I1037">
            <v>26</v>
          </cell>
          <cell r="J1037">
            <v>12.5</v>
          </cell>
          <cell r="K1037">
            <v>5.57</v>
          </cell>
          <cell r="L1037">
            <v>0.1114</v>
          </cell>
          <cell r="M1037">
            <v>9.2624999999999999E-3</v>
          </cell>
        </row>
        <row r="1038">
          <cell r="A1038">
            <v>10110022</v>
          </cell>
          <cell r="B1038">
            <v>3118220045101</v>
          </cell>
          <cell r="E1038" t="str">
            <v>SANTOKU LAGUIOLE HERITAGE MANCHE PAKKAWOOD EN VRAC</v>
          </cell>
          <cell r="F1038">
            <v>50</v>
          </cell>
          <cell r="G1038">
            <v>25</v>
          </cell>
          <cell r="H1038">
            <v>36</v>
          </cell>
          <cell r="I1038">
            <v>18</v>
          </cell>
          <cell r="J1038">
            <v>21.5</v>
          </cell>
          <cell r="K1038">
            <v>12.58</v>
          </cell>
          <cell r="L1038">
            <v>0.25159999999999999</v>
          </cell>
          <cell r="M1038">
            <v>1.3932E-2</v>
          </cell>
        </row>
        <row r="1039">
          <cell r="A1039">
            <v>10110024</v>
          </cell>
          <cell r="B1039">
            <v>3661075340872</v>
          </cell>
          <cell r="C1039" t="str">
            <v xml:space="preserve"> /</v>
          </cell>
          <cell r="D1039" t="str">
            <v>3661075340889</v>
          </cell>
          <cell r="E1039" t="str">
            <v>LAG HERITAGE COUTEAUX STEAK BOIS D'OLIVIER 4PCS POLYFLAME</v>
          </cell>
          <cell r="F1039">
            <v>12</v>
          </cell>
          <cell r="G1039">
            <v>12</v>
          </cell>
          <cell r="H1039">
            <v>29.5</v>
          </cell>
          <cell r="I1039">
            <v>18</v>
          </cell>
          <cell r="J1039">
            <v>20</v>
          </cell>
          <cell r="K1039">
            <v>2.2000000000000002</v>
          </cell>
          <cell r="L1039">
            <v>0.18333333333333335</v>
          </cell>
          <cell r="M1039">
            <v>1.0619999999999997E-2</v>
          </cell>
        </row>
        <row r="1040">
          <cell r="A1040">
            <v>10110025</v>
          </cell>
          <cell r="B1040">
            <v>3661075340896</v>
          </cell>
          <cell r="C1040" t="str">
            <v xml:space="preserve"> /</v>
          </cell>
          <cell r="D1040" t="str">
            <v>3661075340902</v>
          </cell>
          <cell r="E1040" t="str">
            <v>LAG HERITAGE COUTEAUX STEAK NOYER 6PCS POLYFLAME</v>
          </cell>
          <cell r="F1040">
            <v>12</v>
          </cell>
          <cell r="G1040">
            <v>12</v>
          </cell>
          <cell r="H1040">
            <v>36.5</v>
          </cell>
          <cell r="I1040">
            <v>26.5</v>
          </cell>
          <cell r="J1040">
            <v>18.5</v>
          </cell>
          <cell r="K1040">
            <v>5.7</v>
          </cell>
          <cell r="L1040">
            <v>0.47500000000000003</v>
          </cell>
          <cell r="M1040">
            <v>1.7894124999999997E-2</v>
          </cell>
        </row>
        <row r="1041">
          <cell r="A1041">
            <v>10110026</v>
          </cell>
          <cell r="B1041">
            <v>3661075340971</v>
          </cell>
          <cell r="C1041" t="str">
            <v xml:space="preserve"> /</v>
          </cell>
          <cell r="D1041" t="str">
            <v>3661075340988</v>
          </cell>
          <cell r="E1041" t="str">
            <v>LAG HERITAGE COUTEAU PLIANT EN BOIS ZEBRA POLYFLAME</v>
          </cell>
          <cell r="F1041">
            <v>100</v>
          </cell>
          <cell r="G1041">
            <v>100</v>
          </cell>
          <cell r="H1041">
            <v>34.5</v>
          </cell>
          <cell r="I1041">
            <v>31.5</v>
          </cell>
          <cell r="J1041">
            <v>33</v>
          </cell>
          <cell r="K1041">
            <v>17.5</v>
          </cell>
          <cell r="L1041">
            <v>0.17499999999999999</v>
          </cell>
          <cell r="M1041">
            <v>3.5862749999999999E-2</v>
          </cell>
        </row>
        <row r="1042">
          <cell r="A1042">
            <v>10110027</v>
          </cell>
          <cell r="B1042">
            <v>3661075340995</v>
          </cell>
          <cell r="C1042" t="str">
            <v xml:space="preserve"> /</v>
          </cell>
          <cell r="D1042" t="str">
            <v>3661075341008</v>
          </cell>
          <cell r="E1042" t="str">
            <v>LAG HERITAGE COUTEAU PLIANT ARABESQUE POLYFLAME</v>
          </cell>
          <cell r="F1042">
            <v>100</v>
          </cell>
          <cell r="G1042">
            <v>100</v>
          </cell>
          <cell r="H1042">
            <v>33.200000000000003</v>
          </cell>
          <cell r="I1042">
            <v>30.6</v>
          </cell>
          <cell r="J1042">
            <v>30</v>
          </cell>
          <cell r="K1042">
            <v>15.5</v>
          </cell>
          <cell r="L1042">
            <v>0.155</v>
          </cell>
          <cell r="M1042">
            <v>3.0477600000000004E-2</v>
          </cell>
        </row>
        <row r="1043">
          <cell r="A1043">
            <v>10110028</v>
          </cell>
          <cell r="B1043">
            <v>3661075341015</v>
          </cell>
          <cell r="C1043" t="str">
            <v xml:space="preserve"> /</v>
          </cell>
          <cell r="D1043" t="str">
            <v>3661075341022</v>
          </cell>
          <cell r="E1043" t="str">
            <v>LAG HERIT CTX 11 FONCTIONS BOIS DE ROSE ÉTUI CUIR POLYFLAME</v>
          </cell>
          <cell r="F1043">
            <v>100</v>
          </cell>
          <cell r="G1043">
            <v>100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</row>
        <row r="1044">
          <cell r="A1044">
            <v>10110029</v>
          </cell>
          <cell r="B1044">
            <v>3661075352523</v>
          </cell>
          <cell r="C1044" t="str">
            <v xml:space="preserve"> /</v>
          </cell>
          <cell r="D1044" t="str">
            <v>3661075352530</v>
          </cell>
          <cell r="E1044" t="str">
            <v>LAG HERITAGE COUTEAUX STEAK ACIDULÉS 6 PCS POLYFLAME</v>
          </cell>
          <cell r="F1044">
            <v>6</v>
          </cell>
          <cell r="G1044">
            <v>6</v>
          </cell>
          <cell r="H1044">
            <v>29.5</v>
          </cell>
          <cell r="I1044">
            <v>18</v>
          </cell>
          <cell r="J1044">
            <v>20</v>
          </cell>
          <cell r="K1044">
            <v>2.6</v>
          </cell>
          <cell r="L1044">
            <v>0.43333333333333335</v>
          </cell>
          <cell r="M1044">
            <v>1.0619999999999997E-2</v>
          </cell>
        </row>
        <row r="1045">
          <cell r="A1045">
            <v>10110030</v>
          </cell>
          <cell r="B1045">
            <v>3661075352547</v>
          </cell>
          <cell r="C1045" t="str">
            <v xml:space="preserve"> /</v>
          </cell>
          <cell r="D1045" t="str">
            <v>3661075352554</v>
          </cell>
          <cell r="E1045" t="str">
            <v>LAG HERITAGE COFFRET 6PCS TOUT INOX POLYFLAME</v>
          </cell>
          <cell r="F1045">
            <v>6</v>
          </cell>
          <cell r="G1045">
            <v>6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</row>
        <row r="1046">
          <cell r="A1046">
            <v>10110031</v>
          </cell>
          <cell r="B1046">
            <v>3661075352561</v>
          </cell>
          <cell r="C1046" t="str">
            <v xml:space="preserve"> /</v>
          </cell>
          <cell r="D1046" t="str">
            <v>3661075352578</v>
          </cell>
          <cell r="E1046" t="str">
            <v>LAG HERITAGE COFFRET 6PCS ABS POLYFLAME</v>
          </cell>
          <cell r="F1046">
            <v>6</v>
          </cell>
          <cell r="G1046">
            <v>6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</row>
        <row r="1047">
          <cell r="A1047">
            <v>10110032</v>
          </cell>
          <cell r="B1047">
            <v>3661075363031</v>
          </cell>
          <cell r="C1047" t="str">
            <v xml:space="preserve"> /</v>
          </cell>
          <cell r="D1047" t="str">
            <v>3661075363048</v>
          </cell>
          <cell r="E1047" t="str">
            <v>LAG HERITAGE COUTEAUX DE CHEF 5PCS METAL POLYFLAME</v>
          </cell>
          <cell r="F1047">
            <v>6</v>
          </cell>
          <cell r="G1047">
            <v>6</v>
          </cell>
          <cell r="H1047">
            <v>43.5</v>
          </cell>
          <cell r="I1047">
            <v>26.8</v>
          </cell>
          <cell r="J1047">
            <v>22.5</v>
          </cell>
          <cell r="K1047">
            <v>9</v>
          </cell>
          <cell r="L1047">
            <v>1.5</v>
          </cell>
          <cell r="M1047">
            <v>2.6230499999999997E-2</v>
          </cell>
        </row>
        <row r="1048">
          <cell r="A1048">
            <v>10110033</v>
          </cell>
          <cell r="B1048">
            <v>3661075363055</v>
          </cell>
          <cell r="C1048" t="str">
            <v xml:space="preserve"> /</v>
          </cell>
          <cell r="D1048" t="str">
            <v>3661075363062</v>
          </cell>
          <cell r="E1048" t="str">
            <v>LAG HERITAGE COUTEAUX DE CHEF 3PCS PAKKAWOOD POLYFLAME</v>
          </cell>
          <cell r="F1048">
            <v>6</v>
          </cell>
          <cell r="G1048">
            <v>6</v>
          </cell>
          <cell r="H1048">
            <v>43.5</v>
          </cell>
          <cell r="I1048">
            <v>18.5</v>
          </cell>
          <cell r="J1048">
            <v>23</v>
          </cell>
          <cell r="K1048">
            <v>6.5</v>
          </cell>
          <cell r="L1048">
            <v>1.0833333333333333</v>
          </cell>
          <cell r="M1048">
            <v>1.8509249999999998E-2</v>
          </cell>
        </row>
        <row r="1049">
          <cell r="A1049">
            <v>10110034</v>
          </cell>
          <cell r="B1049" t="str">
            <v>3118220054783</v>
          </cell>
          <cell r="C1049" t="str">
            <v>13118220054780</v>
          </cell>
          <cell r="D1049" t="str">
            <v>23118220054787</v>
          </cell>
          <cell r="E1049" t="str">
            <v>COUTEAU PLIANT MANCHE PAKKAWOOD SS COQUE LAGUIOLE HERITAGE</v>
          </cell>
          <cell r="F1049">
            <v>36</v>
          </cell>
          <cell r="G1049">
            <v>6</v>
          </cell>
          <cell r="K1049">
            <v>0</v>
          </cell>
          <cell r="L1049">
            <v>0</v>
          </cell>
          <cell r="M1049">
            <v>0</v>
          </cell>
        </row>
        <row r="1050">
          <cell r="A1050">
            <v>10110035</v>
          </cell>
          <cell r="B1050" t="str">
            <v>3118220054806</v>
          </cell>
          <cell r="C1050" t="str">
            <v>13118220054803</v>
          </cell>
          <cell r="D1050" t="str">
            <v>23118220054800</v>
          </cell>
          <cell r="E1050" t="str">
            <v>OFFICE 9 LAGUIOLE HERITAGE MANCHE METAL SATINE EN BTE CARTON</v>
          </cell>
          <cell r="F1050">
            <v>36</v>
          </cell>
          <cell r="G1050">
            <v>6</v>
          </cell>
          <cell r="K1050">
            <v>0</v>
          </cell>
          <cell r="L1050">
            <v>0</v>
          </cell>
          <cell r="M1050">
            <v>0</v>
          </cell>
        </row>
        <row r="1051">
          <cell r="A1051">
            <v>10110036</v>
          </cell>
          <cell r="B1051" t="str">
            <v>3118220054813</v>
          </cell>
          <cell r="C1051" t="str">
            <v>13118220054810</v>
          </cell>
          <cell r="D1051" t="str">
            <v>23118220054817</v>
          </cell>
          <cell r="E1051" t="str">
            <v>STEAK 12 LAGUIOLE HERITAGE MANCHE METAL SATINE EN BTE CARTON</v>
          </cell>
          <cell r="F1051">
            <v>36</v>
          </cell>
          <cell r="G1051">
            <v>6</v>
          </cell>
          <cell r="K1051">
            <v>0</v>
          </cell>
          <cell r="L1051">
            <v>0</v>
          </cell>
          <cell r="M1051">
            <v>0</v>
          </cell>
        </row>
        <row r="1052">
          <cell r="A1052">
            <v>10110037</v>
          </cell>
          <cell r="B1052" t="str">
            <v>3118220054820</v>
          </cell>
          <cell r="C1052" t="str">
            <v>13118220054827</v>
          </cell>
          <cell r="D1052" t="str">
            <v>23118220054824</v>
          </cell>
          <cell r="E1052" t="str">
            <v>MULTI USAGE DENT 12 LAG HERITAG MANCHE METAL SATIN BTE CARTO</v>
          </cell>
          <cell r="F1052">
            <v>36</v>
          </cell>
          <cell r="G1052">
            <v>6</v>
          </cell>
          <cell r="K1052">
            <v>0</v>
          </cell>
          <cell r="L1052">
            <v>0</v>
          </cell>
          <cell r="M1052">
            <v>0</v>
          </cell>
        </row>
        <row r="1053">
          <cell r="A1053">
            <v>10110038</v>
          </cell>
          <cell r="B1053" t="str">
            <v>3118220054837</v>
          </cell>
          <cell r="C1053" t="str">
            <v>13118220054834</v>
          </cell>
          <cell r="D1053" t="str">
            <v>23118220054831</v>
          </cell>
          <cell r="E1053" t="str">
            <v>CUISINE 17 LAGUIOLE HERITAGE MANCHE METAL SATINE BTE CARTON</v>
          </cell>
          <cell r="F1053">
            <v>36</v>
          </cell>
          <cell r="G1053">
            <v>6</v>
          </cell>
          <cell r="K1053">
            <v>0</v>
          </cell>
          <cell r="L1053">
            <v>0</v>
          </cell>
          <cell r="M1053">
            <v>0</v>
          </cell>
        </row>
        <row r="1054">
          <cell r="A1054">
            <v>10110039</v>
          </cell>
          <cell r="B1054" t="str">
            <v>3118220054844</v>
          </cell>
          <cell r="C1054" t="str">
            <v>13118220054841</v>
          </cell>
          <cell r="D1054" t="str">
            <v>23118220054848</v>
          </cell>
          <cell r="E1054" t="str">
            <v>CHEF 22 LAGUIOLE HERITAGE MANCHE METAL SATINE BTE CARTON</v>
          </cell>
          <cell r="F1054">
            <v>36</v>
          </cell>
          <cell r="G1054">
            <v>6</v>
          </cell>
          <cell r="K1054">
            <v>0</v>
          </cell>
          <cell r="L1054">
            <v>0</v>
          </cell>
          <cell r="M1054">
            <v>0</v>
          </cell>
        </row>
        <row r="1055">
          <cell r="A1055">
            <v>10110040</v>
          </cell>
          <cell r="B1055" t="str">
            <v>3118220054851</v>
          </cell>
          <cell r="C1055" t="str">
            <v>13118220054858</v>
          </cell>
          <cell r="D1055" t="str">
            <v>23118220054855</v>
          </cell>
          <cell r="E1055" t="str">
            <v>SANTOKU 18 LAGUIOLE HERITAGE MANCHE METAL SATINE BTE CARTON</v>
          </cell>
          <cell r="F1055">
            <v>36</v>
          </cell>
          <cell r="G1055">
            <v>6</v>
          </cell>
          <cell r="K1055">
            <v>0</v>
          </cell>
          <cell r="L1055">
            <v>0</v>
          </cell>
          <cell r="M1055">
            <v>0</v>
          </cell>
        </row>
        <row r="1056">
          <cell r="A1056">
            <v>10110041</v>
          </cell>
          <cell r="B1056" t="str">
            <v>3661075394592</v>
          </cell>
          <cell r="C1056" t="str">
            <v xml:space="preserve"> /</v>
          </cell>
          <cell r="D1056" t="str">
            <v>3661075394608</v>
          </cell>
          <cell r="E1056" t="str">
            <v>LAG HERITAGE COUTEAU PLIANT DAMAS PAKKAWOOD POLYFLAME</v>
          </cell>
          <cell r="F1056">
            <v>100</v>
          </cell>
          <cell r="G1056">
            <v>100</v>
          </cell>
          <cell r="H1056">
            <v>33.200000000000003</v>
          </cell>
          <cell r="I1056">
            <v>30.6</v>
          </cell>
          <cell r="J1056">
            <v>30</v>
          </cell>
          <cell r="L1056">
            <v>0</v>
          </cell>
          <cell r="M1056">
            <v>3.0477600000000004E-2</v>
          </cell>
        </row>
        <row r="1057">
          <cell r="A1057">
            <v>10110042</v>
          </cell>
          <cell r="B1057" t="str">
            <v>3661075394578</v>
          </cell>
          <cell r="C1057" t="str">
            <v xml:space="preserve"> /</v>
          </cell>
          <cell r="D1057" t="str">
            <v>3661075394585</v>
          </cell>
          <cell r="E1057" t="str">
            <v>LAG HERITAGE COUTEAU PLIANT VENITIEN NOIR POLYFLAME</v>
          </cell>
          <cell r="F1057">
            <v>100</v>
          </cell>
          <cell r="G1057">
            <v>100</v>
          </cell>
          <cell r="H1057">
            <v>33.200000000000003</v>
          </cell>
          <cell r="I1057">
            <v>30.6</v>
          </cell>
          <cell r="J1057">
            <v>30</v>
          </cell>
          <cell r="L1057">
            <v>0</v>
          </cell>
          <cell r="M1057">
            <v>3.0477600000000004E-2</v>
          </cell>
        </row>
        <row r="1058">
          <cell r="A1058">
            <v>10110043</v>
          </cell>
          <cell r="B1058" t="str">
            <v>3661075394530</v>
          </cell>
          <cell r="C1058" t="str">
            <v xml:space="preserve"> /</v>
          </cell>
          <cell r="D1058" t="str">
            <v>3661075394547</v>
          </cell>
          <cell r="E1058" t="str">
            <v>COFFRET 6 PCS MIF ACCESS NOIR POLYFLAME</v>
          </cell>
          <cell r="F1058">
            <v>6</v>
          </cell>
          <cell r="G1058">
            <v>6</v>
          </cell>
          <cell r="H1058">
            <v>0</v>
          </cell>
          <cell r="I1058">
            <v>0</v>
          </cell>
          <cell r="J1058">
            <v>0</v>
          </cell>
          <cell r="L1058">
            <v>0</v>
          </cell>
          <cell r="M1058">
            <v>0</v>
          </cell>
        </row>
        <row r="1059">
          <cell r="A1059">
            <v>10120010</v>
          </cell>
          <cell r="B1059">
            <v>3118220017818</v>
          </cell>
          <cell r="E1059" t="str">
            <v>OFFICE 10CM FORGE MAESTRO IDEAL EN BERLINGOT</v>
          </cell>
          <cell r="F1059">
            <v>6</v>
          </cell>
          <cell r="G1059">
            <v>6</v>
          </cell>
          <cell r="H1059">
            <v>41</v>
          </cell>
          <cell r="I1059">
            <v>13</v>
          </cell>
          <cell r="J1059">
            <v>9</v>
          </cell>
          <cell r="K1059">
            <v>0.42</v>
          </cell>
          <cell r="L1059">
            <v>6.9999999999999993E-2</v>
          </cell>
          <cell r="M1059">
            <v>4.797E-3</v>
          </cell>
        </row>
        <row r="1060">
          <cell r="A1060">
            <v>10120011</v>
          </cell>
          <cell r="B1060">
            <v>3118220017825</v>
          </cell>
          <cell r="E1060" t="str">
            <v>STEAK 13CM FORGE MAESTRO IDEAL EN BERLINGOT</v>
          </cell>
          <cell r="F1060">
            <v>6</v>
          </cell>
          <cell r="G1060">
            <v>6</v>
          </cell>
          <cell r="H1060">
            <v>32</v>
          </cell>
          <cell r="I1060">
            <v>14.5</v>
          </cell>
          <cell r="J1060">
            <v>8</v>
          </cell>
          <cell r="K1060">
            <v>0.59</v>
          </cell>
          <cell r="L1060">
            <v>9.8333333333333328E-2</v>
          </cell>
          <cell r="M1060">
            <v>3.7119999999999996E-3</v>
          </cell>
        </row>
        <row r="1061">
          <cell r="A1061">
            <v>10120012</v>
          </cell>
          <cell r="B1061">
            <v>3118220017832</v>
          </cell>
          <cell r="E1061" t="str">
            <v>DESOSSER 15CM FORGE MAESTRO SOUS GAINE</v>
          </cell>
          <cell r="F1061">
            <v>6</v>
          </cell>
          <cell r="G1061">
            <v>6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</row>
        <row r="1062">
          <cell r="A1062">
            <v>10120013</v>
          </cell>
          <cell r="B1062">
            <v>3118220017849</v>
          </cell>
          <cell r="E1062" t="str">
            <v>FILET DE SOLE 16CM FORGE MAESTRO SOUS GAINE</v>
          </cell>
          <cell r="F1062">
            <v>6</v>
          </cell>
          <cell r="G1062">
            <v>6</v>
          </cell>
          <cell r="H1062">
            <v>46</v>
          </cell>
          <cell r="I1062">
            <v>15</v>
          </cell>
          <cell r="J1062">
            <v>12</v>
          </cell>
          <cell r="K1062">
            <v>0.86</v>
          </cell>
          <cell r="L1062">
            <v>0.14333333333333334</v>
          </cell>
          <cell r="M1062">
            <v>8.2800000000000009E-3</v>
          </cell>
        </row>
        <row r="1063">
          <cell r="A1063">
            <v>10120014</v>
          </cell>
          <cell r="B1063">
            <v>3118220017856</v>
          </cell>
          <cell r="E1063" t="str">
            <v>CUISINE 15CM FORGE MAESTRO SOUS GAINE</v>
          </cell>
          <cell r="F1063">
            <v>6</v>
          </cell>
          <cell r="G1063">
            <v>6</v>
          </cell>
          <cell r="H1063">
            <v>31.5</v>
          </cell>
          <cell r="I1063">
            <v>19</v>
          </cell>
          <cell r="J1063">
            <v>9.5</v>
          </cell>
          <cell r="K1063">
            <v>0.85099999999999998</v>
          </cell>
          <cell r="L1063">
            <v>0.14183333333333334</v>
          </cell>
          <cell r="M1063">
            <v>5.6857500000000007E-3</v>
          </cell>
        </row>
        <row r="1064">
          <cell r="A1064">
            <v>10120015</v>
          </cell>
          <cell r="B1064">
            <v>3118220017863</v>
          </cell>
          <cell r="E1064" t="str">
            <v>CUISINE 30CM FORGE MAESTRO EN BERLINGOT</v>
          </cell>
          <cell r="F1064">
            <v>6</v>
          </cell>
          <cell r="G1064">
            <v>6</v>
          </cell>
          <cell r="H1064">
            <v>48</v>
          </cell>
          <cell r="I1064">
            <v>15</v>
          </cell>
          <cell r="J1064">
            <v>11</v>
          </cell>
          <cell r="K1064">
            <v>2.74</v>
          </cell>
          <cell r="L1064">
            <v>0.45666666666666672</v>
          </cell>
          <cell r="M1064">
            <v>7.92E-3</v>
          </cell>
        </row>
        <row r="1065">
          <cell r="A1065">
            <v>10120016</v>
          </cell>
          <cell r="B1065">
            <v>3118220017870</v>
          </cell>
          <cell r="E1065" t="str">
            <v>CUISINE 35CM FORGE MAESTRO EN BERLINGOT</v>
          </cell>
          <cell r="F1065">
            <v>6</v>
          </cell>
          <cell r="G1065">
            <v>6</v>
          </cell>
          <cell r="H1065">
            <v>57</v>
          </cell>
          <cell r="I1065">
            <v>17</v>
          </cell>
          <cell r="J1065">
            <v>12</v>
          </cell>
          <cell r="K1065">
            <v>3.51</v>
          </cell>
          <cell r="L1065">
            <v>0.58499999999999996</v>
          </cell>
          <cell r="M1065">
            <v>1.1628000000000001E-2</v>
          </cell>
        </row>
        <row r="1066">
          <cell r="A1066">
            <v>10120018</v>
          </cell>
          <cell r="B1066">
            <v>3118220017894</v>
          </cell>
          <cell r="E1066" t="str">
            <v>TRANCHELARD 15CM FORGE MAESTRO IDEAL EN BERLINGOT</v>
          </cell>
          <cell r="F1066">
            <v>6</v>
          </cell>
          <cell r="G1066">
            <v>6</v>
          </cell>
          <cell r="H1066">
            <v>43.5</v>
          </cell>
          <cell r="I1066">
            <v>16.5</v>
          </cell>
          <cell r="J1066">
            <v>11</v>
          </cell>
          <cell r="K1066">
            <v>0.99</v>
          </cell>
          <cell r="L1066">
            <v>0.16500000000000001</v>
          </cell>
          <cell r="M1066">
            <v>7.8952499999999995E-3</v>
          </cell>
        </row>
        <row r="1067">
          <cell r="A1067">
            <v>10120019</v>
          </cell>
          <cell r="B1067">
            <v>3118220017900</v>
          </cell>
          <cell r="E1067" t="str">
            <v>TRANCHELARD 20CM FORGE MAESTRO IDEAL EN BERLINGOT</v>
          </cell>
          <cell r="F1067">
            <v>6</v>
          </cell>
          <cell r="G1067">
            <v>6</v>
          </cell>
          <cell r="H1067">
            <v>43.5</v>
          </cell>
          <cell r="I1067">
            <v>16.5</v>
          </cell>
          <cell r="J1067">
            <v>11</v>
          </cell>
          <cell r="K1067">
            <v>0.9</v>
          </cell>
          <cell r="L1067">
            <v>0.15</v>
          </cell>
          <cell r="M1067">
            <v>7.8952499999999995E-3</v>
          </cell>
        </row>
        <row r="1068">
          <cell r="A1068">
            <v>10120021</v>
          </cell>
          <cell r="B1068">
            <v>3118220017924</v>
          </cell>
          <cell r="E1068" t="str">
            <v>TRANCHELARD 30CM FORGE MAESTRO EN BERLINGOT</v>
          </cell>
          <cell r="F1068">
            <v>6</v>
          </cell>
          <cell r="G1068">
            <v>6</v>
          </cell>
          <cell r="H1068">
            <v>48</v>
          </cell>
          <cell r="I1068">
            <v>15</v>
          </cell>
          <cell r="J1068">
            <v>11</v>
          </cell>
          <cell r="K1068">
            <v>1.65</v>
          </cell>
          <cell r="L1068">
            <v>0.27499999999999997</v>
          </cell>
          <cell r="M1068">
            <v>7.92E-3</v>
          </cell>
        </row>
        <row r="1069">
          <cell r="A1069">
            <v>10120022</v>
          </cell>
          <cell r="B1069">
            <v>3118220017931</v>
          </cell>
          <cell r="E1069" t="str">
            <v>JAMBON POINTU 30CM FORGE MAESTRO EN BERLINGOT</v>
          </cell>
          <cell r="F1069">
            <v>6</v>
          </cell>
          <cell r="G1069">
            <v>6</v>
          </cell>
          <cell r="H1069">
            <v>48</v>
          </cell>
          <cell r="I1069">
            <v>15</v>
          </cell>
          <cell r="J1069">
            <v>11</v>
          </cell>
          <cell r="K1069">
            <v>1.2</v>
          </cell>
          <cell r="L1069">
            <v>0.19999999999999998</v>
          </cell>
          <cell r="M1069">
            <v>7.92E-3</v>
          </cell>
        </row>
        <row r="1070">
          <cell r="A1070">
            <v>10120023</v>
          </cell>
          <cell r="B1070">
            <v>3118224467527</v>
          </cell>
          <cell r="E1070" t="str">
            <v>FILET DE SOLE 17 CM FORGE POM FOURREAU LE COUTEAU DU CHEF</v>
          </cell>
          <cell r="F1070">
            <v>60</v>
          </cell>
          <cell r="G1070">
            <v>6</v>
          </cell>
          <cell r="H1070">
            <v>40</v>
          </cell>
          <cell r="I1070">
            <v>30</v>
          </cell>
          <cell r="J1070">
            <v>20</v>
          </cell>
          <cell r="K1070">
            <v>6.42</v>
          </cell>
          <cell r="L1070">
            <v>0.107</v>
          </cell>
          <cell r="M1070">
            <v>2.4E-2</v>
          </cell>
        </row>
        <row r="1071">
          <cell r="A1071">
            <v>10120024</v>
          </cell>
          <cell r="B1071">
            <v>3118220019812</v>
          </cell>
          <cell r="E1071" t="str">
            <v>CUISINE 20CM FORGE MAESTRO SOUS GAINE</v>
          </cell>
          <cell r="F1071">
            <v>6</v>
          </cell>
          <cell r="G1071">
            <v>6</v>
          </cell>
          <cell r="H1071">
            <v>43</v>
          </cell>
          <cell r="I1071">
            <v>16.5</v>
          </cell>
          <cell r="J1071">
            <v>11</v>
          </cell>
          <cell r="K1071">
            <v>1.262</v>
          </cell>
          <cell r="L1071">
            <v>0.21033333333333334</v>
          </cell>
          <cell r="M1071">
            <v>7.8044999999999998E-3</v>
          </cell>
        </row>
        <row r="1072">
          <cell r="A1072">
            <v>10120025</v>
          </cell>
          <cell r="B1072">
            <v>3118220019829</v>
          </cell>
          <cell r="E1072" t="str">
            <v>OFFICE 10CM FORGE MAESTRO EN BOITE RETAIL</v>
          </cell>
          <cell r="F1072">
            <v>6</v>
          </cell>
          <cell r="G1072">
            <v>6</v>
          </cell>
          <cell r="H1072">
            <v>29</v>
          </cell>
          <cell r="I1072">
            <v>24</v>
          </cell>
          <cell r="J1072">
            <v>9</v>
          </cell>
          <cell r="K1072">
            <v>1.679</v>
          </cell>
          <cell r="L1072">
            <v>0.27983333333333332</v>
          </cell>
          <cell r="M1072">
            <v>6.2639999999999996E-3</v>
          </cell>
        </row>
        <row r="1073">
          <cell r="A1073">
            <v>10120026</v>
          </cell>
          <cell r="B1073">
            <v>3118220019836</v>
          </cell>
          <cell r="E1073" t="str">
            <v>STEAK 13CM FORGE MAESTRO EN BOITE RETAIL</v>
          </cell>
          <cell r="F1073">
            <v>6</v>
          </cell>
          <cell r="G1073">
            <v>6</v>
          </cell>
          <cell r="H1073">
            <v>29</v>
          </cell>
          <cell r="I1073">
            <v>24</v>
          </cell>
          <cell r="J1073">
            <v>9</v>
          </cell>
          <cell r="K1073">
            <v>1.675</v>
          </cell>
          <cell r="L1073">
            <v>0.27916666666666667</v>
          </cell>
          <cell r="M1073">
            <v>6.2639999999999996E-3</v>
          </cell>
        </row>
        <row r="1074">
          <cell r="A1074">
            <v>10120027</v>
          </cell>
          <cell r="B1074">
            <v>3118220019843</v>
          </cell>
          <cell r="E1074" t="str">
            <v>DESOSSER 15CM FORGE MAESTRO EN BOITE RETAIL</v>
          </cell>
          <cell r="F1074">
            <v>6</v>
          </cell>
          <cell r="G1074">
            <v>6</v>
          </cell>
          <cell r="H1074">
            <v>39</v>
          </cell>
          <cell r="I1074">
            <v>19</v>
          </cell>
          <cell r="J1074">
            <v>11.5</v>
          </cell>
          <cell r="K1074">
            <v>2.0219999999999998</v>
          </cell>
          <cell r="L1074">
            <v>0.33699999999999997</v>
          </cell>
          <cell r="M1074">
            <v>8.5214999999999996E-3</v>
          </cell>
        </row>
        <row r="1075">
          <cell r="A1075">
            <v>10120028</v>
          </cell>
          <cell r="B1075">
            <v>3118220019850</v>
          </cell>
          <cell r="E1075" t="str">
            <v>FILET DE SOLE 16CM FORGE MAESTRO EN BOITE RETAIL</v>
          </cell>
          <cell r="F1075">
            <v>6</v>
          </cell>
          <cell r="G1075">
            <v>6</v>
          </cell>
          <cell r="H1075">
            <v>39</v>
          </cell>
          <cell r="I1075">
            <v>19</v>
          </cell>
          <cell r="J1075">
            <v>11.5</v>
          </cell>
          <cell r="K1075">
            <v>2.286</v>
          </cell>
          <cell r="L1075">
            <v>0.38100000000000001</v>
          </cell>
          <cell r="M1075">
            <v>8.5214999999999996E-3</v>
          </cell>
        </row>
        <row r="1076">
          <cell r="A1076">
            <v>10120029</v>
          </cell>
          <cell r="B1076">
            <v>3118220019867</v>
          </cell>
          <cell r="E1076" t="str">
            <v>CUISINE 15CM FORGE MAESTRO EN BOITE RETAIL</v>
          </cell>
          <cell r="F1076">
            <v>6</v>
          </cell>
          <cell r="G1076">
            <v>6</v>
          </cell>
          <cell r="H1076">
            <v>39</v>
          </cell>
          <cell r="I1076">
            <v>19</v>
          </cell>
          <cell r="J1076">
            <v>11.5</v>
          </cell>
          <cell r="K1076">
            <v>2.16</v>
          </cell>
          <cell r="L1076">
            <v>0.36000000000000004</v>
          </cell>
          <cell r="M1076">
            <v>8.5214999999999996E-3</v>
          </cell>
        </row>
        <row r="1077">
          <cell r="A1077">
            <v>10120030</v>
          </cell>
          <cell r="B1077">
            <v>3118220019874</v>
          </cell>
          <cell r="E1077" t="str">
            <v>CUISINE 20CM FORGE MAESTRO EN BOITE RETAIL</v>
          </cell>
          <cell r="F1077">
            <v>6</v>
          </cell>
          <cell r="G1077">
            <v>6</v>
          </cell>
          <cell r="H1077">
            <v>39</v>
          </cell>
          <cell r="I1077">
            <v>19</v>
          </cell>
          <cell r="J1077">
            <v>11.5</v>
          </cell>
          <cell r="K1077">
            <v>2.5499999999999998</v>
          </cell>
          <cell r="L1077">
            <v>0.42499999999999999</v>
          </cell>
          <cell r="M1077">
            <v>8.5214999999999996E-3</v>
          </cell>
        </row>
        <row r="1078">
          <cell r="A1078">
            <v>10120031</v>
          </cell>
          <cell r="B1078">
            <v>3118220019881</v>
          </cell>
          <cell r="E1078" t="str">
            <v>YATAGAN 22CM FORGE MAESTRO IDEAL EN BOITE RETAIL</v>
          </cell>
          <cell r="F1078">
            <v>6</v>
          </cell>
          <cell r="G1078">
            <v>6</v>
          </cell>
          <cell r="H1078">
            <v>39</v>
          </cell>
          <cell r="I1078">
            <v>19</v>
          </cell>
          <cell r="J1078">
            <v>11</v>
          </cell>
          <cell r="K1078">
            <v>2.78</v>
          </cell>
          <cell r="L1078">
            <v>0.46333333333333332</v>
          </cell>
          <cell r="M1078">
            <v>8.1509999999999985E-3</v>
          </cell>
        </row>
        <row r="1079">
          <cell r="A1079">
            <v>10120032</v>
          </cell>
          <cell r="B1079">
            <v>3118220019898</v>
          </cell>
          <cell r="E1079" t="str">
            <v>TRANCHELARD 15CM FORGE MAESTRO EN BOITE RETAIL</v>
          </cell>
          <cell r="F1079">
            <v>6</v>
          </cell>
          <cell r="G1079">
            <v>6</v>
          </cell>
          <cell r="H1079">
            <v>39</v>
          </cell>
          <cell r="I1079">
            <v>19</v>
          </cell>
          <cell r="J1079">
            <v>11.5</v>
          </cell>
          <cell r="K1079">
            <v>1.835</v>
          </cell>
          <cell r="L1079">
            <v>0.30583333333333335</v>
          </cell>
          <cell r="M1079">
            <v>8.5214999999999996E-3</v>
          </cell>
        </row>
        <row r="1080">
          <cell r="A1080">
            <v>10120033</v>
          </cell>
          <cell r="B1080">
            <v>3118220019904</v>
          </cell>
          <cell r="E1080" t="str">
            <v>TRANCHELARD 20CM FORGE MAESTRO EN BOITE RETAIL</v>
          </cell>
          <cell r="F1080">
            <v>6</v>
          </cell>
          <cell r="G1080">
            <v>6</v>
          </cell>
          <cell r="H1080">
            <v>39</v>
          </cell>
          <cell r="I1080">
            <v>19</v>
          </cell>
          <cell r="J1080">
            <v>11.5</v>
          </cell>
          <cell r="K1080">
            <v>2.778</v>
          </cell>
          <cell r="L1080">
            <v>0.46300000000000002</v>
          </cell>
          <cell r="M1080">
            <v>8.5214999999999996E-3</v>
          </cell>
        </row>
        <row r="1081">
          <cell r="A1081">
            <v>10120035</v>
          </cell>
          <cell r="B1081">
            <v>3118224375907</v>
          </cell>
          <cell r="E1081" t="str">
            <v>FETTE FORGE BOIS BTE TB CLASSICS</v>
          </cell>
          <cell r="F1081">
            <v>6</v>
          </cell>
          <cell r="G1081">
            <v>6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</row>
        <row r="1082">
          <cell r="A1082">
            <v>10120036</v>
          </cell>
          <cell r="B1082">
            <v>3118220020351</v>
          </cell>
          <cell r="E1082" t="str">
            <v>SANTUKO 18 CM FORGE MAESTRO IDEAL EN BERLINGOT</v>
          </cell>
          <cell r="F1082">
            <v>6</v>
          </cell>
          <cell r="G1082">
            <v>6</v>
          </cell>
          <cell r="H1082">
            <v>42</v>
          </cell>
          <cell r="I1082">
            <v>13</v>
          </cell>
          <cell r="J1082">
            <v>6</v>
          </cell>
          <cell r="K1082">
            <v>1.32</v>
          </cell>
          <cell r="L1082">
            <v>0.22</v>
          </cell>
          <cell r="M1082">
            <v>3.2759999999999998E-3</v>
          </cell>
        </row>
        <row r="1083">
          <cell r="A1083">
            <v>10120037</v>
          </cell>
          <cell r="B1083">
            <v>3118220020368</v>
          </cell>
          <cell r="E1083" t="str">
            <v>PAIN 20 CM FORGE MAESTRO IDEAL EN BERLINGOT</v>
          </cell>
          <cell r="F1083">
            <v>6</v>
          </cell>
          <cell r="G1083">
            <v>6</v>
          </cell>
          <cell r="H1083">
            <v>43.5</v>
          </cell>
          <cell r="I1083">
            <v>16.5</v>
          </cell>
          <cell r="J1083">
            <v>11</v>
          </cell>
          <cell r="K1083">
            <v>1.08</v>
          </cell>
          <cell r="L1083">
            <v>0.18000000000000002</v>
          </cell>
          <cell r="M1083">
            <v>7.8952499999999995E-3</v>
          </cell>
        </row>
        <row r="1084">
          <cell r="A1084">
            <v>10120038</v>
          </cell>
          <cell r="B1084">
            <v>3118220020375</v>
          </cell>
          <cell r="E1084" t="str">
            <v>PAIN 20CM FORGE MAESTRO EN BOITE RETAIL</v>
          </cell>
          <cell r="F1084">
            <v>6</v>
          </cell>
          <cell r="G1084">
            <v>6</v>
          </cell>
          <cell r="H1084">
            <v>39</v>
          </cell>
          <cell r="I1084">
            <v>19</v>
          </cell>
          <cell r="J1084">
            <v>11.5</v>
          </cell>
          <cell r="K1084">
            <v>2.1</v>
          </cell>
          <cell r="L1084">
            <v>0.35000000000000003</v>
          </cell>
          <cell r="M1084">
            <v>8.5214999999999996E-3</v>
          </cell>
        </row>
        <row r="1085">
          <cell r="A1085">
            <v>10120039</v>
          </cell>
          <cell r="B1085">
            <v>3118220020382</v>
          </cell>
          <cell r="E1085" t="str">
            <v>SANTUKO 18 CM FORGE MAESTRO EN BOITE RETAIL</v>
          </cell>
          <cell r="F1085">
            <v>6</v>
          </cell>
          <cell r="G1085">
            <v>6</v>
          </cell>
          <cell r="H1085">
            <v>39</v>
          </cell>
          <cell r="I1085">
            <v>19</v>
          </cell>
          <cell r="J1085">
            <v>11.5</v>
          </cell>
          <cell r="K1085">
            <v>2.2200000000000002</v>
          </cell>
          <cell r="L1085">
            <v>0.37000000000000005</v>
          </cell>
          <cell r="M1085">
            <v>8.5214999999999996E-3</v>
          </cell>
        </row>
        <row r="1086">
          <cell r="A1086">
            <v>10120041</v>
          </cell>
          <cell r="B1086">
            <v>3118220020825</v>
          </cell>
          <cell r="E1086" t="str">
            <v>CUISINE 25CM FORGE MAESTRO EN BERLINGOT</v>
          </cell>
          <cell r="F1086">
            <v>6</v>
          </cell>
          <cell r="G1086">
            <v>6</v>
          </cell>
          <cell r="H1086">
            <v>43.5</v>
          </cell>
          <cell r="I1086">
            <v>16.5</v>
          </cell>
          <cell r="J1086">
            <v>11</v>
          </cell>
          <cell r="K1086">
            <v>1.643</v>
          </cell>
          <cell r="L1086">
            <v>0.27383333333333332</v>
          </cell>
          <cell r="M1086">
            <v>7.8952499999999995E-3</v>
          </cell>
        </row>
        <row r="1087">
          <cell r="A1087">
            <v>10120042</v>
          </cell>
          <cell r="B1087">
            <v>3118220020917</v>
          </cell>
          <cell r="E1087" t="str">
            <v>COFFRET CARTON 1OFF + 1STEAK + 1CUIS20 FORGE MAESTRO IDEAL</v>
          </cell>
          <cell r="F1087">
            <v>6</v>
          </cell>
          <cell r="G1087">
            <v>6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</row>
        <row r="1088">
          <cell r="A1088">
            <v>10120043</v>
          </cell>
          <cell r="B1088">
            <v>3118220022911</v>
          </cell>
          <cell r="E1088" t="str">
            <v>OFFICE 10CM FORGE MAESTRO EN FRX TB</v>
          </cell>
          <cell r="F1088">
            <v>150</v>
          </cell>
          <cell r="G1088">
            <v>6</v>
          </cell>
          <cell r="H1088">
            <v>40</v>
          </cell>
          <cell r="I1088">
            <v>30</v>
          </cell>
          <cell r="J1088">
            <v>20</v>
          </cell>
          <cell r="K1088">
            <v>13.2</v>
          </cell>
          <cell r="L1088">
            <v>8.7999999999999995E-2</v>
          </cell>
          <cell r="M1088">
            <v>2.4E-2</v>
          </cell>
        </row>
        <row r="1089">
          <cell r="A1089">
            <v>10120044</v>
          </cell>
          <cell r="B1089">
            <v>3118220022928</v>
          </cell>
          <cell r="E1089" t="str">
            <v>STEAK 13CM FORGE MAESTRO EN FRX TB</v>
          </cell>
          <cell r="F1089">
            <v>150</v>
          </cell>
          <cell r="G1089">
            <v>6</v>
          </cell>
          <cell r="H1089">
            <v>40</v>
          </cell>
          <cell r="I1089">
            <v>30</v>
          </cell>
          <cell r="J1089">
            <v>20</v>
          </cell>
          <cell r="K1089">
            <v>13.5</v>
          </cell>
          <cell r="L1089">
            <v>0.09</v>
          </cell>
          <cell r="M1089">
            <v>2.4E-2</v>
          </cell>
        </row>
        <row r="1090">
          <cell r="A1090">
            <v>10120045</v>
          </cell>
          <cell r="B1090">
            <v>3118220022935</v>
          </cell>
          <cell r="E1090" t="str">
            <v>DESOSSER 15CM FORGE MAESTRO EN FRX TB</v>
          </cell>
          <cell r="F1090">
            <v>90</v>
          </cell>
          <cell r="G1090">
            <v>6</v>
          </cell>
          <cell r="H1090">
            <v>40</v>
          </cell>
          <cell r="I1090">
            <v>30</v>
          </cell>
          <cell r="J1090">
            <v>20</v>
          </cell>
          <cell r="K1090">
            <v>14.13</v>
          </cell>
          <cell r="L1090">
            <v>0.157</v>
          </cell>
          <cell r="M1090">
            <v>2.4E-2</v>
          </cell>
        </row>
        <row r="1091">
          <cell r="A1091">
            <v>10120046</v>
          </cell>
          <cell r="B1091">
            <v>3118220022942</v>
          </cell>
          <cell r="E1091" t="str">
            <v>FILET DE SOLE 16CM FORGE MAESTRO EN FRX TB</v>
          </cell>
          <cell r="F1091">
            <v>90</v>
          </cell>
          <cell r="G1091">
            <v>6</v>
          </cell>
          <cell r="H1091">
            <v>40</v>
          </cell>
          <cell r="I1091">
            <v>30</v>
          </cell>
          <cell r="J1091">
            <v>20</v>
          </cell>
          <cell r="K1091">
            <v>14.13</v>
          </cell>
          <cell r="L1091">
            <v>0.157</v>
          </cell>
          <cell r="M1091">
            <v>2.4E-2</v>
          </cell>
        </row>
        <row r="1092">
          <cell r="A1092">
            <v>10120047</v>
          </cell>
          <cell r="B1092">
            <v>3118220022959</v>
          </cell>
          <cell r="E1092" t="str">
            <v>CUISINE 15CM FORGE MAESTRO EN FRX TB</v>
          </cell>
          <cell r="F1092">
            <v>90</v>
          </cell>
          <cell r="G1092">
            <v>6</v>
          </cell>
          <cell r="H1092">
            <v>40</v>
          </cell>
          <cell r="I1092">
            <v>30</v>
          </cell>
          <cell r="J1092">
            <v>20</v>
          </cell>
          <cell r="K1092">
            <v>13.257999999999999</v>
          </cell>
          <cell r="L1092">
            <v>0.14731111111111111</v>
          </cell>
          <cell r="M1092">
            <v>2.4E-2</v>
          </cell>
        </row>
        <row r="1093">
          <cell r="A1093">
            <v>10120048</v>
          </cell>
          <cell r="B1093">
            <v>3118220022966</v>
          </cell>
          <cell r="E1093" t="str">
            <v>CUISINE 20CM FORGE MAESTRO EN FRX TB</v>
          </cell>
          <cell r="F1093">
            <v>72</v>
          </cell>
          <cell r="G1093">
            <v>6</v>
          </cell>
          <cell r="H1093">
            <v>40</v>
          </cell>
          <cell r="I1093">
            <v>30</v>
          </cell>
          <cell r="J1093">
            <v>20</v>
          </cell>
          <cell r="K1093">
            <v>16.704000000000001</v>
          </cell>
          <cell r="L1093">
            <v>0.23200000000000001</v>
          </cell>
          <cell r="M1093">
            <v>2.4E-2</v>
          </cell>
        </row>
        <row r="1094">
          <cell r="A1094">
            <v>10120049</v>
          </cell>
          <cell r="B1094">
            <v>3118220022973</v>
          </cell>
          <cell r="E1094" t="str">
            <v>YATAGAN 22CM FORGE MAESTRO EN FRX TB</v>
          </cell>
          <cell r="F1094">
            <v>72</v>
          </cell>
          <cell r="G1094">
            <v>6</v>
          </cell>
          <cell r="H1094">
            <v>44</v>
          </cell>
          <cell r="I1094">
            <v>28</v>
          </cell>
          <cell r="J1094">
            <v>29</v>
          </cell>
          <cell r="K1094">
            <v>13.334</v>
          </cell>
          <cell r="L1094">
            <v>0.18519444444444444</v>
          </cell>
          <cell r="M1094">
            <v>3.5728000000000003E-2</v>
          </cell>
        </row>
        <row r="1095">
          <cell r="A1095">
            <v>10120050</v>
          </cell>
          <cell r="B1095">
            <v>3118220022980</v>
          </cell>
          <cell r="E1095" t="str">
            <v>SANTUKO 18CM FORGE MAESTRO EN FRX TB</v>
          </cell>
          <cell r="F1095">
            <v>72</v>
          </cell>
          <cell r="G1095">
            <v>6</v>
          </cell>
          <cell r="H1095">
            <v>40</v>
          </cell>
          <cell r="I1095">
            <v>30</v>
          </cell>
          <cell r="J1095">
            <v>20</v>
          </cell>
          <cell r="K1095">
            <v>16.559999999999999</v>
          </cell>
          <cell r="L1095">
            <v>0.22999999999999998</v>
          </cell>
          <cell r="M1095">
            <v>2.4E-2</v>
          </cell>
        </row>
        <row r="1096">
          <cell r="A1096">
            <v>10120051</v>
          </cell>
          <cell r="B1096">
            <v>3118220022997</v>
          </cell>
          <cell r="E1096" t="str">
            <v>TRANCHELARD 15CM FORGE MAESTRO EN FRX TB</v>
          </cell>
          <cell r="F1096">
            <v>90</v>
          </cell>
          <cell r="G1096">
            <v>6</v>
          </cell>
          <cell r="H1096">
            <v>40</v>
          </cell>
          <cell r="I1096">
            <v>30</v>
          </cell>
          <cell r="J1096">
            <v>20</v>
          </cell>
          <cell r="K1096">
            <v>12.78</v>
          </cell>
          <cell r="L1096">
            <v>0.14199999999999999</v>
          </cell>
          <cell r="M1096">
            <v>2.4E-2</v>
          </cell>
        </row>
        <row r="1097">
          <cell r="A1097">
            <v>10120052</v>
          </cell>
          <cell r="B1097">
            <v>3118220023000</v>
          </cell>
          <cell r="E1097" t="str">
            <v>TRANCHELARD 20CM FORGE MAESTRO EN FRX TB</v>
          </cell>
          <cell r="F1097">
            <v>72</v>
          </cell>
          <cell r="G1097">
            <v>6</v>
          </cell>
          <cell r="H1097">
            <v>40</v>
          </cell>
          <cell r="I1097">
            <v>30</v>
          </cell>
          <cell r="J1097">
            <v>20</v>
          </cell>
          <cell r="K1097">
            <v>12.811999999999999</v>
          </cell>
          <cell r="L1097">
            <v>0.17794444444444443</v>
          </cell>
          <cell r="M1097">
            <v>2.4E-2</v>
          </cell>
        </row>
        <row r="1098">
          <cell r="A1098">
            <v>10120053</v>
          </cell>
          <cell r="B1098">
            <v>3118220023017</v>
          </cell>
          <cell r="E1098" t="str">
            <v>PAIN 20CM FORGE MAESTRO EN FRX TB</v>
          </cell>
          <cell r="F1098">
            <v>72</v>
          </cell>
          <cell r="G1098">
            <v>6</v>
          </cell>
          <cell r="H1098">
            <v>40</v>
          </cell>
          <cell r="I1098">
            <v>30</v>
          </cell>
          <cell r="J1098">
            <v>20</v>
          </cell>
          <cell r="K1098">
            <v>15.12</v>
          </cell>
          <cell r="L1098">
            <v>0.21</v>
          </cell>
          <cell r="M1098">
            <v>2.4E-2</v>
          </cell>
        </row>
        <row r="1099">
          <cell r="A1099">
            <v>10120055</v>
          </cell>
          <cell r="B1099">
            <v>3118220023130</v>
          </cell>
          <cell r="E1099" t="str">
            <v>TRANCHELARD 25CM FORGE MAESTRO EN FRX TB</v>
          </cell>
          <cell r="F1099">
            <v>72</v>
          </cell>
          <cell r="G1099">
            <v>6</v>
          </cell>
          <cell r="H1099">
            <v>43.5</v>
          </cell>
          <cell r="I1099">
            <v>28.5</v>
          </cell>
          <cell r="J1099">
            <v>29</v>
          </cell>
          <cell r="K1099">
            <v>16.393000000000001</v>
          </cell>
          <cell r="L1099">
            <v>0.22768055555555555</v>
          </cell>
          <cell r="M1099">
            <v>3.5952749999999999E-2</v>
          </cell>
        </row>
        <row r="1100">
          <cell r="A1100">
            <v>10120061</v>
          </cell>
          <cell r="B1100">
            <v>3118220027718</v>
          </cell>
          <cell r="E1100" t="str">
            <v>DESOSSER 15 CM POLYMERE TOP CHEF</v>
          </cell>
          <cell r="F1100">
            <v>90</v>
          </cell>
          <cell r="G1100">
            <v>6</v>
          </cell>
          <cell r="H1100">
            <v>40</v>
          </cell>
          <cell r="I1100">
            <v>30</v>
          </cell>
          <cell r="J1100">
            <v>20</v>
          </cell>
          <cell r="K1100">
            <v>11.398</v>
          </cell>
          <cell r="L1100">
            <v>0.12664444444444445</v>
          </cell>
          <cell r="M1100">
            <v>2.4E-2</v>
          </cell>
        </row>
        <row r="1101">
          <cell r="A1101">
            <v>10120062</v>
          </cell>
          <cell r="B1101">
            <v>3118220027725</v>
          </cell>
          <cell r="E1101" t="str">
            <v>CUISINE 17 CM POLYMERE TOP CHEF</v>
          </cell>
          <cell r="F1101">
            <v>60</v>
          </cell>
          <cell r="G1101">
            <v>6</v>
          </cell>
          <cell r="H1101">
            <v>40</v>
          </cell>
          <cell r="I1101">
            <v>30</v>
          </cell>
          <cell r="J1101">
            <v>20</v>
          </cell>
          <cell r="K1101">
            <v>9.18</v>
          </cell>
          <cell r="L1101">
            <v>0.153</v>
          </cell>
          <cell r="M1101">
            <v>2.4E-2</v>
          </cell>
        </row>
        <row r="1102">
          <cell r="A1102">
            <v>10120063</v>
          </cell>
          <cell r="B1102">
            <v>3118220027732</v>
          </cell>
          <cell r="E1102" t="str">
            <v>CHEF 19 CM POLYMERE TOP CHEF</v>
          </cell>
          <cell r="F1102">
            <v>60</v>
          </cell>
          <cell r="G1102">
            <v>6</v>
          </cell>
          <cell r="H1102">
            <v>40</v>
          </cell>
          <cell r="I1102">
            <v>30</v>
          </cell>
          <cell r="J1102">
            <v>20</v>
          </cell>
          <cell r="K1102">
            <v>9.66</v>
          </cell>
          <cell r="L1102">
            <v>0.161</v>
          </cell>
          <cell r="M1102">
            <v>2.4E-2</v>
          </cell>
        </row>
        <row r="1103">
          <cell r="A1103">
            <v>10120064</v>
          </cell>
          <cell r="B1103">
            <v>3118220027749</v>
          </cell>
          <cell r="E1103" t="str">
            <v>SANTUKO 19 CM POLYMERE TOP CHEF</v>
          </cell>
          <cell r="F1103">
            <v>60</v>
          </cell>
          <cell r="G1103">
            <v>6</v>
          </cell>
          <cell r="H1103">
            <v>40</v>
          </cell>
          <cell r="I1103">
            <v>30</v>
          </cell>
          <cell r="J1103">
            <v>20</v>
          </cell>
          <cell r="K1103">
            <v>10.298999999999999</v>
          </cell>
          <cell r="L1103">
            <v>0.17165</v>
          </cell>
          <cell r="M1103">
            <v>2.4E-2</v>
          </cell>
        </row>
        <row r="1104">
          <cell r="A1104">
            <v>10120065</v>
          </cell>
          <cell r="B1104">
            <v>3118220027756</v>
          </cell>
          <cell r="E1104" t="str">
            <v>PAIN POLYMERE TOP CHEF</v>
          </cell>
          <cell r="F1104">
            <v>60</v>
          </cell>
          <cell r="G1104">
            <v>6</v>
          </cell>
          <cell r="H1104">
            <v>43.5</v>
          </cell>
          <cell r="I1104">
            <v>28</v>
          </cell>
          <cell r="J1104">
            <v>29.5</v>
          </cell>
          <cell r="K1104">
            <v>9.9499999999999993</v>
          </cell>
          <cell r="L1104">
            <v>0.16583333333333333</v>
          </cell>
          <cell r="M1104">
            <v>3.5930999999999998E-2</v>
          </cell>
        </row>
        <row r="1105">
          <cell r="A1105">
            <v>10120066</v>
          </cell>
          <cell r="B1105">
            <v>3118220027763</v>
          </cell>
          <cell r="E1105" t="str">
            <v>STEAK POLYMERE LAME LISSE TOP CHEF</v>
          </cell>
          <cell r="F1105">
            <v>120</v>
          </cell>
          <cell r="G1105">
            <v>6</v>
          </cell>
          <cell r="H1105">
            <v>40</v>
          </cell>
          <cell r="I1105">
            <v>30</v>
          </cell>
          <cell r="J1105">
            <v>20</v>
          </cell>
          <cell r="K1105">
            <v>8.6820000000000004</v>
          </cell>
          <cell r="L1105">
            <v>7.2349999999999998E-2</v>
          </cell>
          <cell r="M1105">
            <v>2.4E-2</v>
          </cell>
        </row>
        <row r="1106">
          <cell r="A1106">
            <v>10120069</v>
          </cell>
          <cell r="B1106">
            <v>3118220027794</v>
          </cell>
          <cell r="E1106" t="str">
            <v>OFFICE POLYMERE LAME LISSE TOP CHEF</v>
          </cell>
          <cell r="F1106">
            <v>120</v>
          </cell>
          <cell r="G1106">
            <v>6</v>
          </cell>
          <cell r="H1106">
            <v>40</v>
          </cell>
          <cell r="I1106">
            <v>30</v>
          </cell>
          <cell r="J1106">
            <v>20</v>
          </cell>
          <cell r="K1106">
            <v>8.3780000000000001</v>
          </cell>
          <cell r="L1106">
            <v>6.9816666666666666E-2</v>
          </cell>
          <cell r="M1106">
            <v>2.4E-2</v>
          </cell>
        </row>
        <row r="1107">
          <cell r="A1107">
            <v>10120070</v>
          </cell>
          <cell r="B1107">
            <v>3118220027800</v>
          </cell>
          <cell r="E1107" t="str">
            <v>FILET DE SOLE POLYMERE TOP CHEF</v>
          </cell>
          <cell r="F1107">
            <v>90</v>
          </cell>
          <cell r="G1107">
            <v>6</v>
          </cell>
          <cell r="H1107">
            <v>40</v>
          </cell>
          <cell r="I1107">
            <v>30</v>
          </cell>
          <cell r="J1107">
            <v>20</v>
          </cell>
          <cell r="K1107">
            <v>9.42</v>
          </cell>
          <cell r="L1107">
            <v>0.10466666666666667</v>
          </cell>
          <cell r="M1107">
            <v>2.4E-2</v>
          </cell>
        </row>
        <row r="1108">
          <cell r="A1108">
            <v>10120071</v>
          </cell>
          <cell r="B1108">
            <v>3118220027817</v>
          </cell>
          <cell r="E1108" t="str">
            <v>FILET DE SOLE BOIS STABILISE TOP CHEF</v>
          </cell>
          <cell r="F1108">
            <v>90</v>
          </cell>
          <cell r="G1108">
            <v>6</v>
          </cell>
          <cell r="H1108">
            <v>40</v>
          </cell>
          <cell r="I1108">
            <v>30</v>
          </cell>
          <cell r="J1108">
            <v>20</v>
          </cell>
          <cell r="K1108">
            <v>8.3049999999999997</v>
          </cell>
          <cell r="L1108">
            <v>9.2277777777777778E-2</v>
          </cell>
          <cell r="M1108">
            <v>2.4E-2</v>
          </cell>
        </row>
        <row r="1109">
          <cell r="A1109">
            <v>10120072</v>
          </cell>
          <cell r="B1109">
            <v>3118220027824</v>
          </cell>
          <cell r="E1109" t="str">
            <v>OFFICE BOIS STABILISE LAME LISSE TOP CHEF</v>
          </cell>
          <cell r="F1109">
            <v>120</v>
          </cell>
          <cell r="G1109">
            <v>6</v>
          </cell>
          <cell r="H1109">
            <v>40</v>
          </cell>
          <cell r="I1109">
            <v>30</v>
          </cell>
          <cell r="J1109">
            <v>20.5</v>
          </cell>
          <cell r="K1109">
            <v>6.6349999999999998</v>
          </cell>
          <cell r="L1109">
            <v>5.5291666666666663E-2</v>
          </cell>
          <cell r="M1109">
            <v>2.46E-2</v>
          </cell>
        </row>
        <row r="1110">
          <cell r="A1110">
            <v>10120073</v>
          </cell>
          <cell r="B1110">
            <v>3118220027831</v>
          </cell>
          <cell r="E1110" t="str">
            <v>OFFICE BOIS STABILISE LAME MICRODENTE TOP CHEF</v>
          </cell>
          <cell r="F1110">
            <v>120</v>
          </cell>
          <cell r="G1110">
            <v>6</v>
          </cell>
          <cell r="H1110">
            <v>40</v>
          </cell>
          <cell r="I1110">
            <v>30</v>
          </cell>
          <cell r="J1110">
            <v>20</v>
          </cell>
          <cell r="K1110">
            <v>6.6740000000000004</v>
          </cell>
          <cell r="L1110">
            <v>5.5616666666666668E-2</v>
          </cell>
          <cell r="M1110">
            <v>2.4E-2</v>
          </cell>
        </row>
        <row r="1111">
          <cell r="A1111">
            <v>10120074</v>
          </cell>
          <cell r="B1111">
            <v>3118220027848</v>
          </cell>
          <cell r="E1111" t="str">
            <v>STEAK BOIS STABILISE LAME MICRODENTE TOP CHEF</v>
          </cell>
          <cell r="F1111">
            <v>120</v>
          </cell>
          <cell r="G1111">
            <v>6</v>
          </cell>
          <cell r="H1111">
            <v>40</v>
          </cell>
          <cell r="I1111">
            <v>30</v>
          </cell>
          <cell r="J1111">
            <v>20</v>
          </cell>
          <cell r="K1111">
            <v>6.891</v>
          </cell>
          <cell r="L1111">
            <v>5.7424999999999997E-2</v>
          </cell>
          <cell r="M1111">
            <v>2.4E-2</v>
          </cell>
        </row>
        <row r="1112">
          <cell r="A1112">
            <v>10120075</v>
          </cell>
          <cell r="B1112">
            <v>3118220027855</v>
          </cell>
          <cell r="E1112" t="str">
            <v>STEAK BOIS STABILISE LAME LISSE TOP CHEF</v>
          </cell>
          <cell r="F1112">
            <v>120</v>
          </cell>
          <cell r="G1112">
            <v>6</v>
          </cell>
          <cell r="H1112">
            <v>40</v>
          </cell>
          <cell r="I1112">
            <v>30</v>
          </cell>
          <cell r="J1112">
            <v>20</v>
          </cell>
          <cell r="K1112">
            <v>6.7949999999999999</v>
          </cell>
          <cell r="L1112">
            <v>5.6625000000000002E-2</v>
          </cell>
          <cell r="M1112">
            <v>2.4E-2</v>
          </cell>
        </row>
        <row r="1113">
          <cell r="A1113">
            <v>10120076</v>
          </cell>
          <cell r="B1113">
            <v>3118220027862</v>
          </cell>
          <cell r="E1113" t="str">
            <v>PAIN BOIS STABILISE TOP CHEF</v>
          </cell>
          <cell r="F1113">
            <v>60</v>
          </cell>
          <cell r="G1113">
            <v>6</v>
          </cell>
          <cell r="H1113">
            <v>44</v>
          </cell>
          <cell r="I1113">
            <v>28</v>
          </cell>
          <cell r="J1113">
            <v>30</v>
          </cell>
          <cell r="K1113">
            <v>8.3170000000000002</v>
          </cell>
          <cell r="L1113">
            <v>0.13861666666666667</v>
          </cell>
          <cell r="M1113">
            <v>3.696E-2</v>
          </cell>
        </row>
        <row r="1114">
          <cell r="A1114">
            <v>10120077</v>
          </cell>
          <cell r="B1114">
            <v>3118220027879</v>
          </cell>
          <cell r="E1114" t="str">
            <v>SANTUKO 19 CM BOIS STABILISE TOP CHEF</v>
          </cell>
          <cell r="F1114">
            <v>60</v>
          </cell>
          <cell r="G1114">
            <v>6</v>
          </cell>
          <cell r="H1114">
            <v>40</v>
          </cell>
          <cell r="I1114">
            <v>30</v>
          </cell>
          <cell r="J1114">
            <v>20</v>
          </cell>
          <cell r="K1114">
            <v>8.7319999999999993</v>
          </cell>
          <cell r="L1114">
            <v>0.14553333333333332</v>
          </cell>
          <cell r="M1114">
            <v>2.4E-2</v>
          </cell>
        </row>
        <row r="1115">
          <cell r="A1115">
            <v>10120078</v>
          </cell>
          <cell r="B1115">
            <v>3118220027886</v>
          </cell>
          <cell r="E1115" t="str">
            <v>CHEF 19 CM BOIS STABILISE TOP CHEF</v>
          </cell>
          <cell r="F1115">
            <v>60</v>
          </cell>
          <cell r="G1115">
            <v>6</v>
          </cell>
          <cell r="H1115">
            <v>30</v>
          </cell>
          <cell r="I1115">
            <v>30</v>
          </cell>
          <cell r="J1115">
            <v>20</v>
          </cell>
          <cell r="K1115">
            <v>7.97</v>
          </cell>
          <cell r="L1115">
            <v>0.13283333333333333</v>
          </cell>
          <cell r="M1115">
            <v>1.7999999999999999E-2</v>
          </cell>
        </row>
        <row r="1116">
          <cell r="A1116">
            <v>10120079</v>
          </cell>
          <cell r="B1116">
            <v>3118220027893</v>
          </cell>
          <cell r="E1116" t="str">
            <v>CUISINE 17 CM BOIS STABILISE TOP CHEF</v>
          </cell>
          <cell r="F1116">
            <v>60</v>
          </cell>
          <cell r="G1116">
            <v>6</v>
          </cell>
          <cell r="H1116">
            <v>40</v>
          </cell>
          <cell r="I1116">
            <v>30</v>
          </cell>
          <cell r="J1116">
            <v>20</v>
          </cell>
          <cell r="K1116">
            <v>7.6</v>
          </cell>
          <cell r="L1116">
            <v>0.12666666666666665</v>
          </cell>
          <cell r="M1116">
            <v>2.4E-2</v>
          </cell>
        </row>
        <row r="1117">
          <cell r="A1117">
            <v>10120080</v>
          </cell>
          <cell r="B1117">
            <v>3118220027909</v>
          </cell>
          <cell r="E1117" t="str">
            <v>DESOSSER 15 CM BOIS STABILISE TOP CHEF</v>
          </cell>
          <cell r="F1117">
            <v>90</v>
          </cell>
          <cell r="G1117">
            <v>6</v>
          </cell>
          <cell r="H1117">
            <v>40</v>
          </cell>
          <cell r="I1117">
            <v>30</v>
          </cell>
          <cell r="J1117">
            <v>20</v>
          </cell>
          <cell r="K1117">
            <v>8.7319999999999993</v>
          </cell>
          <cell r="L1117">
            <v>9.7022222222222218E-2</v>
          </cell>
          <cell r="M1117">
            <v>2.4E-2</v>
          </cell>
        </row>
        <row r="1118">
          <cell r="A1118">
            <v>10120081</v>
          </cell>
          <cell r="B1118">
            <v>3118220027916</v>
          </cell>
          <cell r="E1118" t="str">
            <v>EPLUCHEUR ADFLEX LAME LISSE TOP CHEF</v>
          </cell>
          <cell r="F1118">
            <v>300</v>
          </cell>
          <cell r="G1118">
            <v>12</v>
          </cell>
          <cell r="H1118">
            <v>40</v>
          </cell>
          <cell r="I1118">
            <v>30</v>
          </cell>
          <cell r="J1118">
            <v>20</v>
          </cell>
          <cell r="K1118">
            <v>7.125</v>
          </cell>
          <cell r="L1118">
            <v>2.375E-2</v>
          </cell>
          <cell r="M1118">
            <v>2.4E-2</v>
          </cell>
        </row>
        <row r="1119">
          <cell r="A1119">
            <v>10120086</v>
          </cell>
          <cell r="B1119">
            <v>3118220027961</v>
          </cell>
          <cell r="E1119" t="str">
            <v>EPLUCHEUR OLIVIER LAME LISSE TOP CHEF</v>
          </cell>
          <cell r="F1119">
            <v>300</v>
          </cell>
          <cell r="G1119">
            <v>12</v>
          </cell>
          <cell r="H1119">
            <v>40</v>
          </cell>
          <cell r="I1119">
            <v>30</v>
          </cell>
          <cell r="J1119">
            <v>20</v>
          </cell>
          <cell r="K1119">
            <v>6.6829999999999998</v>
          </cell>
          <cell r="L1119">
            <v>2.2276666666666667E-2</v>
          </cell>
          <cell r="M1119">
            <v>2.4E-2</v>
          </cell>
        </row>
        <row r="1120">
          <cell r="A1120">
            <v>10120087</v>
          </cell>
          <cell r="B1120">
            <v>3118220027978</v>
          </cell>
          <cell r="E1120" t="str">
            <v>STEAK OLIVIER LAME MICRODENTE TOP CHEF</v>
          </cell>
          <cell r="F1120">
            <v>300</v>
          </cell>
          <cell r="G1120">
            <v>12</v>
          </cell>
          <cell r="H1120">
            <v>40</v>
          </cell>
          <cell r="I1120">
            <v>30</v>
          </cell>
          <cell r="J1120">
            <v>20</v>
          </cell>
          <cell r="K1120">
            <v>11.624000000000001</v>
          </cell>
          <cell r="L1120">
            <v>3.8746666666666665E-2</v>
          </cell>
          <cell r="M1120">
            <v>2.4E-2</v>
          </cell>
        </row>
        <row r="1121">
          <cell r="A1121">
            <v>10120088</v>
          </cell>
          <cell r="B1121">
            <v>3118220027985</v>
          </cell>
          <cell r="E1121" t="str">
            <v>OFFICE OLIVIER BEC D'OISEAU TOP CHEF</v>
          </cell>
          <cell r="F1121">
            <v>300</v>
          </cell>
          <cell r="G1121">
            <v>12</v>
          </cell>
          <cell r="H1121">
            <v>40</v>
          </cell>
          <cell r="I1121">
            <v>30</v>
          </cell>
          <cell r="J1121">
            <v>20</v>
          </cell>
          <cell r="K1121">
            <v>9.0779999999999994</v>
          </cell>
          <cell r="L1121">
            <v>3.0259999999999999E-2</v>
          </cell>
          <cell r="M1121">
            <v>2.4E-2</v>
          </cell>
        </row>
        <row r="1122">
          <cell r="A1122">
            <v>10120089</v>
          </cell>
          <cell r="B1122">
            <v>3118220027992</v>
          </cell>
          <cell r="E1122" t="str">
            <v>OFFICE PRO TOP CHEF</v>
          </cell>
          <cell r="F1122">
            <v>300</v>
          </cell>
          <cell r="G1122">
            <v>12</v>
          </cell>
          <cell r="H1122">
            <v>40</v>
          </cell>
          <cell r="I1122">
            <v>30</v>
          </cell>
          <cell r="J1122">
            <v>20</v>
          </cell>
          <cell r="K1122">
            <v>11.223000000000001</v>
          </cell>
          <cell r="L1122">
            <v>3.7410000000000006E-2</v>
          </cell>
          <cell r="M1122">
            <v>2.4E-2</v>
          </cell>
        </row>
        <row r="1123">
          <cell r="A1123">
            <v>10120090</v>
          </cell>
          <cell r="B1123">
            <v>3118220028005</v>
          </cell>
          <cell r="E1123" t="str">
            <v>STEAK PRO TOP CHEF</v>
          </cell>
          <cell r="F1123">
            <v>300</v>
          </cell>
          <cell r="G1123">
            <v>12</v>
          </cell>
          <cell r="H1123">
            <v>40</v>
          </cell>
          <cell r="I1123">
            <v>30</v>
          </cell>
          <cell r="J1123">
            <v>20</v>
          </cell>
          <cell r="K1123">
            <v>12.879</v>
          </cell>
          <cell r="L1123">
            <v>4.2929999999999996E-2</v>
          </cell>
          <cell r="M1123">
            <v>2.4E-2</v>
          </cell>
        </row>
        <row r="1124">
          <cell r="A1124">
            <v>10120091</v>
          </cell>
          <cell r="B1124">
            <v>3118220028012</v>
          </cell>
          <cell r="C1124" t="str">
            <v>13118220028019</v>
          </cell>
          <cell r="D1124" t="str">
            <v>23118220028016</v>
          </cell>
          <cell r="E1124" t="str">
            <v>FUSIL A AIGUISER MECHE DIAMANT TOP CHEF</v>
          </cell>
          <cell r="F1124">
            <v>36</v>
          </cell>
          <cell r="G1124">
            <v>6</v>
          </cell>
          <cell r="H1124">
            <v>44</v>
          </cell>
          <cell r="I1124">
            <v>23.5</v>
          </cell>
          <cell r="J1124">
            <v>16.5</v>
          </cell>
          <cell r="K1124">
            <v>13.068</v>
          </cell>
          <cell r="L1124">
            <v>0.36299999999999999</v>
          </cell>
          <cell r="M1124">
            <v>1.7061E-2</v>
          </cell>
        </row>
        <row r="1125">
          <cell r="A1125">
            <v>10120092</v>
          </cell>
          <cell r="B1125">
            <v>3118220028050</v>
          </cell>
          <cell r="E1125" t="str">
            <v>6 COUTEAUX STEAK 12 CM FORGE BOIS BACK BOITE VPC</v>
          </cell>
          <cell r="F1125">
            <v>6</v>
          </cell>
          <cell r="G1125">
            <v>6</v>
          </cell>
          <cell r="H1125">
            <v>46.5</v>
          </cell>
          <cell r="I1125">
            <v>15</v>
          </cell>
          <cell r="J1125">
            <v>11</v>
          </cell>
          <cell r="K1125">
            <v>2.41</v>
          </cell>
          <cell r="L1125">
            <v>0.40166666666666667</v>
          </cell>
          <cell r="M1125">
            <v>7.6725000000000014E-3</v>
          </cell>
        </row>
        <row r="1126">
          <cell r="A1126">
            <v>10120093</v>
          </cell>
          <cell r="B1126">
            <v>3118220028067</v>
          </cell>
          <cell r="E1126" t="str">
            <v>6 COUTEAUX STEAK 12 CM FORGE BOIS OLIVIER EN TUBO</v>
          </cell>
          <cell r="F1126">
            <v>6</v>
          </cell>
          <cell r="G1126">
            <v>6</v>
          </cell>
          <cell r="H1126">
            <v>36</v>
          </cell>
          <cell r="I1126">
            <v>28</v>
          </cell>
          <cell r="J1126">
            <v>19</v>
          </cell>
          <cell r="K1126">
            <v>2.34</v>
          </cell>
          <cell r="L1126">
            <v>0.38999999999999996</v>
          </cell>
          <cell r="M1126">
            <v>1.9151999999999999E-2</v>
          </cell>
        </row>
        <row r="1127">
          <cell r="A1127">
            <v>10120094</v>
          </cell>
          <cell r="B1127">
            <v>3118220028593</v>
          </cell>
          <cell r="E1127" t="str">
            <v>SET 3 COUTEAUX (OFFICE CHEF PAIN) MAESTRO IDEAL BOITE RETAIL</v>
          </cell>
          <cell r="F1127">
            <v>10</v>
          </cell>
          <cell r="G1127">
            <v>10</v>
          </cell>
          <cell r="H1127">
            <v>44</v>
          </cell>
          <cell r="I1127">
            <v>28</v>
          </cell>
          <cell r="J1127">
            <v>29</v>
          </cell>
          <cell r="K1127">
            <v>7.35</v>
          </cell>
          <cell r="L1127">
            <v>0.73499999999999999</v>
          </cell>
          <cell r="M1127">
            <v>3.5728000000000003E-2</v>
          </cell>
        </row>
        <row r="1128">
          <cell r="A1128">
            <v>10120095</v>
          </cell>
          <cell r="B1128">
            <v>3118220028739</v>
          </cell>
          <cell r="E1128" t="str">
            <v>COFFRET 3 CTX (OFFICE, SANTUKO, CUISINE 20) MAESTRO</v>
          </cell>
          <cell r="F1128">
            <v>6</v>
          </cell>
          <cell r="G1128">
            <v>6</v>
          </cell>
          <cell r="H1128">
            <v>40</v>
          </cell>
          <cell r="I1128">
            <v>30</v>
          </cell>
          <cell r="J1128">
            <v>20.5</v>
          </cell>
          <cell r="K1128">
            <v>4.6980000000000004</v>
          </cell>
          <cell r="L1128">
            <v>0.78300000000000003</v>
          </cell>
          <cell r="M1128">
            <v>2.46E-2</v>
          </cell>
        </row>
        <row r="1129">
          <cell r="A1129">
            <v>10120096</v>
          </cell>
          <cell r="B1129">
            <v>3118220028746</v>
          </cell>
          <cell r="E1129" t="str">
            <v>COFFRET 3 CTX OFFICE,TRANCHELARD 15,CUISINE 20 MAESTRO</v>
          </cell>
          <cell r="F1129">
            <v>6</v>
          </cell>
          <cell r="G1129">
            <v>6</v>
          </cell>
          <cell r="H1129">
            <v>30</v>
          </cell>
          <cell r="I1129">
            <v>30</v>
          </cell>
          <cell r="J1129">
            <v>20.5</v>
          </cell>
          <cell r="K1129">
            <v>4.242</v>
          </cell>
          <cell r="L1129">
            <v>0.70699999999999996</v>
          </cell>
          <cell r="M1129">
            <v>1.8450000000000001E-2</v>
          </cell>
        </row>
        <row r="1130">
          <cell r="A1130">
            <v>10120097</v>
          </cell>
          <cell r="B1130">
            <v>3118220028760</v>
          </cell>
          <cell r="E1130" t="str">
            <v>CHEF 19 CM FORGE EN BERLINGOT TOP CHEF AMAZON</v>
          </cell>
          <cell r="F1130">
            <v>12</v>
          </cell>
          <cell r="G1130">
            <v>12</v>
          </cell>
          <cell r="H1130">
            <v>46</v>
          </cell>
          <cell r="I1130">
            <v>15</v>
          </cell>
          <cell r="J1130">
            <v>12</v>
          </cell>
          <cell r="K1130">
            <v>3.02</v>
          </cell>
          <cell r="L1130">
            <v>0.25166666666666665</v>
          </cell>
          <cell r="M1130">
            <v>8.2800000000000009E-3</v>
          </cell>
        </row>
        <row r="1131">
          <cell r="A1131">
            <v>10120098</v>
          </cell>
          <cell r="B1131">
            <v>3118220028777</v>
          </cell>
          <cell r="E1131" t="str">
            <v>SANTUKO 19 CM FORGE EN BERLINGOT TOP CHEF AMAZON</v>
          </cell>
          <cell r="F1131">
            <v>12</v>
          </cell>
          <cell r="G1131">
            <v>12</v>
          </cell>
          <cell r="H1131">
            <v>46</v>
          </cell>
          <cell r="I1131">
            <v>15</v>
          </cell>
          <cell r="J1131">
            <v>12</v>
          </cell>
          <cell r="K1131">
            <v>2.69</v>
          </cell>
          <cell r="L1131">
            <v>0.22416666666666665</v>
          </cell>
          <cell r="M1131">
            <v>8.2800000000000009E-3</v>
          </cell>
        </row>
        <row r="1132">
          <cell r="A1132">
            <v>10120099</v>
          </cell>
          <cell r="B1132">
            <v>3118220028784</v>
          </cell>
          <cell r="E1132" t="str">
            <v>FOURCHETTE FORGE EN BERLINGOT TOP CHEF AMAZON</v>
          </cell>
          <cell r="F1132">
            <v>72</v>
          </cell>
          <cell r="G1132">
            <v>72</v>
          </cell>
          <cell r="H1132">
            <v>44</v>
          </cell>
          <cell r="I1132">
            <v>31</v>
          </cell>
          <cell r="J1132">
            <v>21</v>
          </cell>
          <cell r="K1132">
            <v>11.88</v>
          </cell>
          <cell r="L1132">
            <v>0.16500000000000001</v>
          </cell>
          <cell r="M1132">
            <v>2.8643999999999999E-2</v>
          </cell>
        </row>
        <row r="1133">
          <cell r="A1133">
            <v>10120100</v>
          </cell>
          <cell r="B1133">
            <v>3118220028791</v>
          </cell>
          <cell r="E1133" t="str">
            <v>CUISINE 17 CM FORGE EN BERLINGOT TOP CHEF AMAZON</v>
          </cell>
          <cell r="F1133">
            <v>72</v>
          </cell>
          <cell r="G1133">
            <v>72</v>
          </cell>
          <cell r="H1133">
            <v>44</v>
          </cell>
          <cell r="I1133">
            <v>29</v>
          </cell>
          <cell r="J1133">
            <v>23.5</v>
          </cell>
          <cell r="K1133">
            <v>15.362</v>
          </cell>
          <cell r="L1133">
            <v>0.21336111111111111</v>
          </cell>
          <cell r="M1133">
            <v>2.9985999999999999E-2</v>
          </cell>
        </row>
        <row r="1134">
          <cell r="A1134">
            <v>10120101</v>
          </cell>
          <cell r="B1134">
            <v>3118220028807</v>
          </cell>
          <cell r="E1134" t="str">
            <v>STEAK 12 CM FORGE EN BERLINGOT TOP CHEF AMAZON</v>
          </cell>
          <cell r="F1134">
            <v>150</v>
          </cell>
          <cell r="G1134">
            <v>150</v>
          </cell>
          <cell r="H1134">
            <v>40</v>
          </cell>
          <cell r="I1134">
            <v>30</v>
          </cell>
          <cell r="J1134">
            <v>21</v>
          </cell>
          <cell r="K1134">
            <v>12</v>
          </cell>
          <cell r="L1134">
            <v>0.08</v>
          </cell>
          <cell r="M1134">
            <v>2.52E-2</v>
          </cell>
        </row>
        <row r="1135">
          <cell r="A1135">
            <v>10120102</v>
          </cell>
          <cell r="B1135">
            <v>3118220028814</v>
          </cell>
          <cell r="E1135" t="str">
            <v>OFFICE 9 CM FORGE EN BERLINGOT TOP CHEF AMAZON</v>
          </cell>
          <cell r="F1135">
            <v>150</v>
          </cell>
          <cell r="G1135">
            <v>150</v>
          </cell>
          <cell r="H1135">
            <v>40</v>
          </cell>
          <cell r="I1135">
            <v>30</v>
          </cell>
          <cell r="J1135">
            <v>20</v>
          </cell>
          <cell r="K1135">
            <v>11.926</v>
          </cell>
          <cell r="L1135">
            <v>7.950666666666667E-2</v>
          </cell>
          <cell r="M1135">
            <v>2.4E-2</v>
          </cell>
        </row>
        <row r="1136">
          <cell r="A1136">
            <v>10120103</v>
          </cell>
          <cell r="B1136">
            <v>3118220028838</v>
          </cell>
          <cell r="E1136" t="str">
            <v>OFFICE 10CM FORGE MAESTRO EN BOITE TOP CHEF</v>
          </cell>
          <cell r="F1136">
            <v>6</v>
          </cell>
          <cell r="G1136">
            <v>6</v>
          </cell>
          <cell r="H1136">
            <v>31</v>
          </cell>
          <cell r="I1136">
            <v>28.5</v>
          </cell>
          <cell r="J1136">
            <v>13.5</v>
          </cell>
          <cell r="K1136">
            <v>1.1579999999999999</v>
          </cell>
          <cell r="L1136">
            <v>0.19299999999999998</v>
          </cell>
          <cell r="M1136">
            <v>1.1927249999999999E-2</v>
          </cell>
        </row>
        <row r="1137">
          <cell r="A1137">
            <v>10120104</v>
          </cell>
          <cell r="B1137">
            <v>3118220028845</v>
          </cell>
          <cell r="E1137" t="str">
            <v>STEAK 13 CM FORGE MAESTRO EN BOITE TOP CHEF</v>
          </cell>
          <cell r="F1137">
            <v>6</v>
          </cell>
          <cell r="G1137">
            <v>6</v>
          </cell>
          <cell r="H1137">
            <v>30.5</v>
          </cell>
          <cell r="I1137">
            <v>28.5</v>
          </cell>
          <cell r="J1137">
            <v>11</v>
          </cell>
          <cell r="K1137">
            <v>1.1819999999999999</v>
          </cell>
          <cell r="L1137">
            <v>0.19699999999999998</v>
          </cell>
          <cell r="M1137">
            <v>9.5617499999999991E-3</v>
          </cell>
        </row>
        <row r="1138">
          <cell r="A1138">
            <v>10120105</v>
          </cell>
          <cell r="B1138">
            <v>3118220028852</v>
          </cell>
          <cell r="E1138" t="str">
            <v>DESOSSER 15 CM FORGE MAESTRO EN BOITE TOP CHEF</v>
          </cell>
          <cell r="F1138">
            <v>6</v>
          </cell>
          <cell r="G1138">
            <v>6</v>
          </cell>
          <cell r="H1138">
            <v>38.5</v>
          </cell>
          <cell r="I1138">
            <v>20</v>
          </cell>
          <cell r="J1138">
            <v>12</v>
          </cell>
          <cell r="K1138">
            <v>1.98</v>
          </cell>
          <cell r="L1138">
            <v>0.33</v>
          </cell>
          <cell r="M1138">
            <v>9.2399999999999999E-3</v>
          </cell>
        </row>
        <row r="1139">
          <cell r="A1139">
            <v>10120106</v>
          </cell>
          <cell r="B1139">
            <v>3118220028869</v>
          </cell>
          <cell r="E1139" t="str">
            <v>FILET DE SOLE 16 CM FORGE MAESTRO EN BOITE TOP CHEF</v>
          </cell>
          <cell r="F1139">
            <v>6</v>
          </cell>
          <cell r="G1139">
            <v>6</v>
          </cell>
          <cell r="H1139">
            <v>38.5</v>
          </cell>
          <cell r="I1139">
            <v>20</v>
          </cell>
          <cell r="J1139">
            <v>12</v>
          </cell>
          <cell r="K1139">
            <v>1.8580000000000001</v>
          </cell>
          <cell r="L1139">
            <v>0.3096666666666667</v>
          </cell>
          <cell r="M1139">
            <v>9.2399999999999999E-3</v>
          </cell>
        </row>
        <row r="1140">
          <cell r="A1140">
            <v>10120107</v>
          </cell>
          <cell r="B1140">
            <v>3118220028876</v>
          </cell>
          <cell r="E1140" t="str">
            <v>CUISINE 15 CM FORGE MAESTRO EN BOITE TOP CHEF</v>
          </cell>
          <cell r="F1140">
            <v>6</v>
          </cell>
          <cell r="G1140">
            <v>6</v>
          </cell>
          <cell r="H1140">
            <v>38.5</v>
          </cell>
          <cell r="I1140">
            <v>20</v>
          </cell>
          <cell r="J1140">
            <v>12</v>
          </cell>
          <cell r="K1140">
            <v>1.9930000000000001</v>
          </cell>
          <cell r="L1140">
            <v>0.33216666666666667</v>
          </cell>
          <cell r="M1140">
            <v>9.2399999999999999E-3</v>
          </cell>
        </row>
        <row r="1141">
          <cell r="A1141">
            <v>10120108</v>
          </cell>
          <cell r="B1141">
            <v>3118220028883</v>
          </cell>
          <cell r="E1141" t="str">
            <v>CUISINE 20 CM FORGE MAESTRO EN BOITE TOP CHEF</v>
          </cell>
          <cell r="F1141">
            <v>6</v>
          </cell>
          <cell r="G1141">
            <v>6</v>
          </cell>
          <cell r="H1141">
            <v>38.5</v>
          </cell>
          <cell r="I1141">
            <v>20</v>
          </cell>
          <cell r="J1141">
            <v>12</v>
          </cell>
          <cell r="K1141">
            <v>2.44</v>
          </cell>
          <cell r="L1141">
            <v>0.40666666666666668</v>
          </cell>
          <cell r="M1141">
            <v>9.2399999999999999E-3</v>
          </cell>
        </row>
        <row r="1142">
          <cell r="A1142">
            <v>10120109</v>
          </cell>
          <cell r="B1142">
            <v>3118220028890</v>
          </cell>
          <cell r="E1142" t="str">
            <v>CUISINE 25 CM FORGE MAESTRO IDEAL EN BERLINGOT TOP CHEF</v>
          </cell>
          <cell r="F1142">
            <v>72</v>
          </cell>
          <cell r="G1142">
            <v>72</v>
          </cell>
          <cell r="H1142">
            <v>44</v>
          </cell>
          <cell r="I1142">
            <v>29</v>
          </cell>
          <cell r="J1142">
            <v>29</v>
          </cell>
          <cell r="K1142">
            <v>19.286999999999999</v>
          </cell>
          <cell r="L1142">
            <v>0.26787499999999997</v>
          </cell>
          <cell r="M1142">
            <v>3.7003999999999995E-2</v>
          </cell>
        </row>
        <row r="1143">
          <cell r="A1143">
            <v>10120110</v>
          </cell>
          <cell r="B1143">
            <v>3118220028906</v>
          </cell>
          <cell r="E1143" t="str">
            <v>CUISINE 30 CM FORGE MAESTRO IDEAL EN BERLINGOT TOP CHEF</v>
          </cell>
          <cell r="F1143">
            <v>12</v>
          </cell>
          <cell r="G1143">
            <v>12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</row>
        <row r="1144">
          <cell r="A1144">
            <v>10120111</v>
          </cell>
          <cell r="B1144">
            <v>3118220028913</v>
          </cell>
          <cell r="E1144" t="str">
            <v>CUISINE 35 CM FORGE MAESTRO IDEAL EN BERLINGOT TOP CHEF</v>
          </cell>
          <cell r="F1144">
            <v>12</v>
          </cell>
          <cell r="G1144">
            <v>12</v>
          </cell>
          <cell r="H1144">
            <v>56</v>
          </cell>
          <cell r="I1144">
            <v>19</v>
          </cell>
          <cell r="J1144">
            <v>10.5</v>
          </cell>
          <cell r="K1144">
            <v>6.95</v>
          </cell>
          <cell r="L1144">
            <v>0.57916666666666672</v>
          </cell>
          <cell r="M1144">
            <v>1.1172000000000001E-2</v>
          </cell>
        </row>
        <row r="1145">
          <cell r="A1145">
            <v>10120112</v>
          </cell>
          <cell r="B1145">
            <v>3118220028920</v>
          </cell>
          <cell r="E1145" t="str">
            <v>YATAGAN 22 CM FORGE MAESTRO EN BOITE TOP CHEF</v>
          </cell>
          <cell r="F1145">
            <v>6</v>
          </cell>
          <cell r="G1145">
            <v>6</v>
          </cell>
          <cell r="H1145">
            <v>38.5</v>
          </cell>
          <cell r="I1145">
            <v>20</v>
          </cell>
          <cell r="J1145">
            <v>12</v>
          </cell>
          <cell r="K1145">
            <v>2.1190000000000002</v>
          </cell>
          <cell r="L1145">
            <v>0.35316666666666668</v>
          </cell>
          <cell r="M1145">
            <v>9.2399999999999999E-3</v>
          </cell>
        </row>
        <row r="1146">
          <cell r="A1146">
            <v>10120113</v>
          </cell>
          <cell r="B1146">
            <v>3118220028937</v>
          </cell>
          <cell r="E1146" t="str">
            <v>SANTUKO 18 CM FORGE MAESTRO EN BOITE TOP CHEF</v>
          </cell>
          <cell r="F1146">
            <v>6</v>
          </cell>
          <cell r="G1146">
            <v>6</v>
          </cell>
          <cell r="H1146">
            <v>38.5</v>
          </cell>
          <cell r="I1146">
            <v>20</v>
          </cell>
          <cell r="J1146">
            <v>12</v>
          </cell>
          <cell r="K1146">
            <v>2.4359999999999999</v>
          </cell>
          <cell r="L1146">
            <v>0.40599999999999997</v>
          </cell>
          <cell r="M1146">
            <v>9.2399999999999999E-3</v>
          </cell>
        </row>
        <row r="1147">
          <cell r="A1147">
            <v>10120114</v>
          </cell>
          <cell r="B1147">
            <v>3118220029002</v>
          </cell>
          <cell r="E1147" t="str">
            <v>BLOC BOIS CARRE PIED METAL 5 COUTEAUX MAESTRO IDEAL + FUSIL</v>
          </cell>
          <cell r="F1147">
            <v>6</v>
          </cell>
          <cell r="G1147">
            <v>6</v>
          </cell>
          <cell r="H1147">
            <v>34.5</v>
          </cell>
          <cell r="I1147">
            <v>24.5</v>
          </cell>
          <cell r="J1147">
            <v>39</v>
          </cell>
          <cell r="K1147">
            <v>14.076000000000001</v>
          </cell>
          <cell r="L1147">
            <v>2.3460000000000001</v>
          </cell>
          <cell r="M1147">
            <v>3.2964749999999994E-2</v>
          </cell>
        </row>
        <row r="1148">
          <cell r="A1148">
            <v>10120118</v>
          </cell>
          <cell r="B1148">
            <v>3118220030060</v>
          </cell>
          <cell r="E1148" t="str">
            <v>OFFICE BEC D'OISEAU FORGE MAESTRO IDEAL BERLINGOT TOP CHEF</v>
          </cell>
          <cell r="F1148">
            <v>150</v>
          </cell>
          <cell r="G1148">
            <v>150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</row>
        <row r="1149">
          <cell r="A1149">
            <v>10120119</v>
          </cell>
          <cell r="B1149">
            <v>3118220030961</v>
          </cell>
          <cell r="E1149" t="str">
            <v>COFFRET 3 CTX OFFICE,TRANCH 15,CUISI 20 MAESTRO ID TOP CHEF</v>
          </cell>
          <cell r="F1149">
            <v>6</v>
          </cell>
          <cell r="G1149">
            <v>6</v>
          </cell>
          <cell r="H1149">
            <v>40</v>
          </cell>
          <cell r="I1149">
            <v>30</v>
          </cell>
          <cell r="J1149">
            <v>20</v>
          </cell>
          <cell r="K1149">
            <v>4.1879999999999997</v>
          </cell>
          <cell r="L1149">
            <v>0.69799999999999995</v>
          </cell>
          <cell r="M1149">
            <v>2.4E-2</v>
          </cell>
        </row>
        <row r="1150">
          <cell r="A1150">
            <v>10120120</v>
          </cell>
          <cell r="B1150">
            <v>3118220030978</v>
          </cell>
          <cell r="E1150" t="str">
            <v>COFFRET 3 CTX OFFICE,SANTUKO,CUISI 20 MAESTRO IDEAL TOP CHEF</v>
          </cell>
          <cell r="F1150">
            <v>6</v>
          </cell>
          <cell r="G1150">
            <v>6</v>
          </cell>
          <cell r="H1150">
            <v>40</v>
          </cell>
          <cell r="I1150">
            <v>30</v>
          </cell>
          <cell r="J1150">
            <v>20</v>
          </cell>
          <cell r="K1150">
            <v>4.5780000000000003</v>
          </cell>
          <cell r="L1150">
            <v>0.76300000000000001</v>
          </cell>
          <cell r="M1150">
            <v>2.4E-2</v>
          </cell>
        </row>
        <row r="1151">
          <cell r="A1151">
            <v>10120121</v>
          </cell>
          <cell r="B1151">
            <v>3118220031029</v>
          </cell>
          <cell r="E1151" t="str">
            <v>TRANCHELARD 15CM FORGE MAESTRO EN BOITE TOP CHEF</v>
          </cell>
          <cell r="F1151">
            <v>6</v>
          </cell>
          <cell r="G1151">
            <v>6</v>
          </cell>
          <cell r="H1151">
            <v>38.5</v>
          </cell>
          <cell r="I1151">
            <v>20</v>
          </cell>
          <cell r="J1151">
            <v>12</v>
          </cell>
          <cell r="K1151">
            <v>2.1070000000000002</v>
          </cell>
          <cell r="L1151">
            <v>0.35116666666666668</v>
          </cell>
          <cell r="M1151">
            <v>9.2399999999999999E-3</v>
          </cell>
        </row>
        <row r="1152">
          <cell r="A1152">
            <v>10120122</v>
          </cell>
          <cell r="B1152">
            <v>3118220031036</v>
          </cell>
          <cell r="E1152" t="str">
            <v>CUISINE 25CM FORGE MAESTRO EN BOITE RETAIL</v>
          </cell>
          <cell r="F1152">
            <v>6</v>
          </cell>
          <cell r="G1152">
            <v>6</v>
          </cell>
          <cell r="H1152">
            <v>47</v>
          </cell>
          <cell r="I1152">
            <v>28.5</v>
          </cell>
          <cell r="J1152">
            <v>13.5</v>
          </cell>
          <cell r="K1152">
            <v>2.8439999999999999</v>
          </cell>
          <cell r="L1152">
            <v>0.47399999999999998</v>
          </cell>
          <cell r="M1152">
            <v>1.8083249999999999E-2</v>
          </cell>
        </row>
        <row r="1153">
          <cell r="A1153">
            <v>10120123</v>
          </cell>
          <cell r="B1153">
            <v>3118220031043</v>
          </cell>
          <cell r="E1153" t="str">
            <v>TRANCHELARD 25CM FORGE MAESTRO EN BOITE RETAIL</v>
          </cell>
          <cell r="F1153">
            <v>6</v>
          </cell>
          <cell r="G1153">
            <v>6</v>
          </cell>
          <cell r="H1153">
            <v>47</v>
          </cell>
          <cell r="I1153">
            <v>28.5</v>
          </cell>
          <cell r="J1153">
            <v>13.5</v>
          </cell>
          <cell r="K1153">
            <v>2.8740000000000001</v>
          </cell>
          <cell r="L1153">
            <v>0.47900000000000004</v>
          </cell>
          <cell r="M1153">
            <v>1.8083249999999999E-2</v>
          </cell>
        </row>
        <row r="1154">
          <cell r="A1154">
            <v>10120124</v>
          </cell>
          <cell r="B1154">
            <v>3118220031050</v>
          </cell>
          <cell r="E1154" t="str">
            <v>TRANCHELARD 30CM FORGE MAESTRO EN BOITE RETAIL</v>
          </cell>
          <cell r="F1154">
            <v>6</v>
          </cell>
          <cell r="G1154">
            <v>6</v>
          </cell>
          <cell r="H1154">
            <v>47</v>
          </cell>
          <cell r="I1154">
            <v>28.5</v>
          </cell>
          <cell r="J1154">
            <v>13.5</v>
          </cell>
          <cell r="K1154">
            <v>2.9780000000000002</v>
          </cell>
          <cell r="L1154">
            <v>0.49633333333333335</v>
          </cell>
          <cell r="M1154">
            <v>1.8083249999999999E-2</v>
          </cell>
        </row>
        <row r="1155">
          <cell r="A1155">
            <v>10120125</v>
          </cell>
          <cell r="B1155">
            <v>3118220031067</v>
          </cell>
          <cell r="E1155" t="str">
            <v>JAMBON 30CM FORGE MAESTRO EN BOITE RETAIL</v>
          </cell>
          <cell r="F1155">
            <v>6</v>
          </cell>
          <cell r="G1155">
            <v>6</v>
          </cell>
          <cell r="H1155">
            <v>47</v>
          </cell>
          <cell r="I1155">
            <v>28.5</v>
          </cell>
          <cell r="J1155">
            <v>13.5</v>
          </cell>
          <cell r="K1155">
            <v>2.7469999999999999</v>
          </cell>
          <cell r="L1155">
            <v>0.45783333333333331</v>
          </cell>
          <cell r="M1155">
            <v>1.8083249999999999E-2</v>
          </cell>
        </row>
        <row r="1156">
          <cell r="A1156">
            <v>10120132</v>
          </cell>
          <cell r="B1156">
            <v>3118220032231</v>
          </cell>
          <cell r="E1156" t="str">
            <v>FOURCHETTE A DECOUPER FORGE VRAC BOIS NOYER TB PROFESSIONNEL</v>
          </cell>
          <cell r="F1156">
            <v>144</v>
          </cell>
          <cell r="G1156">
            <v>12</v>
          </cell>
          <cell r="H1156">
            <v>35.5</v>
          </cell>
          <cell r="I1156">
            <v>25</v>
          </cell>
          <cell r="J1156">
            <v>35.5</v>
          </cell>
          <cell r="K1156">
            <v>20.440000000000001</v>
          </cell>
          <cell r="L1156">
            <v>0.14194444444444446</v>
          </cell>
          <cell r="M1156">
            <v>3.150625E-2</v>
          </cell>
        </row>
        <row r="1157">
          <cell r="A1157">
            <v>10120133</v>
          </cell>
          <cell r="B1157">
            <v>3118220035294</v>
          </cell>
          <cell r="E1157" t="str">
            <v>OFFICE 9CM FORGE GEORGES MANCHE POM EN BOITE ACCESS</v>
          </cell>
          <cell r="F1157">
            <v>6</v>
          </cell>
          <cell r="G1157">
            <v>6</v>
          </cell>
          <cell r="H1157">
            <v>38</v>
          </cell>
          <cell r="I1157">
            <v>18.5</v>
          </cell>
          <cell r="J1157">
            <v>10.5</v>
          </cell>
          <cell r="K1157">
            <v>0.66</v>
          </cell>
          <cell r="L1157">
            <v>0.11</v>
          </cell>
          <cell r="M1157">
            <v>7.3815E-3</v>
          </cell>
        </row>
        <row r="1158">
          <cell r="A1158">
            <v>10120134</v>
          </cell>
          <cell r="B1158">
            <v>3118220035300</v>
          </cell>
          <cell r="E1158" t="str">
            <v>OFFICE 9CM FORGE GEORGES MANCHE BOIS EN BOITE ACCESS</v>
          </cell>
          <cell r="F1158">
            <v>6</v>
          </cell>
          <cell r="G1158">
            <v>6</v>
          </cell>
          <cell r="H1158">
            <v>43</v>
          </cell>
          <cell r="I1158">
            <v>16.5</v>
          </cell>
          <cell r="J1158">
            <v>11</v>
          </cell>
          <cell r="K1158">
            <v>0.59399999999999997</v>
          </cell>
          <cell r="L1158">
            <v>9.8999999999999991E-2</v>
          </cell>
          <cell r="M1158">
            <v>7.8044999999999998E-3</v>
          </cell>
        </row>
        <row r="1159">
          <cell r="A1159">
            <v>10120135</v>
          </cell>
          <cell r="B1159">
            <v>3118220035317</v>
          </cell>
          <cell r="E1159" t="str">
            <v>STEAK 13CM FORGE GEORGES MANCHE POM EN BOITE ACCESS</v>
          </cell>
          <cell r="F1159">
            <v>6</v>
          </cell>
          <cell r="G1159">
            <v>6</v>
          </cell>
          <cell r="H1159">
            <v>38</v>
          </cell>
          <cell r="I1159">
            <v>19</v>
          </cell>
          <cell r="J1159">
            <v>10.5</v>
          </cell>
          <cell r="K1159">
            <v>0.88100000000000001</v>
          </cell>
          <cell r="L1159">
            <v>0.14683333333333334</v>
          </cell>
          <cell r="M1159">
            <v>7.5810000000000001E-3</v>
          </cell>
        </row>
        <row r="1160">
          <cell r="A1160">
            <v>10120136</v>
          </cell>
          <cell r="B1160">
            <v>3118220035324</v>
          </cell>
          <cell r="E1160" t="str">
            <v>STEAK 13CM FORGE GEORGES MANCHE BOIS EN BOITE ACCESS</v>
          </cell>
          <cell r="F1160">
            <v>6</v>
          </cell>
          <cell r="G1160">
            <v>6</v>
          </cell>
          <cell r="H1160">
            <v>43</v>
          </cell>
          <cell r="I1160">
            <v>16.5</v>
          </cell>
          <cell r="J1160">
            <v>11</v>
          </cell>
          <cell r="K1160">
            <v>0.78600000000000003</v>
          </cell>
          <cell r="L1160">
            <v>0.13100000000000001</v>
          </cell>
          <cell r="M1160">
            <v>7.8044999999999998E-3</v>
          </cell>
        </row>
        <row r="1161">
          <cell r="A1161">
            <v>10120137</v>
          </cell>
          <cell r="B1161">
            <v>3118220035331</v>
          </cell>
          <cell r="E1161" t="str">
            <v>DESOSSER 15CM FORGE GEORGES MANCHE POM EN BOITE ACCESS</v>
          </cell>
          <cell r="F1161">
            <v>6</v>
          </cell>
          <cell r="G1161">
            <v>6</v>
          </cell>
          <cell r="H1161">
            <v>38</v>
          </cell>
          <cell r="I1161">
            <v>19</v>
          </cell>
          <cell r="J1161">
            <v>10.5</v>
          </cell>
          <cell r="K1161">
            <v>1.153</v>
          </cell>
          <cell r="L1161">
            <v>0.19216666666666668</v>
          </cell>
          <cell r="M1161">
            <v>7.5810000000000001E-3</v>
          </cell>
        </row>
        <row r="1162">
          <cell r="A1162">
            <v>10120139</v>
          </cell>
          <cell r="B1162">
            <v>3118220035355</v>
          </cell>
          <cell r="E1162" t="str">
            <v>CUISINE 17CM FORGE GEORGES MANCHE POM EN BOITE ACCESS</v>
          </cell>
          <cell r="F1162">
            <v>6</v>
          </cell>
          <cell r="G1162">
            <v>6</v>
          </cell>
          <cell r="H1162">
            <v>45</v>
          </cell>
          <cell r="I1162">
            <v>30.5</v>
          </cell>
          <cell r="J1162">
            <v>15</v>
          </cell>
          <cell r="K1162">
            <v>1.464</v>
          </cell>
          <cell r="L1162">
            <v>0.24399999999999999</v>
          </cell>
          <cell r="M1162">
            <v>2.0587499999999998E-2</v>
          </cell>
        </row>
        <row r="1163">
          <cell r="A1163">
            <v>10120140</v>
          </cell>
          <cell r="B1163">
            <v>3118220035362</v>
          </cell>
          <cell r="E1163" t="str">
            <v>CUISINE 17CM FORGE GEORGES MANCHE BOIS EN BOITE ACCESS</v>
          </cell>
          <cell r="F1163">
            <v>6</v>
          </cell>
          <cell r="G1163">
            <v>6</v>
          </cell>
          <cell r="H1163">
            <v>45</v>
          </cell>
          <cell r="I1163">
            <v>30</v>
          </cell>
          <cell r="J1163">
            <v>15</v>
          </cell>
          <cell r="K1163">
            <v>1.284</v>
          </cell>
          <cell r="L1163">
            <v>0.214</v>
          </cell>
          <cell r="M1163">
            <v>2.0250000000000004E-2</v>
          </cell>
        </row>
        <row r="1164">
          <cell r="A1164">
            <v>10120141</v>
          </cell>
          <cell r="B1164">
            <v>3118220035379</v>
          </cell>
          <cell r="E1164" t="str">
            <v>SANTUKO FORGE GEORGES MANCHE POM EN BOITE ACCESS</v>
          </cell>
          <cell r="F1164">
            <v>6</v>
          </cell>
          <cell r="G1164">
            <v>6</v>
          </cell>
          <cell r="H1164">
            <v>45</v>
          </cell>
          <cell r="I1164">
            <v>31</v>
          </cell>
          <cell r="J1164">
            <v>15</v>
          </cell>
          <cell r="K1164">
            <v>1.506</v>
          </cell>
          <cell r="L1164">
            <v>0.251</v>
          </cell>
          <cell r="M1164">
            <v>2.0925000000000003E-2</v>
          </cell>
        </row>
        <row r="1165">
          <cell r="A1165">
            <v>10120142</v>
          </cell>
          <cell r="B1165">
            <v>3118220035386</v>
          </cell>
          <cell r="E1165" t="str">
            <v>SANTUKO FORGE GEORGES MANCHE BOIS EN BOITE ACCESS</v>
          </cell>
          <cell r="F1165">
            <v>6</v>
          </cell>
          <cell r="G1165">
            <v>6</v>
          </cell>
          <cell r="H1165">
            <v>45</v>
          </cell>
          <cell r="I1165">
            <v>30.5</v>
          </cell>
          <cell r="J1165">
            <v>15</v>
          </cell>
          <cell r="K1165">
            <v>1.663</v>
          </cell>
          <cell r="L1165">
            <v>0.27716666666666667</v>
          </cell>
          <cell r="M1165">
            <v>2.0587499999999998E-2</v>
          </cell>
        </row>
        <row r="1166">
          <cell r="A1166">
            <v>10120143</v>
          </cell>
          <cell r="B1166">
            <v>3118220035393</v>
          </cell>
          <cell r="E1166" t="str">
            <v>PAIN 20CM FORGE GEORGES MANCHE POM EN BOITE ACCESS</v>
          </cell>
          <cell r="F1166">
            <v>6</v>
          </cell>
          <cell r="G1166">
            <v>6</v>
          </cell>
          <cell r="H1166">
            <v>45</v>
          </cell>
          <cell r="I1166">
            <v>30.5</v>
          </cell>
          <cell r="J1166">
            <v>15</v>
          </cell>
          <cell r="K1166">
            <v>1.464</v>
          </cell>
          <cell r="L1166">
            <v>0.24399999999999999</v>
          </cell>
          <cell r="M1166">
            <v>2.0587499999999998E-2</v>
          </cell>
        </row>
        <row r="1167">
          <cell r="A1167">
            <v>10120144</v>
          </cell>
          <cell r="B1167">
            <v>3118220035409</v>
          </cell>
          <cell r="E1167" t="str">
            <v>PAIN 20CM FORGE GEORGES MANCHE BOIS EN BOITE ACCESS</v>
          </cell>
          <cell r="F1167">
            <v>6</v>
          </cell>
          <cell r="G1167">
            <v>6</v>
          </cell>
          <cell r="H1167">
            <v>45</v>
          </cell>
          <cell r="I1167">
            <v>30</v>
          </cell>
          <cell r="J1167">
            <v>15</v>
          </cell>
          <cell r="K1167">
            <v>1.3660000000000001</v>
          </cell>
          <cell r="L1167">
            <v>0.22766666666666668</v>
          </cell>
          <cell r="M1167">
            <v>2.0250000000000004E-2</v>
          </cell>
        </row>
        <row r="1168">
          <cell r="A1168">
            <v>10120157</v>
          </cell>
          <cell r="B1168">
            <v>3118220036185</v>
          </cell>
          <cell r="E1168" t="str">
            <v>BOUCHER 21CM FORGE GEORGES MANCHE BOIS EN BOITE ACCESS</v>
          </cell>
          <cell r="F1168">
            <v>6</v>
          </cell>
          <cell r="G1168">
            <v>6</v>
          </cell>
          <cell r="H1168">
            <v>45</v>
          </cell>
          <cell r="I1168">
            <v>30</v>
          </cell>
          <cell r="J1168">
            <v>15</v>
          </cell>
          <cell r="K1168">
            <v>1.706</v>
          </cell>
          <cell r="L1168">
            <v>0.28433333333333333</v>
          </cell>
          <cell r="M1168">
            <v>2.0250000000000004E-2</v>
          </cell>
        </row>
        <row r="1169">
          <cell r="A1169">
            <v>10120158</v>
          </cell>
          <cell r="B1169">
            <v>3118220037595</v>
          </cell>
          <cell r="E1169" t="str">
            <v>BLOC 5 COUTEAUX FORGES GEORGES MANCHE POM</v>
          </cell>
          <cell r="F1169">
            <v>4</v>
          </cell>
          <cell r="G1169">
            <v>4</v>
          </cell>
          <cell r="H1169">
            <v>39</v>
          </cell>
          <cell r="I1169">
            <v>29.5</v>
          </cell>
          <cell r="J1169">
            <v>40</v>
          </cell>
          <cell r="K1169">
            <v>9.984</v>
          </cell>
          <cell r="L1169">
            <v>2.496</v>
          </cell>
          <cell r="M1169">
            <v>4.6020000000000005E-2</v>
          </cell>
        </row>
        <row r="1170">
          <cell r="A1170">
            <v>10120159</v>
          </cell>
          <cell r="B1170">
            <v>3118220037601</v>
          </cell>
          <cell r="E1170" t="str">
            <v>BLOC 5 COUTEAUX FORGES GEORGES MANCHE BOIS</v>
          </cell>
          <cell r="F1170">
            <v>4</v>
          </cell>
          <cell r="G1170">
            <v>4</v>
          </cell>
          <cell r="H1170">
            <v>39</v>
          </cell>
          <cell r="I1170">
            <v>29.5</v>
          </cell>
          <cell r="J1170">
            <v>40</v>
          </cell>
          <cell r="K1170">
            <v>11.14</v>
          </cell>
          <cell r="L1170">
            <v>2.7850000000000001</v>
          </cell>
          <cell r="M1170">
            <v>4.6020000000000005E-2</v>
          </cell>
        </row>
        <row r="1171">
          <cell r="A1171">
            <v>10120160</v>
          </cell>
          <cell r="B1171">
            <v>3118220037625</v>
          </cell>
          <cell r="E1171" t="str">
            <v>COFFRET 3 COUTEAUX FORGES GEORGES MANCHE POM</v>
          </cell>
          <cell r="F1171">
            <v>6</v>
          </cell>
          <cell r="G1171">
            <v>6</v>
          </cell>
          <cell r="H1171">
            <v>4</v>
          </cell>
          <cell r="I1171">
            <v>30</v>
          </cell>
          <cell r="J1171">
            <v>20</v>
          </cell>
          <cell r="K1171">
            <v>4.5839999999999996</v>
          </cell>
          <cell r="L1171">
            <v>0.7639999999999999</v>
          </cell>
          <cell r="M1171">
            <v>2.3999999999999998E-3</v>
          </cell>
        </row>
        <row r="1172">
          <cell r="A1172">
            <v>10120161</v>
          </cell>
          <cell r="B1172">
            <v>3118220037632</v>
          </cell>
          <cell r="E1172" t="str">
            <v>COFFRET 3 COUTEAUX FORGES GEORGES MANCHE BOIS</v>
          </cell>
          <cell r="F1172">
            <v>6</v>
          </cell>
          <cell r="G1172">
            <v>6</v>
          </cell>
          <cell r="H1172">
            <v>40</v>
          </cell>
          <cell r="I1172">
            <v>30</v>
          </cell>
          <cell r="J1172">
            <v>20</v>
          </cell>
          <cell r="K1172">
            <v>4.4160000000000004</v>
          </cell>
          <cell r="L1172">
            <v>0.7360000000000001</v>
          </cell>
          <cell r="M1172">
            <v>2.4E-2</v>
          </cell>
        </row>
        <row r="1173">
          <cell r="A1173">
            <v>10120162</v>
          </cell>
          <cell r="B1173">
            <v>1202112202115</v>
          </cell>
          <cell r="E1173" t="str">
            <v>OFFICE 10CM FORGE MAESTRO FABINI SS PAPIER KRAFT</v>
          </cell>
          <cell r="F1173">
            <v>6</v>
          </cell>
          <cell r="G1173">
            <v>6</v>
          </cell>
          <cell r="H1173">
            <v>0</v>
          </cell>
          <cell r="I1173">
            <v>0</v>
          </cell>
          <cell r="J1173">
            <v>0</v>
          </cell>
          <cell r="K1173">
            <v>5.694</v>
          </cell>
          <cell r="L1173">
            <v>0.94899999999999995</v>
          </cell>
          <cell r="M1173">
            <v>0</v>
          </cell>
        </row>
        <row r="1174">
          <cell r="A1174">
            <v>10120163</v>
          </cell>
          <cell r="B1174">
            <v>1202112202122</v>
          </cell>
          <cell r="E1174" t="str">
            <v>DESOSSER 15CM FORGE MAESTRO FABINI SS PAPIER KRAFT</v>
          </cell>
          <cell r="F1174">
            <v>6</v>
          </cell>
          <cell r="G1174">
            <v>6</v>
          </cell>
          <cell r="H1174">
            <v>0</v>
          </cell>
          <cell r="I1174">
            <v>0</v>
          </cell>
          <cell r="J1174">
            <v>0</v>
          </cell>
          <cell r="K1174">
            <v>12.683999999999999</v>
          </cell>
          <cell r="L1174">
            <v>2.1139999999999999</v>
          </cell>
          <cell r="M1174">
            <v>0</v>
          </cell>
        </row>
        <row r="1175">
          <cell r="A1175">
            <v>10120164</v>
          </cell>
          <cell r="B1175">
            <v>1202112202139</v>
          </cell>
          <cell r="E1175" t="str">
            <v>FILET DE SOLE 16CM FORGE MAESTRO FABINI SS PAPIER KRAF</v>
          </cell>
          <cell r="F1175">
            <v>6</v>
          </cell>
          <cell r="G1175">
            <v>6</v>
          </cell>
          <cell r="H1175">
            <v>0</v>
          </cell>
          <cell r="I1175">
            <v>0</v>
          </cell>
          <cell r="J1175">
            <v>0</v>
          </cell>
          <cell r="K1175">
            <v>2.52</v>
          </cell>
          <cell r="L1175">
            <v>0.42</v>
          </cell>
          <cell r="M1175">
            <v>0</v>
          </cell>
        </row>
        <row r="1176">
          <cell r="A1176">
            <v>10120165</v>
          </cell>
          <cell r="B1176">
            <v>1202112202146</v>
          </cell>
          <cell r="E1176" t="str">
            <v>CUISINE 15CM FORGE MAESTRO FABINI SS PAPIER KRAFT</v>
          </cell>
          <cell r="F1176">
            <v>6</v>
          </cell>
          <cell r="G1176">
            <v>6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</row>
        <row r="1177">
          <cell r="A1177">
            <v>10120166</v>
          </cell>
          <cell r="B1177">
            <v>1202112202153</v>
          </cell>
          <cell r="E1177" t="str">
            <v>CUISINE 20CM FORGE MAESTRO FABINI SS PAPIER KRAFT</v>
          </cell>
          <cell r="F1177">
            <v>6</v>
          </cell>
          <cell r="G1177">
            <v>6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</row>
        <row r="1178">
          <cell r="A1178">
            <v>10120167</v>
          </cell>
          <cell r="B1178">
            <v>1202112202160</v>
          </cell>
          <cell r="E1178" t="str">
            <v>SANTUKO 18 CM FORGE MAESTRO FABINI SS PAPIER KRAFT</v>
          </cell>
          <cell r="F1178">
            <v>6</v>
          </cell>
          <cell r="G1178">
            <v>6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</row>
        <row r="1179">
          <cell r="A1179">
            <v>10120168</v>
          </cell>
          <cell r="B1179">
            <v>1202112202177</v>
          </cell>
          <cell r="E1179" t="str">
            <v>PAIN 20 CM FORGE MAESTRO FABINI SS PAPIER KRAFT</v>
          </cell>
          <cell r="F1179">
            <v>6</v>
          </cell>
          <cell r="G1179">
            <v>6</v>
          </cell>
          <cell r="H1179">
            <v>0</v>
          </cell>
          <cell r="I1179">
            <v>0</v>
          </cell>
          <cell r="J1179">
            <v>0</v>
          </cell>
          <cell r="K1179">
            <v>12.012</v>
          </cell>
          <cell r="L1179">
            <v>2.0020000000000002</v>
          </cell>
          <cell r="M1179">
            <v>0</v>
          </cell>
        </row>
        <row r="1180">
          <cell r="A1180">
            <v>10120183</v>
          </cell>
          <cell r="B1180">
            <v>3118220040793</v>
          </cell>
          <cell r="E1180" t="str">
            <v>SET 3 COUTEAUX (OFFICE SANTOKU PAIN) MAESTRO EN BOITE</v>
          </cell>
          <cell r="F1180">
            <v>1</v>
          </cell>
          <cell r="G1180">
            <v>1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</row>
        <row r="1181">
          <cell r="A1181">
            <v>10120184</v>
          </cell>
          <cell r="B1181">
            <v>3118220040809</v>
          </cell>
          <cell r="E1181" t="str">
            <v>SET 2 COUTEAUX (OFFICE SANTOKU) MAESTRO EN BOITE</v>
          </cell>
          <cell r="F1181">
            <v>1</v>
          </cell>
          <cell r="G1181">
            <v>1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</row>
        <row r="1182">
          <cell r="A1182">
            <v>10120186</v>
          </cell>
          <cell r="B1182">
            <v>3118220041479</v>
          </cell>
          <cell r="E1182" t="str">
            <v>OFFICE 9CM FORGE TB PROFESSIONNEL CARTONNETTE TB P</v>
          </cell>
          <cell r="F1182">
            <v>150</v>
          </cell>
          <cell r="G1182">
            <v>6</v>
          </cell>
          <cell r="H1182">
            <v>40</v>
          </cell>
          <cell r="I1182">
            <v>30</v>
          </cell>
          <cell r="J1182">
            <v>20</v>
          </cell>
          <cell r="K1182">
            <v>10.875</v>
          </cell>
          <cell r="L1182">
            <v>7.2499999999999995E-2</v>
          </cell>
          <cell r="M1182">
            <v>2.4E-2</v>
          </cell>
        </row>
        <row r="1183">
          <cell r="A1183">
            <v>10120187</v>
          </cell>
          <cell r="B1183">
            <v>3118220041486</v>
          </cell>
          <cell r="E1183" t="str">
            <v>STEAK 12CM FORGE TB PROFESSIONNEL CARTONNETTE TB P</v>
          </cell>
          <cell r="F1183">
            <v>150</v>
          </cell>
          <cell r="G1183">
            <v>6</v>
          </cell>
          <cell r="H1183">
            <v>40</v>
          </cell>
          <cell r="I1183">
            <v>30</v>
          </cell>
          <cell r="J1183">
            <v>20</v>
          </cell>
          <cell r="K1183">
            <v>11.7</v>
          </cell>
          <cell r="L1183">
            <v>7.8E-2</v>
          </cell>
          <cell r="M1183">
            <v>2.4E-2</v>
          </cell>
        </row>
        <row r="1184">
          <cell r="A1184">
            <v>10120188</v>
          </cell>
          <cell r="B1184">
            <v>3118220041493</v>
          </cell>
          <cell r="E1184" t="str">
            <v>DESOSSER 15CM FORGE TB PROFESSIONNEL CARTONNETTE TB P</v>
          </cell>
          <cell r="F1184">
            <v>90</v>
          </cell>
          <cell r="G1184">
            <v>6</v>
          </cell>
          <cell r="H1184">
            <v>40</v>
          </cell>
          <cell r="I1184">
            <v>30</v>
          </cell>
          <cell r="J1184">
            <v>20</v>
          </cell>
          <cell r="K1184">
            <v>12.15</v>
          </cell>
          <cell r="L1184">
            <v>0.13500000000000001</v>
          </cell>
          <cell r="M1184">
            <v>2.4E-2</v>
          </cell>
        </row>
        <row r="1185">
          <cell r="A1185">
            <v>10120189</v>
          </cell>
          <cell r="B1185">
            <v>3118220041509</v>
          </cell>
          <cell r="E1185" t="str">
            <v>CUISINE 17CM FORGE TB PROFESSIONNEL CARTONNETTE TB P</v>
          </cell>
          <cell r="F1185">
            <v>72</v>
          </cell>
          <cell r="G1185">
            <v>6</v>
          </cell>
          <cell r="H1185">
            <v>40</v>
          </cell>
          <cell r="I1185">
            <v>30</v>
          </cell>
          <cell r="J1185">
            <v>20</v>
          </cell>
          <cell r="K1185">
            <v>14.064</v>
          </cell>
          <cell r="L1185">
            <v>0.19533333333333333</v>
          </cell>
          <cell r="M1185">
            <v>2.4E-2</v>
          </cell>
        </row>
        <row r="1186">
          <cell r="A1186">
            <v>10120190</v>
          </cell>
          <cell r="B1186">
            <v>3118220041516</v>
          </cell>
          <cell r="E1186" t="str">
            <v>SANTUKO 19CM FORGE TB PROFESSIONNEL CARTONNETTE TB P</v>
          </cell>
          <cell r="F1186">
            <v>72</v>
          </cell>
          <cell r="G1186">
            <v>6</v>
          </cell>
          <cell r="H1186">
            <v>40</v>
          </cell>
          <cell r="I1186">
            <v>30</v>
          </cell>
          <cell r="J1186">
            <v>20</v>
          </cell>
          <cell r="K1186">
            <v>16.920000000000002</v>
          </cell>
          <cell r="L1186">
            <v>0.23500000000000001</v>
          </cell>
          <cell r="M1186">
            <v>2.4E-2</v>
          </cell>
        </row>
        <row r="1187">
          <cell r="A1187">
            <v>10120191</v>
          </cell>
          <cell r="B1187">
            <v>3118220041523</v>
          </cell>
          <cell r="E1187" t="str">
            <v>CHEF 19CM FORGE TB PROFESSIONNEL CARTONNETTE TB P</v>
          </cell>
          <cell r="F1187">
            <v>72</v>
          </cell>
          <cell r="G1187">
            <v>6</v>
          </cell>
          <cell r="H1187">
            <v>40</v>
          </cell>
          <cell r="I1187">
            <v>30</v>
          </cell>
          <cell r="J1187">
            <v>20</v>
          </cell>
          <cell r="K1187">
            <v>18.648</v>
          </cell>
          <cell r="L1187">
            <v>0.25900000000000001</v>
          </cell>
          <cell r="M1187">
            <v>2.4E-2</v>
          </cell>
        </row>
        <row r="1188">
          <cell r="A1188">
            <v>10120192</v>
          </cell>
          <cell r="B1188">
            <v>3118220041530</v>
          </cell>
          <cell r="E1188" t="str">
            <v>PAIN 20CM FORGE TB PROFESSIONNEL CARTONNETTE TB P</v>
          </cell>
          <cell r="F1188">
            <v>72</v>
          </cell>
          <cell r="G1188">
            <v>6</v>
          </cell>
          <cell r="H1188">
            <v>40</v>
          </cell>
          <cell r="I1188">
            <v>30</v>
          </cell>
          <cell r="J1188">
            <v>20</v>
          </cell>
          <cell r="K1188">
            <v>10.68</v>
          </cell>
          <cell r="L1188">
            <v>0.14833333333333332</v>
          </cell>
          <cell r="M1188">
            <v>2.4E-2</v>
          </cell>
        </row>
        <row r="1189">
          <cell r="A1189">
            <v>10120193</v>
          </cell>
          <cell r="B1189">
            <v>3118220043282</v>
          </cell>
          <cell r="E1189" t="str">
            <v>OFFICE 9CM FORGE TOP CHEF SS CARTONNETTE TB C</v>
          </cell>
          <cell r="F1189">
            <v>150</v>
          </cell>
          <cell r="G1189">
            <v>3</v>
          </cell>
          <cell r="H1189">
            <v>40</v>
          </cell>
          <cell r="I1189">
            <v>30</v>
          </cell>
          <cell r="J1189">
            <v>20</v>
          </cell>
          <cell r="K1189">
            <v>11.289</v>
          </cell>
          <cell r="L1189">
            <v>7.5259999999999994E-2</v>
          </cell>
          <cell r="M1189">
            <v>2.4E-2</v>
          </cell>
        </row>
        <row r="1190">
          <cell r="A1190">
            <v>10120194</v>
          </cell>
          <cell r="B1190">
            <v>3118220043299</v>
          </cell>
          <cell r="E1190" t="str">
            <v>STEAK 12CM FORGE TOP CHEF SS CARTONNETTE TB C</v>
          </cell>
          <cell r="F1190">
            <v>150</v>
          </cell>
          <cell r="G1190">
            <v>3</v>
          </cell>
          <cell r="H1190">
            <v>45</v>
          </cell>
          <cell r="I1190">
            <v>33</v>
          </cell>
          <cell r="J1190">
            <v>20</v>
          </cell>
          <cell r="K1190">
            <v>12.256</v>
          </cell>
          <cell r="L1190">
            <v>8.1706666666666664E-2</v>
          </cell>
          <cell r="M1190">
            <v>2.9699999999999997E-2</v>
          </cell>
        </row>
        <row r="1191">
          <cell r="A1191">
            <v>10120195</v>
          </cell>
          <cell r="B1191">
            <v>3118220043305</v>
          </cell>
          <cell r="E1191" t="str">
            <v>DESOSSER 15CM FORGE TOP CHEF SS CARTONNETTE TB C</v>
          </cell>
          <cell r="F1191">
            <v>90</v>
          </cell>
          <cell r="G1191">
            <v>3</v>
          </cell>
          <cell r="H1191">
            <v>40</v>
          </cell>
          <cell r="I1191">
            <v>30</v>
          </cell>
          <cell r="J1191">
            <v>20</v>
          </cell>
          <cell r="K1191">
            <v>11.46</v>
          </cell>
          <cell r="L1191">
            <v>0.12733333333333335</v>
          </cell>
          <cell r="M1191">
            <v>2.4E-2</v>
          </cell>
        </row>
        <row r="1192">
          <cell r="A1192">
            <v>10120196</v>
          </cell>
          <cell r="B1192">
            <v>3118220043312</v>
          </cell>
          <cell r="E1192" t="str">
            <v>CUISINE 17CM FORGE TOP CHEF SS CARTONNETTE TB C</v>
          </cell>
          <cell r="F1192">
            <v>60</v>
          </cell>
          <cell r="G1192">
            <v>3</v>
          </cell>
          <cell r="H1192">
            <v>40</v>
          </cell>
          <cell r="I1192">
            <v>30</v>
          </cell>
          <cell r="J1192">
            <v>20</v>
          </cell>
          <cell r="K1192">
            <v>12.36</v>
          </cell>
          <cell r="L1192">
            <v>0.20599999999999999</v>
          </cell>
          <cell r="M1192">
            <v>2.4E-2</v>
          </cell>
        </row>
        <row r="1193">
          <cell r="A1193">
            <v>10120197</v>
          </cell>
          <cell r="B1193">
            <v>3118220043329</v>
          </cell>
          <cell r="E1193" t="str">
            <v>SANTUKO 19CM FORGE TOP CHEF SS CARTONNETTE TB C</v>
          </cell>
          <cell r="F1193">
            <v>60</v>
          </cell>
          <cell r="G1193">
            <v>3</v>
          </cell>
          <cell r="H1193">
            <v>40</v>
          </cell>
          <cell r="I1193">
            <v>30</v>
          </cell>
          <cell r="J1193">
            <v>20</v>
          </cell>
          <cell r="K1193">
            <v>12.926</v>
          </cell>
          <cell r="L1193">
            <v>0.21543333333333334</v>
          </cell>
          <cell r="M1193">
            <v>2.4E-2</v>
          </cell>
        </row>
        <row r="1194">
          <cell r="A1194">
            <v>10120198</v>
          </cell>
          <cell r="B1194">
            <v>3118220044128</v>
          </cell>
          <cell r="E1194" t="str">
            <v>BLOC 5 COUTEAUX FORGES GEORGES MANCHE BOIS V2</v>
          </cell>
          <cell r="F1194">
            <v>4</v>
          </cell>
          <cell r="G1194">
            <v>4</v>
          </cell>
          <cell r="H1194">
            <v>39</v>
          </cell>
          <cell r="I1194">
            <v>30</v>
          </cell>
          <cell r="J1194">
            <v>40</v>
          </cell>
          <cell r="K1194">
            <v>10.169</v>
          </cell>
          <cell r="L1194">
            <v>2.5422500000000001</v>
          </cell>
          <cell r="M1194">
            <v>4.6800000000000008E-2</v>
          </cell>
        </row>
        <row r="1195">
          <cell r="A1195">
            <v>10140004</v>
          </cell>
          <cell r="B1195">
            <v>3118220015319</v>
          </cell>
          <cell r="E1195" t="str">
            <v>OFFICE MANGO COULEUR PANACHE FOURREAU T1 COUT DU CHEF</v>
          </cell>
          <cell r="F1195">
            <v>150</v>
          </cell>
          <cell r="G1195">
            <v>6</v>
          </cell>
          <cell r="H1195">
            <v>40</v>
          </cell>
          <cell r="I1195">
            <v>30</v>
          </cell>
          <cell r="J1195">
            <v>20</v>
          </cell>
          <cell r="K1195">
            <v>7.95</v>
          </cell>
          <cell r="L1195">
            <v>5.2999999999999999E-2</v>
          </cell>
          <cell r="M1195">
            <v>2.4E-2</v>
          </cell>
        </row>
        <row r="1196">
          <cell r="A1196">
            <v>10140005</v>
          </cell>
          <cell r="B1196">
            <v>3118220015326</v>
          </cell>
          <cell r="E1196" t="str">
            <v>STEAK MANGO COULEUR PANACHE FOURREAU T1 COUT DU CHEF</v>
          </cell>
          <cell r="F1196">
            <v>120</v>
          </cell>
          <cell r="G1196">
            <v>6</v>
          </cell>
          <cell r="H1196">
            <v>40</v>
          </cell>
          <cell r="I1196">
            <v>20</v>
          </cell>
          <cell r="J1196">
            <v>30</v>
          </cell>
          <cell r="K1196">
            <v>6.66</v>
          </cell>
          <cell r="L1196">
            <v>5.5500000000000001E-2</v>
          </cell>
          <cell r="M1196">
            <v>2.4E-2</v>
          </cell>
        </row>
        <row r="1197">
          <cell r="A1197">
            <v>10170002</v>
          </cell>
          <cell r="B1197">
            <v>3118220023994</v>
          </cell>
          <cell r="E1197" t="str">
            <v>6 STEAKS LAGUIOLE DUO PANACHE EN TUBO</v>
          </cell>
          <cell r="F1197">
            <v>12</v>
          </cell>
          <cell r="G1197">
            <v>12</v>
          </cell>
          <cell r="H1197">
            <v>31</v>
          </cell>
          <cell r="I1197">
            <v>29.5</v>
          </cell>
          <cell r="J1197">
            <v>14</v>
          </cell>
          <cell r="K1197">
            <v>3.24</v>
          </cell>
          <cell r="L1197">
            <v>0.27</v>
          </cell>
          <cell r="M1197">
            <v>1.2802999999999998E-2</v>
          </cell>
        </row>
        <row r="1198">
          <cell r="A1198">
            <v>10190002</v>
          </cell>
          <cell r="B1198">
            <v>3118220012806</v>
          </cell>
          <cell r="E1198" t="str">
            <v>OFFICE INEDIT USA+SLEEVE+GENCOD</v>
          </cell>
          <cell r="F1198">
            <v>240</v>
          </cell>
          <cell r="G1198">
            <v>12</v>
          </cell>
          <cell r="H1198">
            <v>23.5</v>
          </cell>
          <cell r="I1198">
            <v>22</v>
          </cell>
          <cell r="J1198">
            <v>22</v>
          </cell>
          <cell r="K1198">
            <v>4.8</v>
          </cell>
          <cell r="L1198">
            <v>0.02</v>
          </cell>
          <cell r="M1198">
            <v>1.1374E-2</v>
          </cell>
        </row>
        <row r="1199">
          <cell r="A1199">
            <v>10190003</v>
          </cell>
          <cell r="B1199">
            <v>3118220012820</v>
          </cell>
          <cell r="E1199" t="str">
            <v>BEURRE INEDIT USA+GENCOD</v>
          </cell>
          <cell r="F1199">
            <v>240</v>
          </cell>
          <cell r="G1199">
            <v>12</v>
          </cell>
          <cell r="H1199">
            <v>25</v>
          </cell>
          <cell r="I1199">
            <v>20.5</v>
          </cell>
          <cell r="J1199">
            <v>22</v>
          </cell>
          <cell r="K1199">
            <v>5.52</v>
          </cell>
          <cell r="L1199">
            <v>2.3E-2</v>
          </cell>
          <cell r="M1199">
            <v>1.1275E-2</v>
          </cell>
        </row>
        <row r="1200">
          <cell r="A1200">
            <v>10210001</v>
          </cell>
          <cell r="B1200">
            <v>3118220002098</v>
          </cell>
          <cell r="E1200" t="str">
            <v>PAIN LASURE BOIS COUL PANACHE FX COUTEAU DU CHEF SUISSE</v>
          </cell>
          <cell r="F1200">
            <v>96</v>
          </cell>
          <cell r="G1200">
            <v>6</v>
          </cell>
          <cell r="H1200">
            <v>43.5</v>
          </cell>
          <cell r="I1200">
            <v>27.5</v>
          </cell>
          <cell r="J1200">
            <v>28.5</v>
          </cell>
          <cell r="K1200">
            <v>16.32</v>
          </cell>
          <cell r="L1200">
            <v>0.17</v>
          </cell>
          <cell r="M1200">
            <v>3.4093125000000002E-2</v>
          </cell>
        </row>
        <row r="1201">
          <cell r="A1201">
            <v>10210002</v>
          </cell>
          <cell r="B1201">
            <v>3118220002104</v>
          </cell>
          <cell r="E1201" t="str">
            <v>CUISINE17 LASURE BOIS COUL PANACHE FX COUTEAU DU CHEF SUISSE</v>
          </cell>
          <cell r="F1201">
            <v>96</v>
          </cell>
          <cell r="G1201">
            <v>6</v>
          </cell>
          <cell r="H1201">
            <v>43.8</v>
          </cell>
          <cell r="I1201">
            <v>27.5</v>
          </cell>
          <cell r="J1201">
            <v>28.5</v>
          </cell>
          <cell r="K1201">
            <v>15.8</v>
          </cell>
          <cell r="L1201">
            <v>0.16458333333333333</v>
          </cell>
          <cell r="M1201">
            <v>3.4328249999999998E-2</v>
          </cell>
        </row>
        <row r="1202">
          <cell r="A1202">
            <v>10210003</v>
          </cell>
          <cell r="B1202">
            <v>3118220002111</v>
          </cell>
          <cell r="E1202" t="str">
            <v>CUISINE19 LASURE BOIS COUL PANACHE FX COUTEAU DU CHEF SUISSE</v>
          </cell>
          <cell r="F1202">
            <v>96</v>
          </cell>
          <cell r="G1202">
            <v>6</v>
          </cell>
          <cell r="H1202">
            <v>43.8</v>
          </cell>
          <cell r="I1202">
            <v>27.5</v>
          </cell>
          <cell r="J1202">
            <v>28.5</v>
          </cell>
          <cell r="K1202">
            <v>13.44</v>
          </cell>
          <cell r="L1202">
            <v>0.13999999999999999</v>
          </cell>
          <cell r="M1202">
            <v>3.4328249999999998E-2</v>
          </cell>
        </row>
        <row r="1203">
          <cell r="A1203">
            <v>10210011</v>
          </cell>
          <cell r="B1203">
            <v>3118220010154</v>
          </cell>
          <cell r="E1203" t="str">
            <v>CUISINE 17 LAG LASURE MANCHE BOIS GRIS BOITE CADEAU</v>
          </cell>
          <cell r="F1203">
            <v>36</v>
          </cell>
          <cell r="G1203">
            <v>36</v>
          </cell>
          <cell r="H1203">
            <v>44</v>
          </cell>
          <cell r="I1203">
            <v>28</v>
          </cell>
          <cell r="J1203">
            <v>14</v>
          </cell>
          <cell r="K1203">
            <v>5.61</v>
          </cell>
          <cell r="L1203">
            <v>0.15583333333333335</v>
          </cell>
          <cell r="M1203">
            <v>1.7247999999999999E-2</v>
          </cell>
        </row>
        <row r="1204">
          <cell r="A1204">
            <v>10210012</v>
          </cell>
          <cell r="B1204">
            <v>3118220010161</v>
          </cell>
          <cell r="E1204" t="str">
            <v>CUISINE 17 LAG LASURE MANCHE BOIS BLANCHI BOITE CADEAU</v>
          </cell>
          <cell r="F1204">
            <v>36</v>
          </cell>
          <cell r="G1204">
            <v>36</v>
          </cell>
          <cell r="H1204">
            <v>0</v>
          </cell>
          <cell r="I1204">
            <v>0</v>
          </cell>
          <cell r="J1204">
            <v>0</v>
          </cell>
          <cell r="K1204">
            <v>5.04</v>
          </cell>
          <cell r="L1204">
            <v>0.14000000000000001</v>
          </cell>
          <cell r="M1204">
            <v>0</v>
          </cell>
        </row>
        <row r="1205">
          <cell r="A1205">
            <v>10210014</v>
          </cell>
          <cell r="B1205">
            <v>3118220010185</v>
          </cell>
          <cell r="E1205" t="str">
            <v>PAIN LAG LASURE MANCHE BOIS GRIS BOITE CADEAU</v>
          </cell>
          <cell r="F1205">
            <v>36</v>
          </cell>
          <cell r="G1205">
            <v>36</v>
          </cell>
          <cell r="H1205">
            <v>44</v>
          </cell>
          <cell r="I1205">
            <v>28</v>
          </cell>
          <cell r="J1205">
            <v>14</v>
          </cell>
          <cell r="K1205">
            <v>2.88</v>
          </cell>
          <cell r="L1205">
            <v>0.08</v>
          </cell>
          <cell r="M1205">
            <v>1.7247999999999999E-2</v>
          </cell>
        </row>
        <row r="1206">
          <cell r="A1206">
            <v>10210016</v>
          </cell>
          <cell r="B1206">
            <v>3118220010208</v>
          </cell>
          <cell r="E1206" t="str">
            <v>CUISINE 19 LAG LASURE MANCHE BOIS NATUREL BOITE CADEAU</v>
          </cell>
          <cell r="F1206">
            <v>6</v>
          </cell>
          <cell r="G1206">
            <v>6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</row>
        <row r="1207">
          <cell r="A1207">
            <v>10210017</v>
          </cell>
          <cell r="B1207">
            <v>3118220010215</v>
          </cell>
          <cell r="E1207" t="str">
            <v>CUISINE 19 LAG LASURE MANCHE BOIS GRIS BOITE CADEAU</v>
          </cell>
          <cell r="F1207">
            <v>36</v>
          </cell>
          <cell r="G1207">
            <v>36</v>
          </cell>
          <cell r="H1207">
            <v>44</v>
          </cell>
          <cell r="I1207">
            <v>28</v>
          </cell>
          <cell r="J1207">
            <v>14</v>
          </cell>
          <cell r="K1207">
            <v>5.61</v>
          </cell>
          <cell r="L1207">
            <v>0.15583333333333335</v>
          </cell>
          <cell r="M1207">
            <v>1.7247999999999999E-2</v>
          </cell>
        </row>
        <row r="1208">
          <cell r="A1208">
            <v>10210018</v>
          </cell>
          <cell r="B1208">
            <v>3118220010222</v>
          </cell>
          <cell r="E1208" t="str">
            <v>CUISINE 19 LAG LASURE MANCHE BOIS BLANCHI BOITE CADEAU</v>
          </cell>
          <cell r="F1208">
            <v>36</v>
          </cell>
          <cell r="G1208">
            <v>36</v>
          </cell>
          <cell r="H1208">
            <v>44</v>
          </cell>
          <cell r="I1208">
            <v>28</v>
          </cell>
          <cell r="J1208">
            <v>14</v>
          </cell>
          <cell r="K1208">
            <v>5.42</v>
          </cell>
          <cell r="L1208">
            <v>0.15055555555555555</v>
          </cell>
          <cell r="M1208">
            <v>1.7247999999999999E-2</v>
          </cell>
        </row>
        <row r="1209">
          <cell r="A1209">
            <v>10210019</v>
          </cell>
          <cell r="B1209">
            <v>3118220010284</v>
          </cell>
          <cell r="E1209" t="str">
            <v>CUISINE 19 LAG LASURE MANCHE BOIS GRIS EN BERLINGOT</v>
          </cell>
          <cell r="F1209">
            <v>36</v>
          </cell>
          <cell r="G1209">
            <v>36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</row>
        <row r="1210">
          <cell r="A1210">
            <v>10210023</v>
          </cell>
          <cell r="B1210">
            <v>3118220017696</v>
          </cell>
          <cell r="E1210" t="str">
            <v>CUISINE 17 LAG LASURE MANCHE BOIS GRIS EN BERLINGOT</v>
          </cell>
          <cell r="F1210">
            <v>75</v>
          </cell>
          <cell r="G1210">
            <v>75</v>
          </cell>
          <cell r="H1210">
            <v>46.5</v>
          </cell>
          <cell r="I1210">
            <v>14.8</v>
          </cell>
          <cell r="J1210">
            <v>11</v>
          </cell>
          <cell r="K1210">
            <v>1.6</v>
          </cell>
          <cell r="L1210">
            <v>2.1333333333333336E-2</v>
          </cell>
          <cell r="M1210">
            <v>7.5702E-3</v>
          </cell>
        </row>
        <row r="1211">
          <cell r="A1211">
            <v>10210024</v>
          </cell>
          <cell r="B1211">
            <v>3118220017702</v>
          </cell>
          <cell r="E1211" t="str">
            <v>CUISINE 17 LAG LASURE MANCHE BOIS BLANCHI EN BERLINGOT</v>
          </cell>
          <cell r="F1211">
            <v>75</v>
          </cell>
          <cell r="G1211">
            <v>75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</row>
        <row r="1212">
          <cell r="A1212">
            <v>10210025</v>
          </cell>
          <cell r="B1212">
            <v>3118220017719</v>
          </cell>
          <cell r="E1212" t="str">
            <v>CUISINE 17 LAG LASURE MANCHE BOIS NATUREL EN BERLINGOT</v>
          </cell>
          <cell r="F1212">
            <v>75</v>
          </cell>
          <cell r="G1212">
            <v>75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</row>
        <row r="1213">
          <cell r="A1213">
            <v>10210027</v>
          </cell>
          <cell r="B1213">
            <v>3118220017733</v>
          </cell>
          <cell r="E1213" t="str">
            <v>CUISINE 19 LAG LASURE MANCHE BOIS BLANCHI EN BERLINGOT</v>
          </cell>
          <cell r="F1213">
            <v>36</v>
          </cell>
          <cell r="G1213">
            <v>36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</row>
        <row r="1214">
          <cell r="A1214">
            <v>10210028</v>
          </cell>
          <cell r="B1214">
            <v>3118220017740</v>
          </cell>
          <cell r="E1214" t="str">
            <v>CUISINE 19 LAG LASURE MANCHE BOIS NATUREL EN BERLINGOT</v>
          </cell>
          <cell r="F1214">
            <v>36</v>
          </cell>
          <cell r="G1214">
            <v>36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</row>
        <row r="1215">
          <cell r="A1215">
            <v>10210029</v>
          </cell>
          <cell r="B1215">
            <v>3118220017757</v>
          </cell>
          <cell r="E1215" t="str">
            <v>PAIN LAG LASURE MANCHE BOIS GRIS EN BERLINGOT</v>
          </cell>
          <cell r="F1215">
            <v>75</v>
          </cell>
          <cell r="G1215">
            <v>75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</row>
        <row r="1216">
          <cell r="A1216">
            <v>10210030</v>
          </cell>
          <cell r="B1216">
            <v>3118220017764</v>
          </cell>
          <cell r="E1216" t="str">
            <v>PAIN LAG LASURE MANCHE BOIS BLANCHI EN BERLINGOT</v>
          </cell>
          <cell r="F1216">
            <v>75</v>
          </cell>
          <cell r="G1216">
            <v>75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</row>
        <row r="1217">
          <cell r="A1217">
            <v>10210031</v>
          </cell>
          <cell r="B1217">
            <v>3118220017771</v>
          </cell>
          <cell r="E1217" t="str">
            <v>PAIN LAG LASURE MANCHE BOIS NATUREL EN BERLINGOT</v>
          </cell>
          <cell r="F1217">
            <v>75</v>
          </cell>
          <cell r="G1217">
            <v>75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</row>
        <row r="1218">
          <cell r="A1218">
            <v>10270005</v>
          </cell>
          <cell r="B1218">
            <v>3118220016231</v>
          </cell>
          <cell r="E1218" t="str">
            <v>COUTEAU T BONE BEEF 14 CM BACKELISE FX COUTEAU DU CHEF</v>
          </cell>
          <cell r="F1218">
            <v>60</v>
          </cell>
          <cell r="G1218">
            <v>6</v>
          </cell>
          <cell r="H1218">
            <v>40</v>
          </cell>
          <cell r="I1218">
            <v>30</v>
          </cell>
          <cell r="J1218">
            <v>20</v>
          </cell>
          <cell r="K1218">
            <v>9.6</v>
          </cell>
          <cell r="L1218">
            <v>0.16</v>
          </cell>
          <cell r="M1218">
            <v>2.4E-2</v>
          </cell>
        </row>
        <row r="1219">
          <cell r="A1219">
            <v>10270007</v>
          </cell>
          <cell r="B1219">
            <v>3118220023789</v>
          </cell>
          <cell r="E1219" t="str">
            <v>BOITE 12 STEAKS 12CM TRADITION SANS PASTILLE LAME DENTE</v>
          </cell>
          <cell r="F1219">
            <v>9</v>
          </cell>
          <cell r="G1219">
            <v>9</v>
          </cell>
          <cell r="H1219">
            <v>40</v>
          </cell>
          <cell r="I1219">
            <v>30</v>
          </cell>
          <cell r="J1219">
            <v>20</v>
          </cell>
          <cell r="K1219">
            <v>7.56</v>
          </cell>
          <cell r="L1219">
            <v>0.84</v>
          </cell>
          <cell r="M1219">
            <v>2.4E-2</v>
          </cell>
        </row>
        <row r="1220">
          <cell r="A1220">
            <v>10280001</v>
          </cell>
          <cell r="B1220">
            <v>3118220001022</v>
          </cell>
          <cell r="E1220" t="str">
            <v>SET EQUILIBRE 3 PCES N°1 OFFICE SANTUKO YANAGIBA</v>
          </cell>
          <cell r="F1220">
            <v>1</v>
          </cell>
          <cell r="G1220">
            <v>1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</row>
        <row r="1221">
          <cell r="A1221">
            <v>10280003</v>
          </cell>
          <cell r="B1221">
            <v>3118220036338</v>
          </cell>
          <cell r="E1221" t="str">
            <v>SET EQUILIBRE 3 PCES N°2 OFFICE UNIVERSEL SANTUKO</v>
          </cell>
          <cell r="F1221">
            <v>1</v>
          </cell>
          <cell r="G1221">
            <v>1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</row>
        <row r="1222">
          <cell r="A1222">
            <v>10280004</v>
          </cell>
          <cell r="B1222">
            <v>3118220036345</v>
          </cell>
          <cell r="E1222" t="str">
            <v>SET EQUILIBRE 2 PCES DEBA UNIVERSEL</v>
          </cell>
          <cell r="F1222">
            <v>1</v>
          </cell>
          <cell r="G1222">
            <v>1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</row>
        <row r="1223">
          <cell r="A1223">
            <v>10290001</v>
          </cell>
          <cell r="B1223">
            <v>3118220016712</v>
          </cell>
          <cell r="E1223" t="str">
            <v>COFFRET 2 COUTEAUX SANTUKO LAME INOX MANCHE BOIS BLANC</v>
          </cell>
          <cell r="F1223">
            <v>24</v>
          </cell>
          <cell r="G1223">
            <v>6</v>
          </cell>
          <cell r="H1223">
            <v>48</v>
          </cell>
          <cell r="I1223">
            <v>34</v>
          </cell>
          <cell r="J1223">
            <v>21.5</v>
          </cell>
          <cell r="K1223">
            <v>6</v>
          </cell>
          <cell r="L1223">
            <v>0.25</v>
          </cell>
          <cell r="M1223">
            <v>3.5088000000000001E-2</v>
          </cell>
        </row>
        <row r="1224">
          <cell r="A1224">
            <v>10300001</v>
          </cell>
          <cell r="B1224">
            <v>3118220001329</v>
          </cell>
          <cell r="E1224" t="str">
            <v>BLOC MAGNETIQUE 5 COUTEAUX EXPRESSION POM</v>
          </cell>
          <cell r="F1224">
            <v>2</v>
          </cell>
          <cell r="G1224">
            <v>2</v>
          </cell>
          <cell r="H1224">
            <v>60</v>
          </cell>
          <cell r="I1224">
            <v>40</v>
          </cell>
          <cell r="J1224">
            <v>30</v>
          </cell>
          <cell r="K1224">
            <v>0.26</v>
          </cell>
          <cell r="L1224">
            <v>0.13</v>
          </cell>
          <cell r="M1224">
            <v>7.1999999999999995E-2</v>
          </cell>
        </row>
        <row r="1225">
          <cell r="A1225">
            <v>10300002</v>
          </cell>
          <cell r="B1225">
            <v>3118220005563</v>
          </cell>
          <cell r="C1225" t="str">
            <v>13118220005560</v>
          </cell>
          <cell r="D1225" t="str">
            <v>23118220005567</v>
          </cell>
          <cell r="E1225" t="str">
            <v>BOITE DE 12 EMINCEUR EXPRESSION LAG EVOLUTION</v>
          </cell>
          <cell r="F1225">
            <v>9</v>
          </cell>
          <cell r="G1225">
            <v>9</v>
          </cell>
          <cell r="H1225">
            <v>40</v>
          </cell>
          <cell r="I1225">
            <v>32</v>
          </cell>
          <cell r="J1225">
            <v>21.5</v>
          </cell>
          <cell r="K1225">
            <v>13.348000000000001</v>
          </cell>
          <cell r="L1225">
            <v>1.4831111111111113</v>
          </cell>
          <cell r="M1225">
            <v>2.7520000000000003E-2</v>
          </cell>
        </row>
        <row r="1226">
          <cell r="A1226">
            <v>10300006</v>
          </cell>
          <cell r="B1226">
            <v>3118220011755</v>
          </cell>
          <cell r="E1226" t="str">
            <v>OFFICE EXPRESSION METAL SATINE BERLINGOT</v>
          </cell>
          <cell r="F1226">
            <v>96</v>
          </cell>
          <cell r="G1226">
            <v>12</v>
          </cell>
          <cell r="H1226">
            <v>33.5</v>
          </cell>
          <cell r="I1226">
            <v>31</v>
          </cell>
          <cell r="J1226">
            <v>23</v>
          </cell>
          <cell r="K1226">
            <v>12.455</v>
          </cell>
          <cell r="L1226">
            <v>0.12973958333333332</v>
          </cell>
          <cell r="M1226">
            <v>2.38855E-2</v>
          </cell>
        </row>
        <row r="1227">
          <cell r="A1227">
            <v>10300007</v>
          </cell>
          <cell r="B1227">
            <v>3118220011762</v>
          </cell>
          <cell r="E1227" t="str">
            <v>COTE A L'OS EXPRESSION METAL SATINE BERLINGOT</v>
          </cell>
          <cell r="F1227">
            <v>96</v>
          </cell>
          <cell r="G1227">
            <v>12</v>
          </cell>
          <cell r="H1227">
            <v>43</v>
          </cell>
          <cell r="I1227">
            <v>28</v>
          </cell>
          <cell r="J1227">
            <v>29</v>
          </cell>
          <cell r="K1227">
            <v>12.864000000000001</v>
          </cell>
          <cell r="L1227">
            <v>0.13400000000000001</v>
          </cell>
          <cell r="M1227">
            <v>3.4915999999999996E-2</v>
          </cell>
        </row>
        <row r="1228">
          <cell r="A1228">
            <v>10300008</v>
          </cell>
          <cell r="B1228">
            <v>3118220011779</v>
          </cell>
          <cell r="E1228" t="str">
            <v>STEAK EXPRESSION METAL SATINE BERLINGOT</v>
          </cell>
          <cell r="F1228">
            <v>96</v>
          </cell>
          <cell r="G1228">
            <v>12</v>
          </cell>
          <cell r="H1228">
            <v>33.5</v>
          </cell>
          <cell r="I1228">
            <v>31</v>
          </cell>
          <cell r="J1228">
            <v>23</v>
          </cell>
          <cell r="K1228">
            <v>9.7919999999999998</v>
          </cell>
          <cell r="L1228">
            <v>0.10199999999999999</v>
          </cell>
          <cell r="M1228">
            <v>2.38855E-2</v>
          </cell>
        </row>
        <row r="1229">
          <cell r="A1229">
            <v>10300014</v>
          </cell>
          <cell r="B1229">
            <v>3118220013933</v>
          </cell>
          <cell r="E1229" t="str">
            <v>JAMBON EXPRESSION METAL SATINE SOUS BERLINGOT</v>
          </cell>
          <cell r="F1229">
            <v>48</v>
          </cell>
          <cell r="G1229">
            <v>48</v>
          </cell>
          <cell r="H1229">
            <v>0</v>
          </cell>
          <cell r="I1229">
            <v>0</v>
          </cell>
          <cell r="J1229">
            <v>0</v>
          </cell>
          <cell r="K1229">
            <v>7</v>
          </cell>
          <cell r="L1229">
            <v>0.14583333333333334</v>
          </cell>
          <cell r="M1229">
            <v>0</v>
          </cell>
        </row>
        <row r="1230">
          <cell r="A1230">
            <v>10300015</v>
          </cell>
          <cell r="B1230">
            <v>3118220013940</v>
          </cell>
          <cell r="E1230" t="str">
            <v>SANTUKO EXPRESSION METAL SATINE SOUS BERLINGOT</v>
          </cell>
          <cell r="F1230">
            <v>48</v>
          </cell>
          <cell r="G1230">
            <v>48</v>
          </cell>
          <cell r="H1230">
            <v>44</v>
          </cell>
          <cell r="I1230">
            <v>30</v>
          </cell>
          <cell r="J1230">
            <v>17</v>
          </cell>
          <cell r="K1230">
            <v>14.208</v>
          </cell>
          <cell r="L1230">
            <v>0.29599999999999999</v>
          </cell>
          <cell r="M1230">
            <v>2.2440000000000002E-2</v>
          </cell>
        </row>
        <row r="1231">
          <cell r="A1231">
            <v>10300016</v>
          </cell>
          <cell r="B1231">
            <v>3118220013957</v>
          </cell>
          <cell r="E1231" t="str">
            <v>TRANCHER 22 EXPRESSION METAL SATINE SOUS BERLINGOT</v>
          </cell>
          <cell r="F1231">
            <v>48</v>
          </cell>
          <cell r="G1231">
            <v>48</v>
          </cell>
          <cell r="H1231">
            <v>44</v>
          </cell>
          <cell r="I1231">
            <v>30</v>
          </cell>
          <cell r="J1231">
            <v>17</v>
          </cell>
          <cell r="K1231">
            <v>13.884</v>
          </cell>
          <cell r="L1231">
            <v>0.28925000000000001</v>
          </cell>
          <cell r="M1231">
            <v>2.2440000000000002E-2</v>
          </cell>
        </row>
        <row r="1232">
          <cell r="A1232">
            <v>10300017</v>
          </cell>
          <cell r="B1232">
            <v>3118220013964</v>
          </cell>
          <cell r="E1232" t="str">
            <v>CUISINE 16 EXPRESSION METAL SATINE SOUS BERLINGOT</v>
          </cell>
          <cell r="F1232">
            <v>48</v>
          </cell>
          <cell r="G1232">
            <v>48</v>
          </cell>
          <cell r="H1232">
            <v>44</v>
          </cell>
          <cell r="I1232">
            <v>30</v>
          </cell>
          <cell r="J1232">
            <v>17</v>
          </cell>
          <cell r="K1232">
            <v>13.454000000000001</v>
          </cell>
          <cell r="L1232">
            <v>0.28029166666666666</v>
          </cell>
          <cell r="M1232">
            <v>2.2440000000000002E-2</v>
          </cell>
        </row>
        <row r="1233">
          <cell r="A1233">
            <v>10300018</v>
          </cell>
          <cell r="B1233">
            <v>3118220013971</v>
          </cell>
          <cell r="E1233" t="str">
            <v>PAIN EXPRESSION METAL SATINE SOUS BERLINGOT</v>
          </cell>
          <cell r="F1233">
            <v>48</v>
          </cell>
          <cell r="G1233">
            <v>48</v>
          </cell>
          <cell r="H1233">
            <v>44</v>
          </cell>
          <cell r="I1233">
            <v>30</v>
          </cell>
          <cell r="J1233">
            <v>17</v>
          </cell>
          <cell r="K1233">
            <v>13.391999999999999</v>
          </cell>
          <cell r="L1233">
            <v>0.27899999999999997</v>
          </cell>
          <cell r="M1233">
            <v>2.2440000000000002E-2</v>
          </cell>
        </row>
        <row r="1234">
          <cell r="A1234">
            <v>10300021</v>
          </cell>
          <cell r="B1234">
            <v>3118220019652</v>
          </cell>
          <cell r="E1234" t="str">
            <v>COFFRET AIMANTE 4 STEAKS EXPRESSION METAL LAME TITANE</v>
          </cell>
          <cell r="F1234">
            <v>24</v>
          </cell>
          <cell r="G1234">
            <v>6</v>
          </cell>
          <cell r="H1234">
            <v>34</v>
          </cell>
          <cell r="I1234">
            <v>30.5</v>
          </cell>
          <cell r="J1234">
            <v>30</v>
          </cell>
          <cell r="K1234">
            <v>17.003</v>
          </cell>
          <cell r="L1234">
            <v>0.7084583333333333</v>
          </cell>
          <cell r="M1234">
            <v>3.1110000000000006E-2</v>
          </cell>
        </row>
        <row r="1235">
          <cell r="A1235">
            <v>10300022</v>
          </cell>
          <cell r="B1235">
            <v>3118220020894</v>
          </cell>
          <cell r="E1235" t="str">
            <v>BOITE DE 12 COTE DE BOEUF EXPRESSION BOIS NOIR LAG EVOLUTION</v>
          </cell>
          <cell r="F1235">
            <v>9</v>
          </cell>
          <cell r="G1235">
            <v>9</v>
          </cell>
          <cell r="H1235">
            <v>40</v>
          </cell>
          <cell r="I1235">
            <v>32</v>
          </cell>
          <cell r="J1235">
            <v>21.5</v>
          </cell>
          <cell r="K1235">
            <v>12.582000000000001</v>
          </cell>
          <cell r="L1235">
            <v>1.3980000000000001</v>
          </cell>
          <cell r="M1235">
            <v>2.7520000000000003E-2</v>
          </cell>
        </row>
        <row r="1236">
          <cell r="A1236">
            <v>10300026</v>
          </cell>
          <cell r="B1236">
            <v>3118220025264</v>
          </cell>
          <cell r="E1236" t="str">
            <v>BLOC BOIS MAGNETIQUE 5 COUTEAUX EXPRESSION MANCHE OLIVIER</v>
          </cell>
          <cell r="F1236">
            <v>4</v>
          </cell>
          <cell r="G1236">
            <v>4</v>
          </cell>
          <cell r="H1236">
            <v>42</v>
          </cell>
          <cell r="I1236">
            <v>40.5</v>
          </cell>
          <cell r="J1236">
            <v>51.5</v>
          </cell>
          <cell r="K1236">
            <v>11.92</v>
          </cell>
          <cell r="L1236">
            <v>2.98</v>
          </cell>
          <cell r="M1236">
            <v>8.7601499999999999E-2</v>
          </cell>
        </row>
        <row r="1237">
          <cell r="A1237">
            <v>10300027</v>
          </cell>
          <cell r="B1237">
            <v>3118220025615</v>
          </cell>
          <cell r="C1237" t="str">
            <v>13118220025612</v>
          </cell>
          <cell r="D1237" t="str">
            <v>23118220025619</v>
          </cell>
          <cell r="E1237" t="str">
            <v>COFFRET BOIS 4 COUTEAUX STEAK EXPRESSION MANCHE OLIVIER</v>
          </cell>
          <cell r="F1237">
            <v>6</v>
          </cell>
          <cell r="G1237">
            <v>6</v>
          </cell>
          <cell r="H1237">
            <v>29</v>
          </cell>
          <cell r="I1237">
            <v>17</v>
          </cell>
          <cell r="J1237">
            <v>18.5</v>
          </cell>
          <cell r="K1237">
            <v>5.1779999999999999</v>
          </cell>
          <cell r="L1237">
            <v>0.86299999999999999</v>
          </cell>
          <cell r="M1237">
            <v>9.1204999999999984E-3</v>
          </cell>
        </row>
        <row r="1238">
          <cell r="A1238">
            <v>10300028</v>
          </cell>
          <cell r="B1238">
            <v>3118220026070</v>
          </cell>
          <cell r="C1238" t="str">
            <v>13118220026077</v>
          </cell>
          <cell r="D1238" t="str">
            <v>23118220026074</v>
          </cell>
          <cell r="E1238" t="str">
            <v>BOITE 12 STEAK EXPRESSION POM MICRODENTE LAG EVOLUTION</v>
          </cell>
          <cell r="F1238">
            <v>9</v>
          </cell>
          <cell r="G1238">
            <v>9</v>
          </cell>
          <cell r="H1238">
            <v>28</v>
          </cell>
          <cell r="I1238">
            <v>28</v>
          </cell>
          <cell r="J1238">
            <v>17.5</v>
          </cell>
          <cell r="K1238">
            <v>11.97</v>
          </cell>
          <cell r="L1238">
            <v>1.33</v>
          </cell>
          <cell r="M1238">
            <v>1.3720000000000001E-2</v>
          </cell>
        </row>
        <row r="1239">
          <cell r="A1239">
            <v>10300029</v>
          </cell>
          <cell r="B1239">
            <v>3118220026087</v>
          </cell>
          <cell r="E1239" t="str">
            <v>BOITE 12 STEAK EXPRESSION OLIVIER MICRODENTE LAG EVOLUTION</v>
          </cell>
          <cell r="F1239">
            <v>9</v>
          </cell>
          <cell r="G1239">
            <v>9</v>
          </cell>
          <cell r="H1239">
            <v>29</v>
          </cell>
          <cell r="I1239">
            <v>29</v>
          </cell>
          <cell r="J1239">
            <v>17</v>
          </cell>
          <cell r="K1239">
            <v>11.073</v>
          </cell>
          <cell r="L1239">
            <v>1.2303333333333333</v>
          </cell>
          <cell r="M1239">
            <v>1.4297000000000002E-2</v>
          </cell>
        </row>
        <row r="1240">
          <cell r="A1240">
            <v>10300032</v>
          </cell>
          <cell r="B1240">
            <v>3118220034853</v>
          </cell>
          <cell r="E1240" t="str">
            <v>OFFICE 9CM LAG EXPRESSION POM LAME NOIRE 315860</v>
          </cell>
          <cell r="F1240">
            <v>144</v>
          </cell>
          <cell r="G1240">
            <v>144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</row>
        <row r="1241">
          <cell r="A1241">
            <v>10300033</v>
          </cell>
          <cell r="B1241">
            <v>3118220034860</v>
          </cell>
          <cell r="E1241" t="str">
            <v>JAMBON 22CM LAG EXPRESSION POM LAME NOIRE 315870</v>
          </cell>
          <cell r="F1241">
            <v>60</v>
          </cell>
          <cell r="G1241">
            <v>60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</row>
        <row r="1242">
          <cell r="A1242">
            <v>10300034</v>
          </cell>
          <cell r="B1242">
            <v>3118220034877</v>
          </cell>
          <cell r="E1242" t="str">
            <v>CUISINE 16CM LAG EXPRESSION POM LAME NOIRE 315880</v>
          </cell>
          <cell r="F1242">
            <v>72</v>
          </cell>
          <cell r="G1242">
            <v>72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</row>
        <row r="1243">
          <cell r="A1243">
            <v>10300042</v>
          </cell>
          <cell r="B1243">
            <v>3118220046047</v>
          </cell>
          <cell r="C1243" t="str">
            <v>13118220046044</v>
          </cell>
          <cell r="D1243" t="str">
            <v>23118220046041</v>
          </cell>
          <cell r="E1243" t="str">
            <v>OFFICE 9CM LAG EXPRESSION BOIS NOIR LAME DAMAS EN BOITE</v>
          </cell>
          <cell r="F1243">
            <v>48</v>
          </cell>
          <cell r="G1243">
            <v>6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</row>
        <row r="1244">
          <cell r="A1244">
            <v>10300043</v>
          </cell>
          <cell r="B1244">
            <v>3118220046054</v>
          </cell>
          <cell r="C1244" t="str">
            <v>13118220046051</v>
          </cell>
          <cell r="D1244" t="str">
            <v>23118220046058</v>
          </cell>
          <cell r="E1244" t="str">
            <v>STEAK 11CM LAG EXPRESSION BOIS NOIR LAME DAMAS EN BOITE</v>
          </cell>
          <cell r="F1244">
            <v>48</v>
          </cell>
          <cell r="G1244">
            <v>6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</row>
        <row r="1245">
          <cell r="A1245">
            <v>10300044</v>
          </cell>
          <cell r="B1245">
            <v>3118220046061</v>
          </cell>
          <cell r="C1245" t="str">
            <v>13118220046068</v>
          </cell>
          <cell r="D1245" t="str">
            <v>23118220046065</v>
          </cell>
          <cell r="E1245" t="str">
            <v>UNIVERSEL 13CM LAG EXPRESSION BOIS NOIR LAME DAMAS EN BOITE</v>
          </cell>
          <cell r="F1245">
            <v>48</v>
          </cell>
          <cell r="G1245">
            <v>6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</row>
        <row r="1246">
          <cell r="A1246">
            <v>10300045</v>
          </cell>
          <cell r="B1246">
            <v>3118220046078</v>
          </cell>
          <cell r="C1246" t="str">
            <v>13118220046075</v>
          </cell>
          <cell r="D1246" t="str">
            <v>23118220046072</v>
          </cell>
          <cell r="E1246" t="str">
            <v>CUISINE 15CM LAG EXPRESSION BOIS NOIR LAME DAMAS EN BOITE</v>
          </cell>
          <cell r="F1246">
            <v>36</v>
          </cell>
          <cell r="G1246">
            <v>3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</row>
        <row r="1247">
          <cell r="A1247">
            <v>10300046</v>
          </cell>
          <cell r="B1247">
            <v>3118220046085</v>
          </cell>
          <cell r="C1247" t="str">
            <v>13118220046082</v>
          </cell>
          <cell r="D1247" t="str">
            <v>23118220046089</v>
          </cell>
          <cell r="E1247" t="str">
            <v>CHEF 22CM LAG EXPRESSION BOIS NOIR LAME DAMAS EN BOITE</v>
          </cell>
          <cell r="F1247">
            <v>36</v>
          </cell>
          <cell r="G1247">
            <v>3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</row>
        <row r="1248">
          <cell r="A1248">
            <v>10300047</v>
          </cell>
          <cell r="B1248">
            <v>3118220046092</v>
          </cell>
          <cell r="C1248" t="str">
            <v>13118220046099</v>
          </cell>
          <cell r="D1248" t="str">
            <v>23118220046096</v>
          </cell>
          <cell r="E1248" t="str">
            <v>SANTOKU 18CM LAG EXPRESSION BOIS NOIR LAME DAMAS EN BOITE</v>
          </cell>
          <cell r="F1248">
            <v>36</v>
          </cell>
          <cell r="G1248">
            <v>3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</row>
        <row r="1249">
          <cell r="A1249">
            <v>10300048</v>
          </cell>
          <cell r="B1249">
            <v>3118220046108</v>
          </cell>
          <cell r="C1249" t="str">
            <v>13118220046105</v>
          </cell>
          <cell r="D1249" t="str">
            <v>23118220046102</v>
          </cell>
          <cell r="E1249" t="str">
            <v>BLOC MAGNETIQUE 5 CTX LAG EXPRESSION BOIS NOIR LAME DAMAS</v>
          </cell>
          <cell r="F1249">
            <v>2</v>
          </cell>
          <cell r="G1249">
            <v>2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</row>
        <row r="1250">
          <cell r="A1250">
            <v>10300049</v>
          </cell>
          <cell r="B1250">
            <v>3118220046702</v>
          </cell>
          <cell r="C1250" t="str">
            <v>13118220046709</v>
          </cell>
          <cell r="D1250" t="str">
            <v>23118220046706</v>
          </cell>
          <cell r="E1250" t="str">
            <v>COFFRET BOIS 4 STEAK LAG EXPRESSION BOIS NOIR LAME DAMAS</v>
          </cell>
          <cell r="F1250">
            <v>10</v>
          </cell>
          <cell r="G1250">
            <v>5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</row>
        <row r="1251">
          <cell r="A1251">
            <v>10320003</v>
          </cell>
          <cell r="B1251">
            <v>3118220009134</v>
          </cell>
          <cell r="E1251" t="str">
            <v>LOT 6 STEAK 1/2 SOIE NOIR FAUX RIVETS SCOTCHE ROUGE FILM</v>
          </cell>
          <cell r="F1251">
            <v>72</v>
          </cell>
          <cell r="G1251">
            <v>24</v>
          </cell>
          <cell r="H1251">
            <v>40</v>
          </cell>
          <cell r="I1251">
            <v>25</v>
          </cell>
          <cell r="J1251">
            <v>19</v>
          </cell>
          <cell r="K1251">
            <v>14.7</v>
          </cell>
          <cell r="L1251">
            <v>0.20416666666666666</v>
          </cell>
          <cell r="M1251">
            <v>1.9000000000000003E-2</v>
          </cell>
        </row>
        <row r="1252">
          <cell r="A1252">
            <v>10320006</v>
          </cell>
          <cell r="B1252">
            <v>3118220012936</v>
          </cell>
          <cell r="E1252" t="str">
            <v>LOT 3 COUTEAUX COTE DE BOEUF PP NOIR 3 RIVETS PS DENTE</v>
          </cell>
          <cell r="F1252">
            <v>18</v>
          </cell>
          <cell r="G1252">
            <v>18</v>
          </cell>
          <cell r="H1252">
            <v>27</v>
          </cell>
          <cell r="I1252">
            <v>21.5</v>
          </cell>
          <cell r="J1252">
            <v>12.5</v>
          </cell>
          <cell r="K1252">
            <v>4.8600000000000003</v>
          </cell>
          <cell r="L1252">
            <v>0.27</v>
          </cell>
          <cell r="M1252">
            <v>7.2562500000000005E-3</v>
          </cell>
        </row>
        <row r="1253">
          <cell r="A1253">
            <v>10320011</v>
          </cell>
          <cell r="B1253">
            <v>3118220014657</v>
          </cell>
          <cell r="E1253" t="str">
            <v>1 OFFICE+1 EPLUCHEUR ERGO COULEUR PANACHEE SUR SKIN LCDC</v>
          </cell>
          <cell r="F1253">
            <v>36</v>
          </cell>
          <cell r="G1253">
            <v>36</v>
          </cell>
          <cell r="H1253">
            <v>31</v>
          </cell>
          <cell r="I1253">
            <v>29</v>
          </cell>
          <cell r="J1253">
            <v>13.5</v>
          </cell>
          <cell r="K1253">
            <v>2.512</v>
          </cell>
          <cell r="L1253">
            <v>6.9777777777777772E-2</v>
          </cell>
          <cell r="M1253">
            <v>1.2136500000000001E-2</v>
          </cell>
        </row>
        <row r="1254">
          <cell r="A1254">
            <v>10320018</v>
          </cell>
          <cell r="B1254">
            <v>3118220022591</v>
          </cell>
          <cell r="E1254" t="str">
            <v>COUTEAU STEAK CHEF + SLEEVE</v>
          </cell>
          <cell r="F1254">
            <v>300</v>
          </cell>
          <cell r="G1254">
            <v>12</v>
          </cell>
          <cell r="H1254">
            <v>40</v>
          </cell>
          <cell r="I1254">
            <v>30</v>
          </cell>
          <cell r="J1254">
            <v>22</v>
          </cell>
          <cell r="K1254">
            <v>12.525</v>
          </cell>
          <cell r="L1254">
            <v>4.1750000000000002E-2</v>
          </cell>
          <cell r="M1254">
            <v>2.6399999999999996E-2</v>
          </cell>
        </row>
        <row r="1255">
          <cell r="A1255">
            <v>10320020</v>
          </cell>
          <cell r="B1255">
            <v>3118220022737</v>
          </cell>
          <cell r="E1255" t="str">
            <v>COUTEAU HUITRE GALET MULTIFORME ANTHRACITE COOL GRAY 8C</v>
          </cell>
          <cell r="F1255">
            <v>12</v>
          </cell>
          <cell r="G1255">
            <v>3</v>
          </cell>
          <cell r="H1255">
            <v>31.5</v>
          </cell>
          <cell r="I1255">
            <v>19</v>
          </cell>
          <cell r="J1255">
            <v>9.5</v>
          </cell>
          <cell r="K1255">
            <v>0.75</v>
          </cell>
          <cell r="L1255">
            <v>6.25E-2</v>
          </cell>
          <cell r="M1255">
            <v>5.6857500000000007E-3</v>
          </cell>
        </row>
        <row r="1256">
          <cell r="A1256">
            <v>10320022</v>
          </cell>
          <cell r="B1256">
            <v>3118220022751</v>
          </cell>
          <cell r="E1256" t="str">
            <v>COUTEAU HUITRE GALET MULTIFORME EN BOURRICHE</v>
          </cell>
          <cell r="F1256">
            <v>90</v>
          </cell>
          <cell r="G1256">
            <v>10</v>
          </cell>
          <cell r="H1256">
            <v>40</v>
          </cell>
          <cell r="I1256">
            <v>30</v>
          </cell>
          <cell r="J1256">
            <v>20</v>
          </cell>
          <cell r="K1256">
            <v>4.41</v>
          </cell>
          <cell r="L1256">
            <v>4.9000000000000002E-2</v>
          </cell>
          <cell r="M1256">
            <v>2.4E-2</v>
          </cell>
        </row>
        <row r="1257">
          <cell r="A1257">
            <v>10320023</v>
          </cell>
          <cell r="B1257">
            <v>3118220023642</v>
          </cell>
          <cell r="C1257" t="str">
            <v>13118220023649</v>
          </cell>
          <cell r="D1257" t="str">
            <v>23118220023646</v>
          </cell>
          <cell r="E1257" t="str">
            <v>COFFRET 6 STEAK NOIR 3 RIVETS</v>
          </cell>
          <cell r="F1257">
            <v>24</v>
          </cell>
          <cell r="G1257">
            <v>6</v>
          </cell>
          <cell r="H1257">
            <v>25.5</v>
          </cell>
          <cell r="I1257">
            <v>21</v>
          </cell>
          <cell r="J1257">
            <v>40.5</v>
          </cell>
          <cell r="K1257">
            <v>6.6</v>
          </cell>
          <cell r="L1257">
            <v>0.27499999999999997</v>
          </cell>
          <cell r="M1257">
            <v>2.1687750000000002E-2</v>
          </cell>
        </row>
        <row r="1258">
          <cell r="A1258">
            <v>10320027</v>
          </cell>
          <cell r="B1258">
            <v>3118220026315</v>
          </cell>
          <cell r="E1258" t="str">
            <v>OFFICE LUXE ADFLEX COULEURS PANACHEES + SLEEVE</v>
          </cell>
          <cell r="F1258">
            <v>240</v>
          </cell>
          <cell r="G1258">
            <v>6</v>
          </cell>
          <cell r="H1258">
            <v>40</v>
          </cell>
          <cell r="I1258">
            <v>30</v>
          </cell>
          <cell r="J1258">
            <v>20</v>
          </cell>
          <cell r="K1258">
            <v>6.48</v>
          </cell>
          <cell r="L1258">
            <v>2.7000000000000003E-2</v>
          </cell>
          <cell r="M1258">
            <v>2.4E-2</v>
          </cell>
        </row>
        <row r="1259">
          <cell r="A1259">
            <v>10320028</v>
          </cell>
          <cell r="B1259">
            <v>3118220026322</v>
          </cell>
          <cell r="E1259" t="str">
            <v>STEAK LUXE ADFLEX COULEURS PANACHEES + SLEEVE</v>
          </cell>
          <cell r="F1259">
            <v>240</v>
          </cell>
          <cell r="G1259">
            <v>6</v>
          </cell>
          <cell r="H1259">
            <v>40</v>
          </cell>
          <cell r="I1259">
            <v>30</v>
          </cell>
          <cell r="J1259">
            <v>20</v>
          </cell>
          <cell r="K1259">
            <v>7.12</v>
          </cell>
          <cell r="L1259">
            <v>2.9666666666666668E-2</v>
          </cell>
          <cell r="M1259">
            <v>2.4E-2</v>
          </cell>
        </row>
        <row r="1260">
          <cell r="A1260">
            <v>10320029</v>
          </cell>
          <cell r="B1260">
            <v>3118220030664</v>
          </cell>
          <cell r="E1260" t="str">
            <v>HUITRE A GARDE PP NOIR MADE IN FRANCE EN BOURRICHE</v>
          </cell>
          <cell r="F1260">
            <v>50</v>
          </cell>
          <cell r="G1260">
            <v>50</v>
          </cell>
          <cell r="H1260">
            <v>40</v>
          </cell>
          <cell r="I1260">
            <v>30</v>
          </cell>
          <cell r="J1260">
            <v>14</v>
          </cell>
          <cell r="K1260">
            <v>2.4500000000000002</v>
          </cell>
          <cell r="L1260">
            <v>4.9000000000000002E-2</v>
          </cell>
          <cell r="M1260">
            <v>1.6799999999999999E-2</v>
          </cell>
        </row>
        <row r="1261">
          <cell r="A1261">
            <v>10320030</v>
          </cell>
          <cell r="B1261">
            <v>3118220034662</v>
          </cell>
          <cell r="E1261" t="str">
            <v>LOT 6 COUTEAUX COTE DE BOEUF PP NOIR 3 RIVETS PS DENTE</v>
          </cell>
          <cell r="F1261">
            <v>9</v>
          </cell>
          <cell r="G1261">
            <v>9</v>
          </cell>
          <cell r="H1261">
            <v>31</v>
          </cell>
          <cell r="I1261">
            <v>29</v>
          </cell>
          <cell r="J1261">
            <v>13</v>
          </cell>
          <cell r="K1261">
            <v>4.8600000000000003</v>
          </cell>
          <cell r="L1261">
            <v>0.54</v>
          </cell>
          <cell r="M1261">
            <v>1.1687000000000001E-2</v>
          </cell>
        </row>
        <row r="1262">
          <cell r="A1262">
            <v>10320031</v>
          </cell>
          <cell r="B1262">
            <v>3118220036864</v>
          </cell>
          <cell r="E1262" t="str">
            <v>LOT 1 OFFI + 1 EPLU ERGO COULEUR (VENDU EN BOX PROMO) PCB50</v>
          </cell>
          <cell r="F1262">
            <v>50</v>
          </cell>
          <cell r="G1262">
            <v>50</v>
          </cell>
          <cell r="H1262">
            <v>37</v>
          </cell>
          <cell r="I1262">
            <v>32</v>
          </cell>
          <cell r="J1262">
            <v>54</v>
          </cell>
          <cell r="K1262">
            <v>3.7040000000000002</v>
          </cell>
          <cell r="L1262">
            <v>7.4080000000000007E-2</v>
          </cell>
          <cell r="M1262">
            <v>6.3936000000000007E-2</v>
          </cell>
        </row>
        <row r="1263">
          <cell r="A1263">
            <v>10320032</v>
          </cell>
          <cell r="B1263">
            <v>3118220037250</v>
          </cell>
          <cell r="E1263" t="str">
            <v>EPLUCHEUR POLYPRO PANACHE TB COLLECTION</v>
          </cell>
          <cell r="F1263">
            <v>360</v>
          </cell>
          <cell r="G1263">
            <v>12</v>
          </cell>
          <cell r="H1263">
            <v>40</v>
          </cell>
          <cell r="I1263">
            <v>30</v>
          </cell>
          <cell r="J1263">
            <v>20</v>
          </cell>
          <cell r="K1263">
            <v>8.5679999999999996</v>
          </cell>
          <cell r="L1263">
            <v>2.3799999999999998E-2</v>
          </cell>
          <cell r="M1263">
            <v>2.4E-2</v>
          </cell>
        </row>
        <row r="1264">
          <cell r="A1264">
            <v>10320033</v>
          </cell>
          <cell r="B1264">
            <v>3118220037267</v>
          </cell>
          <cell r="E1264" t="str">
            <v>OFFICE POLYPRO PANACHE TB COLLECTION</v>
          </cell>
          <cell r="F1264">
            <v>360</v>
          </cell>
          <cell r="G1264">
            <v>12</v>
          </cell>
          <cell r="H1264">
            <v>40</v>
          </cell>
          <cell r="I1264">
            <v>30</v>
          </cell>
          <cell r="J1264">
            <v>20</v>
          </cell>
          <cell r="K1264">
            <v>10.08</v>
          </cell>
          <cell r="L1264">
            <v>2.8000000000000001E-2</v>
          </cell>
          <cell r="M1264">
            <v>2.4E-2</v>
          </cell>
        </row>
        <row r="1265">
          <cell r="A1265">
            <v>10320034</v>
          </cell>
          <cell r="B1265">
            <v>3601029988835</v>
          </cell>
          <cell r="E1265" t="str">
            <v>EPLUCHEUR POLYPRO PANACHE HOMESIDE SIPLEC</v>
          </cell>
          <cell r="F1265">
            <v>360</v>
          </cell>
          <cell r="G1265">
            <v>12</v>
          </cell>
          <cell r="H1265">
            <v>40</v>
          </cell>
          <cell r="I1265">
            <v>30</v>
          </cell>
          <cell r="J1265">
            <v>20</v>
          </cell>
          <cell r="K1265">
            <v>8.25</v>
          </cell>
          <cell r="L1265">
            <v>2.2916666666666665E-2</v>
          </cell>
          <cell r="M1265">
            <v>2.4E-2</v>
          </cell>
        </row>
        <row r="1266">
          <cell r="A1266">
            <v>10320035</v>
          </cell>
          <cell r="B1266">
            <v>3601029988811</v>
          </cell>
          <cell r="E1266" t="str">
            <v>OFFICE POLYPRO PANACHE HOMESIDE SIPLEC</v>
          </cell>
          <cell r="F1266">
            <v>360</v>
          </cell>
          <cell r="G1266">
            <v>12</v>
          </cell>
          <cell r="H1266">
            <v>43.5</v>
          </cell>
          <cell r="I1266">
            <v>28</v>
          </cell>
          <cell r="J1266">
            <v>29</v>
          </cell>
          <cell r="K1266">
            <v>10.571999999999999</v>
          </cell>
          <cell r="L1266">
            <v>2.9366666666666666E-2</v>
          </cell>
          <cell r="M1266">
            <v>3.5321999999999992E-2</v>
          </cell>
        </row>
        <row r="1267">
          <cell r="A1267">
            <v>10320036</v>
          </cell>
          <cell r="B1267">
            <v>3118220040267</v>
          </cell>
          <cell r="E1267" t="str">
            <v>LOT 1 OFFI + 1 EPLU ERGO COULEUR (VENDU EN BOX PROMO) PCB35</v>
          </cell>
          <cell r="F1267">
            <v>35</v>
          </cell>
          <cell r="G1267">
            <v>35</v>
          </cell>
          <cell r="H1267">
            <v>24</v>
          </cell>
          <cell r="I1267">
            <v>18</v>
          </cell>
          <cell r="J1267">
            <v>12</v>
          </cell>
          <cell r="K1267">
            <v>2.0419999999999998</v>
          </cell>
          <cell r="L1267">
            <v>5.8342857142857141E-2</v>
          </cell>
          <cell r="M1267">
            <v>5.1839999999999994E-3</v>
          </cell>
        </row>
        <row r="1268">
          <cell r="A1268">
            <v>10320037</v>
          </cell>
          <cell r="B1268">
            <v>3118220043473</v>
          </cell>
          <cell r="E1268" t="str">
            <v>LOT DE 3 COUTEAUX OFFICE MICRODENTE FRANCE</v>
          </cell>
          <cell r="F1268">
            <v>162</v>
          </cell>
          <cell r="G1268">
            <v>18</v>
          </cell>
          <cell r="H1268">
            <v>40</v>
          </cell>
          <cell r="I1268">
            <v>30</v>
          </cell>
          <cell r="J1268">
            <v>20</v>
          </cell>
          <cell r="K1268">
            <v>10.731999999999999</v>
          </cell>
          <cell r="L1268">
            <v>6.6246913580246911E-2</v>
          </cell>
          <cell r="M1268">
            <v>2.4E-2</v>
          </cell>
        </row>
        <row r="1269">
          <cell r="A1269">
            <v>10320038</v>
          </cell>
          <cell r="B1269">
            <v>3118220043480</v>
          </cell>
          <cell r="E1269" t="str">
            <v>LOT DE 3 COUTEAUX OFFICE LISSE FRANCE</v>
          </cell>
          <cell r="F1269">
            <v>162</v>
          </cell>
          <cell r="G1269">
            <v>18</v>
          </cell>
          <cell r="H1269">
            <v>40</v>
          </cell>
          <cell r="I1269">
            <v>30</v>
          </cell>
          <cell r="J1269">
            <v>20</v>
          </cell>
          <cell r="K1269">
            <v>10.885</v>
          </cell>
          <cell r="L1269">
            <v>6.7191358024691353E-2</v>
          </cell>
          <cell r="M1269">
            <v>2.4E-2</v>
          </cell>
        </row>
        <row r="1270">
          <cell r="A1270">
            <v>10320039</v>
          </cell>
          <cell r="B1270">
            <v>3118220043497</v>
          </cell>
          <cell r="E1270" t="str">
            <v>LOT DE 3 COUTEAUX STEAK MICRODENTE FRANCE</v>
          </cell>
          <cell r="F1270">
            <v>162</v>
          </cell>
          <cell r="G1270">
            <v>18</v>
          </cell>
          <cell r="H1270">
            <v>40</v>
          </cell>
          <cell r="I1270">
            <v>30</v>
          </cell>
          <cell r="J1270">
            <v>20</v>
          </cell>
          <cell r="K1270">
            <v>11.276</v>
          </cell>
          <cell r="L1270">
            <v>6.9604938271604938E-2</v>
          </cell>
          <cell r="M1270">
            <v>2.4E-2</v>
          </cell>
        </row>
        <row r="1271">
          <cell r="A1271">
            <v>10320040</v>
          </cell>
          <cell r="B1271">
            <v>3118220043503</v>
          </cell>
          <cell r="E1271" t="str">
            <v>LOT DE 3 COUTEAUX COTE A L'OS MICRODENTE FRANCE</v>
          </cell>
          <cell r="F1271">
            <v>162</v>
          </cell>
          <cell r="G1271">
            <v>18</v>
          </cell>
          <cell r="H1271">
            <v>40</v>
          </cell>
          <cell r="I1271">
            <v>30</v>
          </cell>
          <cell r="J1271">
            <v>20</v>
          </cell>
          <cell r="K1271">
            <v>11.276</v>
          </cell>
          <cell r="L1271">
            <v>6.9604938271604938E-2</v>
          </cell>
          <cell r="M1271">
            <v>2.4E-2</v>
          </cell>
        </row>
        <row r="1272">
          <cell r="A1272">
            <v>10320041</v>
          </cell>
          <cell r="B1272">
            <v>3616479617907</v>
          </cell>
          <cell r="C1272" t="str">
            <v>13616479617904</v>
          </cell>
          <cell r="D1272" t="str">
            <v>23616479617901</v>
          </cell>
          <cell r="E1272" t="str">
            <v>LOT 6 STEAK 1/2 SOIE NOIR FAUX RIVETS SCOTCHE ROUGE FILM CRF</v>
          </cell>
          <cell r="F1272">
            <v>72</v>
          </cell>
          <cell r="G1272">
            <v>24</v>
          </cell>
          <cell r="H1272">
            <v>41.5</v>
          </cell>
          <cell r="I1272">
            <v>25</v>
          </cell>
          <cell r="J1272">
            <v>19.5</v>
          </cell>
          <cell r="K1272">
            <v>14.377000000000001</v>
          </cell>
          <cell r="L1272">
            <v>0.19968055555555556</v>
          </cell>
          <cell r="M1272">
            <v>2.0231249999999999E-2</v>
          </cell>
        </row>
        <row r="1273">
          <cell r="A1273">
            <v>10320042</v>
          </cell>
          <cell r="B1273">
            <v>3118220045187</v>
          </cell>
          <cell r="E1273" t="str">
            <v>LOT DE 3 COUTEAUX OFFICE MICRODENTE FRANCE EN DISPLAY PAR 48</v>
          </cell>
          <cell r="F1273">
            <v>48</v>
          </cell>
          <cell r="G1273">
            <v>48</v>
          </cell>
          <cell r="H1273">
            <v>23.5</v>
          </cell>
          <cell r="I1273">
            <v>14.5</v>
          </cell>
          <cell r="J1273">
            <v>28</v>
          </cell>
          <cell r="K1273">
            <v>3.0590000000000002</v>
          </cell>
          <cell r="L1273">
            <v>6.372916666666667E-2</v>
          </cell>
          <cell r="M1273">
            <v>9.5409999999999991E-3</v>
          </cell>
        </row>
        <row r="1274">
          <cell r="A1274">
            <v>10320043</v>
          </cell>
          <cell r="B1274">
            <v>3118220045194</v>
          </cell>
          <cell r="E1274" t="str">
            <v>LOT DE 3 COUTEAUX OFFICE LISSE FRANCE EN DISPLAY DE 48P</v>
          </cell>
          <cell r="F1274">
            <v>48</v>
          </cell>
          <cell r="G1274">
            <v>48</v>
          </cell>
          <cell r="H1274">
            <v>23.5</v>
          </cell>
          <cell r="I1274">
            <v>15.5</v>
          </cell>
          <cell r="J1274">
            <v>28</v>
          </cell>
          <cell r="K1274">
            <v>3.1219999999999999</v>
          </cell>
          <cell r="L1274">
            <v>6.5041666666666664E-2</v>
          </cell>
          <cell r="M1274">
            <v>1.0199E-2</v>
          </cell>
        </row>
        <row r="1275">
          <cell r="A1275">
            <v>10320044</v>
          </cell>
          <cell r="B1275">
            <v>3118220045200</v>
          </cell>
          <cell r="E1275" t="str">
            <v>LOT DE 3 COUTEAUX STEAK MICRODENTE FRANCE EN DISPLAY DE 48P</v>
          </cell>
          <cell r="F1275">
            <v>48</v>
          </cell>
          <cell r="G1275">
            <v>48</v>
          </cell>
          <cell r="H1275">
            <v>28</v>
          </cell>
          <cell r="I1275">
            <v>24</v>
          </cell>
          <cell r="J1275">
            <v>15.5</v>
          </cell>
          <cell r="K1275">
            <v>3.6080000000000001</v>
          </cell>
          <cell r="L1275">
            <v>7.5166666666666673E-2</v>
          </cell>
          <cell r="M1275">
            <v>1.0416000000000002E-2</v>
          </cell>
        </row>
        <row r="1276">
          <cell r="A1276">
            <v>10320045</v>
          </cell>
          <cell r="B1276">
            <v>3118220045217</v>
          </cell>
          <cell r="E1276" t="str">
            <v>LOT DE 3 CTX COTE A L'OS MICRODENTE FRANCE EN DISPALY DE 48</v>
          </cell>
          <cell r="F1276">
            <v>48</v>
          </cell>
          <cell r="G1276">
            <v>48</v>
          </cell>
          <cell r="H1276">
            <v>23.5</v>
          </cell>
          <cell r="I1276">
            <v>14.5</v>
          </cell>
          <cell r="J1276">
            <v>28</v>
          </cell>
          <cell r="K1276">
            <v>3.0590000000000002</v>
          </cell>
          <cell r="L1276">
            <v>6.372916666666667E-2</v>
          </cell>
          <cell r="M1276">
            <v>9.5409999999999991E-3</v>
          </cell>
        </row>
        <row r="1277">
          <cell r="A1277">
            <v>10320051</v>
          </cell>
          <cell r="B1277" t="str">
            <v>3118220054530</v>
          </cell>
          <cell r="C1277" t="str">
            <v>13118220054537</v>
          </cell>
          <cell r="D1277" t="str">
            <v>23118220054534</v>
          </cell>
          <cell r="E1277" t="str">
            <v>LOT 8 CTX STEAK ECO NOIRS</v>
          </cell>
          <cell r="F1277">
            <v>48</v>
          </cell>
          <cell r="G1277">
            <v>48</v>
          </cell>
          <cell r="L1277">
            <v>0</v>
          </cell>
          <cell r="M1277">
            <v>0</v>
          </cell>
        </row>
        <row r="1278">
          <cell r="A1278">
            <v>10340007</v>
          </cell>
          <cell r="B1278">
            <v>3118220015456</v>
          </cell>
          <cell r="C1278" t="str">
            <v>13118220015453</v>
          </cell>
          <cell r="D1278" t="str">
            <v>23118220015450</v>
          </cell>
          <cell r="E1278" t="str">
            <v>COUTEAU GRILL MANCHE BOIS AVEC LACET+ GENCOD</v>
          </cell>
          <cell r="F1278">
            <v>48</v>
          </cell>
          <cell r="G1278">
            <v>12</v>
          </cell>
          <cell r="H1278">
            <v>29</v>
          </cell>
          <cell r="I1278">
            <v>21.5</v>
          </cell>
          <cell r="J1278">
            <v>13</v>
          </cell>
          <cell r="K1278">
            <v>2.14</v>
          </cell>
          <cell r="L1278">
            <v>4.4583333333333336E-2</v>
          </cell>
          <cell r="M1278">
            <v>8.1054999999999999E-3</v>
          </cell>
        </row>
        <row r="1279">
          <cell r="A1279">
            <v>10340008</v>
          </cell>
          <cell r="B1279">
            <v>3118220017597</v>
          </cell>
          <cell r="E1279" t="str">
            <v>1 OFFICE+1 EPLUCHEUR BOIS NATUREL SUR SKIN LCDC</v>
          </cell>
          <cell r="F1279">
            <v>36</v>
          </cell>
          <cell r="G1279">
            <v>6</v>
          </cell>
          <cell r="H1279">
            <v>32</v>
          </cell>
          <cell r="I1279">
            <v>17.5</v>
          </cell>
          <cell r="J1279">
            <v>24</v>
          </cell>
          <cell r="K1279">
            <v>2.2679999999999998</v>
          </cell>
          <cell r="L1279">
            <v>6.3E-2</v>
          </cell>
          <cell r="M1279">
            <v>1.3440000000000002E-2</v>
          </cell>
        </row>
        <row r="1280">
          <cell r="A1280">
            <v>10340010</v>
          </cell>
          <cell r="B1280">
            <v>3118220021525</v>
          </cell>
          <cell r="E1280" t="str">
            <v>LOT 2 OFFICES MANCHE BOIS NATUREL + SLEEVE</v>
          </cell>
          <cell r="F1280">
            <v>350</v>
          </cell>
          <cell r="G1280">
            <v>350</v>
          </cell>
          <cell r="H1280">
            <v>38</v>
          </cell>
          <cell r="I1280">
            <v>22.5</v>
          </cell>
          <cell r="J1280">
            <v>30</v>
          </cell>
          <cell r="K1280">
            <v>14.7</v>
          </cell>
          <cell r="L1280">
            <v>4.1999999999999996E-2</v>
          </cell>
          <cell r="M1280">
            <v>2.5650000000000003E-2</v>
          </cell>
        </row>
        <row r="1281">
          <cell r="A1281">
            <v>10340012</v>
          </cell>
          <cell r="B1281">
            <v>3367302003007</v>
          </cell>
          <cell r="E1281" t="str">
            <v>LOT 2 OFFICES MANCHE BOIS NAT+SLEEVE GERS EQUIP523265-533414</v>
          </cell>
          <cell r="F1281">
            <v>270</v>
          </cell>
          <cell r="G1281">
            <v>1</v>
          </cell>
          <cell r="H1281">
            <v>37</v>
          </cell>
          <cell r="I1281">
            <v>28.5</v>
          </cell>
          <cell r="J1281">
            <v>18.5</v>
          </cell>
          <cell r="K1281">
            <v>12.62</v>
          </cell>
          <cell r="L1281">
            <v>4.6740740740740735E-2</v>
          </cell>
          <cell r="M1281">
            <v>1.9508250000000001E-2</v>
          </cell>
        </row>
        <row r="1282">
          <cell r="A1282">
            <v>10340013</v>
          </cell>
          <cell r="B1282">
            <v>3118220023659</v>
          </cell>
          <cell r="E1282" t="str">
            <v>COFFRET 6 STEAK BOIS 2 RIVETS DEMI SOIE</v>
          </cell>
          <cell r="F1282">
            <v>24</v>
          </cell>
          <cell r="G1282">
            <v>6</v>
          </cell>
          <cell r="H1282">
            <v>26</v>
          </cell>
          <cell r="I1282">
            <v>25</v>
          </cell>
          <cell r="J1282">
            <v>44</v>
          </cell>
          <cell r="K1282">
            <v>7.5</v>
          </cell>
          <cell r="L1282">
            <v>0.3125</v>
          </cell>
          <cell r="M1282">
            <v>2.8600000000000004E-2</v>
          </cell>
        </row>
        <row r="1283">
          <cell r="A1283">
            <v>10340020</v>
          </cell>
          <cell r="B1283">
            <v>3118220030657</v>
          </cell>
          <cell r="C1283" t="str">
            <v>13118220030654</v>
          </cell>
          <cell r="D1283" t="str">
            <v>23118220030651</v>
          </cell>
          <cell r="E1283" t="str">
            <v>CTX HUITRE BOIS A GARDE MIF VRAC+GENCOD EN BOURRICHE</v>
          </cell>
          <cell r="F1283">
            <v>50</v>
          </cell>
          <cell r="G1283">
            <v>10</v>
          </cell>
          <cell r="H1283">
            <v>35.5</v>
          </cell>
          <cell r="I1283">
            <v>28</v>
          </cell>
          <cell r="J1283">
            <v>28.5</v>
          </cell>
          <cell r="K1283">
            <v>0</v>
          </cell>
          <cell r="L1283">
            <v>0</v>
          </cell>
          <cell r="M1283">
            <v>2.8328999999999997E-2</v>
          </cell>
        </row>
        <row r="1284">
          <cell r="A1284">
            <v>10340021</v>
          </cell>
          <cell r="B1284">
            <v>3118220032897</v>
          </cell>
          <cell r="C1284" t="str">
            <v>13118220032894</v>
          </cell>
          <cell r="D1284" t="str">
            <v>23118220032891</v>
          </cell>
          <cell r="E1284" t="str">
            <v>TARTINEUR VRAC MANCHE HÊTRE + GENCOD</v>
          </cell>
          <cell r="F1284">
            <v>360</v>
          </cell>
          <cell r="G1284">
            <v>12</v>
          </cell>
          <cell r="H1284">
            <v>40.5</v>
          </cell>
          <cell r="I1284">
            <v>20</v>
          </cell>
          <cell r="J1284">
            <v>30.5</v>
          </cell>
          <cell r="K1284">
            <v>9.36</v>
          </cell>
          <cell r="L1284">
            <v>2.5999999999999999E-2</v>
          </cell>
          <cell r="M1284">
            <v>2.4705000000000005E-2</v>
          </cell>
        </row>
        <row r="1285">
          <cell r="A1285">
            <v>10340022</v>
          </cell>
          <cell r="B1285">
            <v>3118220034525</v>
          </cell>
          <cell r="C1285" t="str">
            <v>13118220034522</v>
          </cell>
          <cell r="D1285" t="str">
            <v>23118220034529</v>
          </cell>
          <cell r="E1285" t="str">
            <v>CTX A HUITRE BOIS A GARDE MIF + GENCOD</v>
          </cell>
          <cell r="F1285">
            <v>60</v>
          </cell>
          <cell r="G1285">
            <v>6</v>
          </cell>
          <cell r="H1285">
            <v>35.5</v>
          </cell>
          <cell r="I1285">
            <v>28</v>
          </cell>
          <cell r="J1285">
            <v>28.5</v>
          </cell>
          <cell r="K1285">
            <v>2.58</v>
          </cell>
          <cell r="L1285">
            <v>4.3000000000000003E-2</v>
          </cell>
          <cell r="M1285">
            <v>2.8328999999999997E-2</v>
          </cell>
        </row>
        <row r="1286">
          <cell r="A1286">
            <v>10340023</v>
          </cell>
          <cell r="B1286">
            <v>3118220037212</v>
          </cell>
          <cell r="E1286" t="str">
            <v>EPLUCHEUR BOIS TRADITIONNEL VRAC TB COLLECTION</v>
          </cell>
          <cell r="F1286">
            <v>360</v>
          </cell>
          <cell r="G1286">
            <v>12</v>
          </cell>
          <cell r="H1286">
            <v>45</v>
          </cell>
          <cell r="I1286">
            <v>33</v>
          </cell>
          <cell r="J1286">
            <v>19</v>
          </cell>
          <cell r="K1286">
            <v>6.5780000000000003</v>
          </cell>
          <cell r="L1286">
            <v>1.8272222222222224E-2</v>
          </cell>
          <cell r="M1286">
            <v>2.8215E-2</v>
          </cell>
        </row>
        <row r="1287">
          <cell r="A1287">
            <v>10340024</v>
          </cell>
          <cell r="B1287">
            <v>3118220037229</v>
          </cell>
          <cell r="E1287" t="str">
            <v>TARTINEUR BOIS TRADITIONNEL VRAC TB COLLECTION</v>
          </cell>
          <cell r="F1287">
            <v>360</v>
          </cell>
          <cell r="G1287">
            <v>12</v>
          </cell>
          <cell r="H1287">
            <v>45</v>
          </cell>
          <cell r="I1287">
            <v>32.5</v>
          </cell>
          <cell r="J1287">
            <v>19</v>
          </cell>
          <cell r="K1287">
            <v>8.4550000000000001</v>
          </cell>
          <cell r="L1287">
            <v>2.348611111111111E-2</v>
          </cell>
          <cell r="M1287">
            <v>2.7787499999999996E-2</v>
          </cell>
        </row>
        <row r="1288">
          <cell r="A1288">
            <v>10340025</v>
          </cell>
          <cell r="B1288">
            <v>3118220037236</v>
          </cell>
          <cell r="E1288" t="str">
            <v>OFFICE BOIS TRADITIONNEL VRAC TB COLLECTION</v>
          </cell>
          <cell r="F1288">
            <v>360</v>
          </cell>
          <cell r="G1288">
            <v>12</v>
          </cell>
          <cell r="H1288">
            <v>40</v>
          </cell>
          <cell r="I1288">
            <v>30</v>
          </cell>
          <cell r="J1288">
            <v>20</v>
          </cell>
          <cell r="K1288">
            <v>8.6530000000000005</v>
          </cell>
          <cell r="L1288">
            <v>2.4036111111111112E-2</v>
          </cell>
          <cell r="M1288">
            <v>2.4E-2</v>
          </cell>
        </row>
        <row r="1289">
          <cell r="A1289">
            <v>10340026</v>
          </cell>
          <cell r="B1289">
            <v>3118220037243</v>
          </cell>
          <cell r="E1289" t="str">
            <v>STEAK MICRO BOIS TRADITIONNEL VRAC TB COLLECTION</v>
          </cell>
          <cell r="F1289">
            <v>360</v>
          </cell>
          <cell r="G1289">
            <v>12</v>
          </cell>
          <cell r="H1289">
            <v>41</v>
          </cell>
          <cell r="I1289">
            <v>30</v>
          </cell>
          <cell r="J1289">
            <v>20</v>
          </cell>
          <cell r="K1289">
            <v>11.26</v>
          </cell>
          <cell r="L1289">
            <v>3.1277777777777779E-2</v>
          </cell>
          <cell r="M1289">
            <v>2.4599999999999997E-2</v>
          </cell>
        </row>
        <row r="1290">
          <cell r="A1290">
            <v>10340027</v>
          </cell>
          <cell r="B1290">
            <v>3601029988781</v>
          </cell>
          <cell r="E1290" t="str">
            <v>EPLUCHEUR BOIS TRADITIONNEL VRAC HOMESIDE SIPLEC</v>
          </cell>
          <cell r="F1290">
            <v>360</v>
          </cell>
          <cell r="G1290">
            <v>12</v>
          </cell>
          <cell r="H1290">
            <v>40</v>
          </cell>
          <cell r="I1290">
            <v>30</v>
          </cell>
          <cell r="J1290">
            <v>20.5</v>
          </cell>
          <cell r="K1290">
            <v>6.48</v>
          </cell>
          <cell r="L1290">
            <v>1.8000000000000002E-2</v>
          </cell>
          <cell r="M1290">
            <v>2.46E-2</v>
          </cell>
        </row>
        <row r="1291">
          <cell r="A1291">
            <v>10340028</v>
          </cell>
          <cell r="B1291">
            <v>3601029988996</v>
          </cell>
          <cell r="E1291" t="str">
            <v>TARTINEUR BOIS TRADITIONNEL VRAC HOMESIDE SIPLEC</v>
          </cell>
          <cell r="F1291">
            <v>360</v>
          </cell>
          <cell r="G1291">
            <v>12</v>
          </cell>
          <cell r="H1291">
            <v>40</v>
          </cell>
          <cell r="I1291">
            <v>30</v>
          </cell>
          <cell r="J1291">
            <v>20</v>
          </cell>
          <cell r="K1291">
            <v>8.19</v>
          </cell>
          <cell r="L1291">
            <v>2.2749999999999999E-2</v>
          </cell>
          <cell r="M1291">
            <v>2.4E-2</v>
          </cell>
        </row>
        <row r="1292">
          <cell r="A1292">
            <v>10340029</v>
          </cell>
          <cell r="B1292">
            <v>3601029988798</v>
          </cell>
          <cell r="E1292" t="str">
            <v>OFFICE BOIS TRADITIONNEL VRAC HOMESIDE SIPLEC</v>
          </cell>
          <cell r="F1292">
            <v>12</v>
          </cell>
          <cell r="G1292">
            <v>12</v>
          </cell>
          <cell r="H1292">
            <v>40</v>
          </cell>
          <cell r="I1292">
            <v>30</v>
          </cell>
          <cell r="J1292">
            <v>20</v>
          </cell>
          <cell r="K1292">
            <v>8.3699999999999992</v>
          </cell>
          <cell r="L1292">
            <v>0.6974999999999999</v>
          </cell>
          <cell r="M1292">
            <v>2.4E-2</v>
          </cell>
        </row>
        <row r="1293">
          <cell r="A1293">
            <v>10340030</v>
          </cell>
          <cell r="B1293">
            <v>3601029988262</v>
          </cell>
          <cell r="C1293">
            <v>53660440036261</v>
          </cell>
          <cell r="D1293">
            <v>53660440036254</v>
          </cell>
          <cell r="E1293" t="str">
            <v>STEAK MICRO BOIS TRADITIONNEL VRAC HOMESIDE SIPLEC</v>
          </cell>
          <cell r="F1293">
            <v>360</v>
          </cell>
          <cell r="G1293">
            <v>12</v>
          </cell>
          <cell r="H1293">
            <v>44</v>
          </cell>
          <cell r="I1293">
            <v>28</v>
          </cell>
          <cell r="J1293">
            <v>29</v>
          </cell>
          <cell r="K1293">
            <v>11.342000000000001</v>
          </cell>
          <cell r="L1293">
            <v>3.1505555555555557E-2</v>
          </cell>
          <cell r="M1293">
            <v>3.5728000000000003E-2</v>
          </cell>
        </row>
        <row r="1294">
          <cell r="A1294">
            <v>10340031</v>
          </cell>
          <cell r="B1294">
            <v>3601029988804</v>
          </cell>
          <cell r="C1294" t="str">
            <v>53660440033475</v>
          </cell>
          <cell r="D1294" t="str">
            <v>53660440033468</v>
          </cell>
          <cell r="E1294" t="str">
            <v>OFFICE BOIS COULEUR PANACHE HOMESIDE SIPLEC</v>
          </cell>
          <cell r="F1294">
            <v>360</v>
          </cell>
          <cell r="G1294">
            <v>12</v>
          </cell>
          <cell r="H1294">
            <v>39.5</v>
          </cell>
          <cell r="I1294">
            <v>18</v>
          </cell>
          <cell r="J1294">
            <v>33</v>
          </cell>
          <cell r="K1294">
            <v>8.2799999999999994</v>
          </cell>
          <cell r="L1294">
            <v>2.3E-2</v>
          </cell>
          <cell r="M1294">
            <v>2.3462999999999998E-2</v>
          </cell>
        </row>
        <row r="1295">
          <cell r="A1295">
            <v>10340032</v>
          </cell>
          <cell r="B1295">
            <v>3601029988828</v>
          </cell>
          <cell r="C1295" t="str">
            <v>53660440033550</v>
          </cell>
          <cell r="D1295" t="str">
            <v>53660440033543</v>
          </cell>
          <cell r="E1295" t="str">
            <v>EPLUCHEUR BOIS COULEUR PANACHE HOMESIDE SIPLEC</v>
          </cell>
          <cell r="F1295">
            <v>360</v>
          </cell>
          <cell r="G1295">
            <v>12</v>
          </cell>
          <cell r="H1295">
            <v>33</v>
          </cell>
          <cell r="I1295">
            <v>18.5</v>
          </cell>
          <cell r="J1295">
            <v>33</v>
          </cell>
          <cell r="K1295">
            <v>7.61</v>
          </cell>
          <cell r="L1295">
            <v>2.1138888888888891E-2</v>
          </cell>
          <cell r="M1295">
            <v>2.0146500000000001E-2</v>
          </cell>
        </row>
        <row r="1296">
          <cell r="A1296">
            <v>10340033</v>
          </cell>
          <cell r="B1296">
            <v>3118220041547</v>
          </cell>
          <cell r="C1296">
            <v>13118220041544</v>
          </cell>
          <cell r="D1296">
            <v>23118220041541</v>
          </cell>
          <cell r="E1296" t="str">
            <v>LOT DE 3 STEAKS LUXE M.OLIVIER CDF</v>
          </cell>
          <cell r="F1296">
            <v>100</v>
          </cell>
          <cell r="G1296">
            <v>100</v>
          </cell>
          <cell r="H1296">
            <v>40</v>
          </cell>
          <cell r="I1296">
            <v>30</v>
          </cell>
          <cell r="J1296">
            <v>20</v>
          </cell>
          <cell r="K1296">
            <v>11.516</v>
          </cell>
          <cell r="L1296">
            <v>0.11516</v>
          </cell>
          <cell r="M1296">
            <v>2.4E-2</v>
          </cell>
        </row>
        <row r="1297">
          <cell r="A1297">
            <v>10340034</v>
          </cell>
          <cell r="B1297">
            <v>3616479617860</v>
          </cell>
          <cell r="C1297">
            <v>13616479617867</v>
          </cell>
          <cell r="D1297">
            <v>23616479617864</v>
          </cell>
          <cell r="E1297" t="str">
            <v>OFFICE BOIS CLAIR CRF VRAC + GENCOD</v>
          </cell>
          <cell r="F1297">
            <v>360</v>
          </cell>
          <cell r="G1297">
            <v>12</v>
          </cell>
          <cell r="H1297">
            <v>34</v>
          </cell>
          <cell r="I1297">
            <v>22</v>
          </cell>
          <cell r="J1297">
            <v>26.5</v>
          </cell>
          <cell r="K1297">
            <v>8.5619999999999994</v>
          </cell>
          <cell r="L1297">
            <v>2.378333333333333E-2</v>
          </cell>
          <cell r="M1297">
            <v>1.9822000000000003E-2</v>
          </cell>
        </row>
        <row r="1298">
          <cell r="A1298">
            <v>10340035</v>
          </cell>
          <cell r="B1298">
            <v>3616479617877</v>
          </cell>
          <cell r="C1298">
            <v>13616479617874</v>
          </cell>
          <cell r="D1298">
            <v>23616479617871</v>
          </cell>
          <cell r="E1298" t="str">
            <v>STEAK BOIS CLAIR CRF VRAC + GENCOD</v>
          </cell>
          <cell r="F1298">
            <v>360</v>
          </cell>
          <cell r="G1298">
            <v>12</v>
          </cell>
          <cell r="H1298">
            <v>41</v>
          </cell>
          <cell r="I1298">
            <v>25</v>
          </cell>
          <cell r="J1298">
            <v>26.5</v>
          </cell>
          <cell r="K1298">
            <v>11.337999999999999</v>
          </cell>
          <cell r="L1298">
            <v>3.1494444444444443E-2</v>
          </cell>
          <cell r="M1298">
            <v>2.7162499999999999E-2</v>
          </cell>
        </row>
        <row r="1299">
          <cell r="A1299">
            <v>10340036</v>
          </cell>
          <cell r="B1299">
            <v>3616479617884</v>
          </cell>
          <cell r="C1299">
            <v>13616479617881</v>
          </cell>
          <cell r="D1299">
            <v>23616479617888</v>
          </cell>
          <cell r="E1299" t="str">
            <v>EPLUCHEUR BOIS CLAIR CRF VRAC + GENCOD</v>
          </cell>
          <cell r="F1299">
            <v>360</v>
          </cell>
          <cell r="G1299">
            <v>12</v>
          </cell>
          <cell r="H1299">
            <v>34</v>
          </cell>
          <cell r="I1299">
            <v>18.5</v>
          </cell>
          <cell r="J1299">
            <v>39.5</v>
          </cell>
          <cell r="K1299">
            <v>7.3609999999999998</v>
          </cell>
          <cell r="L1299">
            <v>2.0447222222222221E-2</v>
          </cell>
          <cell r="M1299">
            <v>2.48455E-2</v>
          </cell>
        </row>
        <row r="1300">
          <cell r="A1300">
            <v>10340037</v>
          </cell>
          <cell r="B1300">
            <v>3616479606581</v>
          </cell>
          <cell r="C1300">
            <v>13616479606588</v>
          </cell>
          <cell r="D1300">
            <v>23616479606585</v>
          </cell>
          <cell r="E1300" t="str">
            <v>TARTINEUR BOIS CLAIR CRF VRAC + GENCOD</v>
          </cell>
          <cell r="F1300">
            <v>360</v>
          </cell>
          <cell r="G1300">
            <v>12</v>
          </cell>
          <cell r="H1300">
            <v>34</v>
          </cell>
          <cell r="I1300">
            <v>22</v>
          </cell>
          <cell r="J1300">
            <v>26.5</v>
          </cell>
          <cell r="K1300">
            <v>8.5619999999999994</v>
          </cell>
          <cell r="L1300">
            <v>2.378333333333333E-2</v>
          </cell>
          <cell r="M1300">
            <v>1.9822000000000003E-2</v>
          </cell>
        </row>
        <row r="1301">
          <cell r="A1301">
            <v>10340038</v>
          </cell>
          <cell r="B1301">
            <v>3616479606635</v>
          </cell>
          <cell r="C1301">
            <v>13616479606632</v>
          </cell>
          <cell r="D1301">
            <v>23616479606639</v>
          </cell>
          <cell r="E1301" t="str">
            <v>BLOC PIN 6 STEAK BOIS TRADITIONNEL CRF</v>
          </cell>
          <cell r="F1301">
            <v>8</v>
          </cell>
          <cell r="G1301">
            <v>8</v>
          </cell>
          <cell r="H1301">
            <v>24</v>
          </cell>
          <cell r="I1301">
            <v>15</v>
          </cell>
          <cell r="J1301">
            <v>28</v>
          </cell>
          <cell r="K1301">
            <v>2.86</v>
          </cell>
          <cell r="L1301">
            <v>0.35749999999999998</v>
          </cell>
          <cell r="M1301">
            <v>1.008E-2</v>
          </cell>
        </row>
        <row r="1302">
          <cell r="A1302">
            <v>10340039</v>
          </cell>
          <cell r="B1302">
            <v>3118220047358</v>
          </cell>
          <cell r="C1302">
            <v>13118220047355</v>
          </cell>
          <cell r="D1302">
            <v>23118220047352</v>
          </cell>
          <cell r="E1302" t="str">
            <v>BLOC PIN 6 GRILLADES BOIS BTE PACKBORDABLE TB COLLECTION</v>
          </cell>
          <cell r="F1302">
            <v>8</v>
          </cell>
          <cell r="G1302">
            <v>8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</row>
        <row r="1303">
          <cell r="A1303">
            <v>10390002</v>
          </cell>
          <cell r="B1303">
            <v>3491955370664</v>
          </cell>
          <cell r="E1303" t="str">
            <v>CUISINE LAME 19 METAL TRANSITION GIFI</v>
          </cell>
          <cell r="F1303">
            <v>54</v>
          </cell>
          <cell r="G1303">
            <v>3</v>
          </cell>
          <cell r="H1303">
            <v>40</v>
          </cell>
          <cell r="I1303">
            <v>30</v>
          </cell>
          <cell r="J1303">
            <v>20</v>
          </cell>
          <cell r="K1303">
            <v>12.311999999999999</v>
          </cell>
          <cell r="L1303">
            <v>0.22799999999999998</v>
          </cell>
          <cell r="M1303">
            <v>2.4E-2</v>
          </cell>
        </row>
        <row r="1304">
          <cell r="A1304">
            <v>10390003</v>
          </cell>
          <cell r="B1304">
            <v>3491955370657</v>
          </cell>
          <cell r="E1304" t="str">
            <v>CHEF SANTUKO METAL TRANSITION GIFI</v>
          </cell>
          <cell r="F1304">
            <v>54</v>
          </cell>
          <cell r="G1304">
            <v>3</v>
          </cell>
          <cell r="H1304">
            <v>40</v>
          </cell>
          <cell r="I1304">
            <v>30.5</v>
          </cell>
          <cell r="J1304">
            <v>20.5</v>
          </cell>
          <cell r="K1304">
            <v>12.583</v>
          </cell>
          <cell r="L1304">
            <v>0.23301851851851851</v>
          </cell>
          <cell r="M1304">
            <v>2.5010000000000004E-2</v>
          </cell>
        </row>
        <row r="1305">
          <cell r="A1305">
            <v>10400002</v>
          </cell>
          <cell r="B1305">
            <v>3118220035416</v>
          </cell>
          <cell r="E1305" t="str">
            <v>MARAICHER ABSOLU ABS EN BOITE ACCESS</v>
          </cell>
          <cell r="F1305">
            <v>6</v>
          </cell>
          <cell r="G1305">
            <v>6</v>
          </cell>
          <cell r="H1305">
            <v>38</v>
          </cell>
          <cell r="I1305">
            <v>19</v>
          </cell>
          <cell r="J1305">
            <v>11</v>
          </cell>
          <cell r="K1305">
            <v>0.64200000000000002</v>
          </cell>
          <cell r="L1305">
            <v>0.107</v>
          </cell>
          <cell r="M1305">
            <v>7.9419999999999994E-3</v>
          </cell>
        </row>
        <row r="1306">
          <cell r="A1306">
            <v>10400004</v>
          </cell>
          <cell r="B1306">
            <v>3118220035430</v>
          </cell>
          <cell r="E1306" t="str">
            <v>EMINCEUR ABSOLU ABS EN BOITE ACCESS</v>
          </cell>
          <cell r="F1306">
            <v>6</v>
          </cell>
          <cell r="G1306">
            <v>6</v>
          </cell>
          <cell r="H1306">
            <v>45</v>
          </cell>
          <cell r="I1306">
            <v>30</v>
          </cell>
          <cell r="J1306">
            <v>15</v>
          </cell>
          <cell r="K1306">
            <v>1.76</v>
          </cell>
          <cell r="L1306">
            <v>0.29333333333333333</v>
          </cell>
          <cell r="M1306">
            <v>2.0250000000000004E-2</v>
          </cell>
        </row>
        <row r="1307">
          <cell r="A1307">
            <v>10400005</v>
          </cell>
          <cell r="B1307">
            <v>3118220035447</v>
          </cell>
          <cell r="E1307" t="str">
            <v>CHEF 18 CM ABSOLU ABS EN BOITE ACCESS</v>
          </cell>
          <cell r="F1307">
            <v>6</v>
          </cell>
          <cell r="G1307">
            <v>6</v>
          </cell>
          <cell r="H1307">
            <v>45</v>
          </cell>
          <cell r="I1307">
            <v>30</v>
          </cell>
          <cell r="J1307">
            <v>15</v>
          </cell>
          <cell r="K1307">
            <v>1.81</v>
          </cell>
          <cell r="L1307">
            <v>0.30166666666666669</v>
          </cell>
          <cell r="M1307">
            <v>2.0250000000000004E-2</v>
          </cell>
        </row>
        <row r="1308">
          <cell r="A1308">
            <v>10400006</v>
          </cell>
          <cell r="B1308">
            <v>3118220035454</v>
          </cell>
          <cell r="E1308" t="str">
            <v>CUISINE 22 CM ABSOLU ABS EN BOITE ACCESS</v>
          </cell>
          <cell r="F1308">
            <v>6</v>
          </cell>
          <cell r="G1308">
            <v>6</v>
          </cell>
          <cell r="H1308">
            <v>45</v>
          </cell>
          <cell r="I1308">
            <v>30</v>
          </cell>
          <cell r="J1308">
            <v>15</v>
          </cell>
          <cell r="K1308">
            <v>1.919</v>
          </cell>
          <cell r="L1308">
            <v>0.31983333333333336</v>
          </cell>
          <cell r="M1308">
            <v>2.0250000000000004E-2</v>
          </cell>
        </row>
        <row r="1309">
          <cell r="A1309">
            <v>10400007</v>
          </cell>
          <cell r="B1309">
            <v>3118220035461</v>
          </cell>
          <cell r="E1309" t="str">
            <v>PAIN 22 CM ABSOLU ABS EN BOITE ACCESS</v>
          </cell>
          <cell r="F1309">
            <v>6</v>
          </cell>
          <cell r="G1309">
            <v>6</v>
          </cell>
          <cell r="H1309">
            <v>48</v>
          </cell>
          <cell r="I1309">
            <v>35.5</v>
          </cell>
          <cell r="J1309">
            <v>15</v>
          </cell>
          <cell r="K1309">
            <v>1.863</v>
          </cell>
          <cell r="L1309">
            <v>0.3105</v>
          </cell>
          <cell r="M1309">
            <v>2.5559999999999999E-2</v>
          </cell>
        </row>
        <row r="1310">
          <cell r="A1310">
            <v>10400009</v>
          </cell>
          <cell r="B1310">
            <v>3118220037137</v>
          </cell>
          <cell r="E1310" t="str">
            <v>COFFRET 3 CTX ABSOLU MANCHE PALISSANDRE (MARAICH+EMINC+POLY)</v>
          </cell>
          <cell r="F1310">
            <v>6</v>
          </cell>
          <cell r="G1310">
            <v>6</v>
          </cell>
          <cell r="H1310">
            <v>40</v>
          </cell>
          <cell r="I1310">
            <v>30</v>
          </cell>
          <cell r="J1310">
            <v>20</v>
          </cell>
          <cell r="K1310">
            <v>4.5179999999999998</v>
          </cell>
          <cell r="L1310">
            <v>0.753</v>
          </cell>
          <cell r="M1310">
            <v>2.4E-2</v>
          </cell>
        </row>
        <row r="1311">
          <cell r="A1311">
            <v>10400010</v>
          </cell>
          <cell r="B1311">
            <v>3118220037656</v>
          </cell>
          <cell r="E1311" t="str">
            <v>COFFRET 3 COUTEAUX ABSOLU MANCHE ABS</v>
          </cell>
          <cell r="F1311">
            <v>6</v>
          </cell>
          <cell r="G1311">
            <v>6</v>
          </cell>
          <cell r="H1311">
            <v>40</v>
          </cell>
          <cell r="I1311">
            <v>30</v>
          </cell>
          <cell r="J1311">
            <v>20</v>
          </cell>
          <cell r="K1311">
            <v>4.4939999999999998</v>
          </cell>
          <cell r="L1311">
            <v>0.749</v>
          </cell>
          <cell r="M1311">
            <v>2.4E-2</v>
          </cell>
        </row>
        <row r="1312">
          <cell r="A1312">
            <v>10424272</v>
          </cell>
          <cell r="B1312">
            <v>3118220004252</v>
          </cell>
          <cell r="E1312" t="str">
            <v>FORGE PREMIUM TB N°1 OFFICE 9CM EVERCUT COFFRET BI MAT</v>
          </cell>
          <cell r="F1312">
            <v>6</v>
          </cell>
          <cell r="G1312">
            <v>6</v>
          </cell>
          <cell r="H1312">
            <v>29</v>
          </cell>
          <cell r="I1312">
            <v>23</v>
          </cell>
          <cell r="J1312">
            <v>8.5</v>
          </cell>
          <cell r="K1312">
            <v>1.91</v>
          </cell>
          <cell r="L1312">
            <v>0.3183333333333333</v>
          </cell>
          <cell r="M1312">
            <v>5.6694999999999992E-3</v>
          </cell>
        </row>
        <row r="1313">
          <cell r="A1313">
            <v>10424275</v>
          </cell>
          <cell r="B1313">
            <v>3118220004283</v>
          </cell>
          <cell r="E1313" t="str">
            <v>MAESTRO TB N°4 POLYVALENT MICRO 13CM COFFRET BI MAT</v>
          </cell>
          <cell r="F1313">
            <v>6</v>
          </cell>
          <cell r="G1313">
            <v>6</v>
          </cell>
          <cell r="H1313">
            <v>29</v>
          </cell>
          <cell r="I1313">
            <v>23.5</v>
          </cell>
          <cell r="J1313">
            <v>9</v>
          </cell>
          <cell r="K1313">
            <v>1.5</v>
          </cell>
          <cell r="L1313">
            <v>0.25</v>
          </cell>
          <cell r="M1313">
            <v>6.1334999999999983E-3</v>
          </cell>
        </row>
        <row r="1314">
          <cell r="A1314">
            <v>10424276</v>
          </cell>
          <cell r="B1314">
            <v>3118220004290</v>
          </cell>
          <cell r="E1314" t="str">
            <v>MAESTRO TB N°5 DESOSSER 14CM COFFRET BI MAT</v>
          </cell>
          <cell r="F1314">
            <v>6</v>
          </cell>
          <cell r="G1314">
            <v>6</v>
          </cell>
          <cell r="H1314">
            <v>38.5</v>
          </cell>
          <cell r="I1314">
            <v>19.5</v>
          </cell>
          <cell r="J1314">
            <v>12</v>
          </cell>
          <cell r="K1314">
            <v>2.7</v>
          </cell>
          <cell r="L1314">
            <v>0.45</v>
          </cell>
          <cell r="M1314">
            <v>9.0089999999999996E-3</v>
          </cell>
        </row>
        <row r="1315">
          <cell r="A1315">
            <v>10424277</v>
          </cell>
          <cell r="B1315">
            <v>3118220004306</v>
          </cell>
          <cell r="E1315" t="str">
            <v>FORGE PREMIUM TB N°6 POLYVALENT 15CM EVERCUT COFFRET BI MAT</v>
          </cell>
          <cell r="F1315">
            <v>6</v>
          </cell>
          <cell r="G1315">
            <v>6</v>
          </cell>
          <cell r="H1315">
            <v>38.5</v>
          </cell>
          <cell r="I1315">
            <v>19</v>
          </cell>
          <cell r="J1315">
            <v>11</v>
          </cell>
          <cell r="K1315">
            <v>3.21</v>
          </cell>
          <cell r="L1315">
            <v>0.53500000000000003</v>
          </cell>
          <cell r="M1315">
            <v>8.0465000000000016E-3</v>
          </cell>
        </row>
        <row r="1316">
          <cell r="A1316">
            <v>10424280</v>
          </cell>
          <cell r="B1316">
            <v>3118220004337</v>
          </cell>
          <cell r="E1316" t="str">
            <v>FORGE PREMIUM TB N°9 SLICER 21CM EVERCUT COFFRET BI MAT</v>
          </cell>
          <cell r="F1316">
            <v>6</v>
          </cell>
          <cell r="G1316">
            <v>6</v>
          </cell>
          <cell r="H1316">
            <v>38.5</v>
          </cell>
          <cell r="I1316">
            <v>19.5</v>
          </cell>
          <cell r="J1316">
            <v>12</v>
          </cell>
          <cell r="K1316">
            <v>3.29</v>
          </cell>
          <cell r="L1316">
            <v>0.54833333333333334</v>
          </cell>
          <cell r="M1316">
            <v>9.0089999999999996E-3</v>
          </cell>
        </row>
        <row r="1317">
          <cell r="A1317">
            <v>10424281</v>
          </cell>
          <cell r="B1317">
            <v>3118220004344</v>
          </cell>
          <cell r="E1317" t="str">
            <v>MAESTRO TB N°10 PAIN 21CM COFFRET BI MAT</v>
          </cell>
          <cell r="F1317">
            <v>6</v>
          </cell>
          <cell r="G1317">
            <v>6</v>
          </cell>
          <cell r="H1317">
            <v>38.5</v>
          </cell>
          <cell r="I1317">
            <v>19.5</v>
          </cell>
          <cell r="J1317">
            <v>11</v>
          </cell>
          <cell r="K1317">
            <v>3.02</v>
          </cell>
          <cell r="L1317">
            <v>0.5033333333333333</v>
          </cell>
          <cell r="M1317">
            <v>8.25825E-3</v>
          </cell>
        </row>
        <row r="1318">
          <cell r="A1318">
            <v>10424282</v>
          </cell>
          <cell r="B1318">
            <v>3118220004351</v>
          </cell>
          <cell r="E1318" t="str">
            <v>FORGE PREMIUM TB N°11 CHEF 21CM EVERCUT COFFRET BI MAT</v>
          </cell>
          <cell r="F1318">
            <v>6</v>
          </cell>
          <cell r="G1318">
            <v>6</v>
          </cell>
          <cell r="H1318">
            <v>38.5</v>
          </cell>
          <cell r="I1318">
            <v>19.5</v>
          </cell>
          <cell r="J1318">
            <v>12</v>
          </cell>
          <cell r="K1318">
            <v>3.46</v>
          </cell>
          <cell r="L1318">
            <v>0.57666666666666666</v>
          </cell>
          <cell r="M1318">
            <v>9.0089999999999996E-3</v>
          </cell>
        </row>
        <row r="1319">
          <cell r="A1319">
            <v>10424283</v>
          </cell>
          <cell r="B1319">
            <v>3118220004368</v>
          </cell>
          <cell r="E1319" t="str">
            <v>MAESTRO TB FOURCHETTE COFFRET BI MAT</v>
          </cell>
          <cell r="F1319">
            <v>6</v>
          </cell>
          <cell r="G1319">
            <v>6</v>
          </cell>
          <cell r="H1319">
            <v>38.5</v>
          </cell>
          <cell r="I1319">
            <v>19.5</v>
          </cell>
          <cell r="J1319">
            <v>12</v>
          </cell>
          <cell r="K1319">
            <v>3.2349999999999999</v>
          </cell>
          <cell r="L1319">
            <v>0.53916666666666668</v>
          </cell>
          <cell r="M1319">
            <v>9.0089999999999996E-3</v>
          </cell>
        </row>
        <row r="1320">
          <cell r="A1320">
            <v>10424284</v>
          </cell>
          <cell r="B1320">
            <v>3118220004375</v>
          </cell>
          <cell r="E1320" t="str">
            <v>MAESTRO TB N°13 STEAK 12CM COFFRET BI MAT</v>
          </cell>
          <cell r="F1320">
            <v>6</v>
          </cell>
          <cell r="G1320">
            <v>6</v>
          </cell>
          <cell r="H1320">
            <v>29</v>
          </cell>
          <cell r="I1320">
            <v>23</v>
          </cell>
          <cell r="J1320">
            <v>8.5</v>
          </cell>
          <cell r="K1320">
            <v>1.7470000000000001</v>
          </cell>
          <cell r="L1320">
            <v>0.29116666666666668</v>
          </cell>
          <cell r="M1320">
            <v>5.6694999999999992E-3</v>
          </cell>
        </row>
        <row r="1321">
          <cell r="A1321">
            <v>10424296</v>
          </cell>
          <cell r="B1321">
            <v>3118220012264</v>
          </cell>
          <cell r="E1321" t="str">
            <v>MAESTRO TB N°13 STEAK 12CM BERLINGOT</v>
          </cell>
          <cell r="F1321">
            <v>12</v>
          </cell>
          <cell r="G1321">
            <v>12</v>
          </cell>
          <cell r="H1321">
            <v>31.5</v>
          </cell>
          <cell r="I1321">
            <v>14.5</v>
          </cell>
          <cell r="J1321">
            <v>8</v>
          </cell>
          <cell r="K1321">
            <v>1.27</v>
          </cell>
          <cell r="L1321">
            <v>0.10583333333333333</v>
          </cell>
          <cell r="M1321">
            <v>3.6540000000000001E-3</v>
          </cell>
        </row>
        <row r="1322">
          <cell r="A1322">
            <v>10424314</v>
          </cell>
          <cell r="B1322">
            <v>3118220035591</v>
          </cell>
          <cell r="E1322" t="str">
            <v>OFFICE MULTIUSAGES 9CM FORGE PREMIUM EN PACK ECOLOGIQUE</v>
          </cell>
          <cell r="F1322">
            <v>6</v>
          </cell>
          <cell r="G1322">
            <v>6</v>
          </cell>
          <cell r="H1322">
            <v>38</v>
          </cell>
          <cell r="I1322">
            <v>18.5</v>
          </cell>
          <cell r="J1322">
            <v>11</v>
          </cell>
          <cell r="K1322">
            <v>0.78600000000000003</v>
          </cell>
          <cell r="L1322">
            <v>0.13100000000000001</v>
          </cell>
          <cell r="M1322">
            <v>7.7330000000000003E-3</v>
          </cell>
        </row>
        <row r="1323">
          <cell r="A1323">
            <v>10424315</v>
          </cell>
          <cell r="B1323">
            <v>3118220035607</v>
          </cell>
          <cell r="E1323" t="str">
            <v>STEAK UNIVERSEL 13CM FORGE PREMIUM EN PACK ECOLOGIQUE</v>
          </cell>
          <cell r="F1323">
            <v>6</v>
          </cell>
          <cell r="G1323">
            <v>6</v>
          </cell>
          <cell r="H1323">
            <v>38</v>
          </cell>
          <cell r="I1323">
            <v>18.5</v>
          </cell>
          <cell r="J1323">
            <v>11</v>
          </cell>
          <cell r="K1323">
            <v>0.78600000000000003</v>
          </cell>
          <cell r="L1323">
            <v>0.13100000000000001</v>
          </cell>
          <cell r="M1323">
            <v>7.7330000000000003E-3</v>
          </cell>
        </row>
        <row r="1324">
          <cell r="A1324">
            <v>10424316</v>
          </cell>
          <cell r="B1324">
            <v>3118220035614</v>
          </cell>
          <cell r="E1324" t="str">
            <v>CUISINE 15CM FORGE PREMIUM EN PACK ECOLOGIQUE</v>
          </cell>
          <cell r="F1324">
            <v>6</v>
          </cell>
          <cell r="G1324">
            <v>6</v>
          </cell>
          <cell r="H1324">
            <v>45</v>
          </cell>
          <cell r="I1324">
            <v>30.5</v>
          </cell>
          <cell r="J1324">
            <v>9</v>
          </cell>
          <cell r="K1324">
            <v>1.3380000000000001</v>
          </cell>
          <cell r="L1324">
            <v>0.223</v>
          </cell>
          <cell r="M1324">
            <v>1.2352499999999997E-2</v>
          </cell>
        </row>
        <row r="1325">
          <cell r="A1325">
            <v>10424317</v>
          </cell>
          <cell r="B1325">
            <v>3118220035621</v>
          </cell>
          <cell r="E1325" t="str">
            <v>PAIN 20CM FORGE PREMIUM EN PACK ECOLOGIQUE</v>
          </cell>
          <cell r="F1325">
            <v>6</v>
          </cell>
          <cell r="G1325">
            <v>6</v>
          </cell>
          <cell r="H1325">
            <v>45</v>
          </cell>
          <cell r="I1325">
            <v>30.5</v>
          </cell>
          <cell r="J1325">
            <v>8.5</v>
          </cell>
          <cell r="K1325">
            <v>1.3919999999999999</v>
          </cell>
          <cell r="L1325">
            <v>0.23199999999999998</v>
          </cell>
          <cell r="M1325">
            <v>1.1666249999999998E-2</v>
          </cell>
        </row>
        <row r="1326">
          <cell r="A1326">
            <v>10424318</v>
          </cell>
          <cell r="B1326">
            <v>3118220035638</v>
          </cell>
          <cell r="E1326" t="str">
            <v>CUISINE 20CM FORGE PREMIUM EN PACK ECOLOGIQUE</v>
          </cell>
          <cell r="F1326">
            <v>6</v>
          </cell>
          <cell r="G1326">
            <v>6</v>
          </cell>
          <cell r="H1326">
            <v>45</v>
          </cell>
          <cell r="I1326">
            <v>30.5</v>
          </cell>
          <cell r="J1326">
            <v>8.5</v>
          </cell>
          <cell r="K1326">
            <v>1.4039999999999999</v>
          </cell>
          <cell r="L1326">
            <v>0.23399999999999999</v>
          </cell>
          <cell r="M1326">
            <v>1.1666249999999998E-2</v>
          </cell>
        </row>
        <row r="1327">
          <cell r="A1327">
            <v>10424319</v>
          </cell>
          <cell r="B1327">
            <v>3118220035645</v>
          </cell>
          <cell r="E1327" t="str">
            <v>SANTUKO 18CM FORGE PREMIUM EN PACK ECOLOGIQUE</v>
          </cell>
          <cell r="F1327">
            <v>6</v>
          </cell>
          <cell r="G1327">
            <v>6</v>
          </cell>
          <cell r="H1327">
            <v>46</v>
          </cell>
          <cell r="I1327">
            <v>30.5</v>
          </cell>
          <cell r="J1327">
            <v>9</v>
          </cell>
          <cell r="K1327">
            <v>1.488</v>
          </cell>
          <cell r="L1327">
            <v>0.248</v>
          </cell>
          <cell r="M1327">
            <v>1.2627000000000001E-2</v>
          </cell>
        </row>
        <row r="1328">
          <cell r="A1328">
            <v>10424320</v>
          </cell>
          <cell r="B1328">
            <v>3118220035652</v>
          </cell>
          <cell r="E1328" t="str">
            <v>CHEF 20CM FORGE PREMIUM EN PACK ECOLOGIQUE</v>
          </cell>
          <cell r="F1328">
            <v>6</v>
          </cell>
          <cell r="G1328">
            <v>6</v>
          </cell>
          <cell r="H1328">
            <v>45.5</v>
          </cell>
          <cell r="I1328">
            <v>30</v>
          </cell>
          <cell r="J1328">
            <v>8.5</v>
          </cell>
          <cell r="K1328">
            <v>1.4279999999999999</v>
          </cell>
          <cell r="L1328">
            <v>0.23799999999999999</v>
          </cell>
          <cell r="M1328">
            <v>1.16025E-2</v>
          </cell>
        </row>
        <row r="1329">
          <cell r="A1329">
            <v>10424321</v>
          </cell>
          <cell r="B1329">
            <v>3118220040380</v>
          </cell>
          <cell r="E1329" t="str">
            <v>OFFICE MULTIUSAGES 9CM BRIGADE FORGE PREMIUM EN BOITE ACCESS</v>
          </cell>
          <cell r="F1329">
            <v>6</v>
          </cell>
          <cell r="G1329">
            <v>6</v>
          </cell>
          <cell r="H1329">
            <v>38</v>
          </cell>
          <cell r="I1329">
            <v>19</v>
          </cell>
          <cell r="J1329">
            <v>11</v>
          </cell>
          <cell r="K1329">
            <v>0.90500000000000003</v>
          </cell>
          <cell r="L1329">
            <v>0.15083333333333335</v>
          </cell>
          <cell r="M1329">
            <v>7.9419999999999994E-3</v>
          </cell>
        </row>
        <row r="1330">
          <cell r="A1330">
            <v>10424322</v>
          </cell>
          <cell r="B1330">
            <v>3118220040397</v>
          </cell>
          <cell r="E1330" t="str">
            <v>STEAK UNIVERSEL 13CM BRIGADE FORGE PREMIUM EN BOITE ACCESS</v>
          </cell>
          <cell r="F1330">
            <v>6</v>
          </cell>
          <cell r="G1330">
            <v>6</v>
          </cell>
          <cell r="H1330">
            <v>38</v>
          </cell>
          <cell r="I1330">
            <v>19</v>
          </cell>
          <cell r="J1330">
            <v>11</v>
          </cell>
          <cell r="K1330">
            <v>0.92500000000000004</v>
          </cell>
          <cell r="L1330">
            <v>0.15416666666666667</v>
          </cell>
          <cell r="M1330">
            <v>7.9419999999999994E-3</v>
          </cell>
        </row>
        <row r="1331">
          <cell r="A1331">
            <v>10424323</v>
          </cell>
          <cell r="B1331">
            <v>3118220040403</v>
          </cell>
          <cell r="E1331" t="str">
            <v>CUISINE 15CM BRIGADE FORGE PREMIUM EN BOITE ACCESS</v>
          </cell>
          <cell r="F1331">
            <v>6</v>
          </cell>
          <cell r="G1331">
            <v>6</v>
          </cell>
          <cell r="H1331">
            <v>45</v>
          </cell>
          <cell r="I1331">
            <v>31</v>
          </cell>
          <cell r="J1331">
            <v>9</v>
          </cell>
          <cell r="K1331">
            <v>1.603</v>
          </cell>
          <cell r="L1331">
            <v>0.26716666666666666</v>
          </cell>
          <cell r="M1331">
            <v>1.2555E-2</v>
          </cell>
        </row>
        <row r="1332">
          <cell r="A1332">
            <v>10424324</v>
          </cell>
          <cell r="B1332">
            <v>3118220040410</v>
          </cell>
          <cell r="E1332" t="str">
            <v>PAIN 20CM BRIGADE FORGE PREMIUM EN BOITE ACCESS</v>
          </cell>
          <cell r="F1332">
            <v>6</v>
          </cell>
          <cell r="G1332">
            <v>6</v>
          </cell>
          <cell r="H1332">
            <v>45</v>
          </cell>
          <cell r="I1332">
            <v>30.5</v>
          </cell>
          <cell r="J1332">
            <v>9</v>
          </cell>
          <cell r="K1332">
            <v>1.643</v>
          </cell>
          <cell r="L1332">
            <v>0.27383333333333332</v>
          </cell>
          <cell r="M1332">
            <v>1.2352499999999997E-2</v>
          </cell>
        </row>
        <row r="1333">
          <cell r="A1333">
            <v>10424325</v>
          </cell>
          <cell r="B1333">
            <v>3118220040427</v>
          </cell>
          <cell r="E1333" t="str">
            <v>CUISINE 20CM BRIGADE FORGE PREMIUM EN BOITE ACCESS</v>
          </cell>
          <cell r="F1333">
            <v>6</v>
          </cell>
          <cell r="G1333">
            <v>6</v>
          </cell>
          <cell r="H1333">
            <v>45</v>
          </cell>
          <cell r="I1333">
            <v>31</v>
          </cell>
          <cell r="J1333">
            <v>9</v>
          </cell>
          <cell r="K1333">
            <v>1.704</v>
          </cell>
          <cell r="L1333">
            <v>0.28399999999999997</v>
          </cell>
          <cell r="M1333">
            <v>1.2555E-2</v>
          </cell>
        </row>
        <row r="1334">
          <cell r="A1334">
            <v>10424326</v>
          </cell>
          <cell r="B1334">
            <v>3118220040434</v>
          </cell>
          <cell r="E1334" t="str">
            <v>SANTUKO 18CM BRIGADE FORGE PREMIUM EN BOITE ACCESS</v>
          </cell>
          <cell r="F1334">
            <v>6</v>
          </cell>
          <cell r="G1334">
            <v>6</v>
          </cell>
          <cell r="H1334">
            <v>45</v>
          </cell>
          <cell r="I1334">
            <v>30.5</v>
          </cell>
          <cell r="J1334">
            <v>9</v>
          </cell>
          <cell r="K1334">
            <v>1.7370000000000001</v>
          </cell>
          <cell r="L1334">
            <v>0.28950000000000004</v>
          </cell>
          <cell r="M1334">
            <v>1.2352499999999997E-2</v>
          </cell>
        </row>
        <row r="1335">
          <cell r="A1335">
            <v>10424327</v>
          </cell>
          <cell r="B1335">
            <v>3118220040441</v>
          </cell>
          <cell r="E1335" t="str">
            <v>CHEF 20CM BRIGADE FORGE PREMIUM EN BOITE ACCESS</v>
          </cell>
          <cell r="F1335">
            <v>6</v>
          </cell>
          <cell r="G1335">
            <v>6</v>
          </cell>
          <cell r="H1335">
            <v>47</v>
          </cell>
          <cell r="I1335">
            <v>31</v>
          </cell>
          <cell r="J1335">
            <v>9</v>
          </cell>
          <cell r="K1335">
            <v>1.665</v>
          </cell>
          <cell r="L1335">
            <v>0.27750000000000002</v>
          </cell>
          <cell r="M1335">
            <v>1.3113E-2</v>
          </cell>
        </row>
        <row r="1336">
          <cell r="A1336">
            <v>10424328</v>
          </cell>
          <cell r="B1336">
            <v>3118220042131</v>
          </cell>
          <cell r="E1336" t="str">
            <v>BLOC BOIS 5 COUTEAUX BRIGADE FORGE</v>
          </cell>
          <cell r="F1336">
            <v>3</v>
          </cell>
          <cell r="G1336">
            <v>3</v>
          </cell>
          <cell r="H1336">
            <v>60</v>
          </cell>
          <cell r="I1336">
            <v>33</v>
          </cell>
          <cell r="J1336">
            <v>41</v>
          </cell>
          <cell r="K1336">
            <v>9.31</v>
          </cell>
          <cell r="L1336">
            <v>3.1033333333333335</v>
          </cell>
          <cell r="M1336">
            <v>8.1180000000000002E-2</v>
          </cell>
        </row>
        <row r="1337">
          <cell r="A1337">
            <v>10424329</v>
          </cell>
          <cell r="B1337">
            <v>3497674176136</v>
          </cell>
          <cell r="E1337" t="str">
            <v>OFFICE 9CM BRIGADE FORGE PREMIUM MIOGO SS CARTO BOULANGER</v>
          </cell>
          <cell r="F1337">
            <v>150</v>
          </cell>
          <cell r="G1337">
            <v>6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</row>
        <row r="1338">
          <cell r="A1338">
            <v>10424330</v>
          </cell>
          <cell r="B1338">
            <v>3497674176150</v>
          </cell>
          <cell r="E1338" t="str">
            <v>CUISINE 15CM BRIGADE FORGE PREMIUM MIOGO SS CARTO BOULANGER</v>
          </cell>
          <cell r="F1338">
            <v>90</v>
          </cell>
          <cell r="G1338">
            <v>6</v>
          </cell>
          <cell r="H1338">
            <v>40</v>
          </cell>
          <cell r="I1338">
            <v>30</v>
          </cell>
          <cell r="J1338">
            <v>20</v>
          </cell>
          <cell r="K1338">
            <v>18.558</v>
          </cell>
          <cell r="L1338">
            <v>0.20619999999999999</v>
          </cell>
          <cell r="M1338">
            <v>2.4E-2</v>
          </cell>
        </row>
        <row r="1339">
          <cell r="A1339">
            <v>10424331</v>
          </cell>
          <cell r="B1339">
            <v>3497674176143</v>
          </cell>
          <cell r="E1339" t="str">
            <v>PAIN 20CM BRIGADE FORGE PREMIUM MIOGO SS CARTO BOULANGER</v>
          </cell>
          <cell r="F1339">
            <v>72</v>
          </cell>
          <cell r="G1339">
            <v>6</v>
          </cell>
          <cell r="H1339">
            <v>40</v>
          </cell>
          <cell r="I1339">
            <v>30</v>
          </cell>
          <cell r="J1339">
            <v>20</v>
          </cell>
          <cell r="K1339">
            <v>13.374000000000001</v>
          </cell>
          <cell r="L1339">
            <v>0.18575</v>
          </cell>
          <cell r="M1339">
            <v>2.4E-2</v>
          </cell>
        </row>
        <row r="1340">
          <cell r="A1340">
            <v>10424332</v>
          </cell>
          <cell r="B1340">
            <v>3497674176167</v>
          </cell>
          <cell r="E1340" t="str">
            <v>SANTUKO 18CM BRIGADE FORGE PREMIUM MIOGO SS CARTO BOULANGER</v>
          </cell>
          <cell r="F1340">
            <v>72</v>
          </cell>
          <cell r="G1340">
            <v>6</v>
          </cell>
          <cell r="H1340">
            <v>40</v>
          </cell>
          <cell r="I1340">
            <v>30</v>
          </cell>
          <cell r="J1340">
            <v>20</v>
          </cell>
          <cell r="K1340">
            <v>14.827999999999999</v>
          </cell>
          <cell r="L1340">
            <v>0.20594444444444443</v>
          </cell>
          <cell r="M1340">
            <v>2.4E-2</v>
          </cell>
        </row>
        <row r="1341">
          <cell r="A1341">
            <v>10424333</v>
          </cell>
          <cell r="B1341">
            <v>3497674176129</v>
          </cell>
          <cell r="E1341" t="str">
            <v>CHEF 20CM BRIGADE FORGE PREMIUM MIOGO SS CARTO BOULANGER</v>
          </cell>
          <cell r="F1341">
            <v>72</v>
          </cell>
          <cell r="G1341">
            <v>6</v>
          </cell>
          <cell r="H1341">
            <v>40</v>
          </cell>
          <cell r="I1341">
            <v>30</v>
          </cell>
          <cell r="J1341">
            <v>20</v>
          </cell>
          <cell r="K1341">
            <v>15</v>
          </cell>
          <cell r="L1341">
            <v>0.20833333333333334</v>
          </cell>
          <cell r="M1341">
            <v>2.4E-2</v>
          </cell>
        </row>
        <row r="1342">
          <cell r="A1342">
            <v>10430002</v>
          </cell>
          <cell r="B1342">
            <v>3222476103390</v>
          </cell>
          <cell r="E1342" t="str">
            <v>OFFICE RECORD FOURREAU CASINO</v>
          </cell>
          <cell r="F1342">
            <v>150</v>
          </cell>
          <cell r="G1342">
            <v>6</v>
          </cell>
          <cell r="H1342">
            <v>40</v>
          </cell>
          <cell r="I1342">
            <v>30</v>
          </cell>
          <cell r="J1342">
            <v>20</v>
          </cell>
          <cell r="K1342">
            <v>6</v>
          </cell>
          <cell r="L1342">
            <v>0.04</v>
          </cell>
          <cell r="M1342">
            <v>2.4E-2</v>
          </cell>
        </row>
        <row r="1343">
          <cell r="A1343">
            <v>10430003</v>
          </cell>
          <cell r="B1343">
            <v>3222476103369</v>
          </cell>
          <cell r="E1343" t="str">
            <v>VIANDE RECORD FOURREAU CASINO</v>
          </cell>
          <cell r="F1343">
            <v>72</v>
          </cell>
          <cell r="G1343">
            <v>6</v>
          </cell>
          <cell r="H1343">
            <v>40</v>
          </cell>
          <cell r="I1343">
            <v>30</v>
          </cell>
          <cell r="J1343">
            <v>20</v>
          </cell>
          <cell r="K1343">
            <v>8.2919999999999998</v>
          </cell>
          <cell r="L1343">
            <v>0.11516666666666667</v>
          </cell>
          <cell r="M1343">
            <v>2.4E-2</v>
          </cell>
        </row>
        <row r="1344">
          <cell r="A1344">
            <v>10430004</v>
          </cell>
          <cell r="B1344">
            <v>3222476103383</v>
          </cell>
          <cell r="E1344" t="str">
            <v>DESOSSER RECORD FOURREAU CASINO</v>
          </cell>
          <cell r="F1344">
            <v>90</v>
          </cell>
          <cell r="G1344">
            <v>6</v>
          </cell>
          <cell r="H1344">
            <v>40</v>
          </cell>
          <cell r="I1344">
            <v>30</v>
          </cell>
          <cell r="J1344">
            <v>20</v>
          </cell>
          <cell r="K1344">
            <v>7.2</v>
          </cell>
          <cell r="L1344">
            <v>0.08</v>
          </cell>
          <cell r="M1344">
            <v>2.4E-2</v>
          </cell>
        </row>
        <row r="1345">
          <cell r="A1345">
            <v>10430005</v>
          </cell>
          <cell r="B1345">
            <v>3222476103406</v>
          </cell>
          <cell r="E1345" t="str">
            <v>CUISINE 16 RECORD FOURREAU CASINO</v>
          </cell>
          <cell r="F1345">
            <v>90</v>
          </cell>
          <cell r="G1345">
            <v>6</v>
          </cell>
          <cell r="H1345">
            <v>40</v>
          </cell>
          <cell r="I1345">
            <v>30</v>
          </cell>
          <cell r="J1345">
            <v>20</v>
          </cell>
          <cell r="K1345">
            <v>7.83</v>
          </cell>
          <cell r="L1345">
            <v>8.6999999999999994E-2</v>
          </cell>
          <cell r="M1345">
            <v>2.4E-2</v>
          </cell>
        </row>
        <row r="1346">
          <cell r="A1346">
            <v>10430006</v>
          </cell>
          <cell r="B1346">
            <v>3222476103505</v>
          </cell>
          <cell r="E1346" t="str">
            <v>PAIN SURGELE RECORD FOURREAU CASINO</v>
          </cell>
          <cell r="F1346">
            <v>72</v>
          </cell>
          <cell r="G1346">
            <v>6</v>
          </cell>
          <cell r="H1346">
            <v>40</v>
          </cell>
          <cell r="I1346">
            <v>30</v>
          </cell>
          <cell r="J1346">
            <v>20</v>
          </cell>
          <cell r="K1346">
            <v>7.7519999999999998</v>
          </cell>
          <cell r="L1346">
            <v>0.10766666666666666</v>
          </cell>
          <cell r="M1346">
            <v>2.4E-2</v>
          </cell>
        </row>
        <row r="1347">
          <cell r="A1347">
            <v>10430008</v>
          </cell>
          <cell r="B1347">
            <v>3118220014718</v>
          </cell>
          <cell r="E1347" t="str">
            <v>BLOC PIN 6 STEAK RECORD COUL PANACHEES</v>
          </cell>
          <cell r="F1347">
            <v>8</v>
          </cell>
          <cell r="G1347">
            <v>8</v>
          </cell>
          <cell r="H1347">
            <v>23</v>
          </cell>
          <cell r="I1347">
            <v>15</v>
          </cell>
          <cell r="J1347">
            <v>28</v>
          </cell>
          <cell r="K1347">
            <v>2.4780000000000002</v>
          </cell>
          <cell r="L1347">
            <v>0.30975000000000003</v>
          </cell>
          <cell r="M1347">
            <v>9.6600000000000002E-3</v>
          </cell>
        </row>
        <row r="1348">
          <cell r="A1348">
            <v>10430014</v>
          </cell>
          <cell r="B1348">
            <v>3118220020269</v>
          </cell>
          <cell r="E1348" t="str">
            <v>BLOC POT DE FLEURS 6 STEAK RECORD CAMAIEU BLEU</v>
          </cell>
          <cell r="F1348">
            <v>6</v>
          </cell>
          <cell r="G1348">
            <v>6</v>
          </cell>
          <cell r="H1348">
            <v>31</v>
          </cell>
          <cell r="I1348">
            <v>20.5</v>
          </cell>
          <cell r="J1348">
            <v>27</v>
          </cell>
          <cell r="K1348">
            <v>2.1960000000000002</v>
          </cell>
          <cell r="L1348">
            <v>0.36600000000000005</v>
          </cell>
          <cell r="M1348">
            <v>1.71585E-2</v>
          </cell>
        </row>
        <row r="1349">
          <cell r="A1349">
            <v>10430015</v>
          </cell>
          <cell r="B1349">
            <v>3118220020276</v>
          </cell>
          <cell r="E1349" t="str">
            <v>BLOC POT DE FLEURS 6 STEAK RECORD CAMAIEU GRIS</v>
          </cell>
          <cell r="F1349">
            <v>6</v>
          </cell>
          <cell r="G1349">
            <v>6</v>
          </cell>
          <cell r="H1349">
            <v>31</v>
          </cell>
          <cell r="I1349">
            <v>20.5</v>
          </cell>
          <cell r="J1349">
            <v>27</v>
          </cell>
          <cell r="K1349">
            <v>2.1960000000000002</v>
          </cell>
          <cell r="L1349">
            <v>0.36600000000000005</v>
          </cell>
          <cell r="M1349">
            <v>1.71585E-2</v>
          </cell>
        </row>
        <row r="1350">
          <cell r="A1350">
            <v>10430016</v>
          </cell>
          <cell r="B1350">
            <v>3118220020283</v>
          </cell>
          <cell r="E1350" t="str">
            <v>BLOC POT DE FLEURS 6 STEAK RECORD CAMAIEU ROUGE</v>
          </cell>
          <cell r="F1350">
            <v>6</v>
          </cell>
          <cell r="G1350">
            <v>6</v>
          </cell>
          <cell r="H1350">
            <v>31</v>
          </cell>
          <cell r="I1350">
            <v>20.5</v>
          </cell>
          <cell r="J1350">
            <v>27</v>
          </cell>
          <cell r="K1350">
            <v>2.1960000000000002</v>
          </cell>
          <cell r="L1350">
            <v>0.36600000000000005</v>
          </cell>
          <cell r="M1350">
            <v>1.71585E-2</v>
          </cell>
        </row>
        <row r="1351">
          <cell r="A1351">
            <v>10430017</v>
          </cell>
          <cell r="B1351">
            <v>3118220020290</v>
          </cell>
          <cell r="E1351" t="str">
            <v>BLOC POT DE FLEURS 6 STEAK RECORD CAMAIEU VERT</v>
          </cell>
          <cell r="F1351">
            <v>6</v>
          </cell>
          <cell r="G1351">
            <v>6</v>
          </cell>
          <cell r="H1351">
            <v>31</v>
          </cell>
          <cell r="I1351">
            <v>20.5</v>
          </cell>
          <cell r="J1351">
            <v>27</v>
          </cell>
          <cell r="K1351">
            <v>2.3860000000000001</v>
          </cell>
          <cell r="L1351">
            <v>0.39766666666666667</v>
          </cell>
          <cell r="M1351">
            <v>1.71585E-2</v>
          </cell>
        </row>
        <row r="1352">
          <cell r="A1352">
            <v>10430024</v>
          </cell>
          <cell r="B1352">
            <v>3118223028132</v>
          </cell>
          <cell r="E1352" t="str">
            <v>FTTE A DECOUPER RECORD ROUGE</v>
          </cell>
          <cell r="F1352">
            <v>120</v>
          </cell>
          <cell r="G1352">
            <v>120</v>
          </cell>
          <cell r="H1352">
            <v>40</v>
          </cell>
          <cell r="I1352">
            <v>30</v>
          </cell>
          <cell r="J1352">
            <v>20</v>
          </cell>
          <cell r="K1352">
            <v>8</v>
          </cell>
          <cell r="L1352">
            <v>6.6666666666666666E-2</v>
          </cell>
          <cell r="M1352">
            <v>2.4E-2</v>
          </cell>
        </row>
        <row r="1353">
          <cell r="A1353">
            <v>10450001</v>
          </cell>
          <cell r="B1353">
            <v>3118220019553</v>
          </cell>
          <cell r="E1353" t="str">
            <v>JAMBON/SAUMON ADFLEX FX COUTEAU DU CHEF</v>
          </cell>
          <cell r="F1353">
            <v>72</v>
          </cell>
          <cell r="G1353">
            <v>6</v>
          </cell>
          <cell r="H1353">
            <v>44</v>
          </cell>
          <cell r="I1353">
            <v>27</v>
          </cell>
          <cell r="J1353">
            <v>28</v>
          </cell>
          <cell r="K1353">
            <v>10.79</v>
          </cell>
          <cell r="L1353">
            <v>0.14986111111111111</v>
          </cell>
          <cell r="M1353">
            <v>3.3264000000000002E-2</v>
          </cell>
        </row>
        <row r="1354">
          <cell r="A1354">
            <v>10450002</v>
          </cell>
          <cell r="B1354">
            <v>3118220023161</v>
          </cell>
          <cell r="E1354" t="str">
            <v>SANTUKO 18CM SENSIO FX COUTEAU DU CHEF</v>
          </cell>
          <cell r="F1354">
            <v>72</v>
          </cell>
          <cell r="G1354">
            <v>6</v>
          </cell>
          <cell r="H1354">
            <v>40</v>
          </cell>
          <cell r="I1354">
            <v>30</v>
          </cell>
          <cell r="J1354">
            <v>20</v>
          </cell>
          <cell r="K1354">
            <v>10.944000000000001</v>
          </cell>
          <cell r="L1354">
            <v>0.15200000000000002</v>
          </cell>
          <cell r="M1354">
            <v>2.4E-2</v>
          </cell>
        </row>
        <row r="1355">
          <cell r="A1355">
            <v>10460002</v>
          </cell>
          <cell r="B1355">
            <v>3118220015265</v>
          </cell>
          <cell r="E1355" t="str">
            <v>2 OFFICES PRADEL SUR SKIN LCDC</v>
          </cell>
          <cell r="F1355">
            <v>36</v>
          </cell>
          <cell r="G1355">
            <v>36</v>
          </cell>
          <cell r="H1355">
            <v>31</v>
          </cell>
          <cell r="I1355">
            <v>29.5</v>
          </cell>
          <cell r="J1355">
            <v>13.5</v>
          </cell>
          <cell r="K1355">
            <v>2.484</v>
          </cell>
          <cell r="L1355">
            <v>6.9000000000000006E-2</v>
          </cell>
          <cell r="M1355">
            <v>1.2345749999999997E-2</v>
          </cell>
        </row>
        <row r="1356">
          <cell r="A1356">
            <v>10460003</v>
          </cell>
          <cell r="B1356">
            <v>3118220017665</v>
          </cell>
          <cell r="E1356" t="str">
            <v>CUISINE 17 PRADEL FOURREAU COUTEAU DU CHEF X12 SUR CRAVATE</v>
          </cell>
          <cell r="F1356">
            <v>12</v>
          </cell>
          <cell r="G1356">
            <v>12</v>
          </cell>
          <cell r="H1356">
            <v>91.5</v>
          </cell>
          <cell r="I1356">
            <v>16</v>
          </cell>
          <cell r="J1356">
            <v>13.5</v>
          </cell>
          <cell r="K1356">
            <v>2.0699999999999998</v>
          </cell>
          <cell r="L1356">
            <v>0.17249999999999999</v>
          </cell>
          <cell r="M1356">
            <v>1.9764E-2</v>
          </cell>
        </row>
        <row r="1357">
          <cell r="A1357">
            <v>10460005</v>
          </cell>
          <cell r="B1357">
            <v>3118220008885</v>
          </cell>
          <cell r="E1357" t="str">
            <v>CX SAIGNER 11CM CHEF 888</v>
          </cell>
          <cell r="F1357">
            <v>240</v>
          </cell>
          <cell r="G1357">
            <v>240</v>
          </cell>
          <cell r="H1357">
            <v>40</v>
          </cell>
          <cell r="I1357">
            <v>30</v>
          </cell>
          <cell r="J1357">
            <v>20</v>
          </cell>
          <cell r="K1357">
            <v>19.2</v>
          </cell>
          <cell r="L1357">
            <v>0.08</v>
          </cell>
          <cell r="M1357">
            <v>2.4E-2</v>
          </cell>
        </row>
        <row r="1358">
          <cell r="A1358">
            <v>10460006</v>
          </cell>
          <cell r="B1358">
            <v>3118220034624</v>
          </cell>
          <cell r="E1358" t="str">
            <v>LOT 2 OFFICES PRADEL NOIR MADE IN FRANCE EN BOX PROMO</v>
          </cell>
          <cell r="F1358">
            <v>24</v>
          </cell>
          <cell r="G1358">
            <v>24</v>
          </cell>
          <cell r="H1358">
            <v>26</v>
          </cell>
          <cell r="I1358">
            <v>20</v>
          </cell>
          <cell r="J1358">
            <v>7.5</v>
          </cell>
          <cell r="K1358">
            <v>1.4910000000000001</v>
          </cell>
          <cell r="L1358">
            <v>6.2125000000000007E-2</v>
          </cell>
          <cell r="M1358">
            <v>3.9000000000000003E-3</v>
          </cell>
        </row>
        <row r="1359">
          <cell r="A1359">
            <v>10460007</v>
          </cell>
          <cell r="B1359">
            <v>3616479617853</v>
          </cell>
          <cell r="E1359" t="str">
            <v>COUPERET EXPERT CRF SUR CARTE</v>
          </cell>
          <cell r="F1359">
            <v>42</v>
          </cell>
          <cell r="G1359">
            <v>6</v>
          </cell>
          <cell r="H1359">
            <v>40</v>
          </cell>
          <cell r="I1359">
            <v>30</v>
          </cell>
          <cell r="J1359">
            <v>20</v>
          </cell>
          <cell r="K1359">
            <v>9.2959999999999994</v>
          </cell>
          <cell r="L1359">
            <v>0.22133333333333333</v>
          </cell>
          <cell r="M1359">
            <v>2.4E-2</v>
          </cell>
        </row>
        <row r="1360">
          <cell r="A1360">
            <v>10500002</v>
          </cell>
          <cell r="B1360">
            <v>3118220009837</v>
          </cell>
          <cell r="E1360" t="str">
            <v>FERMANT 10 CM ACIDULE COUL ASSORTIE EN COFFRET BI MAT</v>
          </cell>
          <cell r="F1360">
            <v>36</v>
          </cell>
          <cell r="G1360">
            <v>6</v>
          </cell>
          <cell r="H1360">
            <v>33</v>
          </cell>
          <cell r="I1360">
            <v>30.5</v>
          </cell>
          <cell r="J1360">
            <v>22</v>
          </cell>
          <cell r="K1360">
            <v>7.8970000000000002</v>
          </cell>
          <cell r="L1360">
            <v>0.21936111111111112</v>
          </cell>
          <cell r="M1360">
            <v>2.2143000000000006E-2</v>
          </cell>
        </row>
        <row r="1361">
          <cell r="A1361">
            <v>10500003</v>
          </cell>
          <cell r="B1361">
            <v>3118220010000</v>
          </cell>
          <cell r="E1361" t="str">
            <v>FERMANT 10 CM ACIDULE LASURE BOIS EN COFFRET BI MAT</v>
          </cell>
          <cell r="F1361">
            <v>36</v>
          </cell>
          <cell r="G1361">
            <v>6</v>
          </cell>
          <cell r="H1361">
            <v>32</v>
          </cell>
          <cell r="I1361">
            <v>29</v>
          </cell>
          <cell r="J1361">
            <v>36</v>
          </cell>
          <cell r="K1361">
            <v>13.055999999999999</v>
          </cell>
          <cell r="L1361">
            <v>0.36266666666666664</v>
          </cell>
          <cell r="M1361">
            <v>3.3408E-2</v>
          </cell>
        </row>
        <row r="1362">
          <cell r="A1362">
            <v>10500006</v>
          </cell>
          <cell r="B1362">
            <v>3118220019508</v>
          </cell>
          <cell r="E1362" t="str">
            <v>COUTEAU BAROUDEUR 5 FONCTIONS SOUS COQUE BLISTER</v>
          </cell>
          <cell r="F1362">
            <v>6</v>
          </cell>
          <cell r="G1362">
            <v>6</v>
          </cell>
          <cell r="H1362">
            <v>32</v>
          </cell>
          <cell r="I1362">
            <v>19</v>
          </cell>
          <cell r="J1362">
            <v>9</v>
          </cell>
          <cell r="K1362">
            <v>1.5029999999999999</v>
          </cell>
          <cell r="L1362">
            <v>0.2505</v>
          </cell>
          <cell r="M1362">
            <v>5.4720000000000003E-3</v>
          </cell>
        </row>
        <row r="1363">
          <cell r="A1363">
            <v>10500008</v>
          </cell>
          <cell r="B1363">
            <v>3118220020948</v>
          </cell>
          <cell r="E1363" t="str">
            <v>COUTEAU DE CAMPAGNE AVEC HOUSSE CAC ARMEE FRANCAISE</v>
          </cell>
          <cell r="F1363">
            <v>80</v>
          </cell>
          <cell r="G1363">
            <v>5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</row>
        <row r="1364">
          <cell r="A1364">
            <v>10500010</v>
          </cell>
          <cell r="B1364">
            <v>3118220025974</v>
          </cell>
          <cell r="E1364" t="str">
            <v>LAGUIOLE FERMANT LAME 10 CM BOIS CLAIR</v>
          </cell>
          <cell r="F1364">
            <v>36</v>
          </cell>
          <cell r="G1364">
            <v>6</v>
          </cell>
          <cell r="H1364">
            <v>34</v>
          </cell>
          <cell r="I1364">
            <v>31.5</v>
          </cell>
          <cell r="J1364">
            <v>25.5</v>
          </cell>
          <cell r="K1364">
            <v>7.992</v>
          </cell>
          <cell r="L1364">
            <v>0.222</v>
          </cell>
          <cell r="M1364">
            <v>2.7310500000000001E-2</v>
          </cell>
        </row>
        <row r="1365">
          <cell r="A1365">
            <v>10500011</v>
          </cell>
          <cell r="B1365">
            <v>3118220026216</v>
          </cell>
          <cell r="E1365" t="str">
            <v>ENSEMBLE COUTEAU LE PATRIOTE AVEC ETUI ET ACCESSOIRES</v>
          </cell>
          <cell r="F1365">
            <v>6</v>
          </cell>
          <cell r="G1365">
            <v>6</v>
          </cell>
          <cell r="H1365">
            <v>40</v>
          </cell>
          <cell r="I1365">
            <v>30</v>
          </cell>
          <cell r="J1365">
            <v>20</v>
          </cell>
          <cell r="K1365">
            <v>3.681</v>
          </cell>
          <cell r="L1365">
            <v>0.61350000000000005</v>
          </cell>
          <cell r="M1365">
            <v>2.4E-2</v>
          </cell>
        </row>
        <row r="1366">
          <cell r="A1366">
            <v>10500012</v>
          </cell>
          <cell r="B1366">
            <v>3118220026612</v>
          </cell>
          <cell r="E1366" t="str">
            <v>COUTEAU BIVOUAC ET COUVERTS EN SACHET PLASTIQUE</v>
          </cell>
          <cell r="F1366">
            <v>6</v>
          </cell>
          <cell r="G1366">
            <v>6</v>
          </cell>
          <cell r="H1366">
            <v>31</v>
          </cell>
          <cell r="I1366">
            <v>19</v>
          </cell>
          <cell r="J1366">
            <v>9</v>
          </cell>
          <cell r="K1366">
            <v>0.92800000000000005</v>
          </cell>
          <cell r="L1366">
            <v>0.15466666666666667</v>
          </cell>
          <cell r="M1366">
            <v>5.3009999999999993E-3</v>
          </cell>
        </row>
        <row r="1367">
          <cell r="A1367">
            <v>10500013</v>
          </cell>
          <cell r="B1367">
            <v>3118220028654</v>
          </cell>
          <cell r="C1367" t="str">
            <v>13118220028651</v>
          </cell>
          <cell r="D1367" t="str">
            <v>23118220028658</v>
          </cell>
          <cell r="E1367" t="str">
            <v>LAG FERMANT TRADITION LAME 10CM BOIS NATUREL EN BOITE VPC</v>
          </cell>
          <cell r="F1367">
            <v>96</v>
          </cell>
          <cell r="G1367">
            <v>12</v>
          </cell>
          <cell r="H1367">
            <v>30</v>
          </cell>
          <cell r="I1367">
            <v>29.5</v>
          </cell>
          <cell r="J1367">
            <v>22</v>
          </cell>
          <cell r="K1367">
            <v>11.683</v>
          </cell>
          <cell r="L1367">
            <v>0.12169791666666667</v>
          </cell>
          <cell r="M1367">
            <v>1.9469999999999998E-2</v>
          </cell>
        </row>
        <row r="1368">
          <cell r="A1368">
            <v>10500014</v>
          </cell>
          <cell r="B1368">
            <v>3118220031982</v>
          </cell>
          <cell r="E1368" t="str">
            <v>CAC S200 PA6 NOIR TOXI GENDARMERIE NATIONALE + HOUSSE</v>
          </cell>
          <cell r="F1368">
            <v>6</v>
          </cell>
          <cell r="G1368">
            <v>1</v>
          </cell>
          <cell r="H1368">
            <v>43</v>
          </cell>
          <cell r="I1368">
            <v>17</v>
          </cell>
          <cell r="J1368">
            <v>11</v>
          </cell>
          <cell r="K1368">
            <v>1.206</v>
          </cell>
          <cell r="L1368">
            <v>0.20099999999999998</v>
          </cell>
          <cell r="M1368">
            <v>8.0409999999999995E-3</v>
          </cell>
        </row>
        <row r="1369">
          <cell r="A1369">
            <v>10500015</v>
          </cell>
          <cell r="B1369">
            <v>3118220031999</v>
          </cell>
          <cell r="E1369" t="str">
            <v>CAC S200 PA6 NOIR TOXI GIGN + HOUSSE</v>
          </cell>
          <cell r="F1369">
            <v>6</v>
          </cell>
          <cell r="G1369">
            <v>6</v>
          </cell>
          <cell r="H1369">
            <v>43</v>
          </cell>
          <cell r="I1369">
            <v>17</v>
          </cell>
          <cell r="J1369">
            <v>11</v>
          </cell>
          <cell r="K1369">
            <v>1.206</v>
          </cell>
          <cell r="L1369">
            <v>0.20099999999999998</v>
          </cell>
          <cell r="M1369">
            <v>8.0409999999999995E-3</v>
          </cell>
        </row>
        <row r="1370">
          <cell r="A1370">
            <v>10500016</v>
          </cell>
          <cell r="B1370">
            <v>3118220032262</v>
          </cell>
          <cell r="E1370" t="str">
            <v>COUTEAU DE CAMPAGNE AVEC HOUSSE TB CAC EN SACHET</v>
          </cell>
          <cell r="F1370">
            <v>80</v>
          </cell>
          <cell r="G1370">
            <v>5</v>
          </cell>
          <cell r="H1370">
            <v>59</v>
          </cell>
          <cell r="I1370">
            <v>38.5</v>
          </cell>
          <cell r="J1370">
            <v>19</v>
          </cell>
          <cell r="K1370">
            <v>19.192</v>
          </cell>
          <cell r="L1370">
            <v>0.2399</v>
          </cell>
          <cell r="M1370">
            <v>4.3158500000000002E-2</v>
          </cell>
        </row>
        <row r="1371">
          <cell r="A1371">
            <v>10500017</v>
          </cell>
          <cell r="B1371">
            <v>3118220039995</v>
          </cell>
          <cell r="E1371" t="str">
            <v>COUTEAU BIVOUAC NOIR</v>
          </cell>
          <cell r="F1371">
            <v>100</v>
          </cell>
          <cell r="G1371">
            <v>100</v>
          </cell>
          <cell r="H1371">
            <v>36.5</v>
          </cell>
          <cell r="I1371">
            <v>28.5</v>
          </cell>
          <cell r="J1371">
            <v>18</v>
          </cell>
          <cell r="K1371">
            <v>13.3</v>
          </cell>
          <cell r="L1371">
            <v>0.13300000000000001</v>
          </cell>
          <cell r="M1371">
            <v>1.8724499999999998E-2</v>
          </cell>
        </row>
        <row r="1372">
          <cell r="A1372">
            <v>10500018</v>
          </cell>
          <cell r="B1372">
            <v>3118220043015</v>
          </cell>
          <cell r="E1372" t="str">
            <v>CAC S200 PA6 NOIR TOXI GIGN + HOUSSE EN BOITE TECHNIQUE</v>
          </cell>
          <cell r="F1372">
            <v>6</v>
          </cell>
          <cell r="G1372">
            <v>6</v>
          </cell>
          <cell r="H1372">
            <v>31.5</v>
          </cell>
          <cell r="I1372">
            <v>29</v>
          </cell>
          <cell r="J1372">
            <v>14</v>
          </cell>
          <cell r="K1372">
            <v>2.577</v>
          </cell>
          <cell r="L1372">
            <v>0.42949999999999999</v>
          </cell>
          <cell r="M1372">
            <v>1.2789E-2</v>
          </cell>
        </row>
        <row r="1373">
          <cell r="A1373">
            <v>10500019</v>
          </cell>
          <cell r="B1373">
            <v>3118220044135</v>
          </cell>
          <cell r="E1373" t="str">
            <v>COUTEAU BIVOUAC EN BOITE A GLISSIERE BOIS</v>
          </cell>
          <cell r="F1373">
            <v>1000</v>
          </cell>
          <cell r="G1373">
            <v>100</v>
          </cell>
          <cell r="H1373">
            <v>60</v>
          </cell>
          <cell r="I1373">
            <v>31</v>
          </cell>
          <cell r="J1373">
            <v>28</v>
          </cell>
          <cell r="K1373">
            <v>20.003</v>
          </cell>
          <cell r="L1373">
            <v>2.0003E-2</v>
          </cell>
          <cell r="M1373">
            <v>5.2079999999999994E-2</v>
          </cell>
        </row>
        <row r="1374">
          <cell r="A1374">
            <v>10500028</v>
          </cell>
          <cell r="B1374"/>
          <cell r="C1374"/>
          <cell r="D1374"/>
          <cell r="E1374" t="str">
            <v>Cale arrière coupe sangle brute CAC MK1.5</v>
          </cell>
          <cell r="L1374" t="e">
            <v>#DIV/0!</v>
          </cell>
          <cell r="M1374">
            <v>0</v>
          </cell>
        </row>
        <row r="1375">
          <cell r="A1375">
            <v>10500044</v>
          </cell>
          <cell r="B1375"/>
          <cell r="C1375"/>
          <cell r="D1375"/>
          <cell r="E1375" t="str">
            <v>RESSORT INOX COUTEAU SURICATE</v>
          </cell>
          <cell r="L1375" t="e">
            <v>#DIV/0!</v>
          </cell>
          <cell r="M1375">
            <v>0</v>
          </cell>
        </row>
        <row r="1376">
          <cell r="A1376">
            <v>10500045</v>
          </cell>
          <cell r="B1376"/>
          <cell r="C1376"/>
          <cell r="D1376"/>
          <cell r="E1376" t="str">
            <v>MOLETTE INOX BRUTE COUTEAU SURICATE</v>
          </cell>
          <cell r="L1376" t="e">
            <v>#DIV/0!</v>
          </cell>
          <cell r="M1376">
            <v>0</v>
          </cell>
        </row>
        <row r="1377">
          <cell r="A1377">
            <v>10500067</v>
          </cell>
          <cell r="B1377"/>
          <cell r="C1377"/>
          <cell r="D1377"/>
          <cell r="E1377" t="str">
            <v>RESSORT INOX COUTEAU SURICATE - MODIFIE</v>
          </cell>
          <cell r="L1377" t="e">
            <v>#DIV/0!</v>
          </cell>
          <cell r="M1377">
            <v>0</v>
          </cell>
        </row>
        <row r="1378">
          <cell r="A1378">
            <v>10590003</v>
          </cell>
          <cell r="B1378">
            <v>3118220006218</v>
          </cell>
          <cell r="C1378" t="str">
            <v>13118220006215</v>
          </cell>
          <cell r="D1378" t="str">
            <v>23118220006212</v>
          </cell>
          <cell r="E1378" t="str">
            <v>CISEAU CUISINE 21.3CM BI MAT COUTEAU DU CHEF</v>
          </cell>
          <cell r="F1378">
            <v>72</v>
          </cell>
          <cell r="G1378">
            <v>6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</row>
        <row r="1379">
          <cell r="A1379">
            <v>10590004</v>
          </cell>
          <cell r="B1379">
            <v>3118220006225</v>
          </cell>
          <cell r="C1379" t="str">
            <v>13118220006222</v>
          </cell>
          <cell r="D1379" t="str">
            <v>23118220006229</v>
          </cell>
          <cell r="E1379" t="str">
            <v>CISEAU UNIVERSEL 20.3CM BI M COUTEAU DU CHEF</v>
          </cell>
          <cell r="F1379">
            <v>96</v>
          </cell>
          <cell r="G1379">
            <v>6</v>
          </cell>
          <cell r="H1379">
            <v>31.5</v>
          </cell>
          <cell r="I1379">
            <v>27</v>
          </cell>
          <cell r="J1379">
            <v>34.5</v>
          </cell>
          <cell r="K1379">
            <v>8.4459999999999997</v>
          </cell>
          <cell r="L1379">
            <v>8.7979166666666664E-2</v>
          </cell>
          <cell r="M1379">
            <v>2.9342250000000004E-2</v>
          </cell>
        </row>
        <row r="1380">
          <cell r="A1380">
            <v>10590005</v>
          </cell>
          <cell r="B1380">
            <v>3118220006232</v>
          </cell>
          <cell r="E1380" t="str">
            <v>CISEAU LINGERE BI MAT COUTEAU DU CHEF</v>
          </cell>
          <cell r="F1380">
            <v>240</v>
          </cell>
          <cell r="G1380">
            <v>6</v>
          </cell>
          <cell r="H1380">
            <v>52</v>
          </cell>
          <cell r="I1380">
            <v>23.5</v>
          </cell>
          <cell r="J1380">
            <v>37.5</v>
          </cell>
          <cell r="K1380">
            <v>14.066000000000001</v>
          </cell>
          <cell r="L1380">
            <v>5.8608333333333339E-2</v>
          </cell>
          <cell r="M1380">
            <v>4.5825000000000005E-2</v>
          </cell>
        </row>
        <row r="1381">
          <cell r="A1381">
            <v>10590007</v>
          </cell>
          <cell r="B1381">
            <v>3118220016255</v>
          </cell>
          <cell r="C1381" t="str">
            <v>13118220016252</v>
          </cell>
          <cell r="D1381" t="str">
            <v>23118220016259</v>
          </cell>
          <cell r="E1381" t="str">
            <v>CISAILLE A VOLAILLE BI MATIERE</v>
          </cell>
          <cell r="F1381">
            <v>72</v>
          </cell>
          <cell r="G1381">
            <v>6</v>
          </cell>
          <cell r="H1381">
            <v>32.5</v>
          </cell>
          <cell r="I1381">
            <v>31</v>
          </cell>
          <cell r="J1381">
            <v>36.5</v>
          </cell>
          <cell r="K1381">
            <v>14.95</v>
          </cell>
          <cell r="L1381">
            <v>0.20763888888888887</v>
          </cell>
          <cell r="M1381">
            <v>3.6773750000000001E-2</v>
          </cell>
        </row>
        <row r="1382">
          <cell r="A1382">
            <v>10590008</v>
          </cell>
          <cell r="B1382">
            <v>3118220020603</v>
          </cell>
          <cell r="E1382" t="str">
            <v>CAC ENTRAINEMENT LAME FIXE MANCHE PA6 COYOTE EN SACHET PLAST</v>
          </cell>
          <cell r="F1382">
            <v>36</v>
          </cell>
          <cell r="G1382">
            <v>6</v>
          </cell>
          <cell r="H1382">
            <v>40</v>
          </cell>
          <cell r="I1382">
            <v>30</v>
          </cell>
          <cell r="J1382">
            <v>20</v>
          </cell>
          <cell r="K1382">
            <v>6.15</v>
          </cell>
          <cell r="L1382">
            <v>0.17083333333333334</v>
          </cell>
          <cell r="M1382">
            <v>2.4E-2</v>
          </cell>
        </row>
        <row r="1383">
          <cell r="A1383">
            <v>10590009</v>
          </cell>
          <cell r="B1383">
            <v>3118220040236</v>
          </cell>
          <cell r="E1383" t="str">
            <v>CISEAU POISSON BI MATIERE</v>
          </cell>
          <cell r="F1383">
            <v>72</v>
          </cell>
          <cell r="G1383">
            <v>6</v>
          </cell>
          <cell r="H1383">
            <v>40</v>
          </cell>
          <cell r="I1383">
            <v>30</v>
          </cell>
          <cell r="J1383">
            <v>20</v>
          </cell>
          <cell r="K1383">
            <v>10.28</v>
          </cell>
          <cell r="L1383">
            <v>0.14277777777777778</v>
          </cell>
          <cell r="M1383">
            <v>2.4E-2</v>
          </cell>
        </row>
        <row r="1384">
          <cell r="A1384">
            <v>10590010</v>
          </cell>
          <cell r="B1384">
            <v>3118220041400</v>
          </cell>
          <cell r="E1384" t="str">
            <v>LA VERITABLE TROUSSE COMPLETE DU CANDIDAT TOP CHEF</v>
          </cell>
          <cell r="F1384">
            <v>1</v>
          </cell>
          <cell r="G1384">
            <v>1</v>
          </cell>
          <cell r="H1384">
            <v>45</v>
          </cell>
          <cell r="I1384">
            <v>33</v>
          </cell>
          <cell r="J1384">
            <v>20</v>
          </cell>
          <cell r="K1384">
            <v>2.8889999999999998</v>
          </cell>
          <cell r="L1384">
            <v>2.8889999999999998</v>
          </cell>
          <cell r="M1384">
            <v>2.9699999999999997E-2</v>
          </cell>
        </row>
        <row r="1385">
          <cell r="A1385">
            <v>10590011</v>
          </cell>
          <cell r="B1385">
            <v>3118220043398</v>
          </cell>
          <cell r="E1385" t="str">
            <v>LA VERITABLE TROUSSE DU GAGNANT OBJECTIF TOP CHEF</v>
          </cell>
          <cell r="F1385">
            <v>1</v>
          </cell>
          <cell r="G1385">
            <v>1</v>
          </cell>
          <cell r="H1385">
            <v>45</v>
          </cell>
          <cell r="I1385">
            <v>33</v>
          </cell>
          <cell r="J1385">
            <v>20</v>
          </cell>
          <cell r="K1385">
            <v>2.8889999999999998</v>
          </cell>
          <cell r="L1385">
            <v>2.8889999999999998</v>
          </cell>
          <cell r="M1385">
            <v>2.9699999999999997E-2</v>
          </cell>
        </row>
        <row r="1386">
          <cell r="A1386">
            <v>10590012</v>
          </cell>
          <cell r="B1386">
            <v>3118220043404</v>
          </cell>
          <cell r="E1386" t="str">
            <v>LA VERITABLE TROUSSE TB</v>
          </cell>
          <cell r="F1386">
            <v>1</v>
          </cell>
          <cell r="G1386">
            <v>1</v>
          </cell>
          <cell r="H1386">
            <v>45</v>
          </cell>
          <cell r="I1386">
            <v>33</v>
          </cell>
          <cell r="J1386">
            <v>20</v>
          </cell>
          <cell r="K1386">
            <v>2.8889999999999998</v>
          </cell>
          <cell r="L1386">
            <v>2.8889999999999998</v>
          </cell>
          <cell r="M1386">
            <v>2.9699999999999997E-2</v>
          </cell>
        </row>
        <row r="1387">
          <cell r="A1387">
            <v>10590013</v>
          </cell>
          <cell r="B1387">
            <v>3118220044098</v>
          </cell>
          <cell r="E1387" t="str">
            <v>LAME COUTEAU TOP CHEF 1800MM</v>
          </cell>
          <cell r="F1387">
            <v>1</v>
          </cell>
          <cell r="G1387">
            <v>1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</row>
        <row r="1388">
          <cell r="A1388">
            <v>10590014</v>
          </cell>
          <cell r="B1388" t="str">
            <v>3118220053625</v>
          </cell>
          <cell r="C1388" t="str">
            <v>13118220053622</v>
          </cell>
          <cell r="D1388" t="str">
            <v>23118220053629</v>
          </cell>
          <cell r="E1388" t="str">
            <v>CISEAU UNIVERSEL ABS NOIR TOP CHEF</v>
          </cell>
          <cell r="F1388">
            <v>48</v>
          </cell>
          <cell r="G1388">
            <v>6</v>
          </cell>
          <cell r="H1388">
            <v>48</v>
          </cell>
          <cell r="I1388">
            <v>31</v>
          </cell>
          <cell r="J1388">
            <v>22</v>
          </cell>
          <cell r="K1388">
            <v>7.68</v>
          </cell>
          <cell r="L1388">
            <v>0.16</v>
          </cell>
          <cell r="M1388">
            <v>3.2735999999999994E-2</v>
          </cell>
        </row>
        <row r="1389">
          <cell r="A1389">
            <v>10600004</v>
          </cell>
          <cell r="B1389">
            <v>3118220020924</v>
          </cell>
          <cell r="E1389" t="str">
            <v>BLOC OPEN VIDE BOIS NYLON INCLINE AVEC PIED</v>
          </cell>
          <cell r="F1389">
            <v>6</v>
          </cell>
          <cell r="G1389">
            <v>6</v>
          </cell>
          <cell r="H1389">
            <v>29</v>
          </cell>
          <cell r="I1389">
            <v>26.5</v>
          </cell>
          <cell r="J1389">
            <v>35</v>
          </cell>
          <cell r="K1389">
            <v>9.9420000000000002</v>
          </cell>
          <cell r="L1389">
            <v>1.657</v>
          </cell>
          <cell r="M1389">
            <v>2.6897500000000001E-2</v>
          </cell>
        </row>
        <row r="1390">
          <cell r="A1390">
            <v>10600005</v>
          </cell>
          <cell r="B1390">
            <v>3118220026261</v>
          </cell>
          <cell r="C1390" t="str">
            <v>13118220026268</v>
          </cell>
          <cell r="D1390" t="str">
            <v>23118220026265</v>
          </cell>
          <cell r="E1390" t="str">
            <v>BLOC BOIS INCLINE 13 PCES COUTELLERIE PLEINE SOIE + RIVET</v>
          </cell>
          <cell r="F1390">
            <v>3</v>
          </cell>
          <cell r="G1390">
            <v>3</v>
          </cell>
          <cell r="H1390">
            <v>38.5</v>
          </cell>
          <cell r="I1390">
            <v>23</v>
          </cell>
          <cell r="J1390">
            <v>38</v>
          </cell>
          <cell r="K1390">
            <v>7.7240000000000002</v>
          </cell>
          <cell r="L1390">
            <v>2.5746666666666669</v>
          </cell>
          <cell r="M1390">
            <v>3.3648999999999998E-2</v>
          </cell>
        </row>
        <row r="1391">
          <cell r="A1391">
            <v>10600006</v>
          </cell>
          <cell r="B1391">
            <v>3118220039254</v>
          </cell>
          <cell r="C1391" t="str">
            <v>13118220039251</v>
          </cell>
          <cell r="D1391" t="str">
            <v>23118220039258</v>
          </cell>
          <cell r="E1391" t="str">
            <v>BLOC DE RANGEMENT UNIVERSEL ACACIA</v>
          </cell>
          <cell r="F1391">
            <v>2</v>
          </cell>
          <cell r="G1391">
            <v>2</v>
          </cell>
          <cell r="H1391">
            <v>29</v>
          </cell>
          <cell r="I1391">
            <v>17</v>
          </cell>
          <cell r="J1391">
            <v>28.5</v>
          </cell>
          <cell r="K1391">
            <v>4.9710000000000001</v>
          </cell>
          <cell r="L1391">
            <v>2.4855</v>
          </cell>
          <cell r="M1391">
            <v>1.4050499999999999E-2</v>
          </cell>
        </row>
        <row r="1392">
          <cell r="A1392">
            <v>10600007</v>
          </cell>
          <cell r="B1392">
            <v>3118220042674</v>
          </cell>
          <cell r="C1392" t="str">
            <v>13118220043029</v>
          </cell>
          <cell r="D1392" t="str">
            <v>23118220043026</v>
          </cell>
          <cell r="E1392" t="str">
            <v>BLOC 5 CTX + 1 CISEAU EN BOITE TB COLLECTION</v>
          </cell>
          <cell r="F1392">
            <v>6</v>
          </cell>
          <cell r="G1392">
            <v>6</v>
          </cell>
          <cell r="H1392">
            <v>38</v>
          </cell>
          <cell r="I1392">
            <v>33.5</v>
          </cell>
          <cell r="J1392">
            <v>42</v>
          </cell>
          <cell r="K1392">
            <v>14.698</v>
          </cell>
          <cell r="L1392">
            <v>2.4496666666666669</v>
          </cell>
          <cell r="M1392">
            <v>5.3465999999999993E-2</v>
          </cell>
        </row>
        <row r="1393">
          <cell r="A1393">
            <v>10600008</v>
          </cell>
          <cell r="B1393">
            <v>3118220043022</v>
          </cell>
          <cell r="C1393">
            <v>13118220043029</v>
          </cell>
          <cell r="D1393">
            <v>23118220043026</v>
          </cell>
          <cell r="E1393" t="str">
            <v>BLOC NOIR MAT 8PCE 1/2 SOIE</v>
          </cell>
          <cell r="F1393">
            <v>6</v>
          </cell>
          <cell r="G1393">
            <v>6</v>
          </cell>
          <cell r="H1393">
            <v>30.5</v>
          </cell>
          <cell r="I1393">
            <v>26.4</v>
          </cell>
          <cell r="J1393">
            <v>34.5</v>
          </cell>
          <cell r="K1393">
            <v>8.2370000000000001</v>
          </cell>
          <cell r="L1393">
            <v>1.3728333333333333</v>
          </cell>
          <cell r="M1393">
            <v>2.7779399999999996E-2</v>
          </cell>
        </row>
        <row r="1394">
          <cell r="A1394">
            <v>10600009</v>
          </cell>
          <cell r="B1394">
            <v>3118220045873</v>
          </cell>
          <cell r="E1394" t="str">
            <v>BLOC NOIR MAT 8PCE 1/2 SOIE TOP CHEF</v>
          </cell>
          <cell r="F1394">
            <v>6</v>
          </cell>
          <cell r="G1394">
            <v>6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</row>
        <row r="1395">
          <cell r="A1395">
            <v>10610001</v>
          </cell>
          <cell r="B1395">
            <v>3118220019287</v>
          </cell>
          <cell r="E1395" t="str">
            <v>FUSILS A AIGUISER REVETEMENT DIAMANT 2 COTES A MANCHE PLIANT</v>
          </cell>
          <cell r="F1395">
            <v>12</v>
          </cell>
          <cell r="G1395">
            <v>12</v>
          </cell>
          <cell r="H1395">
            <v>27</v>
          </cell>
          <cell r="I1395">
            <v>12.5</v>
          </cell>
          <cell r="J1395">
            <v>6.5</v>
          </cell>
          <cell r="K1395">
            <v>0.80400000000000005</v>
          </cell>
          <cell r="L1395">
            <v>6.7000000000000004E-2</v>
          </cell>
          <cell r="M1395">
            <v>2.19375E-3</v>
          </cell>
        </row>
        <row r="1396">
          <cell r="A1396">
            <v>10610002</v>
          </cell>
          <cell r="B1396">
            <v>3118220039292</v>
          </cell>
          <cell r="C1396" t="str">
            <v>13118220039299</v>
          </cell>
          <cell r="D1396" t="str">
            <v>23118220039296</v>
          </cell>
          <cell r="E1396" t="str">
            <v>FUSIL PROFESSIONNEL</v>
          </cell>
          <cell r="F1396">
            <v>36</v>
          </cell>
          <cell r="G1396">
            <v>6</v>
          </cell>
          <cell r="H1396">
            <v>48.5</v>
          </cell>
          <cell r="I1396">
            <v>27.5</v>
          </cell>
          <cell r="J1396">
            <v>23</v>
          </cell>
          <cell r="K1396">
            <v>13.225</v>
          </cell>
          <cell r="L1396">
            <v>0.36736111111111108</v>
          </cell>
          <cell r="M1396">
            <v>3.0676250000000002E-2</v>
          </cell>
        </row>
        <row r="1397">
          <cell r="A1397">
            <v>10610003</v>
          </cell>
          <cell r="B1397">
            <v>3118220045576</v>
          </cell>
          <cell r="C1397">
            <v>13118220045573</v>
          </cell>
          <cell r="D1397">
            <v>23118220045570</v>
          </cell>
          <cell r="E1397" t="str">
            <v>FUSIL PROFESSIONNEL TB COLLECTION</v>
          </cell>
          <cell r="F1397">
            <v>36</v>
          </cell>
          <cell r="G1397">
            <v>6</v>
          </cell>
          <cell r="H1397">
            <v>60</v>
          </cell>
          <cell r="I1397">
            <v>40</v>
          </cell>
          <cell r="J1397">
            <v>13.5</v>
          </cell>
          <cell r="K1397">
            <v>13.225</v>
          </cell>
          <cell r="L1397">
            <v>0.36736111111111108</v>
          </cell>
          <cell r="M1397">
            <v>3.2399999999999998E-2</v>
          </cell>
        </row>
        <row r="1398">
          <cell r="A1398">
            <v>10650001</v>
          </cell>
          <cell r="B1398">
            <v>3118220007710</v>
          </cell>
          <cell r="E1398" t="str">
            <v>SANTUKO HECTOR TAUPE MARRON WARM GREY 11C BOITE CADEAU</v>
          </cell>
          <cell r="F1398">
            <v>6</v>
          </cell>
          <cell r="G1398">
            <v>6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</row>
        <row r="1399">
          <cell r="A1399">
            <v>10650002</v>
          </cell>
          <cell r="B1399">
            <v>3118220007727</v>
          </cell>
          <cell r="E1399" t="str">
            <v>CUISINE 17 HECTOR ARGILE MARRON CLAIR M217432 BOITE CADEAU</v>
          </cell>
          <cell r="F1399">
            <v>6</v>
          </cell>
          <cell r="G1399">
            <v>6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</row>
        <row r="1400">
          <cell r="A1400">
            <v>10650003</v>
          </cell>
          <cell r="B1400">
            <v>3118220007734</v>
          </cell>
          <cell r="E1400" t="str">
            <v>DECOUPER 21 HECTOR PERLE GRIS CLAIR M217431 BOITE CADEAU</v>
          </cell>
          <cell r="F1400">
            <v>6</v>
          </cell>
          <cell r="G1400">
            <v>6</v>
          </cell>
          <cell r="H1400">
            <v>0</v>
          </cell>
          <cell r="I1400">
            <v>0</v>
          </cell>
          <cell r="J1400">
            <v>0</v>
          </cell>
          <cell r="K1400">
            <v>0.84</v>
          </cell>
          <cell r="L1400">
            <v>0.13999999999999999</v>
          </cell>
          <cell r="M1400">
            <v>0</v>
          </cell>
        </row>
        <row r="1401">
          <cell r="A1401">
            <v>10650006</v>
          </cell>
          <cell r="B1401">
            <v>3118220008687</v>
          </cell>
          <cell r="E1401" t="str">
            <v>PAIN 21 HECTOR 2 REGLISSE BLACK 6C BERLINGOT</v>
          </cell>
          <cell r="F1401">
            <v>75</v>
          </cell>
          <cell r="G1401">
            <v>75</v>
          </cell>
          <cell r="H1401">
            <v>0</v>
          </cell>
          <cell r="I1401">
            <v>0</v>
          </cell>
          <cell r="J1401">
            <v>0</v>
          </cell>
          <cell r="K1401">
            <v>8.1</v>
          </cell>
          <cell r="L1401">
            <v>0.108</v>
          </cell>
          <cell r="M1401">
            <v>0</v>
          </cell>
        </row>
        <row r="1402">
          <cell r="A1402">
            <v>10650007</v>
          </cell>
          <cell r="B1402">
            <v>3118220008670</v>
          </cell>
          <cell r="E1402" t="str">
            <v>CUISINE 17 HECTOR 2 BLANC GLACIER RAL9010 BERLINGOT</v>
          </cell>
          <cell r="F1402">
            <v>75</v>
          </cell>
          <cell r="G1402">
            <v>75</v>
          </cell>
          <cell r="H1402">
            <v>0</v>
          </cell>
          <cell r="I1402">
            <v>0</v>
          </cell>
          <cell r="J1402">
            <v>0</v>
          </cell>
          <cell r="K1402">
            <v>8.0250000000000004</v>
          </cell>
          <cell r="L1402">
            <v>0.107</v>
          </cell>
          <cell r="M1402">
            <v>0</v>
          </cell>
        </row>
        <row r="1403">
          <cell r="A1403">
            <v>10650008</v>
          </cell>
          <cell r="B1403">
            <v>3118220008700</v>
          </cell>
          <cell r="E1403" t="str">
            <v>DECOUPER 21 HECTOR 2 ARDOISE GRIS COOL GREY 11C BERLINGOT</v>
          </cell>
          <cell r="F1403">
            <v>75</v>
          </cell>
          <cell r="G1403">
            <v>75</v>
          </cell>
          <cell r="H1403">
            <v>40</v>
          </cell>
          <cell r="I1403">
            <v>30</v>
          </cell>
          <cell r="J1403">
            <v>20</v>
          </cell>
          <cell r="K1403">
            <v>8.6999999999999993</v>
          </cell>
          <cell r="L1403">
            <v>0.11599999999999999</v>
          </cell>
          <cell r="M1403">
            <v>2.4E-2</v>
          </cell>
        </row>
        <row r="1404">
          <cell r="A1404">
            <v>10650009</v>
          </cell>
          <cell r="B1404">
            <v>3118220008694</v>
          </cell>
          <cell r="E1404" t="str">
            <v>SANTUKO 16 HECTOR 2 GRIS PERLE M217431 BERLINGOT</v>
          </cell>
          <cell r="F1404">
            <v>75</v>
          </cell>
          <cell r="G1404">
            <v>75</v>
          </cell>
          <cell r="H1404">
            <v>40</v>
          </cell>
          <cell r="I1404">
            <v>30</v>
          </cell>
          <cell r="J1404">
            <v>20</v>
          </cell>
          <cell r="K1404">
            <v>7.95</v>
          </cell>
          <cell r="L1404">
            <v>0.106</v>
          </cell>
          <cell r="M1404">
            <v>2.4E-2</v>
          </cell>
        </row>
        <row r="1405">
          <cell r="A1405">
            <v>10650011</v>
          </cell>
          <cell r="B1405">
            <v>3118220008755</v>
          </cell>
          <cell r="E1405" t="str">
            <v>CUISINE 17 HECTOR ARGILE MARRON M217432 FOURREAU COUT CHEF</v>
          </cell>
          <cell r="F1405">
            <v>54</v>
          </cell>
          <cell r="G1405">
            <v>6</v>
          </cell>
          <cell r="H1405">
            <v>40</v>
          </cell>
          <cell r="I1405">
            <v>30</v>
          </cell>
          <cell r="J1405">
            <v>20</v>
          </cell>
          <cell r="K1405">
            <v>7.7759999999999998</v>
          </cell>
          <cell r="L1405">
            <v>0.14399999999999999</v>
          </cell>
          <cell r="M1405">
            <v>2.4E-2</v>
          </cell>
        </row>
        <row r="1406">
          <cell r="A1406">
            <v>10650012</v>
          </cell>
          <cell r="B1406">
            <v>3118220008779</v>
          </cell>
          <cell r="E1406" t="str">
            <v>DECOUPER 21 HECTOR GRIS CLAIR M217431 FOURREAU COUT DU CHEF</v>
          </cell>
          <cell r="F1406">
            <v>54</v>
          </cell>
          <cell r="G1406">
            <v>6</v>
          </cell>
          <cell r="H1406">
            <v>40</v>
          </cell>
          <cell r="I1406">
            <v>30</v>
          </cell>
          <cell r="J1406">
            <v>20</v>
          </cell>
          <cell r="K1406">
            <v>0.86399999999999999</v>
          </cell>
          <cell r="L1406">
            <v>1.6E-2</v>
          </cell>
          <cell r="M1406">
            <v>2.4E-2</v>
          </cell>
        </row>
        <row r="1407">
          <cell r="A1407">
            <v>10650013</v>
          </cell>
          <cell r="B1407">
            <v>3118220008786</v>
          </cell>
          <cell r="E1407" t="str">
            <v>SANTUKO 16 HECTOR TAUPE MARRON WARM GREY11C FOURREAU COUT CH</v>
          </cell>
          <cell r="F1407">
            <v>54</v>
          </cell>
          <cell r="G1407">
            <v>6</v>
          </cell>
          <cell r="H1407">
            <v>40</v>
          </cell>
          <cell r="I1407">
            <v>30</v>
          </cell>
          <cell r="J1407">
            <v>20</v>
          </cell>
          <cell r="K1407">
            <v>8.2729999999999997</v>
          </cell>
          <cell r="L1407">
            <v>0.1532037037037037</v>
          </cell>
          <cell r="M1407">
            <v>2.4E-2</v>
          </cell>
        </row>
        <row r="1408">
          <cell r="A1408">
            <v>10650015</v>
          </cell>
          <cell r="B1408">
            <v>3118220008854</v>
          </cell>
          <cell r="E1408" t="str">
            <v>OFFICE HECTOR REGLISSE BLACK 6C BERLINGOT</v>
          </cell>
          <cell r="F1408">
            <v>150</v>
          </cell>
          <cell r="G1408">
            <v>150</v>
          </cell>
          <cell r="H1408">
            <v>0</v>
          </cell>
          <cell r="I1408">
            <v>0</v>
          </cell>
          <cell r="J1408">
            <v>0</v>
          </cell>
          <cell r="K1408">
            <v>6</v>
          </cell>
          <cell r="L1408">
            <v>0.04</v>
          </cell>
          <cell r="M1408">
            <v>0</v>
          </cell>
        </row>
        <row r="1409">
          <cell r="A1409">
            <v>10650017</v>
          </cell>
          <cell r="B1409">
            <v>3118220027596</v>
          </cell>
          <cell r="E1409" t="str">
            <v>COFFRET BOIS 4 COUTEAUX HECTOR REGLISSE (NOIR) LAME INOX</v>
          </cell>
          <cell r="F1409">
            <v>6</v>
          </cell>
          <cell r="G1409">
            <v>6</v>
          </cell>
          <cell r="H1409">
            <v>31</v>
          </cell>
          <cell r="I1409">
            <v>29</v>
          </cell>
          <cell r="J1409">
            <v>13</v>
          </cell>
          <cell r="K1409">
            <v>3.18</v>
          </cell>
          <cell r="L1409">
            <v>0.53</v>
          </cell>
          <cell r="M1409">
            <v>1.1687000000000001E-2</v>
          </cell>
        </row>
        <row r="1410">
          <cell r="A1410">
            <v>10650020</v>
          </cell>
          <cell r="B1410">
            <v>3118220028098</v>
          </cell>
          <cell r="E1410" t="str">
            <v>BOITE VPC DE 6 STEAKS HECTOR GLACIER (BLANC) RAL 9010</v>
          </cell>
          <cell r="F1410">
            <v>6</v>
          </cell>
          <cell r="G1410">
            <v>6</v>
          </cell>
          <cell r="H1410">
            <v>37</v>
          </cell>
          <cell r="I1410">
            <v>28</v>
          </cell>
          <cell r="J1410">
            <v>19</v>
          </cell>
          <cell r="K1410">
            <v>2.46</v>
          </cell>
          <cell r="L1410">
            <v>0.41</v>
          </cell>
          <cell r="M1410">
            <v>1.9684E-2</v>
          </cell>
        </row>
        <row r="1411">
          <cell r="A1411">
            <v>10650023</v>
          </cell>
          <cell r="B1411">
            <v>3118220028630</v>
          </cell>
          <cell r="E1411" t="str">
            <v>TUBO DE 6 STEAKS HECTOR COUL PANACHE</v>
          </cell>
          <cell r="F1411">
            <v>6</v>
          </cell>
          <cell r="G1411">
            <v>6</v>
          </cell>
          <cell r="H1411">
            <v>32</v>
          </cell>
          <cell r="I1411">
            <v>29</v>
          </cell>
          <cell r="J1411">
            <v>15</v>
          </cell>
          <cell r="K1411">
            <v>2.37</v>
          </cell>
          <cell r="L1411">
            <v>0.39500000000000002</v>
          </cell>
          <cell r="M1411">
            <v>1.3919999999999998E-2</v>
          </cell>
        </row>
        <row r="1412">
          <cell r="A1412">
            <v>10650024</v>
          </cell>
          <cell r="B1412">
            <v>3118220028821</v>
          </cell>
          <cell r="E1412" t="str">
            <v>COFFRET BOIS 4 COUTEAUX HECTOR BLANC GLACIER LAME INOX</v>
          </cell>
          <cell r="F1412">
            <v>6</v>
          </cell>
          <cell r="G1412">
            <v>6</v>
          </cell>
          <cell r="H1412">
            <v>31</v>
          </cell>
          <cell r="I1412">
            <v>29</v>
          </cell>
          <cell r="J1412">
            <v>13</v>
          </cell>
          <cell r="K1412">
            <v>3.18</v>
          </cell>
          <cell r="L1412">
            <v>0.53</v>
          </cell>
          <cell r="M1412">
            <v>1.1687000000000001E-2</v>
          </cell>
        </row>
        <row r="1413">
          <cell r="A1413">
            <v>10650026</v>
          </cell>
          <cell r="B1413">
            <v>3118220031586</v>
          </cell>
          <cell r="E1413" t="str">
            <v>COFFRET BOIS 4 STEAK HECTOR PERLE LAME INOX</v>
          </cell>
          <cell r="F1413">
            <v>6</v>
          </cell>
          <cell r="G1413">
            <v>6</v>
          </cell>
          <cell r="H1413">
            <v>30</v>
          </cell>
          <cell r="I1413">
            <v>17</v>
          </cell>
          <cell r="J1413">
            <v>15</v>
          </cell>
          <cell r="K1413">
            <v>3.528</v>
          </cell>
          <cell r="L1413">
            <v>0.58799999999999997</v>
          </cell>
          <cell r="M1413">
            <v>7.6499999999999988E-3</v>
          </cell>
        </row>
        <row r="1414">
          <cell r="A1414">
            <v>10650027</v>
          </cell>
          <cell r="B1414">
            <v>3118220031593</v>
          </cell>
          <cell r="E1414" t="str">
            <v>COFFRET BOIS 4 STEAK HECTOR ARDOISE LAME INOX</v>
          </cell>
          <cell r="F1414">
            <v>6</v>
          </cell>
          <cell r="G1414">
            <v>6</v>
          </cell>
          <cell r="H1414">
            <v>30</v>
          </cell>
          <cell r="I1414">
            <v>17</v>
          </cell>
          <cell r="J1414">
            <v>15</v>
          </cell>
          <cell r="K1414">
            <v>3.528</v>
          </cell>
          <cell r="L1414">
            <v>0.58799999999999997</v>
          </cell>
          <cell r="M1414">
            <v>7.6499999999999988E-3</v>
          </cell>
        </row>
        <row r="1415">
          <cell r="A1415">
            <v>10650028</v>
          </cell>
          <cell r="B1415">
            <v>3118220031609</v>
          </cell>
          <cell r="E1415" t="str">
            <v>COFFRET BOIS 4 STEAK HECTOR ARGILE LAME INOX</v>
          </cell>
          <cell r="F1415">
            <v>6</v>
          </cell>
          <cell r="G1415">
            <v>6</v>
          </cell>
          <cell r="H1415">
            <v>30</v>
          </cell>
          <cell r="I1415">
            <v>17</v>
          </cell>
          <cell r="J1415">
            <v>15</v>
          </cell>
          <cell r="K1415">
            <v>3.3</v>
          </cell>
          <cell r="L1415">
            <v>0.54999999999999993</v>
          </cell>
          <cell r="M1415">
            <v>7.6499999999999988E-3</v>
          </cell>
        </row>
        <row r="1416">
          <cell r="A1416">
            <v>10650029</v>
          </cell>
          <cell r="B1416">
            <v>3118220031616</v>
          </cell>
          <cell r="E1416" t="str">
            <v>COFFRET BOIS 4 STEAK HECTOR TAUPE LAME INOX</v>
          </cell>
          <cell r="F1416">
            <v>6</v>
          </cell>
          <cell r="G1416">
            <v>6</v>
          </cell>
          <cell r="H1416">
            <v>30</v>
          </cell>
          <cell r="I1416">
            <v>17</v>
          </cell>
          <cell r="J1416">
            <v>15</v>
          </cell>
          <cell r="K1416">
            <v>3.528</v>
          </cell>
          <cell r="L1416">
            <v>0.58799999999999997</v>
          </cell>
          <cell r="M1416">
            <v>7.6499999999999988E-3</v>
          </cell>
        </row>
        <row r="1417">
          <cell r="A1417">
            <v>10650030</v>
          </cell>
          <cell r="B1417">
            <v>3118220036109</v>
          </cell>
          <cell r="E1417" t="str">
            <v>COFFRET STEAK+CUIS+SANTU+DECOUPER HECTOR EN BOITE NEUTRE</v>
          </cell>
          <cell r="F1417">
            <v>1</v>
          </cell>
          <cell r="G1417">
            <v>1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</row>
        <row r="1418">
          <cell r="A1418">
            <v>10680683</v>
          </cell>
          <cell r="B1418">
            <v>3118220012790</v>
          </cell>
          <cell r="E1418" t="str">
            <v>OFFICE INEDIT UNION JACK+SLEEVE+GENCOD</v>
          </cell>
          <cell r="F1418">
            <v>240</v>
          </cell>
          <cell r="G1418">
            <v>12</v>
          </cell>
          <cell r="H1418">
            <v>23.5</v>
          </cell>
          <cell r="I1418">
            <v>22</v>
          </cell>
          <cell r="J1418">
            <v>22</v>
          </cell>
          <cell r="K1418">
            <v>4.8</v>
          </cell>
          <cell r="L1418">
            <v>0.02</v>
          </cell>
          <cell r="M1418">
            <v>1.1374E-2</v>
          </cell>
        </row>
        <row r="1419">
          <cell r="A1419">
            <v>10680684</v>
          </cell>
          <cell r="B1419">
            <v>3118220012813</v>
          </cell>
          <cell r="E1419" t="str">
            <v>BEURRE INEDIT UNION JACK+GENCOD</v>
          </cell>
          <cell r="F1419">
            <v>240</v>
          </cell>
          <cell r="G1419">
            <v>12</v>
          </cell>
          <cell r="H1419">
            <v>20.5</v>
          </cell>
          <cell r="I1419">
            <v>21</v>
          </cell>
          <cell r="J1419">
            <v>22</v>
          </cell>
          <cell r="K1419">
            <v>5.52</v>
          </cell>
          <cell r="L1419">
            <v>2.3E-2</v>
          </cell>
          <cell r="M1419">
            <v>9.4710000000000003E-3</v>
          </cell>
        </row>
        <row r="1420">
          <cell r="A1420">
            <v>10840001</v>
          </cell>
          <cell r="B1420">
            <v>3118224489758</v>
          </cell>
          <cell r="E1420" t="str">
            <v>BOULANGER GRAPHIC SOUS BERLINGOT</v>
          </cell>
          <cell r="F1420">
            <v>30</v>
          </cell>
          <cell r="G1420">
            <v>30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</row>
        <row r="1421">
          <cell r="A1421">
            <v>10840002</v>
          </cell>
          <cell r="B1421">
            <v>3118224489765</v>
          </cell>
          <cell r="E1421" t="str">
            <v>CUISINIER GRAPHIC SOUS BERLINGOT</v>
          </cell>
          <cell r="F1421">
            <v>30</v>
          </cell>
          <cell r="G1421">
            <v>30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</row>
        <row r="1422">
          <cell r="A1422">
            <v>10840005</v>
          </cell>
          <cell r="B1422">
            <v>3118224489703</v>
          </cell>
          <cell r="E1422" t="str">
            <v>MARAICHER GRAPHIC SOUS BERLINGOT</v>
          </cell>
          <cell r="F1422">
            <v>30</v>
          </cell>
          <cell r="G1422">
            <v>30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</row>
        <row r="1423">
          <cell r="A1423">
            <v>10840006</v>
          </cell>
          <cell r="B1423">
            <v>3118224489734</v>
          </cell>
          <cell r="E1423" t="str">
            <v>POLYVALENT GRAPHIC SOUS BERLINGOT</v>
          </cell>
          <cell r="F1423">
            <v>30</v>
          </cell>
          <cell r="G1423">
            <v>30</v>
          </cell>
          <cell r="H1423">
            <v>40</v>
          </cell>
          <cell r="I1423">
            <v>30</v>
          </cell>
          <cell r="J1423">
            <v>20</v>
          </cell>
          <cell r="K1423">
            <v>3.9</v>
          </cell>
          <cell r="L1423">
            <v>0.13</v>
          </cell>
          <cell r="M1423">
            <v>2.4E-2</v>
          </cell>
        </row>
        <row r="1424">
          <cell r="A1424">
            <v>10840007</v>
          </cell>
          <cell r="B1424">
            <v>3118224489741</v>
          </cell>
          <cell r="E1424" t="str">
            <v>SANTUKO GRAPHIC SOUS BERLINGOT</v>
          </cell>
          <cell r="F1424">
            <v>30</v>
          </cell>
          <cell r="G1424">
            <v>30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</row>
        <row r="1425">
          <cell r="A1425">
            <v>10890001</v>
          </cell>
          <cell r="B1425">
            <v>3118220026384</v>
          </cell>
          <cell r="C1425" t="str">
            <v>13118220026381</v>
          </cell>
          <cell r="D1425" t="str">
            <v>23118220026388</v>
          </cell>
          <cell r="E1425" t="str">
            <v>TARTINEUR ECORCE + GENCOD</v>
          </cell>
          <cell r="F1425">
            <v>144</v>
          </cell>
          <cell r="G1425">
            <v>12</v>
          </cell>
          <cell r="H1425">
            <v>23</v>
          </cell>
          <cell r="I1425">
            <v>18.5</v>
          </cell>
          <cell r="J1425">
            <v>15</v>
          </cell>
          <cell r="K1425">
            <v>4.6589999999999998</v>
          </cell>
          <cell r="L1425">
            <v>3.2354166666666663E-2</v>
          </cell>
          <cell r="M1425">
            <v>6.3825000000000002E-3</v>
          </cell>
        </row>
        <row r="1426">
          <cell r="A1426">
            <v>10920001</v>
          </cell>
          <cell r="B1426">
            <v>3118220011687</v>
          </cell>
          <cell r="E1426" t="str">
            <v>COFFRET PRIVEE 6 COUTEAUX TABLE ACRYLIQUE BLANC</v>
          </cell>
          <cell r="F1426">
            <v>6</v>
          </cell>
          <cell r="G1426">
            <v>6</v>
          </cell>
          <cell r="H1426">
            <v>40</v>
          </cell>
          <cell r="I1426">
            <v>32</v>
          </cell>
          <cell r="J1426">
            <v>21</v>
          </cell>
          <cell r="K1426">
            <v>9.24</v>
          </cell>
          <cell r="L1426">
            <v>1.54</v>
          </cell>
          <cell r="M1426">
            <v>2.6880000000000001E-2</v>
          </cell>
        </row>
        <row r="1427">
          <cell r="A1427">
            <v>10920002</v>
          </cell>
          <cell r="B1427">
            <v>3118220011694</v>
          </cell>
          <cell r="E1427" t="str">
            <v>COFFRET PRIVEE 6 COUTEAUX TABLE ACRYLIQUE NOIR</v>
          </cell>
          <cell r="F1427">
            <v>6</v>
          </cell>
          <cell r="G1427">
            <v>6</v>
          </cell>
          <cell r="H1427">
            <v>40</v>
          </cell>
          <cell r="I1427">
            <v>32</v>
          </cell>
          <cell r="J1427">
            <v>21</v>
          </cell>
          <cell r="K1427">
            <v>9.58</v>
          </cell>
          <cell r="L1427">
            <v>1.5966666666666667</v>
          </cell>
          <cell r="M1427">
            <v>2.6880000000000001E-2</v>
          </cell>
        </row>
        <row r="1428">
          <cell r="A1428">
            <v>10920003</v>
          </cell>
          <cell r="B1428">
            <v>3118220011700</v>
          </cell>
          <cell r="E1428" t="str">
            <v>COFFRET PRIVEE 7/24 FERMANT MANCHE CERAMIQUE BLANC</v>
          </cell>
          <cell r="F1428">
            <v>10</v>
          </cell>
          <cell r="G1428">
            <v>10</v>
          </cell>
          <cell r="H1428">
            <v>31</v>
          </cell>
          <cell r="I1428">
            <v>29.5</v>
          </cell>
          <cell r="J1428">
            <v>14</v>
          </cell>
          <cell r="K1428">
            <v>6.54</v>
          </cell>
          <cell r="L1428">
            <v>0.65400000000000003</v>
          </cell>
          <cell r="M1428">
            <v>1.2802999999999998E-2</v>
          </cell>
        </row>
        <row r="1429">
          <cell r="A1429">
            <v>10920004</v>
          </cell>
          <cell r="B1429">
            <v>3118220011717</v>
          </cell>
          <cell r="E1429" t="str">
            <v>COFFRET PRIVEE 7/24 FERMANT MANCHE CERAMIQUE NOIR</v>
          </cell>
          <cell r="F1429">
            <v>10</v>
          </cell>
          <cell r="G1429">
            <v>10</v>
          </cell>
          <cell r="H1429">
            <v>31</v>
          </cell>
          <cell r="I1429">
            <v>29.5</v>
          </cell>
          <cell r="J1429">
            <v>14</v>
          </cell>
          <cell r="K1429">
            <v>6.54</v>
          </cell>
          <cell r="L1429">
            <v>0.65400000000000003</v>
          </cell>
          <cell r="M1429">
            <v>1.2802999999999998E-2</v>
          </cell>
        </row>
        <row r="1430">
          <cell r="A1430">
            <v>10920005</v>
          </cell>
          <cell r="B1430">
            <v>3118220046771</v>
          </cell>
          <cell r="E1430" t="str">
            <v>COFFRET BORK 7/24 FERMANT MANCHE CERAMIQUE BLANC HN810 WT</v>
          </cell>
          <cell r="F1430">
            <v>5</v>
          </cell>
          <cell r="G1430">
            <v>5</v>
          </cell>
          <cell r="H1430">
            <v>40</v>
          </cell>
          <cell r="I1430">
            <v>31</v>
          </cell>
          <cell r="J1430">
            <v>18</v>
          </cell>
          <cell r="K1430">
            <v>4.1669999999999998</v>
          </cell>
          <cell r="L1430">
            <v>0.83339999999999992</v>
          </cell>
          <cell r="M1430">
            <v>2.2320000000000003E-2</v>
          </cell>
        </row>
        <row r="1431">
          <cell r="A1431">
            <v>10920006</v>
          </cell>
          <cell r="B1431">
            <v>3118220046788</v>
          </cell>
          <cell r="E1431" t="str">
            <v>COFFRET BORK 7/24 FERMANT MANCHE CERAMIQUE NOIR HN810 BK</v>
          </cell>
          <cell r="F1431">
            <v>5</v>
          </cell>
          <cell r="G1431">
            <v>5</v>
          </cell>
          <cell r="H1431">
            <v>40</v>
          </cell>
          <cell r="I1431">
            <v>31</v>
          </cell>
          <cell r="J1431">
            <v>18</v>
          </cell>
          <cell r="K1431">
            <v>4.1669999999999998</v>
          </cell>
          <cell r="L1431">
            <v>0.83339999999999992</v>
          </cell>
          <cell r="M1431">
            <v>2.2320000000000003E-2</v>
          </cell>
        </row>
        <row r="1432">
          <cell r="A1432">
            <v>10950001</v>
          </cell>
          <cell r="B1432">
            <v>3118220011663</v>
          </cell>
          <cell r="E1432" t="str">
            <v>COFFRET GUY SAVOY 6 COUTEAUX TABLE HOMME</v>
          </cell>
          <cell r="F1432">
            <v>6</v>
          </cell>
          <cell r="G1432">
            <v>6</v>
          </cell>
          <cell r="H1432">
            <v>40</v>
          </cell>
          <cell r="I1432">
            <v>30</v>
          </cell>
          <cell r="J1432">
            <v>20</v>
          </cell>
          <cell r="K1432">
            <v>9.9499999999999993</v>
          </cell>
          <cell r="L1432">
            <v>1.6583333333333332</v>
          </cell>
          <cell r="M1432">
            <v>2.4E-2</v>
          </cell>
        </row>
        <row r="1433">
          <cell r="A1433">
            <v>10950002</v>
          </cell>
          <cell r="B1433">
            <v>3118220011670</v>
          </cell>
          <cell r="E1433" t="str">
            <v>COFFRET GUY SAVOY 6 COUTEAUX TABLE FEMME</v>
          </cell>
          <cell r="F1433">
            <v>6</v>
          </cell>
          <cell r="G1433">
            <v>6</v>
          </cell>
          <cell r="H1433">
            <v>40</v>
          </cell>
          <cell r="I1433">
            <v>30</v>
          </cell>
          <cell r="J1433">
            <v>20</v>
          </cell>
          <cell r="K1433">
            <v>9.17</v>
          </cell>
          <cell r="L1433">
            <v>1.5283333333333333</v>
          </cell>
          <cell r="M1433">
            <v>2.4E-2</v>
          </cell>
        </row>
        <row r="1434">
          <cell r="A1434">
            <v>10950007</v>
          </cell>
          <cell r="B1434">
            <v>3118220018594</v>
          </cell>
          <cell r="E1434" t="str">
            <v>COUTEAU THAU N°1 OFFICE GUY SAVOY SOUS ETUI</v>
          </cell>
          <cell r="F1434">
            <v>6</v>
          </cell>
          <cell r="G1434">
            <v>6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</row>
        <row r="1435">
          <cell r="A1435">
            <v>10950008</v>
          </cell>
          <cell r="B1435">
            <v>3118220018600</v>
          </cell>
          <cell r="E1435" t="str">
            <v>COUTEAU THAU N°2 FILET SOLE GUY SAVOY SOUS ETUI</v>
          </cell>
          <cell r="F1435">
            <v>6</v>
          </cell>
          <cell r="G1435">
            <v>6</v>
          </cell>
          <cell r="H1435">
            <v>43</v>
          </cell>
          <cell r="I1435">
            <v>17</v>
          </cell>
          <cell r="J1435">
            <v>11.5</v>
          </cell>
          <cell r="K1435">
            <v>1.66</v>
          </cell>
          <cell r="L1435">
            <v>0.27666666666666667</v>
          </cell>
          <cell r="M1435">
            <v>8.4065000000000008E-3</v>
          </cell>
        </row>
        <row r="1436">
          <cell r="A1436">
            <v>10950009</v>
          </cell>
          <cell r="B1436">
            <v>3118220018617</v>
          </cell>
          <cell r="E1436" t="str">
            <v>COUTEAU THAU N°3 CHEF GUY SAVOY SOUS ETUI</v>
          </cell>
          <cell r="F1436">
            <v>6</v>
          </cell>
          <cell r="G1436">
            <v>6</v>
          </cell>
          <cell r="H1436">
            <v>0</v>
          </cell>
          <cell r="I1436">
            <v>0</v>
          </cell>
          <cell r="J1436">
            <v>0</v>
          </cell>
          <cell r="K1436">
            <v>2.52</v>
          </cell>
          <cell r="L1436">
            <v>0.42</v>
          </cell>
          <cell r="M1436">
            <v>0</v>
          </cell>
        </row>
        <row r="1437">
          <cell r="A1437">
            <v>10950010</v>
          </cell>
          <cell r="B1437">
            <v>3118220018624</v>
          </cell>
          <cell r="E1437" t="str">
            <v>COUTEAU THAU N°4 TRANCHEUR GUY SAVOY SOUS ETUI</v>
          </cell>
          <cell r="F1437">
            <v>6</v>
          </cell>
          <cell r="G1437">
            <v>6</v>
          </cell>
          <cell r="H1437">
            <v>43</v>
          </cell>
          <cell r="I1437">
            <v>17</v>
          </cell>
          <cell r="J1437">
            <v>11.5</v>
          </cell>
          <cell r="K1437">
            <v>2.44</v>
          </cell>
          <cell r="L1437">
            <v>0.40666666666666668</v>
          </cell>
          <cell r="M1437">
            <v>8.4065000000000008E-3</v>
          </cell>
        </row>
        <row r="1438">
          <cell r="A1438">
            <v>10950011</v>
          </cell>
          <cell r="B1438">
            <v>3118220018631</v>
          </cell>
          <cell r="E1438" t="str">
            <v>COUTEAU THAU N°5 SANTUKO GUY SAVOY SOUS ETUI</v>
          </cell>
          <cell r="F1438">
            <v>6</v>
          </cell>
          <cell r="G1438">
            <v>6</v>
          </cell>
          <cell r="H1438">
            <v>43</v>
          </cell>
          <cell r="I1438">
            <v>17</v>
          </cell>
          <cell r="J1438">
            <v>11.5</v>
          </cell>
          <cell r="K1438">
            <v>2.59</v>
          </cell>
          <cell r="L1438">
            <v>0.43166666666666664</v>
          </cell>
          <cell r="M1438">
            <v>8.4065000000000008E-3</v>
          </cell>
        </row>
        <row r="1439">
          <cell r="A1439">
            <v>10950012</v>
          </cell>
          <cell r="B1439">
            <v>3118220018648</v>
          </cell>
          <cell r="E1439" t="str">
            <v>DUO 2 COUTEAUX DE TABLE HOMME GUY SAVOY</v>
          </cell>
          <cell r="F1439">
            <v>6</v>
          </cell>
          <cell r="G1439">
            <v>6</v>
          </cell>
          <cell r="H1439">
            <v>0</v>
          </cell>
          <cell r="I1439">
            <v>0</v>
          </cell>
          <cell r="J1439">
            <v>0</v>
          </cell>
          <cell r="K1439">
            <v>1.9079999999999999</v>
          </cell>
          <cell r="L1439">
            <v>0.318</v>
          </cell>
          <cell r="M1439">
            <v>0</v>
          </cell>
        </row>
        <row r="1440">
          <cell r="A1440">
            <v>10950013</v>
          </cell>
          <cell r="B1440">
            <v>3118220018655</v>
          </cell>
          <cell r="E1440" t="str">
            <v>DUO 2 COUTEAUX DE TABLE FEMME GUY SAVOY</v>
          </cell>
          <cell r="F1440">
            <v>6</v>
          </cell>
          <cell r="G1440">
            <v>6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</row>
        <row r="1441">
          <cell r="A1441">
            <v>10950014</v>
          </cell>
          <cell r="B1441">
            <v>3118220018662</v>
          </cell>
          <cell r="E1441" t="str">
            <v>DUO 2 COUTEAUX DE TABLE MIXTE GUY SAVOY</v>
          </cell>
          <cell r="F1441">
            <v>6</v>
          </cell>
          <cell r="G1441">
            <v>6</v>
          </cell>
          <cell r="H1441">
            <v>38</v>
          </cell>
          <cell r="I1441">
            <v>18.5</v>
          </cell>
          <cell r="J1441">
            <v>11</v>
          </cell>
          <cell r="K1441">
            <v>2.044</v>
          </cell>
          <cell r="L1441">
            <v>0.34066666666666667</v>
          </cell>
          <cell r="M1441">
            <v>7.7330000000000003E-3</v>
          </cell>
        </row>
        <row r="1442">
          <cell r="A1442">
            <v>10960001</v>
          </cell>
          <cell r="B1442">
            <v>3118220013650</v>
          </cell>
          <cell r="E1442" t="str">
            <v>COFFRET CARTON NOIR 12 COUTEAUX AUGUSTE ABS BLANC CHANTILLY</v>
          </cell>
          <cell r="F1442">
            <v>8</v>
          </cell>
          <cell r="G1442">
            <v>8</v>
          </cell>
          <cell r="H1442">
            <v>40</v>
          </cell>
          <cell r="I1442">
            <v>30</v>
          </cell>
          <cell r="J1442">
            <v>20</v>
          </cell>
          <cell r="K1442">
            <v>7.33</v>
          </cell>
          <cell r="L1442">
            <v>0.91625000000000001</v>
          </cell>
          <cell r="M1442">
            <v>2.4E-2</v>
          </cell>
        </row>
        <row r="1443">
          <cell r="A1443">
            <v>10960002</v>
          </cell>
          <cell r="B1443">
            <v>3118220013667</v>
          </cell>
          <cell r="E1443" t="str">
            <v>COFFRET CARTON NOIR 12 COUTEAUX AUGUSTE ABS BLEU AUVERGNE</v>
          </cell>
          <cell r="F1443">
            <v>8</v>
          </cell>
          <cell r="G1443">
            <v>8</v>
          </cell>
          <cell r="H1443">
            <v>40</v>
          </cell>
          <cell r="I1443">
            <v>30</v>
          </cell>
          <cell r="J1443">
            <v>20</v>
          </cell>
          <cell r="K1443">
            <v>7.33</v>
          </cell>
          <cell r="L1443">
            <v>0.91625000000000001</v>
          </cell>
          <cell r="M1443">
            <v>2.4E-2</v>
          </cell>
        </row>
        <row r="1444">
          <cell r="A1444">
            <v>10960004</v>
          </cell>
          <cell r="B1444">
            <v>3118220013681</v>
          </cell>
          <cell r="E1444" t="str">
            <v>COFFRET CARTON NOIR 12 COUTEAUX AUGUSTE ABS MARRON GLACE</v>
          </cell>
          <cell r="F1444">
            <v>8</v>
          </cell>
          <cell r="G1444">
            <v>8</v>
          </cell>
          <cell r="H1444">
            <v>40</v>
          </cell>
          <cell r="I1444">
            <v>30</v>
          </cell>
          <cell r="J1444">
            <v>20</v>
          </cell>
          <cell r="K1444">
            <v>7.2320000000000002</v>
          </cell>
          <cell r="L1444">
            <v>0.90400000000000003</v>
          </cell>
          <cell r="M1444">
            <v>2.4E-2</v>
          </cell>
        </row>
        <row r="1445">
          <cell r="A1445">
            <v>10960005</v>
          </cell>
          <cell r="B1445">
            <v>3118220013698</v>
          </cell>
          <cell r="E1445" t="str">
            <v>COFFRET CARTON NOIR 12 COUTEAUX AUGUSTE ABS ROUGE GROSEILLE</v>
          </cell>
          <cell r="F1445">
            <v>8</v>
          </cell>
          <cell r="G1445">
            <v>8</v>
          </cell>
          <cell r="H1445">
            <v>40</v>
          </cell>
          <cell r="I1445">
            <v>30</v>
          </cell>
          <cell r="J1445">
            <v>20</v>
          </cell>
          <cell r="K1445">
            <v>7.33</v>
          </cell>
          <cell r="L1445">
            <v>0.91625000000000001</v>
          </cell>
          <cell r="M1445">
            <v>2.4E-2</v>
          </cell>
        </row>
        <row r="1446">
          <cell r="A1446">
            <v>10960007</v>
          </cell>
          <cell r="B1446">
            <v>3118220013773</v>
          </cell>
          <cell r="E1446" t="str">
            <v>COUTEAU AUGUSTE ABS BLANC CHANTILLY SOUS BERLINGOT</v>
          </cell>
          <cell r="F1446">
            <v>12</v>
          </cell>
          <cell r="G1446">
            <v>12</v>
          </cell>
          <cell r="H1446">
            <v>32</v>
          </cell>
          <cell r="I1446">
            <v>15</v>
          </cell>
          <cell r="J1446">
            <v>8</v>
          </cell>
          <cell r="K1446">
            <v>0.66</v>
          </cell>
          <cell r="L1446">
            <v>5.5E-2</v>
          </cell>
          <cell r="M1446">
            <v>3.8400000000000001E-3</v>
          </cell>
        </row>
        <row r="1447">
          <cell r="A1447">
            <v>10960008</v>
          </cell>
          <cell r="B1447">
            <v>3118220013780</v>
          </cell>
          <cell r="E1447" t="str">
            <v>COUTEAU AUGUSTE ABS BLEU AUVERGNE SOUS BERLINGOT</v>
          </cell>
          <cell r="F1447">
            <v>12</v>
          </cell>
          <cell r="G1447">
            <v>12</v>
          </cell>
          <cell r="H1447">
            <v>32</v>
          </cell>
          <cell r="I1447">
            <v>15</v>
          </cell>
          <cell r="J1447">
            <v>8</v>
          </cell>
          <cell r="K1447">
            <v>0.78300000000000003</v>
          </cell>
          <cell r="L1447">
            <v>6.5250000000000002E-2</v>
          </cell>
          <cell r="M1447">
            <v>3.8400000000000001E-3</v>
          </cell>
        </row>
        <row r="1448">
          <cell r="A1448">
            <v>10960009</v>
          </cell>
          <cell r="B1448">
            <v>3118220013797</v>
          </cell>
          <cell r="E1448" t="str">
            <v>COUTEAU AUGUSTE ABS GRIS POIVRE SOUS BERLINGOT</v>
          </cell>
          <cell r="F1448">
            <v>12</v>
          </cell>
          <cell r="G1448">
            <v>12</v>
          </cell>
          <cell r="H1448">
            <v>32</v>
          </cell>
          <cell r="I1448">
            <v>15</v>
          </cell>
          <cell r="J1448">
            <v>8</v>
          </cell>
          <cell r="K1448">
            <v>0.66</v>
          </cell>
          <cell r="L1448">
            <v>5.5E-2</v>
          </cell>
          <cell r="M1448">
            <v>3.8400000000000001E-3</v>
          </cell>
        </row>
        <row r="1449">
          <cell r="A1449">
            <v>10960010</v>
          </cell>
          <cell r="B1449">
            <v>3118220013803</v>
          </cell>
          <cell r="E1449" t="str">
            <v>COUTEAU AUGUSTE ABS MARRON GLACE SOUS BERLINGOT</v>
          </cell>
          <cell r="F1449">
            <v>12</v>
          </cell>
          <cell r="G1449">
            <v>12</v>
          </cell>
          <cell r="H1449">
            <v>32</v>
          </cell>
          <cell r="I1449">
            <v>15</v>
          </cell>
          <cell r="J1449">
            <v>8</v>
          </cell>
          <cell r="K1449">
            <v>0.66</v>
          </cell>
          <cell r="L1449">
            <v>5.5E-2</v>
          </cell>
          <cell r="M1449">
            <v>3.8400000000000001E-3</v>
          </cell>
        </row>
        <row r="1450">
          <cell r="A1450">
            <v>10960011</v>
          </cell>
          <cell r="B1450">
            <v>3118220013810</v>
          </cell>
          <cell r="E1450" t="str">
            <v>COUTEAU AUGUSTE ABS ROUGE GROSEILLE SOUS BERLINGOT</v>
          </cell>
          <cell r="F1450">
            <v>12</v>
          </cell>
          <cell r="G1450">
            <v>12</v>
          </cell>
          <cell r="H1450">
            <v>32</v>
          </cell>
          <cell r="I1450">
            <v>15</v>
          </cell>
          <cell r="J1450">
            <v>8</v>
          </cell>
          <cell r="K1450">
            <v>0.66</v>
          </cell>
          <cell r="L1450">
            <v>5.5E-2</v>
          </cell>
          <cell r="M1450">
            <v>3.8400000000000001E-3</v>
          </cell>
        </row>
        <row r="1451">
          <cell r="A1451">
            <v>10960012</v>
          </cell>
          <cell r="B1451">
            <v>3118220013827</v>
          </cell>
          <cell r="E1451" t="str">
            <v>COUTEAU AUGUSTE ABS VERT PISTACHE SOUS BERLINGOT</v>
          </cell>
          <cell r="F1451">
            <v>12</v>
          </cell>
          <cell r="G1451">
            <v>12</v>
          </cell>
          <cell r="H1451">
            <v>32</v>
          </cell>
          <cell r="I1451">
            <v>15</v>
          </cell>
          <cell r="J1451">
            <v>8</v>
          </cell>
          <cell r="K1451">
            <v>0.66</v>
          </cell>
          <cell r="L1451">
            <v>5.5E-2</v>
          </cell>
          <cell r="M1451">
            <v>3.8400000000000001E-3</v>
          </cell>
        </row>
        <row r="1452">
          <cell r="A1452">
            <v>10960013</v>
          </cell>
          <cell r="B1452">
            <v>3118220015005</v>
          </cell>
          <cell r="E1452" t="str">
            <v>COUTEAU AUGUSTE PREMIUM POM NOIR CAVIAR L INOX MAT BERLINGOT</v>
          </cell>
          <cell r="F1452">
            <v>12</v>
          </cell>
          <cell r="G1452">
            <v>12</v>
          </cell>
          <cell r="H1452">
            <v>32</v>
          </cell>
          <cell r="I1452">
            <v>15</v>
          </cell>
          <cell r="J1452">
            <v>8</v>
          </cell>
          <cell r="K1452">
            <v>1.048</v>
          </cell>
          <cell r="L1452">
            <v>8.7333333333333332E-2</v>
          </cell>
          <cell r="M1452">
            <v>3.8400000000000001E-3</v>
          </cell>
        </row>
        <row r="1453">
          <cell r="A1453">
            <v>10960014</v>
          </cell>
          <cell r="B1453">
            <v>3118220014992</v>
          </cell>
          <cell r="E1453" t="str">
            <v>COUTEAU AUGUSTE PREMIUM POM GRIS PAVOT L INOX MAT BERLINGOT</v>
          </cell>
          <cell r="F1453">
            <v>12</v>
          </cell>
          <cell r="G1453">
            <v>12</v>
          </cell>
          <cell r="H1453">
            <v>32</v>
          </cell>
          <cell r="I1453">
            <v>15</v>
          </cell>
          <cell r="J1453">
            <v>8</v>
          </cell>
          <cell r="K1453">
            <v>0.94799999999999995</v>
          </cell>
          <cell r="L1453">
            <v>7.9000000000000001E-2</v>
          </cell>
          <cell r="M1453">
            <v>3.8400000000000001E-3</v>
          </cell>
        </row>
        <row r="1454">
          <cell r="A1454">
            <v>10960015</v>
          </cell>
          <cell r="B1454">
            <v>3118220015012</v>
          </cell>
          <cell r="E1454" t="str">
            <v>COUTEAU AUGUSTE PREMIUM POM BLANC SUCRE L INOX MAT BERLINGOT</v>
          </cell>
          <cell r="F1454">
            <v>12</v>
          </cell>
          <cell r="G1454">
            <v>12</v>
          </cell>
          <cell r="H1454">
            <v>32</v>
          </cell>
          <cell r="I1454">
            <v>15</v>
          </cell>
          <cell r="J1454">
            <v>8</v>
          </cell>
          <cell r="K1454">
            <v>1.048</v>
          </cell>
          <cell r="L1454">
            <v>8.7333333333333332E-2</v>
          </cell>
          <cell r="M1454">
            <v>3.8400000000000001E-3</v>
          </cell>
        </row>
        <row r="1455">
          <cell r="A1455">
            <v>10960016</v>
          </cell>
          <cell r="B1455">
            <v>3118220016958</v>
          </cell>
          <cell r="E1455" t="str">
            <v>COUTEAU AUGUSTE PREMIUM POM BLANC SUCRE REVETU NOIR BERLING</v>
          </cell>
          <cell r="F1455">
            <v>12</v>
          </cell>
          <cell r="G1455">
            <v>12</v>
          </cell>
          <cell r="H1455">
            <v>32</v>
          </cell>
          <cell r="I1455">
            <v>15</v>
          </cell>
          <cell r="J1455">
            <v>8</v>
          </cell>
          <cell r="K1455">
            <v>1.048</v>
          </cell>
          <cell r="L1455">
            <v>8.7333333333333332E-2</v>
          </cell>
          <cell r="M1455">
            <v>3.8400000000000001E-3</v>
          </cell>
        </row>
        <row r="1456">
          <cell r="A1456">
            <v>10960017</v>
          </cell>
          <cell r="B1456">
            <v>3118220016965</v>
          </cell>
          <cell r="E1456" t="str">
            <v>COUTEAU AUGUSTE PREMIUM POM GRIS PAVOT REVETU NOIR BERLINGO</v>
          </cell>
          <cell r="F1456">
            <v>12</v>
          </cell>
          <cell r="G1456">
            <v>12</v>
          </cell>
          <cell r="H1456">
            <v>32</v>
          </cell>
          <cell r="I1456">
            <v>15</v>
          </cell>
          <cell r="J1456">
            <v>8</v>
          </cell>
          <cell r="K1456">
            <v>1.048</v>
          </cell>
          <cell r="L1456">
            <v>8.7333333333333332E-2</v>
          </cell>
          <cell r="M1456">
            <v>3.8400000000000001E-3</v>
          </cell>
        </row>
        <row r="1457">
          <cell r="A1457">
            <v>10960020</v>
          </cell>
          <cell r="B1457">
            <v>3118220016996</v>
          </cell>
          <cell r="E1457" t="str">
            <v>COUTEAU AUGUSTE NATUREL PALISSANDRE LAME INOX MAT BERLINGOT</v>
          </cell>
          <cell r="F1457">
            <v>12</v>
          </cell>
          <cell r="G1457">
            <v>12</v>
          </cell>
          <cell r="H1457">
            <v>32</v>
          </cell>
          <cell r="I1457">
            <v>15</v>
          </cell>
          <cell r="J1457">
            <v>80</v>
          </cell>
          <cell r="K1457">
            <v>0.93600000000000005</v>
          </cell>
          <cell r="L1457">
            <v>7.8E-2</v>
          </cell>
          <cell r="M1457">
            <v>3.8399999999999997E-2</v>
          </cell>
        </row>
        <row r="1458">
          <cell r="A1458">
            <v>10960021</v>
          </cell>
          <cell r="B1458">
            <v>3118220017009</v>
          </cell>
          <cell r="E1458" t="str">
            <v>COUTEAU AUGUSTE NATUREL AMARANTE LAME INOX MAT BERLINGOT</v>
          </cell>
          <cell r="F1458">
            <v>12</v>
          </cell>
          <cell r="G1458">
            <v>12</v>
          </cell>
          <cell r="H1458">
            <v>32</v>
          </cell>
          <cell r="I1458">
            <v>15</v>
          </cell>
          <cell r="J1458">
            <v>8</v>
          </cell>
          <cell r="K1458">
            <v>0.96</v>
          </cell>
          <cell r="L1458">
            <v>0.08</v>
          </cell>
          <cell r="M1458">
            <v>3.8400000000000001E-3</v>
          </cell>
        </row>
        <row r="1459">
          <cell r="A1459">
            <v>10960022</v>
          </cell>
          <cell r="B1459">
            <v>3118220017016</v>
          </cell>
          <cell r="E1459" t="str">
            <v>COUTEAU AUGUSTE NATUREL CHENE VERT LAME INOX MAT BERLINGOT</v>
          </cell>
          <cell r="F1459">
            <v>12</v>
          </cell>
          <cell r="G1459">
            <v>12</v>
          </cell>
          <cell r="H1459">
            <v>32</v>
          </cell>
          <cell r="I1459">
            <v>15</v>
          </cell>
          <cell r="J1459">
            <v>8</v>
          </cell>
          <cell r="K1459">
            <v>0.97499999999999998</v>
          </cell>
          <cell r="L1459">
            <v>8.1250000000000003E-2</v>
          </cell>
          <cell r="M1459">
            <v>3.8400000000000001E-3</v>
          </cell>
        </row>
        <row r="1460">
          <cell r="A1460">
            <v>10960023</v>
          </cell>
          <cell r="B1460">
            <v>3118220017023</v>
          </cell>
          <cell r="E1460" t="str">
            <v>COUTEAU AUGUSTE NATUREL NOYER LAME INOX MAT BERLINGOT</v>
          </cell>
          <cell r="F1460">
            <v>12</v>
          </cell>
          <cell r="G1460">
            <v>12</v>
          </cell>
          <cell r="H1460">
            <v>32</v>
          </cell>
          <cell r="I1460">
            <v>15</v>
          </cell>
          <cell r="J1460">
            <v>8</v>
          </cell>
          <cell r="K1460">
            <v>0.89400000000000002</v>
          </cell>
          <cell r="L1460">
            <v>7.4499999999999997E-2</v>
          </cell>
          <cell r="M1460">
            <v>3.8400000000000001E-3</v>
          </cell>
        </row>
        <row r="1461">
          <cell r="A1461">
            <v>10960024</v>
          </cell>
          <cell r="B1461">
            <v>3118220017030</v>
          </cell>
          <cell r="E1461" t="str">
            <v>COUTEAU AUGUSTE NATUREL ERABLE LAME INOX MAT BERLINGOT</v>
          </cell>
          <cell r="F1461">
            <v>12</v>
          </cell>
          <cell r="G1461">
            <v>12</v>
          </cell>
          <cell r="H1461">
            <v>32</v>
          </cell>
          <cell r="I1461">
            <v>15</v>
          </cell>
          <cell r="J1461">
            <v>8</v>
          </cell>
          <cell r="K1461">
            <v>0.91200000000000003</v>
          </cell>
          <cell r="L1461">
            <v>7.5999999999999998E-2</v>
          </cell>
          <cell r="M1461">
            <v>3.8400000000000001E-3</v>
          </cell>
        </row>
        <row r="1462">
          <cell r="A1462">
            <v>10960025</v>
          </cell>
          <cell r="B1462">
            <v>3118220017047</v>
          </cell>
          <cell r="E1462" t="str">
            <v>COUTEAU AUGUSTE NATUREL CORNE NOIRE LAME INOX BRIL BERLINGOT</v>
          </cell>
          <cell r="F1462">
            <v>12</v>
          </cell>
          <cell r="G1462">
            <v>12</v>
          </cell>
          <cell r="H1462">
            <v>32</v>
          </cell>
          <cell r="I1462">
            <v>15</v>
          </cell>
          <cell r="J1462">
            <v>8</v>
          </cell>
          <cell r="K1462">
            <v>1.0129999999999999</v>
          </cell>
          <cell r="L1462">
            <v>8.4416666666666654E-2</v>
          </cell>
          <cell r="M1462">
            <v>3.8400000000000001E-3</v>
          </cell>
        </row>
        <row r="1463">
          <cell r="A1463">
            <v>10960033</v>
          </cell>
          <cell r="B1463">
            <v>3118220018174</v>
          </cell>
          <cell r="E1463" t="str">
            <v>COUTEAU AUGUSTE PREMIUM G10 ORANGE L INOX BRILLANT BERLINGOT</v>
          </cell>
          <cell r="F1463">
            <v>12</v>
          </cell>
          <cell r="G1463">
            <v>12</v>
          </cell>
          <cell r="H1463">
            <v>32</v>
          </cell>
          <cell r="I1463">
            <v>15</v>
          </cell>
          <cell r="J1463">
            <v>8</v>
          </cell>
          <cell r="K1463">
            <v>1.048</v>
          </cell>
          <cell r="L1463">
            <v>8.7333333333333332E-2</v>
          </cell>
          <cell r="M1463">
            <v>3.8400000000000001E-3</v>
          </cell>
        </row>
        <row r="1464">
          <cell r="A1464">
            <v>10960037</v>
          </cell>
          <cell r="B1464">
            <v>3118220018211</v>
          </cell>
          <cell r="E1464" t="str">
            <v>COUTEAU AUGUSTE PREMIUM G10 ORANGE L REVETU NOIR BERLINGOT</v>
          </cell>
          <cell r="F1464">
            <v>12</v>
          </cell>
          <cell r="G1464">
            <v>12</v>
          </cell>
          <cell r="H1464">
            <v>32</v>
          </cell>
          <cell r="I1464">
            <v>15</v>
          </cell>
          <cell r="J1464">
            <v>8</v>
          </cell>
          <cell r="K1464">
            <v>1.048</v>
          </cell>
          <cell r="L1464">
            <v>8.7333333333333332E-2</v>
          </cell>
          <cell r="M1464">
            <v>3.8400000000000001E-3</v>
          </cell>
        </row>
        <row r="1465">
          <cell r="A1465">
            <v>10960039</v>
          </cell>
          <cell r="B1465">
            <v>3118220018235</v>
          </cell>
          <cell r="E1465" t="str">
            <v>COUTEAU AUGUSTE EXCLUSIVE POM BLANC PUR L INOX MAT BERLINGOT</v>
          </cell>
          <cell r="F1465">
            <v>12</v>
          </cell>
          <cell r="G1465">
            <v>12</v>
          </cell>
          <cell r="H1465">
            <v>32</v>
          </cell>
          <cell r="I1465">
            <v>15</v>
          </cell>
          <cell r="J1465">
            <v>8</v>
          </cell>
          <cell r="K1465">
            <v>1.048</v>
          </cell>
          <cell r="L1465">
            <v>8.7333333333333332E-2</v>
          </cell>
          <cell r="M1465">
            <v>3.8400000000000001E-3</v>
          </cell>
        </row>
        <row r="1466">
          <cell r="A1466">
            <v>10960040</v>
          </cell>
          <cell r="B1466">
            <v>3118220018242</v>
          </cell>
          <cell r="E1466" t="str">
            <v>COUTEAU AUGUSTE EXCLUSIVE POM NOIR LAME INOX MAT BERLINGOT</v>
          </cell>
          <cell r="F1466">
            <v>12</v>
          </cell>
          <cell r="G1466">
            <v>12</v>
          </cell>
          <cell r="H1466">
            <v>32</v>
          </cell>
          <cell r="I1466">
            <v>15</v>
          </cell>
          <cell r="J1466">
            <v>8</v>
          </cell>
          <cell r="K1466">
            <v>1.048</v>
          </cell>
          <cell r="L1466">
            <v>8.7333333333333332E-2</v>
          </cell>
          <cell r="M1466">
            <v>3.8400000000000001E-3</v>
          </cell>
        </row>
        <row r="1467">
          <cell r="A1467">
            <v>10960041</v>
          </cell>
          <cell r="B1467">
            <v>3118220018259</v>
          </cell>
          <cell r="E1467" t="str">
            <v>COUTEAU AUGUSTE EXCLUSIVE POM GRIS LAME INOX MAT BERLINGOT</v>
          </cell>
          <cell r="F1467">
            <v>12</v>
          </cell>
          <cell r="G1467">
            <v>12</v>
          </cell>
          <cell r="H1467">
            <v>32</v>
          </cell>
          <cell r="I1467">
            <v>15</v>
          </cell>
          <cell r="J1467">
            <v>8</v>
          </cell>
          <cell r="K1467">
            <v>1.05</v>
          </cell>
          <cell r="L1467">
            <v>8.7500000000000008E-2</v>
          </cell>
          <cell r="M1467">
            <v>3.8400000000000001E-3</v>
          </cell>
        </row>
        <row r="1468">
          <cell r="A1468">
            <v>10960042</v>
          </cell>
          <cell r="B1468">
            <v>3118220018266</v>
          </cell>
          <cell r="E1468" t="str">
            <v>COUTEAU AUGUSTE EXCLUSIVE EBENE LAME INOX MAT BERLINGOT</v>
          </cell>
          <cell r="F1468">
            <v>12</v>
          </cell>
          <cell r="G1468">
            <v>12</v>
          </cell>
          <cell r="H1468">
            <v>32</v>
          </cell>
          <cell r="I1468">
            <v>15</v>
          </cell>
          <cell r="J1468">
            <v>8</v>
          </cell>
          <cell r="K1468">
            <v>0.98799999999999999</v>
          </cell>
          <cell r="L1468">
            <v>8.2333333333333328E-2</v>
          </cell>
          <cell r="M1468">
            <v>3.8400000000000001E-3</v>
          </cell>
        </row>
        <row r="1469">
          <cell r="A1469">
            <v>10960046</v>
          </cell>
          <cell r="B1469">
            <v>3118220018471</v>
          </cell>
          <cell r="E1469" t="str">
            <v>COUTEAU AUGUSTE PREMIUM G10 KAKI BRILLANT BERLINGOT</v>
          </cell>
          <cell r="F1469">
            <v>12</v>
          </cell>
          <cell r="G1469">
            <v>12</v>
          </cell>
          <cell r="H1469">
            <v>32</v>
          </cell>
          <cell r="I1469">
            <v>15</v>
          </cell>
          <cell r="J1469">
            <v>8</v>
          </cell>
          <cell r="K1469">
            <v>1.048</v>
          </cell>
          <cell r="L1469">
            <v>8.7333333333333332E-2</v>
          </cell>
          <cell r="M1469">
            <v>3.8400000000000001E-3</v>
          </cell>
        </row>
        <row r="1470">
          <cell r="A1470">
            <v>10960049</v>
          </cell>
          <cell r="B1470">
            <v>3118220018808</v>
          </cell>
          <cell r="E1470" t="str">
            <v>COFFRET BI MAT 6 COUTEAUX AUGUSTE ABS BLEU D'AUVERGNE</v>
          </cell>
          <cell r="F1470">
            <v>6</v>
          </cell>
          <cell r="G1470">
            <v>6</v>
          </cell>
          <cell r="H1470">
            <v>40</v>
          </cell>
          <cell r="I1470">
            <v>30</v>
          </cell>
          <cell r="J1470">
            <v>24.5</v>
          </cell>
          <cell r="K1470">
            <v>5.9290000000000003</v>
          </cell>
          <cell r="L1470">
            <v>0.98816666666666675</v>
          </cell>
          <cell r="M1470">
            <v>2.9399999999999999E-2</v>
          </cell>
        </row>
        <row r="1471">
          <cell r="A1471">
            <v>10960054</v>
          </cell>
          <cell r="B1471">
            <v>3118220018853</v>
          </cell>
          <cell r="E1471" t="str">
            <v>TUBO NOIR 6 COUTEAUX AUGUSTE ABS MULTICOLOR</v>
          </cell>
          <cell r="F1471">
            <v>6</v>
          </cell>
          <cell r="G1471">
            <v>6</v>
          </cell>
          <cell r="H1471">
            <v>32</v>
          </cell>
          <cell r="I1471">
            <v>29</v>
          </cell>
          <cell r="J1471">
            <v>15</v>
          </cell>
          <cell r="K1471">
            <v>2.226</v>
          </cell>
          <cell r="L1471">
            <v>0.371</v>
          </cell>
          <cell r="M1471">
            <v>1.3919999999999998E-2</v>
          </cell>
        </row>
        <row r="1472">
          <cell r="A1472">
            <v>10960064</v>
          </cell>
          <cell r="B1472">
            <v>3118220018952</v>
          </cell>
          <cell r="E1472" t="str">
            <v>TUBO NOIR 6 COUT AUGUSTE PREMIUM POM NOIR CAVIAR L MAT</v>
          </cell>
          <cell r="F1472">
            <v>6</v>
          </cell>
          <cell r="G1472">
            <v>6</v>
          </cell>
          <cell r="H1472">
            <v>32</v>
          </cell>
          <cell r="I1472">
            <v>29</v>
          </cell>
          <cell r="J1472">
            <v>15</v>
          </cell>
          <cell r="K1472">
            <v>3.226</v>
          </cell>
          <cell r="L1472">
            <v>0.53766666666666663</v>
          </cell>
          <cell r="M1472">
            <v>1.3919999999999998E-2</v>
          </cell>
        </row>
        <row r="1473">
          <cell r="A1473">
            <v>10960065</v>
          </cell>
          <cell r="B1473">
            <v>3118220018969</v>
          </cell>
          <cell r="E1473" t="str">
            <v>TUBO NOIR 6 COUT AUGUSTE PREMIUM POM GRIS PAVOT L MAT</v>
          </cell>
          <cell r="F1473">
            <v>6</v>
          </cell>
          <cell r="G1473">
            <v>6</v>
          </cell>
          <cell r="H1473">
            <v>32</v>
          </cell>
          <cell r="I1473">
            <v>29</v>
          </cell>
          <cell r="J1473">
            <v>15</v>
          </cell>
          <cell r="K1473">
            <v>3.036</v>
          </cell>
          <cell r="L1473">
            <v>0.50600000000000001</v>
          </cell>
          <cell r="M1473">
            <v>1.3919999999999998E-2</v>
          </cell>
        </row>
        <row r="1474">
          <cell r="A1474">
            <v>10960066</v>
          </cell>
          <cell r="B1474">
            <v>3118220018976</v>
          </cell>
          <cell r="E1474" t="str">
            <v>TUBO NOIR 6 COUT AUGUSTE PREMIUM POM BLANC SUCRE GLACE L MAT</v>
          </cell>
          <cell r="F1474">
            <v>6</v>
          </cell>
          <cell r="G1474">
            <v>6</v>
          </cell>
          <cell r="H1474">
            <v>32</v>
          </cell>
          <cell r="I1474">
            <v>29</v>
          </cell>
          <cell r="J1474">
            <v>15</v>
          </cell>
          <cell r="K1474">
            <v>3.036</v>
          </cell>
          <cell r="L1474">
            <v>0.50600000000000001</v>
          </cell>
          <cell r="M1474">
            <v>1.3919999999999998E-2</v>
          </cell>
        </row>
        <row r="1475">
          <cell r="A1475">
            <v>10960067</v>
          </cell>
          <cell r="B1475">
            <v>3118220018983</v>
          </cell>
          <cell r="E1475" t="str">
            <v>TUBO NOIR 6 COUT AUGUSTE PREMIUM POM GRIS PAVOT REVETU NOIR</v>
          </cell>
          <cell r="F1475">
            <v>6</v>
          </cell>
          <cell r="G1475">
            <v>6</v>
          </cell>
          <cell r="H1475">
            <v>32</v>
          </cell>
          <cell r="I1475">
            <v>29</v>
          </cell>
          <cell r="J1475">
            <v>15</v>
          </cell>
          <cell r="K1475">
            <v>3.3260000000000001</v>
          </cell>
          <cell r="L1475">
            <v>0.55433333333333334</v>
          </cell>
          <cell r="M1475">
            <v>1.3919999999999998E-2</v>
          </cell>
        </row>
        <row r="1476">
          <cell r="A1476">
            <v>10960068</v>
          </cell>
          <cell r="B1476">
            <v>3118220018990</v>
          </cell>
          <cell r="E1476" t="str">
            <v>TUBO NOIR 6COUT AUGUSTE PREMIUM POM BLANC SUCRE G REVET NOIR</v>
          </cell>
          <cell r="F1476">
            <v>6</v>
          </cell>
          <cell r="G1476">
            <v>6</v>
          </cell>
          <cell r="H1476">
            <v>32</v>
          </cell>
          <cell r="I1476">
            <v>29</v>
          </cell>
          <cell r="J1476">
            <v>15</v>
          </cell>
          <cell r="K1476">
            <v>3.3260000000000001</v>
          </cell>
          <cell r="L1476">
            <v>0.55433333333333334</v>
          </cell>
          <cell r="M1476">
            <v>1.3919999999999998E-2</v>
          </cell>
        </row>
        <row r="1477">
          <cell r="A1477">
            <v>10960072</v>
          </cell>
          <cell r="B1477">
            <v>3118220019034</v>
          </cell>
          <cell r="E1477" t="str">
            <v>COFFRET BI MAT 6 COUT AUGUSTE NATUREL CHENE VERT L INOX MAT</v>
          </cell>
          <cell r="F1477">
            <v>6</v>
          </cell>
          <cell r="G1477">
            <v>6</v>
          </cell>
          <cell r="H1477">
            <v>40</v>
          </cell>
          <cell r="I1477">
            <v>30</v>
          </cell>
          <cell r="J1477">
            <v>24.5</v>
          </cell>
          <cell r="K1477">
            <v>6.1079999999999997</v>
          </cell>
          <cell r="L1477">
            <v>1.018</v>
          </cell>
          <cell r="M1477">
            <v>2.9399999999999999E-2</v>
          </cell>
        </row>
        <row r="1478">
          <cell r="A1478">
            <v>10960074</v>
          </cell>
          <cell r="B1478">
            <v>3118220019058</v>
          </cell>
          <cell r="E1478" t="str">
            <v>COFFRET BI MAT 6 COUT AUGUSTE NATUREL ERABLE L INOX MAT</v>
          </cell>
          <cell r="F1478">
            <v>6</v>
          </cell>
          <cell r="G1478">
            <v>6</v>
          </cell>
          <cell r="H1478">
            <v>40</v>
          </cell>
          <cell r="I1478">
            <v>30</v>
          </cell>
          <cell r="J1478">
            <v>24.5</v>
          </cell>
          <cell r="K1478">
            <v>5.9160000000000004</v>
          </cell>
          <cell r="L1478">
            <v>0.9860000000000001</v>
          </cell>
          <cell r="M1478">
            <v>2.9399999999999999E-2</v>
          </cell>
        </row>
        <row r="1479">
          <cell r="A1479">
            <v>10960075</v>
          </cell>
          <cell r="B1479">
            <v>3118220019065</v>
          </cell>
          <cell r="E1479" t="str">
            <v>TUBO NOIR 6 COUT AUGUSTE NATUREL EBENE LAME INOX MAT</v>
          </cell>
          <cell r="F1479">
            <v>6</v>
          </cell>
          <cell r="G1479">
            <v>6</v>
          </cell>
          <cell r="H1479">
            <v>32</v>
          </cell>
          <cell r="I1479">
            <v>29</v>
          </cell>
          <cell r="J1479">
            <v>15</v>
          </cell>
          <cell r="K1479">
            <v>3.1579999999999999</v>
          </cell>
          <cell r="L1479">
            <v>0.52633333333333332</v>
          </cell>
          <cell r="M1479">
            <v>1.3919999999999998E-2</v>
          </cell>
        </row>
        <row r="1480">
          <cell r="A1480">
            <v>10960076</v>
          </cell>
          <cell r="B1480">
            <v>3118220019072</v>
          </cell>
          <cell r="E1480" t="str">
            <v>TUBO NOIR 6 COUT AUGUSTE NATUREL PALISSANDRE LAME INOX MAT</v>
          </cell>
          <cell r="F1480">
            <v>6</v>
          </cell>
          <cell r="G1480">
            <v>6</v>
          </cell>
          <cell r="H1480">
            <v>32</v>
          </cell>
          <cell r="I1480">
            <v>29</v>
          </cell>
          <cell r="J1480">
            <v>15</v>
          </cell>
          <cell r="K1480">
            <v>2.99</v>
          </cell>
          <cell r="L1480">
            <v>0.49833333333333335</v>
          </cell>
          <cell r="M1480">
            <v>1.3919999999999998E-2</v>
          </cell>
        </row>
        <row r="1481">
          <cell r="A1481">
            <v>10960077</v>
          </cell>
          <cell r="B1481">
            <v>3118220019089</v>
          </cell>
          <cell r="E1481" t="str">
            <v>TUBO NOIR 6 COUT AUGUSTE NATUREL AMARANTE LAME INOX MAT</v>
          </cell>
          <cell r="F1481">
            <v>6</v>
          </cell>
          <cell r="G1481">
            <v>6</v>
          </cell>
          <cell r="H1481">
            <v>32</v>
          </cell>
          <cell r="I1481">
            <v>29</v>
          </cell>
          <cell r="J1481">
            <v>15</v>
          </cell>
          <cell r="K1481">
            <v>3.08</v>
          </cell>
          <cell r="L1481">
            <v>0.51333333333333331</v>
          </cell>
          <cell r="M1481">
            <v>1.3919999999999998E-2</v>
          </cell>
        </row>
        <row r="1482">
          <cell r="A1482">
            <v>10960078</v>
          </cell>
          <cell r="B1482">
            <v>3118220019096</v>
          </cell>
          <cell r="E1482" t="str">
            <v>TUBO NOIR 6 COUT AUGUSTE NATUREL CHENE VERT LAME INOX MAT</v>
          </cell>
          <cell r="F1482">
            <v>6</v>
          </cell>
          <cell r="G1482">
            <v>6</v>
          </cell>
          <cell r="H1482">
            <v>32</v>
          </cell>
          <cell r="I1482">
            <v>29</v>
          </cell>
          <cell r="J1482">
            <v>15</v>
          </cell>
          <cell r="K1482">
            <v>3.1</v>
          </cell>
          <cell r="L1482">
            <v>0.51666666666666672</v>
          </cell>
          <cell r="M1482">
            <v>1.3919999999999998E-2</v>
          </cell>
        </row>
        <row r="1483">
          <cell r="A1483">
            <v>10960079</v>
          </cell>
          <cell r="B1483">
            <v>3118220019102</v>
          </cell>
          <cell r="E1483" t="str">
            <v>TUBO NOIR 6 COUT AUGUSTE NATUREL NOYER LAME INOX MAT</v>
          </cell>
          <cell r="F1483">
            <v>6</v>
          </cell>
          <cell r="G1483">
            <v>6</v>
          </cell>
          <cell r="H1483">
            <v>32</v>
          </cell>
          <cell r="I1483">
            <v>29</v>
          </cell>
          <cell r="J1483">
            <v>15</v>
          </cell>
          <cell r="K1483">
            <v>3.3260000000000001</v>
          </cell>
          <cell r="L1483">
            <v>0.55433333333333334</v>
          </cell>
          <cell r="M1483">
            <v>1.3919999999999998E-2</v>
          </cell>
        </row>
        <row r="1484">
          <cell r="A1484">
            <v>10960080</v>
          </cell>
          <cell r="B1484">
            <v>3118220019119</v>
          </cell>
          <cell r="E1484" t="str">
            <v>TUBO NOIR 6 COUT AUGUSTE NATUREL ERABLE LAME INOX MAT</v>
          </cell>
          <cell r="F1484">
            <v>6</v>
          </cell>
          <cell r="G1484">
            <v>6</v>
          </cell>
          <cell r="H1484">
            <v>32</v>
          </cell>
          <cell r="I1484">
            <v>29</v>
          </cell>
          <cell r="J1484">
            <v>15</v>
          </cell>
          <cell r="K1484">
            <v>2.9239999999999999</v>
          </cell>
          <cell r="L1484">
            <v>0.48733333333333334</v>
          </cell>
          <cell r="M1484">
            <v>1.3919999999999998E-2</v>
          </cell>
        </row>
        <row r="1485">
          <cell r="A1485">
            <v>10960083</v>
          </cell>
          <cell r="B1485">
            <v>3118220022713</v>
          </cell>
          <cell r="E1485" t="str">
            <v>COUTEAU AUGUSTE ABS NOIR SOUS BERLINGOT</v>
          </cell>
          <cell r="F1485">
            <v>12</v>
          </cell>
          <cell r="G1485">
            <v>12</v>
          </cell>
          <cell r="H1485">
            <v>32</v>
          </cell>
          <cell r="I1485">
            <v>15</v>
          </cell>
          <cell r="J1485">
            <v>8</v>
          </cell>
          <cell r="K1485">
            <v>0.66</v>
          </cell>
          <cell r="L1485">
            <v>5.5E-2</v>
          </cell>
          <cell r="M1485">
            <v>3.8400000000000001E-3</v>
          </cell>
        </row>
        <row r="1486">
          <cell r="A1486">
            <v>10960087</v>
          </cell>
          <cell r="B1486">
            <v>3118220026346</v>
          </cell>
          <cell r="E1486" t="str">
            <v>COFFRET BOIS 4 COUT AUGUSTE PREMIUM POM NOIR CAVIAR L INOX</v>
          </cell>
          <cell r="F1486">
            <v>6</v>
          </cell>
          <cell r="G1486">
            <v>6</v>
          </cell>
          <cell r="H1486">
            <v>31</v>
          </cell>
          <cell r="I1486">
            <v>29</v>
          </cell>
          <cell r="J1486">
            <v>13</v>
          </cell>
          <cell r="K1486">
            <v>4.1100000000000003</v>
          </cell>
          <cell r="L1486">
            <v>0.68500000000000005</v>
          </cell>
          <cell r="M1486">
            <v>1.1687000000000001E-2</v>
          </cell>
        </row>
        <row r="1487">
          <cell r="A1487">
            <v>10960088</v>
          </cell>
          <cell r="B1487">
            <v>3118220026353</v>
          </cell>
          <cell r="E1487" t="str">
            <v>COFFRET BOIS 4 COUT AUGUSTE PREMIUM POM BLANC SUCRE G L INOX</v>
          </cell>
          <cell r="F1487">
            <v>6</v>
          </cell>
          <cell r="G1487">
            <v>6</v>
          </cell>
          <cell r="H1487">
            <v>31</v>
          </cell>
          <cell r="I1487">
            <v>29</v>
          </cell>
          <cell r="J1487">
            <v>13</v>
          </cell>
          <cell r="K1487">
            <v>4.1100000000000003</v>
          </cell>
          <cell r="L1487">
            <v>0.68500000000000005</v>
          </cell>
          <cell r="M1487">
            <v>1.1687000000000001E-2</v>
          </cell>
        </row>
        <row r="1488">
          <cell r="A1488">
            <v>10960090</v>
          </cell>
          <cell r="B1488">
            <v>3118220028029</v>
          </cell>
          <cell r="E1488" t="str">
            <v>TUBO NOIR 6 COUT AUGUSTE NATUREL ASSORTI 6 ESS LAME INOX MAT</v>
          </cell>
          <cell r="F1488">
            <v>6</v>
          </cell>
          <cell r="G1488">
            <v>6</v>
          </cell>
          <cell r="H1488">
            <v>32</v>
          </cell>
          <cell r="I1488">
            <v>29</v>
          </cell>
          <cell r="J1488">
            <v>15</v>
          </cell>
          <cell r="K1488">
            <v>2.9969999999999999</v>
          </cell>
          <cell r="L1488">
            <v>0.4995</v>
          </cell>
          <cell r="M1488">
            <v>1.3919999999999998E-2</v>
          </cell>
        </row>
        <row r="1489">
          <cell r="A1489">
            <v>10960091</v>
          </cell>
          <cell r="B1489">
            <v>3118220042902</v>
          </cell>
          <cell r="E1489" t="str">
            <v>COFFRET BOIS 4 COUTEAUX AUGUSTE ABS NOIR</v>
          </cell>
          <cell r="F1489">
            <v>6</v>
          </cell>
          <cell r="G1489">
            <v>6</v>
          </cell>
          <cell r="H1489">
            <v>31</v>
          </cell>
          <cell r="I1489">
            <v>29</v>
          </cell>
          <cell r="J1489">
            <v>13.5</v>
          </cell>
          <cell r="K1489">
            <v>3.6</v>
          </cell>
          <cell r="L1489">
            <v>0.6</v>
          </cell>
          <cell r="M1489">
            <v>1.2136500000000001E-2</v>
          </cell>
        </row>
        <row r="1490">
          <cell r="A1490">
            <v>10960092</v>
          </cell>
          <cell r="B1490">
            <v>3118220042919</v>
          </cell>
          <cell r="E1490" t="str">
            <v>COFFRET BOIS 4 COUTEAUX AUGUSTE ABS VERT PISTACHE</v>
          </cell>
          <cell r="F1490">
            <v>6</v>
          </cell>
          <cell r="G1490">
            <v>6</v>
          </cell>
          <cell r="H1490">
            <v>31</v>
          </cell>
          <cell r="I1490">
            <v>29</v>
          </cell>
          <cell r="J1490">
            <v>13.5</v>
          </cell>
          <cell r="K1490">
            <v>3.6</v>
          </cell>
          <cell r="L1490">
            <v>0.6</v>
          </cell>
          <cell r="M1490">
            <v>1.2136500000000001E-2</v>
          </cell>
        </row>
        <row r="1491">
          <cell r="A1491">
            <v>10960093</v>
          </cell>
          <cell r="B1491">
            <v>3118220042926</v>
          </cell>
          <cell r="E1491" t="str">
            <v>COFFRET BOIS 4 COUTEAUX AUGUSTE ABS ROUGE GROSEILLE</v>
          </cell>
          <cell r="F1491">
            <v>6</v>
          </cell>
          <cell r="G1491">
            <v>6</v>
          </cell>
          <cell r="H1491">
            <v>31</v>
          </cell>
          <cell r="I1491">
            <v>29</v>
          </cell>
          <cell r="J1491">
            <v>13.5</v>
          </cell>
          <cell r="K1491">
            <v>3.6</v>
          </cell>
          <cell r="L1491">
            <v>0.6</v>
          </cell>
          <cell r="M1491">
            <v>1.2136500000000001E-2</v>
          </cell>
        </row>
        <row r="1492">
          <cell r="A1492">
            <v>10960094</v>
          </cell>
          <cell r="B1492">
            <v>3118220043046</v>
          </cell>
          <cell r="E1492" t="str">
            <v>COFFRET BOIS 4 COUTEAUX AUGUSTE ABS BLANC CHANTILLY</v>
          </cell>
          <cell r="F1492">
            <v>6</v>
          </cell>
          <cell r="G1492">
            <v>6</v>
          </cell>
          <cell r="H1492">
            <v>31</v>
          </cell>
          <cell r="I1492">
            <v>29</v>
          </cell>
          <cell r="J1492">
            <v>13.5</v>
          </cell>
          <cell r="K1492">
            <v>3.6</v>
          </cell>
          <cell r="L1492">
            <v>0.6</v>
          </cell>
          <cell r="M1492">
            <v>1.2136500000000001E-2</v>
          </cell>
        </row>
        <row r="1493">
          <cell r="A1493">
            <v>10960095</v>
          </cell>
          <cell r="B1493">
            <v>3118220043053</v>
          </cell>
          <cell r="E1493" t="str">
            <v>COFFRET BOIS 4 COUTEAUX AUGUSTE ABS GRIS POIVRE</v>
          </cell>
          <cell r="F1493">
            <v>6</v>
          </cell>
          <cell r="G1493">
            <v>6</v>
          </cell>
          <cell r="H1493">
            <v>29</v>
          </cell>
          <cell r="I1493">
            <v>18</v>
          </cell>
          <cell r="J1493">
            <v>18</v>
          </cell>
          <cell r="K1493">
            <v>3.621</v>
          </cell>
          <cell r="L1493">
            <v>0.60350000000000004</v>
          </cell>
          <cell r="M1493">
            <v>9.3959999999999998E-3</v>
          </cell>
        </row>
        <row r="1494">
          <cell r="A1494">
            <v>11000001</v>
          </cell>
          <cell r="B1494">
            <v>3118220014114</v>
          </cell>
          <cell r="E1494" t="str">
            <v>CHEF SILICONE FOURREAU COUTEAU DU CHEF</v>
          </cell>
          <cell r="F1494">
            <v>54</v>
          </cell>
          <cell r="G1494">
            <v>6</v>
          </cell>
          <cell r="H1494">
            <v>40</v>
          </cell>
          <cell r="I1494">
            <v>30</v>
          </cell>
          <cell r="J1494">
            <v>20</v>
          </cell>
          <cell r="K1494">
            <v>8.64</v>
          </cell>
          <cell r="L1494">
            <v>0.16</v>
          </cell>
          <cell r="M1494">
            <v>2.4E-2</v>
          </cell>
        </row>
        <row r="1495">
          <cell r="A1495">
            <v>11000002</v>
          </cell>
          <cell r="B1495">
            <v>3118220014121</v>
          </cell>
          <cell r="E1495" t="str">
            <v>CUISINE 19 SILICONE FOURREAU COUTEAU DU CHEF</v>
          </cell>
          <cell r="F1495">
            <v>54</v>
          </cell>
          <cell r="G1495">
            <v>6</v>
          </cell>
          <cell r="H1495">
            <v>30</v>
          </cell>
          <cell r="I1495">
            <v>30</v>
          </cell>
          <cell r="J1495">
            <v>20</v>
          </cell>
          <cell r="K1495">
            <v>8.1</v>
          </cell>
          <cell r="L1495">
            <v>0.15</v>
          </cell>
          <cell r="M1495">
            <v>1.7999999999999999E-2</v>
          </cell>
        </row>
        <row r="1496">
          <cell r="A1496">
            <v>11000003</v>
          </cell>
          <cell r="B1496">
            <v>3118220014138</v>
          </cell>
          <cell r="E1496" t="str">
            <v>SANTUKO 16 SILICONE FOURREAU COUTEAU DU CHEF</v>
          </cell>
          <cell r="F1496">
            <v>54</v>
          </cell>
          <cell r="G1496">
            <v>6</v>
          </cell>
          <cell r="H1496">
            <v>40</v>
          </cell>
          <cell r="I1496">
            <v>30</v>
          </cell>
          <cell r="J1496">
            <v>20</v>
          </cell>
          <cell r="K1496">
            <v>8.3339999999999996</v>
          </cell>
          <cell r="L1496">
            <v>0.15433333333333332</v>
          </cell>
          <cell r="M1496">
            <v>2.4E-2</v>
          </cell>
        </row>
        <row r="1497">
          <cell r="A1497">
            <v>11000004</v>
          </cell>
          <cell r="B1497">
            <v>3118220014145</v>
          </cell>
          <cell r="E1497" t="str">
            <v>STEAK SILICONE COULEUR PANACHEE FOURREAU COUTEAU DU CHEF</v>
          </cell>
          <cell r="F1497">
            <v>150</v>
          </cell>
          <cell r="G1497">
            <v>6</v>
          </cell>
          <cell r="H1497">
            <v>40</v>
          </cell>
          <cell r="I1497">
            <v>30</v>
          </cell>
          <cell r="J1497">
            <v>20</v>
          </cell>
          <cell r="K1497">
            <v>9.4499999999999993</v>
          </cell>
          <cell r="L1497">
            <v>6.3E-2</v>
          </cell>
          <cell r="M1497">
            <v>2.4E-2</v>
          </cell>
        </row>
        <row r="1498">
          <cell r="A1498">
            <v>11000005</v>
          </cell>
          <cell r="B1498">
            <v>3118220014152</v>
          </cell>
          <cell r="E1498" t="str">
            <v>OFFICE SILICONE GALET 429C FOURREAU COUTEAU DU CHEF</v>
          </cell>
          <cell r="F1498">
            <v>150</v>
          </cell>
          <cell r="G1498">
            <v>6</v>
          </cell>
          <cell r="H1498">
            <v>40</v>
          </cell>
          <cell r="I1498">
            <v>30</v>
          </cell>
          <cell r="J1498">
            <v>20</v>
          </cell>
          <cell r="K1498">
            <v>9.4320000000000004</v>
          </cell>
          <cell r="L1498">
            <v>6.2880000000000005E-2</v>
          </cell>
          <cell r="M1498">
            <v>2.4E-2</v>
          </cell>
        </row>
        <row r="1499">
          <cell r="A1499">
            <v>11000006</v>
          </cell>
          <cell r="B1499">
            <v>3118220020733</v>
          </cell>
          <cell r="C1499" t="str">
            <v>13118220020730</v>
          </cell>
          <cell r="D1499" t="str">
            <v>23118220020737</v>
          </cell>
          <cell r="E1499" t="str">
            <v>OFFICE CERAMIQUE SILICONE MANCHE ET LAME BLANC BLISTER PEGB</v>
          </cell>
          <cell r="F1499">
            <v>18</v>
          </cell>
          <cell r="G1499">
            <v>6</v>
          </cell>
          <cell r="H1499">
            <v>32</v>
          </cell>
          <cell r="I1499">
            <v>30.5</v>
          </cell>
          <cell r="J1499">
            <v>14</v>
          </cell>
          <cell r="K1499">
            <v>1.26</v>
          </cell>
          <cell r="L1499">
            <v>7.0000000000000007E-2</v>
          </cell>
          <cell r="M1499">
            <v>1.3663999999999999E-2</v>
          </cell>
        </row>
        <row r="1500">
          <cell r="A1500">
            <v>11000007</v>
          </cell>
          <cell r="B1500">
            <v>3118220020740</v>
          </cell>
          <cell r="C1500" t="str">
            <v>13118220020747</v>
          </cell>
          <cell r="D1500" t="str">
            <v>23118220020744</v>
          </cell>
          <cell r="E1500" t="str">
            <v>STEAK CERAMIQUE SILICONE MANCHE ET LAME BLANC BLISTER PEGB</v>
          </cell>
          <cell r="F1500">
            <v>18</v>
          </cell>
          <cell r="G1500">
            <v>6</v>
          </cell>
          <cell r="H1500">
            <v>32</v>
          </cell>
          <cell r="I1500">
            <v>30.5</v>
          </cell>
          <cell r="J1500">
            <v>14</v>
          </cell>
          <cell r="K1500">
            <v>1.3140000000000001</v>
          </cell>
          <cell r="L1500">
            <v>7.3000000000000009E-2</v>
          </cell>
          <cell r="M1500">
            <v>1.3663999999999999E-2</v>
          </cell>
        </row>
        <row r="1501">
          <cell r="A1501">
            <v>11000008</v>
          </cell>
          <cell r="B1501">
            <v>3118220020757</v>
          </cell>
          <cell r="C1501" t="str">
            <v>13118220020754</v>
          </cell>
          <cell r="D1501" t="str">
            <v>23118220020751</v>
          </cell>
          <cell r="E1501" t="str">
            <v>CUISINE CERAMIQUE SILICONE MANCHE ET LAME BLANC BLISTER PEGB</v>
          </cell>
          <cell r="F1501">
            <v>18</v>
          </cell>
          <cell r="G1501">
            <v>6</v>
          </cell>
          <cell r="H1501">
            <v>36</v>
          </cell>
          <cell r="I1501">
            <v>36</v>
          </cell>
          <cell r="J1501">
            <v>16</v>
          </cell>
          <cell r="K1501">
            <v>2.52</v>
          </cell>
          <cell r="L1501">
            <v>0.14000000000000001</v>
          </cell>
          <cell r="M1501">
            <v>2.0735999999999997E-2</v>
          </cell>
        </row>
        <row r="1502">
          <cell r="A1502">
            <v>11000009</v>
          </cell>
          <cell r="B1502">
            <v>3118220020764</v>
          </cell>
          <cell r="C1502" t="str">
            <v>13118220020761</v>
          </cell>
          <cell r="D1502" t="str">
            <v>23118220020768</v>
          </cell>
          <cell r="E1502" t="str">
            <v>SANTUKO CERAMIQUE SILICONE MANCHE ET LAME BLANC BLISTER PEGB</v>
          </cell>
          <cell r="F1502">
            <v>18</v>
          </cell>
          <cell r="G1502">
            <v>6</v>
          </cell>
          <cell r="H1502">
            <v>37</v>
          </cell>
          <cell r="I1502">
            <v>36</v>
          </cell>
          <cell r="J1502">
            <v>16</v>
          </cell>
          <cell r="K1502">
            <v>3.036</v>
          </cell>
          <cell r="L1502">
            <v>0.16866666666666666</v>
          </cell>
          <cell r="M1502">
            <v>2.1312000000000001E-2</v>
          </cell>
        </row>
        <row r="1503">
          <cell r="A1503">
            <v>11000010</v>
          </cell>
          <cell r="B1503">
            <v>3118220020771</v>
          </cell>
          <cell r="C1503" t="str">
            <v>13118220020778</v>
          </cell>
          <cell r="D1503" t="str">
            <v>23118220020775</v>
          </cell>
          <cell r="E1503" t="str">
            <v>OFFICE CERAMIQUE SILICONE MANCHE ET LAME NOIR BLISTER PEGB</v>
          </cell>
          <cell r="F1503">
            <v>18</v>
          </cell>
          <cell r="G1503">
            <v>6</v>
          </cell>
          <cell r="H1503">
            <v>32</v>
          </cell>
          <cell r="I1503">
            <v>30.5</v>
          </cell>
          <cell r="J1503">
            <v>14</v>
          </cell>
          <cell r="K1503">
            <v>1.3919999999999999</v>
          </cell>
          <cell r="L1503">
            <v>7.7333333333333323E-2</v>
          </cell>
          <cell r="M1503">
            <v>1.3663999999999999E-2</v>
          </cell>
        </row>
        <row r="1504">
          <cell r="A1504">
            <v>11000011</v>
          </cell>
          <cell r="B1504">
            <v>3118220020788</v>
          </cell>
          <cell r="C1504" t="str">
            <v>13118220020785</v>
          </cell>
          <cell r="D1504" t="str">
            <v>23118220020782</v>
          </cell>
          <cell r="E1504" t="str">
            <v>STEAK CERAMIQUE SILICONE MANCHE ET LAME NOIR BLISTER PEGB</v>
          </cell>
          <cell r="F1504">
            <v>18</v>
          </cell>
          <cell r="G1504">
            <v>6</v>
          </cell>
          <cell r="H1504">
            <v>32</v>
          </cell>
          <cell r="I1504">
            <v>30.5</v>
          </cell>
          <cell r="J1504">
            <v>14</v>
          </cell>
          <cell r="K1504">
            <v>1.3320000000000001</v>
          </cell>
          <cell r="L1504">
            <v>7.400000000000001E-2</v>
          </cell>
          <cell r="M1504">
            <v>1.3663999999999999E-2</v>
          </cell>
        </row>
        <row r="1505">
          <cell r="A1505">
            <v>11000012</v>
          </cell>
          <cell r="B1505">
            <v>3118220020795</v>
          </cell>
          <cell r="C1505" t="str">
            <v>13118220020792</v>
          </cell>
          <cell r="D1505" t="str">
            <v>23118220020799</v>
          </cell>
          <cell r="E1505" t="str">
            <v>CUISINE CERAMIQUE SILICONE MANCHE ET LAME NOIR BLISTER PEGB</v>
          </cell>
          <cell r="F1505">
            <v>18</v>
          </cell>
          <cell r="G1505">
            <v>6</v>
          </cell>
          <cell r="H1505">
            <v>37</v>
          </cell>
          <cell r="I1505">
            <v>36</v>
          </cell>
          <cell r="J1505">
            <v>16</v>
          </cell>
          <cell r="K1505">
            <v>2.8079999999999998</v>
          </cell>
          <cell r="L1505">
            <v>0.156</v>
          </cell>
          <cell r="M1505">
            <v>2.1312000000000001E-2</v>
          </cell>
        </row>
        <row r="1506">
          <cell r="A1506">
            <v>11000013</v>
          </cell>
          <cell r="B1506">
            <v>3118220020801</v>
          </cell>
          <cell r="C1506" t="str">
            <v>13118220020808</v>
          </cell>
          <cell r="D1506" t="str">
            <v>23118220020805</v>
          </cell>
          <cell r="E1506" t="str">
            <v>SANTUKO CERAMIQUE SILICONE MANCHE ET LAME NOIR BLISTER PEGB</v>
          </cell>
          <cell r="F1506">
            <v>18</v>
          </cell>
          <cell r="G1506">
            <v>6</v>
          </cell>
          <cell r="H1506">
            <v>37</v>
          </cell>
          <cell r="I1506">
            <v>36</v>
          </cell>
          <cell r="J1506">
            <v>16</v>
          </cell>
          <cell r="K1506">
            <v>2.9340000000000002</v>
          </cell>
          <cell r="L1506">
            <v>0.16300000000000001</v>
          </cell>
          <cell r="M1506">
            <v>2.1312000000000001E-2</v>
          </cell>
        </row>
        <row r="1507">
          <cell r="A1507">
            <v>11000014</v>
          </cell>
          <cell r="B1507">
            <v>3118220028333</v>
          </cell>
          <cell r="C1507" t="str">
            <v>13118220028330</v>
          </cell>
          <cell r="D1507" t="str">
            <v>23118220028337</v>
          </cell>
          <cell r="E1507" t="str">
            <v>OFFICE CERAMIQUE SILICONE LAME BLANCHE TOP CHEF</v>
          </cell>
          <cell r="F1507">
            <v>18</v>
          </cell>
          <cell r="G1507">
            <v>6</v>
          </cell>
          <cell r="H1507">
            <v>29</v>
          </cell>
          <cell r="I1507">
            <v>25.5</v>
          </cell>
          <cell r="J1507">
            <v>14</v>
          </cell>
          <cell r="K1507">
            <v>1.41</v>
          </cell>
          <cell r="L1507">
            <v>7.8333333333333324E-2</v>
          </cell>
          <cell r="M1507">
            <v>1.0353000000000001E-2</v>
          </cell>
        </row>
        <row r="1508">
          <cell r="A1508">
            <v>11000015</v>
          </cell>
          <cell r="B1508">
            <v>3118220028340</v>
          </cell>
          <cell r="C1508" t="str">
            <v>13118220028347</v>
          </cell>
          <cell r="D1508" t="str">
            <v>23118220028344</v>
          </cell>
          <cell r="E1508" t="str">
            <v>STEAK CERAMIQUE SILICONE LAME BLANCHE TOP CHEF</v>
          </cell>
          <cell r="F1508">
            <v>18</v>
          </cell>
          <cell r="G1508">
            <v>6</v>
          </cell>
          <cell r="H1508">
            <v>29</v>
          </cell>
          <cell r="I1508">
            <v>25.5</v>
          </cell>
          <cell r="J1508">
            <v>14</v>
          </cell>
          <cell r="K1508">
            <v>1.278</v>
          </cell>
          <cell r="L1508">
            <v>7.1000000000000008E-2</v>
          </cell>
          <cell r="M1508">
            <v>1.0353000000000001E-2</v>
          </cell>
        </row>
        <row r="1509">
          <cell r="A1509">
            <v>11000016</v>
          </cell>
          <cell r="B1509">
            <v>3118220028357</v>
          </cell>
          <cell r="C1509" t="str">
            <v>13118220028354</v>
          </cell>
          <cell r="D1509" t="str">
            <v>23118220028351</v>
          </cell>
          <cell r="E1509" t="str">
            <v>CUISINE CERAMIQUE SILICONE LAME BLANCHE TOP CHEF</v>
          </cell>
          <cell r="F1509">
            <v>18</v>
          </cell>
          <cell r="G1509">
            <v>6</v>
          </cell>
          <cell r="H1509">
            <v>36.5</v>
          </cell>
          <cell r="I1509">
            <v>28.5</v>
          </cell>
          <cell r="J1509">
            <v>17</v>
          </cell>
          <cell r="K1509">
            <v>2.754</v>
          </cell>
          <cell r="L1509">
            <v>0.153</v>
          </cell>
          <cell r="M1509">
            <v>1.7684249999999999E-2</v>
          </cell>
        </row>
        <row r="1510">
          <cell r="A1510">
            <v>11000017</v>
          </cell>
          <cell r="B1510">
            <v>3118220028364</v>
          </cell>
          <cell r="C1510" t="str">
            <v>13118220028361</v>
          </cell>
          <cell r="D1510" t="str">
            <v>23118220028368</v>
          </cell>
          <cell r="E1510" t="str">
            <v>SANTUKO CERAMIQUE SILICONE LAME BLANCHE TOP CHEF</v>
          </cell>
          <cell r="F1510">
            <v>18</v>
          </cell>
          <cell r="G1510">
            <v>6</v>
          </cell>
          <cell r="H1510">
            <v>36.5</v>
          </cell>
          <cell r="I1510">
            <v>28.5</v>
          </cell>
          <cell r="J1510">
            <v>17</v>
          </cell>
          <cell r="K1510">
            <v>2.9039999999999999</v>
          </cell>
          <cell r="L1510">
            <v>0.16133333333333333</v>
          </cell>
          <cell r="M1510">
            <v>1.7684249999999999E-2</v>
          </cell>
        </row>
        <row r="1511">
          <cell r="A1511">
            <v>11000022</v>
          </cell>
          <cell r="B1511">
            <v>3118220032972</v>
          </cell>
          <cell r="E1511" t="str">
            <v>KIT 5 COUTEAUX SILICONE</v>
          </cell>
          <cell r="F1511">
            <v>1</v>
          </cell>
          <cell r="G1511">
            <v>1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</row>
        <row r="1512">
          <cell r="A1512">
            <v>11000029</v>
          </cell>
          <cell r="B1512">
            <v>3118220042148</v>
          </cell>
          <cell r="E1512" t="str">
            <v>BLOC 4 COUTEAUX CERAMIQUE SILICONE MANCHE ET LAME BLANCHE</v>
          </cell>
          <cell r="F1512">
            <v>6</v>
          </cell>
          <cell r="G1512">
            <v>6</v>
          </cell>
          <cell r="H1512">
            <v>61</v>
          </cell>
          <cell r="I1512">
            <v>41.5</v>
          </cell>
          <cell r="J1512">
            <v>32</v>
          </cell>
          <cell r="K1512">
            <v>13.2</v>
          </cell>
          <cell r="L1512">
            <v>2.1999999999999997</v>
          </cell>
          <cell r="M1512">
            <v>8.1007999999999997E-2</v>
          </cell>
        </row>
        <row r="1513">
          <cell r="A1513">
            <v>11000030</v>
          </cell>
          <cell r="B1513">
            <v>3118220042155</v>
          </cell>
          <cell r="E1513" t="str">
            <v>BLOC 4 COUTEAUX CERAMIQUE SILICONE MANCHE ET LAME NOIRE</v>
          </cell>
          <cell r="F1513">
            <v>6</v>
          </cell>
          <cell r="G1513">
            <v>6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</row>
        <row r="1514">
          <cell r="A1514">
            <v>11010001</v>
          </cell>
          <cell r="B1514">
            <v>3118220014961</v>
          </cell>
          <cell r="E1514" t="str">
            <v>BLOC ARGENT 6 COUTEAUX REFLET METALLISE PLOMB</v>
          </cell>
          <cell r="F1514">
            <v>6</v>
          </cell>
          <cell r="G1514">
            <v>6</v>
          </cell>
          <cell r="H1514">
            <v>30.5</v>
          </cell>
          <cell r="I1514">
            <v>21.5</v>
          </cell>
          <cell r="J1514">
            <v>29</v>
          </cell>
          <cell r="K1514">
            <v>4.62</v>
          </cell>
          <cell r="L1514">
            <v>0.77</v>
          </cell>
          <cell r="M1514">
            <v>1.9016749999999999E-2</v>
          </cell>
        </row>
        <row r="1515">
          <cell r="A1515">
            <v>11010002</v>
          </cell>
          <cell r="B1515">
            <v>3118220014978</v>
          </cell>
          <cell r="E1515" t="str">
            <v>BLOC PLOMB 6 COUTEAUX REFLET METALLISE ARGENT</v>
          </cell>
          <cell r="F1515">
            <v>6</v>
          </cell>
          <cell r="G1515">
            <v>6</v>
          </cell>
          <cell r="H1515">
            <v>30.5</v>
          </cell>
          <cell r="I1515">
            <v>21.5</v>
          </cell>
          <cell r="J1515">
            <v>29</v>
          </cell>
          <cell r="K1515">
            <v>4.62</v>
          </cell>
          <cell r="L1515">
            <v>0.77</v>
          </cell>
          <cell r="M1515">
            <v>1.9016749999999999E-2</v>
          </cell>
        </row>
        <row r="1516">
          <cell r="A1516">
            <v>11010003</v>
          </cell>
          <cell r="B1516">
            <v>3118220015029</v>
          </cell>
          <cell r="E1516" t="str">
            <v>BLOC CUIVRE 6 COUTEAUX REFLET METALLISE PLOMB</v>
          </cell>
          <cell r="F1516">
            <v>6</v>
          </cell>
          <cell r="G1516">
            <v>6</v>
          </cell>
          <cell r="H1516">
            <v>30.5</v>
          </cell>
          <cell r="I1516">
            <v>21.5</v>
          </cell>
          <cell r="J1516">
            <v>29</v>
          </cell>
          <cell r="K1516">
            <v>4.62</v>
          </cell>
          <cell r="L1516">
            <v>0.77</v>
          </cell>
          <cell r="M1516">
            <v>1.9016749999999999E-2</v>
          </cell>
        </row>
        <row r="1517">
          <cell r="A1517">
            <v>11050001</v>
          </cell>
          <cell r="B1517">
            <v>3118220026223</v>
          </cell>
          <cell r="E1517" t="str">
            <v>EPLUCHEUR FURTIF PANACHE 3 COULEURS</v>
          </cell>
          <cell r="F1517">
            <v>144</v>
          </cell>
          <cell r="G1517">
            <v>12</v>
          </cell>
          <cell r="H1517">
            <v>26.5</v>
          </cell>
          <cell r="I1517">
            <v>26.5</v>
          </cell>
          <cell r="J1517">
            <v>19.5</v>
          </cell>
          <cell r="K1517">
            <v>3.931</v>
          </cell>
          <cell r="L1517">
            <v>2.729861111111111E-2</v>
          </cell>
          <cell r="M1517">
            <v>1.3693874999999999E-2</v>
          </cell>
        </row>
        <row r="1518">
          <cell r="A1518">
            <v>11050002</v>
          </cell>
          <cell r="B1518">
            <v>3118220026230</v>
          </cell>
          <cell r="C1518" t="str">
            <v>13118220026237</v>
          </cell>
          <cell r="D1518" t="str">
            <v>23118220026234</v>
          </cell>
          <cell r="E1518" t="str">
            <v>OFFICE FURTIF PANACHE 3 COULEURS</v>
          </cell>
          <cell r="F1518">
            <v>144</v>
          </cell>
          <cell r="G1518">
            <v>12</v>
          </cell>
          <cell r="H1518">
            <v>26.5</v>
          </cell>
          <cell r="I1518">
            <v>26.5</v>
          </cell>
          <cell r="J1518">
            <v>19.5</v>
          </cell>
          <cell r="K1518">
            <v>6.7359999999999998</v>
          </cell>
          <cell r="L1518">
            <v>4.6777777777777779E-2</v>
          </cell>
          <cell r="M1518">
            <v>1.3693874999999999E-2</v>
          </cell>
        </row>
        <row r="1519">
          <cell r="A1519">
            <v>11050003</v>
          </cell>
          <cell r="B1519">
            <v>3118220026247</v>
          </cell>
          <cell r="E1519" t="str">
            <v>TARTINEUR FURTIF PANACHE 3 COULEURS</v>
          </cell>
          <cell r="F1519">
            <v>144</v>
          </cell>
          <cell r="G1519">
            <v>12</v>
          </cell>
          <cell r="H1519">
            <v>26.5</v>
          </cell>
          <cell r="I1519">
            <v>26.5</v>
          </cell>
          <cell r="J1519">
            <v>19.5</v>
          </cell>
          <cell r="K1519">
            <v>5.2320000000000002</v>
          </cell>
          <cell r="L1519">
            <v>3.6333333333333336E-2</v>
          </cell>
          <cell r="M1519">
            <v>1.3693874999999999E-2</v>
          </cell>
        </row>
        <row r="1520">
          <cell r="A1520">
            <v>11050004</v>
          </cell>
          <cell r="B1520">
            <v>3118220026254</v>
          </cell>
          <cell r="C1520" t="str">
            <v>13118220026251</v>
          </cell>
          <cell r="D1520" t="str">
            <v>23118220026258</v>
          </cell>
          <cell r="E1520" t="str">
            <v>STEAK FURTIF PANACHE 3 COULEURS</v>
          </cell>
          <cell r="F1520">
            <v>144</v>
          </cell>
          <cell r="G1520">
            <v>12</v>
          </cell>
          <cell r="H1520">
            <v>26.5</v>
          </cell>
          <cell r="I1520">
            <v>26.5</v>
          </cell>
          <cell r="J1520">
            <v>19.5</v>
          </cell>
          <cell r="K1520">
            <v>7.048</v>
          </cell>
          <cell r="L1520">
            <v>4.8944444444444443E-2</v>
          </cell>
          <cell r="M1520">
            <v>1.3693874999999999E-2</v>
          </cell>
        </row>
        <row r="1521">
          <cell r="A1521">
            <v>11060001</v>
          </cell>
          <cell r="B1521">
            <v>3118220015920</v>
          </cell>
          <cell r="E1521" t="str">
            <v>MARAUDEUR PARACORD 550 NOIR SERRATION + ETUI KIDEX EN BOITE</v>
          </cell>
          <cell r="F1521">
            <v>6</v>
          </cell>
          <cell r="G1521">
            <v>6</v>
          </cell>
          <cell r="H1521">
            <v>0</v>
          </cell>
          <cell r="I1521">
            <v>0</v>
          </cell>
          <cell r="J1521">
            <v>0</v>
          </cell>
          <cell r="K1521">
            <v>2.1</v>
          </cell>
          <cell r="L1521">
            <v>0.35000000000000003</v>
          </cell>
          <cell r="M1521">
            <v>0</v>
          </cell>
        </row>
        <row r="1522">
          <cell r="A1522">
            <v>11060002</v>
          </cell>
          <cell r="B1522">
            <v>3118220015937</v>
          </cell>
          <cell r="E1522" t="str">
            <v>PROTECTEUR NOIR AVEC ETUI KYDEX EN BOITE TECHNIQUE</v>
          </cell>
          <cell r="F1522">
            <v>6</v>
          </cell>
          <cell r="G1522">
            <v>6</v>
          </cell>
          <cell r="H1522">
            <v>31</v>
          </cell>
          <cell r="I1522">
            <v>29.5</v>
          </cell>
          <cell r="J1522">
            <v>14</v>
          </cell>
          <cell r="K1522">
            <v>1.86</v>
          </cell>
          <cell r="L1522">
            <v>0.31</v>
          </cell>
          <cell r="M1522">
            <v>1.2802999999999998E-2</v>
          </cell>
        </row>
        <row r="1523">
          <cell r="A1523">
            <v>11060003</v>
          </cell>
          <cell r="B1523">
            <v>3118220016842</v>
          </cell>
          <cell r="E1523" t="str">
            <v>COUTEAU PN HELICO AVEC ETUI MIS SOUS SACHET+GENCOD</v>
          </cell>
          <cell r="F1523">
            <v>50</v>
          </cell>
          <cell r="G1523">
            <v>50</v>
          </cell>
          <cell r="H1523">
            <v>600</v>
          </cell>
          <cell r="I1523">
            <v>400</v>
          </cell>
          <cell r="J1523">
            <v>175</v>
          </cell>
          <cell r="K1523">
            <v>13.5</v>
          </cell>
          <cell r="L1523">
            <v>0.27</v>
          </cell>
          <cell r="M1523">
            <v>42</v>
          </cell>
        </row>
        <row r="1524">
          <cell r="A1524">
            <v>11060004</v>
          </cell>
          <cell r="B1524">
            <v>3118220018532</v>
          </cell>
          <cell r="E1524" t="str">
            <v>MARAUDEUR PARACORD 550 COYOTE BROWN SERRATION + ETUI KIDEX</v>
          </cell>
          <cell r="F1524">
            <v>6</v>
          </cell>
          <cell r="G1524">
            <v>6</v>
          </cell>
          <cell r="H1524">
            <v>0</v>
          </cell>
          <cell r="I1524">
            <v>0</v>
          </cell>
          <cell r="J1524">
            <v>0</v>
          </cell>
          <cell r="K1524">
            <v>3.306</v>
          </cell>
          <cell r="L1524">
            <v>0.55100000000000005</v>
          </cell>
          <cell r="M1524">
            <v>0</v>
          </cell>
        </row>
        <row r="1525">
          <cell r="A1525">
            <v>11060007</v>
          </cell>
          <cell r="B1525">
            <v>3118220022157</v>
          </cell>
          <cell r="E1525" t="str">
            <v>MARAUDEUR CARBONE TOXIFIE SERRATION + ETUI KIDEX EN BOITE T</v>
          </cell>
          <cell r="F1525">
            <v>6</v>
          </cell>
          <cell r="G1525">
            <v>6</v>
          </cell>
          <cell r="H1525">
            <v>31</v>
          </cell>
          <cell r="I1525">
            <v>29.5</v>
          </cell>
          <cell r="J1525">
            <v>13</v>
          </cell>
          <cell r="K1525">
            <v>2.3580000000000001</v>
          </cell>
          <cell r="L1525">
            <v>0.39300000000000002</v>
          </cell>
          <cell r="M1525">
            <v>1.18885E-2</v>
          </cell>
        </row>
        <row r="1526">
          <cell r="A1526">
            <v>11060008</v>
          </cell>
          <cell r="B1526">
            <v>3118220022164</v>
          </cell>
          <cell r="E1526" t="str">
            <v>MARAUDEUR G10 TOXIFIE KAKI SERRATION + ETUI KIDEX EN BOITE T</v>
          </cell>
          <cell r="F1526">
            <v>6</v>
          </cell>
          <cell r="G1526">
            <v>6</v>
          </cell>
          <cell r="H1526">
            <v>31.5</v>
          </cell>
          <cell r="I1526">
            <v>28.5</v>
          </cell>
          <cell r="J1526">
            <v>14</v>
          </cell>
          <cell r="K1526">
            <v>1.8420000000000001</v>
          </cell>
          <cell r="L1526">
            <v>0.307</v>
          </cell>
          <cell r="M1526">
            <v>1.25685E-2</v>
          </cell>
        </row>
        <row r="1527">
          <cell r="A1527">
            <v>11060009</v>
          </cell>
          <cell r="B1527">
            <v>3118220022171</v>
          </cell>
          <cell r="E1527" t="str">
            <v>MARAUDEUR G10 TOXIFIEE NOIR SERRATION + ETUI KIDEX EN BOITE</v>
          </cell>
          <cell r="F1527">
            <v>6</v>
          </cell>
          <cell r="G1527">
            <v>6</v>
          </cell>
          <cell r="H1527">
            <v>31.5</v>
          </cell>
          <cell r="I1527">
            <v>28.5</v>
          </cell>
          <cell r="J1527">
            <v>14</v>
          </cell>
          <cell r="K1527">
            <v>1.8420000000000001</v>
          </cell>
          <cell r="L1527">
            <v>0.307</v>
          </cell>
          <cell r="M1527">
            <v>1.25685E-2</v>
          </cell>
        </row>
        <row r="1528">
          <cell r="A1528">
            <v>11060010</v>
          </cell>
          <cell r="B1528">
            <v>3118220022188</v>
          </cell>
          <cell r="E1528" t="str">
            <v>MARAUDEUR G10 TOXIFIE ROUGE SERRATION + ETUI KYDEX EN BOITE</v>
          </cell>
          <cell r="F1528">
            <v>6</v>
          </cell>
          <cell r="G1528">
            <v>6</v>
          </cell>
          <cell r="H1528">
            <v>31.5</v>
          </cell>
          <cell r="I1528">
            <v>28.5</v>
          </cell>
          <cell r="J1528">
            <v>14</v>
          </cell>
          <cell r="K1528">
            <v>2.4300000000000002</v>
          </cell>
          <cell r="L1528">
            <v>0.40500000000000003</v>
          </cell>
          <cell r="M1528">
            <v>1.25685E-2</v>
          </cell>
        </row>
        <row r="1529">
          <cell r="A1529">
            <v>11060012</v>
          </cell>
          <cell r="B1529">
            <v>3118220022577</v>
          </cell>
          <cell r="E1529" t="str">
            <v>BAROUDEUR NOIR AVEC COUVERTS SOUS GAINE EN SACHET PLASTIQUE</v>
          </cell>
          <cell r="F1529">
            <v>6</v>
          </cell>
          <cell r="G1529">
            <v>6</v>
          </cell>
          <cell r="H1529">
            <v>32</v>
          </cell>
          <cell r="I1529">
            <v>19</v>
          </cell>
          <cell r="J1529">
            <v>10</v>
          </cell>
          <cell r="K1529">
            <v>1.8959999999999999</v>
          </cell>
          <cell r="L1529">
            <v>0.316</v>
          </cell>
          <cell r="M1529">
            <v>6.0799999999999995E-3</v>
          </cell>
        </row>
        <row r="1530">
          <cell r="A1530">
            <v>11060013</v>
          </cell>
          <cell r="B1530">
            <v>3118220022584</v>
          </cell>
          <cell r="E1530" t="str">
            <v>BAROUDEUR ROUGE AVEC COUVERTS SOUS GAINE EN SACHET PLASTIQUE</v>
          </cell>
          <cell r="F1530">
            <v>6</v>
          </cell>
          <cell r="G1530">
            <v>6</v>
          </cell>
          <cell r="H1530">
            <v>32</v>
          </cell>
          <cell r="I1530">
            <v>19</v>
          </cell>
          <cell r="J1530">
            <v>10</v>
          </cell>
          <cell r="K1530">
            <v>1.9079999999999999</v>
          </cell>
          <cell r="L1530">
            <v>0.318</v>
          </cell>
          <cell r="M1530">
            <v>6.0799999999999995E-3</v>
          </cell>
        </row>
        <row r="1531">
          <cell r="A1531">
            <v>11060014</v>
          </cell>
          <cell r="B1531">
            <v>3118220022690</v>
          </cell>
          <cell r="E1531" t="str">
            <v>COMMANDEUR G10 NOIR AVEC ETUI KYDEX EN BOITE TECHNIQUE</v>
          </cell>
          <cell r="F1531">
            <v>6</v>
          </cell>
          <cell r="G1531">
            <v>6</v>
          </cell>
          <cell r="H1531">
            <v>32</v>
          </cell>
          <cell r="I1531">
            <v>29</v>
          </cell>
          <cell r="J1531">
            <v>13.5</v>
          </cell>
          <cell r="K1531">
            <v>1.986</v>
          </cell>
          <cell r="L1531">
            <v>0.33100000000000002</v>
          </cell>
          <cell r="M1531">
            <v>1.2527999999999999E-2</v>
          </cell>
        </row>
        <row r="1532">
          <cell r="A1532">
            <v>11060015</v>
          </cell>
          <cell r="B1532">
            <v>3118220022706</v>
          </cell>
          <cell r="E1532" t="str">
            <v>COMMANDEUR G10 NOIR TOXIFIÉ AVEC ETUI KYDEX EN BOITE TECHNIQ</v>
          </cell>
          <cell r="F1532">
            <v>6</v>
          </cell>
          <cell r="G1532">
            <v>6</v>
          </cell>
          <cell r="H1532">
            <v>32</v>
          </cell>
          <cell r="I1532">
            <v>29</v>
          </cell>
          <cell r="J1532">
            <v>13.5</v>
          </cell>
          <cell r="K1532">
            <v>1.986</v>
          </cell>
          <cell r="L1532">
            <v>0.33100000000000002</v>
          </cell>
          <cell r="M1532">
            <v>1.2527999999999999E-2</v>
          </cell>
        </row>
        <row r="1533">
          <cell r="A1533">
            <v>11060016</v>
          </cell>
          <cell r="B1533">
            <v>3118220022881</v>
          </cell>
          <cell r="E1533" t="str">
            <v>CAC S100 LISSE MANCHE G10 TOXIFIÉ KAKI EN BOITE TECHNIQUE</v>
          </cell>
          <cell r="F1533">
            <v>6</v>
          </cell>
          <cell r="G1533">
            <v>6</v>
          </cell>
          <cell r="H1533">
            <v>32</v>
          </cell>
          <cell r="I1533">
            <v>29</v>
          </cell>
          <cell r="J1533">
            <v>13.5</v>
          </cell>
          <cell r="K1533">
            <v>2.2189999999999999</v>
          </cell>
          <cell r="L1533">
            <v>0.36983333333333329</v>
          </cell>
          <cell r="M1533">
            <v>1.2527999999999999E-2</v>
          </cell>
        </row>
        <row r="1534">
          <cell r="A1534">
            <v>11060027</v>
          </cell>
          <cell r="B1534">
            <v>3118220023116</v>
          </cell>
          <cell r="E1534" t="str">
            <v>COUTEAU PASSE-EN-S MICARTA FIBRE DE VERRE +ETUI AFFUTAGE+BOI</v>
          </cell>
          <cell r="F1534">
            <v>6</v>
          </cell>
          <cell r="G1534">
            <v>6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</row>
        <row r="1535">
          <cell r="A1535">
            <v>11060031</v>
          </cell>
          <cell r="B1535">
            <v>3118220024571</v>
          </cell>
          <cell r="E1535" t="str">
            <v>MARAUDEUR PARACORD 550 NOIR LISSE + ETUI KIDEX EN BOITE TECH</v>
          </cell>
          <cell r="F1535">
            <v>6</v>
          </cell>
          <cell r="G1535">
            <v>6</v>
          </cell>
          <cell r="H1535">
            <v>32</v>
          </cell>
          <cell r="I1535">
            <v>29</v>
          </cell>
          <cell r="J1535">
            <v>13.5</v>
          </cell>
          <cell r="K1535">
            <v>2.2200000000000002</v>
          </cell>
          <cell r="L1535">
            <v>0.37000000000000005</v>
          </cell>
          <cell r="M1535">
            <v>1.2527999999999999E-2</v>
          </cell>
        </row>
        <row r="1536">
          <cell r="A1536">
            <v>11060032</v>
          </cell>
          <cell r="B1536">
            <v>3118220024588</v>
          </cell>
          <cell r="E1536" t="str">
            <v>MARAUDEUR PARARCORD 550 COYOTE BROWN LISSE + ETUI KIDEX EN B</v>
          </cell>
          <cell r="F1536">
            <v>6</v>
          </cell>
          <cell r="G1536">
            <v>6</v>
          </cell>
          <cell r="H1536">
            <v>32</v>
          </cell>
          <cell r="I1536">
            <v>29</v>
          </cell>
          <cell r="J1536">
            <v>13.5</v>
          </cell>
          <cell r="K1536">
            <v>2.2200000000000002</v>
          </cell>
          <cell r="L1536">
            <v>0.37000000000000005</v>
          </cell>
          <cell r="M1536">
            <v>1.2527999999999999E-2</v>
          </cell>
        </row>
        <row r="1537">
          <cell r="A1537">
            <v>11060034</v>
          </cell>
          <cell r="B1537">
            <v>3118220024601</v>
          </cell>
          <cell r="E1537" t="str">
            <v>MARAUDEUR CARBONE TOXIFIE LISSE + ETUI KIDEX EN BOITE TECHNI</v>
          </cell>
          <cell r="F1537">
            <v>6</v>
          </cell>
          <cell r="G1537">
            <v>6</v>
          </cell>
          <cell r="H1537">
            <v>32</v>
          </cell>
          <cell r="I1537">
            <v>29</v>
          </cell>
          <cell r="J1537">
            <v>13.5</v>
          </cell>
          <cell r="K1537">
            <v>2.3759999999999999</v>
          </cell>
          <cell r="L1537">
            <v>0.39599999999999996</v>
          </cell>
          <cell r="M1537">
            <v>1.2527999999999999E-2</v>
          </cell>
        </row>
        <row r="1538">
          <cell r="A1538">
            <v>11060035</v>
          </cell>
          <cell r="B1538">
            <v>3118220024618</v>
          </cell>
          <cell r="E1538" t="str">
            <v>MARAUDEUR G10 TOXIFIE NOIR LISSE + ETUI KIDEX EN BOITE TECHN</v>
          </cell>
          <cell r="F1538">
            <v>6</v>
          </cell>
          <cell r="G1538">
            <v>6</v>
          </cell>
          <cell r="H1538">
            <v>32</v>
          </cell>
          <cell r="I1538">
            <v>29</v>
          </cell>
          <cell r="J1538">
            <v>13.5</v>
          </cell>
          <cell r="K1538">
            <v>2.46</v>
          </cell>
          <cell r="L1538">
            <v>0.41</v>
          </cell>
          <cell r="M1538">
            <v>1.2527999999999999E-2</v>
          </cell>
        </row>
        <row r="1539">
          <cell r="A1539">
            <v>11060036</v>
          </cell>
          <cell r="B1539">
            <v>3118220024625</v>
          </cell>
          <cell r="E1539" t="str">
            <v>MARAUDEUR G10 TOXIFIE ROUGE LISSE + ETUI KIDEX EN BOITE TECH</v>
          </cell>
          <cell r="F1539">
            <v>6</v>
          </cell>
          <cell r="G1539">
            <v>6</v>
          </cell>
          <cell r="H1539">
            <v>32</v>
          </cell>
          <cell r="I1539">
            <v>29</v>
          </cell>
          <cell r="J1539">
            <v>13.5</v>
          </cell>
          <cell r="K1539">
            <v>2.4420000000000002</v>
          </cell>
          <cell r="L1539">
            <v>0.40700000000000003</v>
          </cell>
          <cell r="M1539">
            <v>1.2527999999999999E-2</v>
          </cell>
        </row>
        <row r="1540">
          <cell r="A1540">
            <v>11060037</v>
          </cell>
          <cell r="B1540">
            <v>3118220024632</v>
          </cell>
          <cell r="E1540" t="str">
            <v>MARAUDEUR G10 TOXIFIE KAKI LISSE + ETUI KIDEX EN BOITE TECHN</v>
          </cell>
          <cell r="F1540">
            <v>6</v>
          </cell>
          <cell r="G1540">
            <v>6</v>
          </cell>
          <cell r="H1540">
            <v>32</v>
          </cell>
          <cell r="I1540">
            <v>29</v>
          </cell>
          <cell r="J1540">
            <v>13.5</v>
          </cell>
          <cell r="K1540">
            <v>1.9079999999999999</v>
          </cell>
          <cell r="L1540">
            <v>0.318</v>
          </cell>
          <cell r="M1540">
            <v>1.2527999999999999E-2</v>
          </cell>
        </row>
        <row r="1541">
          <cell r="A1541">
            <v>11060038</v>
          </cell>
          <cell r="B1541">
            <v>3118220024649</v>
          </cell>
          <cell r="E1541" t="str">
            <v>CAC S100 SERRATION MANCHE G10 TOXIFIÉ KAKI EN BOITE TECHNIQU</v>
          </cell>
          <cell r="F1541">
            <v>6</v>
          </cell>
          <cell r="G1541">
            <v>6</v>
          </cell>
          <cell r="H1541">
            <v>32</v>
          </cell>
          <cell r="I1541">
            <v>29</v>
          </cell>
          <cell r="J1541">
            <v>13.5</v>
          </cell>
          <cell r="K1541">
            <v>2.2360000000000002</v>
          </cell>
          <cell r="L1541">
            <v>0.3726666666666667</v>
          </cell>
          <cell r="M1541">
            <v>1.2527999999999999E-2</v>
          </cell>
        </row>
        <row r="1542">
          <cell r="A1542">
            <v>11060039</v>
          </cell>
          <cell r="B1542">
            <v>3118220024656</v>
          </cell>
          <cell r="E1542" t="str">
            <v>CAC S100 SERRATION MANCHE G10 TOXIFIÉ NOIR EN BOITE TECHNIQU</v>
          </cell>
          <cell r="F1542">
            <v>6</v>
          </cell>
          <cell r="G1542">
            <v>6</v>
          </cell>
          <cell r="H1542">
            <v>32</v>
          </cell>
          <cell r="I1542">
            <v>29</v>
          </cell>
          <cell r="J1542">
            <v>13.5</v>
          </cell>
          <cell r="K1542">
            <v>2.2360000000000002</v>
          </cell>
          <cell r="L1542">
            <v>0.3726666666666667</v>
          </cell>
          <cell r="M1542">
            <v>1.2527999999999999E-2</v>
          </cell>
        </row>
        <row r="1543">
          <cell r="A1543">
            <v>11060041</v>
          </cell>
          <cell r="B1543">
            <v>3118220024670</v>
          </cell>
          <cell r="E1543" t="str">
            <v>CAC S200 LISSE MANCHE G10 TOXIFIÉ KAKI EN BOITE TECHNIQUE</v>
          </cell>
          <cell r="F1543">
            <v>6</v>
          </cell>
          <cell r="G1543">
            <v>6</v>
          </cell>
          <cell r="H1543">
            <v>31</v>
          </cell>
          <cell r="I1543">
            <v>29</v>
          </cell>
          <cell r="J1543">
            <v>13</v>
          </cell>
          <cell r="K1543">
            <v>1.56</v>
          </cell>
          <cell r="L1543">
            <v>0.26</v>
          </cell>
          <cell r="M1543">
            <v>1.1687000000000001E-2</v>
          </cell>
        </row>
        <row r="1544">
          <cell r="A1544">
            <v>11060042</v>
          </cell>
          <cell r="B1544">
            <v>3118220024687</v>
          </cell>
          <cell r="E1544" t="str">
            <v>CAC S200 LISSE MANCHE G10 TOXIFIÉ NOIR EN BOITE TECHNIQUE</v>
          </cell>
          <cell r="F1544">
            <v>6</v>
          </cell>
          <cell r="G1544">
            <v>6</v>
          </cell>
          <cell r="H1544">
            <v>31</v>
          </cell>
          <cell r="I1544">
            <v>29</v>
          </cell>
          <cell r="J1544">
            <v>13</v>
          </cell>
          <cell r="K1544">
            <v>1.5780000000000001</v>
          </cell>
          <cell r="L1544">
            <v>0.26300000000000001</v>
          </cell>
          <cell r="M1544">
            <v>1.1687000000000001E-2</v>
          </cell>
        </row>
        <row r="1545">
          <cell r="A1545">
            <v>11060043</v>
          </cell>
          <cell r="B1545">
            <v>3118220024694</v>
          </cell>
          <cell r="E1545" t="str">
            <v>CAC S200 LISSE MANCHE G10 TOXIFIÉ ROUGE EN BOITE TECHNIQUE</v>
          </cell>
          <cell r="F1545">
            <v>6</v>
          </cell>
          <cell r="G1545">
            <v>6</v>
          </cell>
          <cell r="H1545">
            <v>31</v>
          </cell>
          <cell r="I1545">
            <v>29</v>
          </cell>
          <cell r="J1545">
            <v>13</v>
          </cell>
          <cell r="K1545">
            <v>2.1419999999999999</v>
          </cell>
          <cell r="L1545">
            <v>0.35699999999999998</v>
          </cell>
          <cell r="M1545">
            <v>1.1687000000000001E-2</v>
          </cell>
        </row>
        <row r="1546">
          <cell r="A1546">
            <v>11060044</v>
          </cell>
          <cell r="B1546">
            <v>3118220024700</v>
          </cell>
          <cell r="E1546" t="str">
            <v>CAC S200 SERRATION MANCHE G10 TOXIFIÉ KAKI EN BOITE TECHNIQU</v>
          </cell>
          <cell r="F1546">
            <v>6</v>
          </cell>
          <cell r="G1546">
            <v>6</v>
          </cell>
          <cell r="H1546">
            <v>31</v>
          </cell>
          <cell r="I1546">
            <v>29</v>
          </cell>
          <cell r="J1546">
            <v>13.5</v>
          </cell>
          <cell r="K1546">
            <v>2.1360000000000001</v>
          </cell>
          <cell r="L1546">
            <v>0.35600000000000004</v>
          </cell>
          <cell r="M1546">
            <v>1.2136500000000001E-2</v>
          </cell>
        </row>
        <row r="1547">
          <cell r="A1547">
            <v>11060045</v>
          </cell>
          <cell r="B1547">
            <v>3118220024717</v>
          </cell>
          <cell r="E1547" t="str">
            <v>CAC S200 SERRATION MANCHE G10 TOXIFIÉ NOIR EN BOITE TECHNIQU</v>
          </cell>
          <cell r="F1547">
            <v>6</v>
          </cell>
          <cell r="G1547">
            <v>6</v>
          </cell>
          <cell r="H1547">
            <v>31</v>
          </cell>
          <cell r="I1547">
            <v>29</v>
          </cell>
          <cell r="J1547">
            <v>13.5</v>
          </cell>
          <cell r="K1547">
            <v>2.1360000000000001</v>
          </cell>
          <cell r="L1547">
            <v>0.35600000000000004</v>
          </cell>
          <cell r="M1547">
            <v>1.2136500000000001E-2</v>
          </cell>
        </row>
        <row r="1548">
          <cell r="A1548">
            <v>11060046</v>
          </cell>
          <cell r="B1548">
            <v>3118220024724</v>
          </cell>
          <cell r="E1548" t="str">
            <v>CAC S200 SERRATION MANCHE G10 TOXIFIÉ ROUGE EN BOITE TECHNIQ</v>
          </cell>
          <cell r="F1548">
            <v>6</v>
          </cell>
          <cell r="G1548">
            <v>6</v>
          </cell>
          <cell r="H1548">
            <v>31</v>
          </cell>
          <cell r="I1548">
            <v>29</v>
          </cell>
          <cell r="J1548">
            <v>13.5</v>
          </cell>
          <cell r="K1548">
            <v>2.1360000000000001</v>
          </cell>
          <cell r="L1548">
            <v>0.35600000000000004</v>
          </cell>
          <cell r="M1548">
            <v>1.2136500000000001E-2</v>
          </cell>
        </row>
        <row r="1549">
          <cell r="A1549">
            <v>11060047</v>
          </cell>
          <cell r="B1549">
            <v>3118220024731</v>
          </cell>
          <cell r="E1549" t="str">
            <v>COMMANDEUR ZIRICOTE TOXIFIÉ AVEC ETUI KYDEX EN BOITE TECHNIQ</v>
          </cell>
          <cell r="F1549">
            <v>6</v>
          </cell>
          <cell r="G1549">
            <v>6</v>
          </cell>
          <cell r="H1549">
            <v>32</v>
          </cell>
          <cell r="I1549">
            <v>29</v>
          </cell>
          <cell r="J1549">
            <v>13.5</v>
          </cell>
          <cell r="K1549">
            <v>1.77</v>
          </cell>
          <cell r="L1549">
            <v>0.29499999999999998</v>
          </cell>
          <cell r="M1549">
            <v>1.2527999999999999E-2</v>
          </cell>
        </row>
        <row r="1550">
          <cell r="A1550">
            <v>11060048</v>
          </cell>
          <cell r="B1550">
            <v>3118220025035</v>
          </cell>
          <cell r="E1550" t="str">
            <v>CAC SERRATION MANCHE PA6 FV JAUNE FLUORESCENT EN BOITE TECHN</v>
          </cell>
          <cell r="F1550">
            <v>6</v>
          </cell>
          <cell r="G1550">
            <v>6</v>
          </cell>
          <cell r="H1550">
            <v>31</v>
          </cell>
          <cell r="I1550">
            <v>29.5</v>
          </cell>
          <cell r="J1550">
            <v>14</v>
          </cell>
          <cell r="K1550">
            <v>2.3119999999999998</v>
          </cell>
          <cell r="L1550">
            <v>0.38533333333333331</v>
          </cell>
          <cell r="M1550">
            <v>1.2802999999999998E-2</v>
          </cell>
        </row>
        <row r="1551">
          <cell r="A1551">
            <v>11060049</v>
          </cell>
          <cell r="B1551">
            <v>3118220025042</v>
          </cell>
          <cell r="E1551" t="str">
            <v>CAC SERRATION MANCHE PA6 FV KAKI EN BOITE TECHNIQUE</v>
          </cell>
          <cell r="F1551">
            <v>6</v>
          </cell>
          <cell r="G1551">
            <v>6</v>
          </cell>
          <cell r="H1551">
            <v>31</v>
          </cell>
          <cell r="I1551">
            <v>29.5</v>
          </cell>
          <cell r="J1551">
            <v>14</v>
          </cell>
          <cell r="K1551">
            <v>2.0939999999999999</v>
          </cell>
          <cell r="L1551">
            <v>0.34899999999999998</v>
          </cell>
          <cell r="M1551">
            <v>1.2802999999999998E-2</v>
          </cell>
        </row>
        <row r="1552">
          <cell r="A1552">
            <v>11060050</v>
          </cell>
          <cell r="B1552">
            <v>3118220025059</v>
          </cell>
          <cell r="E1552" t="str">
            <v>CAC SERRATION MANCHE PA6 FV NOIR EN BOITE TECHNIQUE</v>
          </cell>
          <cell r="F1552">
            <v>6</v>
          </cell>
          <cell r="G1552">
            <v>6</v>
          </cell>
          <cell r="H1552">
            <v>31</v>
          </cell>
          <cell r="I1552">
            <v>29.5</v>
          </cell>
          <cell r="J1552">
            <v>14</v>
          </cell>
          <cell r="K1552">
            <v>2.3479999999999999</v>
          </cell>
          <cell r="L1552">
            <v>0.39133333333333331</v>
          </cell>
          <cell r="M1552">
            <v>1.2802999999999998E-2</v>
          </cell>
        </row>
        <row r="1553">
          <cell r="A1553">
            <v>11060051</v>
          </cell>
          <cell r="B1553">
            <v>3118220025066</v>
          </cell>
          <cell r="E1553" t="str">
            <v>CAC S200 LISSE MANCHE PA6 FV KAKI EN BOITE TECHNIQUE</v>
          </cell>
          <cell r="F1553">
            <v>6</v>
          </cell>
          <cell r="G1553">
            <v>6</v>
          </cell>
          <cell r="H1553">
            <v>31.5</v>
          </cell>
          <cell r="I1553">
            <v>29</v>
          </cell>
          <cell r="J1553">
            <v>14</v>
          </cell>
          <cell r="K1553">
            <v>2.0760000000000001</v>
          </cell>
          <cell r="L1553">
            <v>0.34600000000000003</v>
          </cell>
          <cell r="M1553">
            <v>1.2789E-2</v>
          </cell>
        </row>
        <row r="1554">
          <cell r="A1554">
            <v>11060052</v>
          </cell>
          <cell r="B1554">
            <v>3118220025073</v>
          </cell>
          <cell r="E1554" t="str">
            <v>CAC S200 LISSE MANCHE PA6 FV NOIR EN BOITE TECHNIQUE</v>
          </cell>
          <cell r="F1554">
            <v>6</v>
          </cell>
          <cell r="G1554">
            <v>6</v>
          </cell>
          <cell r="H1554">
            <v>31.5</v>
          </cell>
          <cell r="I1554">
            <v>29</v>
          </cell>
          <cell r="J1554">
            <v>14</v>
          </cell>
          <cell r="K1554">
            <v>1.38</v>
          </cell>
          <cell r="L1554">
            <v>0.22999999999999998</v>
          </cell>
          <cell r="M1554">
            <v>1.2789E-2</v>
          </cell>
        </row>
        <row r="1555">
          <cell r="A1555">
            <v>11060053</v>
          </cell>
          <cell r="B1555">
            <v>3118220025080</v>
          </cell>
          <cell r="E1555" t="str">
            <v>CAC S200 SERRATION MANCHE PA6 FV KAKI EN BOITE TECHNIQUE</v>
          </cell>
          <cell r="F1555">
            <v>6</v>
          </cell>
          <cell r="G1555">
            <v>6</v>
          </cell>
          <cell r="H1555">
            <v>31.5</v>
          </cell>
          <cell r="I1555">
            <v>29</v>
          </cell>
          <cell r="J1555">
            <v>14</v>
          </cell>
          <cell r="K1555">
            <v>2.0760000000000001</v>
          </cell>
          <cell r="L1555">
            <v>0.34600000000000003</v>
          </cell>
          <cell r="M1555">
            <v>1.2789E-2</v>
          </cell>
        </row>
        <row r="1556">
          <cell r="A1556">
            <v>11060054</v>
          </cell>
          <cell r="B1556">
            <v>3118220025097</v>
          </cell>
          <cell r="E1556" t="str">
            <v>CAC S200 SERRATION MANCHE PA6 FV NOIR EN BOITE TECHNIQUE</v>
          </cell>
          <cell r="F1556">
            <v>6</v>
          </cell>
          <cell r="G1556">
            <v>6</v>
          </cell>
          <cell r="H1556">
            <v>31.5</v>
          </cell>
          <cell r="I1556">
            <v>29</v>
          </cell>
          <cell r="J1556">
            <v>14</v>
          </cell>
          <cell r="K1556">
            <v>2.2970000000000002</v>
          </cell>
          <cell r="L1556">
            <v>0.38283333333333336</v>
          </cell>
          <cell r="M1556">
            <v>1.2789E-2</v>
          </cell>
        </row>
        <row r="1557">
          <cell r="A1557">
            <v>11060055</v>
          </cell>
          <cell r="B1557">
            <v>3118220025547</v>
          </cell>
          <cell r="E1557" t="str">
            <v>CAC ENTRAINEMENT NOIR MANCHE PA6 FV LAME AJOUREE EN BOITE TE</v>
          </cell>
          <cell r="F1557">
            <v>6</v>
          </cell>
          <cell r="G1557">
            <v>6</v>
          </cell>
          <cell r="H1557">
            <v>31</v>
          </cell>
          <cell r="I1557">
            <v>29</v>
          </cell>
          <cell r="J1557">
            <v>14.5</v>
          </cell>
          <cell r="K1557">
            <v>1.865</v>
          </cell>
          <cell r="L1557">
            <v>0.31083333333333335</v>
          </cell>
          <cell r="M1557">
            <v>1.3035500000000002E-2</v>
          </cell>
        </row>
        <row r="1558">
          <cell r="A1558">
            <v>11060056</v>
          </cell>
          <cell r="B1558">
            <v>3118220025554</v>
          </cell>
          <cell r="E1558" t="str">
            <v>COUTEAU BIVOUAC AVEC ETUI ET COUVERTS EN SACHET PLASTIQUE</v>
          </cell>
          <cell r="F1558">
            <v>6</v>
          </cell>
          <cell r="G1558">
            <v>6</v>
          </cell>
          <cell r="H1558">
            <v>32</v>
          </cell>
          <cell r="I1558">
            <v>19</v>
          </cell>
          <cell r="J1558">
            <v>10</v>
          </cell>
          <cell r="K1558">
            <v>0.95399999999999996</v>
          </cell>
          <cell r="L1558">
            <v>0.159</v>
          </cell>
          <cell r="M1558">
            <v>6.0799999999999995E-3</v>
          </cell>
        </row>
        <row r="1559">
          <cell r="A1559">
            <v>11060059</v>
          </cell>
          <cell r="B1559">
            <v>3118220028531</v>
          </cell>
          <cell r="E1559" t="str">
            <v>CAC LAME LISSE MANCHE PA6 FV JAUNE FLUORESCENT EN BOITE TECH</v>
          </cell>
          <cell r="F1559">
            <v>6</v>
          </cell>
          <cell r="G1559">
            <v>6</v>
          </cell>
          <cell r="H1559">
            <v>31</v>
          </cell>
          <cell r="I1559">
            <v>29.5</v>
          </cell>
          <cell r="J1559">
            <v>14</v>
          </cell>
          <cell r="K1559">
            <v>2.0939999999999999</v>
          </cell>
          <cell r="L1559">
            <v>0.34899999999999998</v>
          </cell>
          <cell r="M1559">
            <v>1.2802999999999998E-2</v>
          </cell>
        </row>
        <row r="1560">
          <cell r="A1560">
            <v>11060060</v>
          </cell>
          <cell r="B1560">
            <v>3118220028548</v>
          </cell>
          <cell r="E1560" t="str">
            <v>CAC LAME LISSE MANCHE PA6 FV KAKI EN BOITE TECHNIQUE</v>
          </cell>
          <cell r="F1560">
            <v>6</v>
          </cell>
          <cell r="G1560">
            <v>6</v>
          </cell>
          <cell r="H1560">
            <v>31</v>
          </cell>
          <cell r="I1560">
            <v>29.5</v>
          </cell>
          <cell r="J1560">
            <v>14</v>
          </cell>
          <cell r="K1560">
            <v>2.0939999999999999</v>
          </cell>
          <cell r="L1560">
            <v>0.34899999999999998</v>
          </cell>
          <cell r="M1560">
            <v>1.2802999999999998E-2</v>
          </cell>
        </row>
        <row r="1561">
          <cell r="A1561">
            <v>11060061</v>
          </cell>
          <cell r="B1561">
            <v>3118220028555</v>
          </cell>
          <cell r="E1561" t="str">
            <v>CAC LAME LISSE MANCHE PA6 FV NOIR EN BOITE TECHNIQUE</v>
          </cell>
          <cell r="F1561">
            <v>6</v>
          </cell>
          <cell r="G1561">
            <v>6</v>
          </cell>
          <cell r="H1561">
            <v>31</v>
          </cell>
          <cell r="I1561">
            <v>29.5</v>
          </cell>
          <cell r="J1561">
            <v>14</v>
          </cell>
          <cell r="K1561">
            <v>2.0939999999999999</v>
          </cell>
          <cell r="L1561">
            <v>0.34899999999999998</v>
          </cell>
          <cell r="M1561">
            <v>1.2802999999999998E-2</v>
          </cell>
        </row>
        <row r="1562">
          <cell r="A1562">
            <v>11060062</v>
          </cell>
          <cell r="B1562">
            <v>3118220029330</v>
          </cell>
          <cell r="E1562" t="str">
            <v>COUTEAU S-NECK AVEC ETUI ET ACCESSOIRES</v>
          </cell>
          <cell r="F1562">
            <v>6</v>
          </cell>
          <cell r="G1562">
            <v>6</v>
          </cell>
          <cell r="H1562">
            <v>31.5</v>
          </cell>
          <cell r="I1562">
            <v>14.5</v>
          </cell>
          <cell r="J1562">
            <v>8</v>
          </cell>
          <cell r="K1562">
            <v>0.79800000000000004</v>
          </cell>
          <cell r="L1562">
            <v>0.13300000000000001</v>
          </cell>
          <cell r="M1562">
            <v>3.6540000000000001E-3</v>
          </cell>
        </row>
        <row r="1563">
          <cell r="A1563">
            <v>11060063</v>
          </cell>
          <cell r="B1563">
            <v>3118220029347</v>
          </cell>
          <cell r="E1563" t="str">
            <v>COUTEAU FERMANT UNBOXER NOIR BLEUTE EN TUBE TELESCOPIQUE</v>
          </cell>
          <cell r="F1563">
            <v>54</v>
          </cell>
          <cell r="G1563">
            <v>6</v>
          </cell>
          <cell r="H1563">
            <v>40</v>
          </cell>
          <cell r="I1563">
            <v>30</v>
          </cell>
          <cell r="J1563">
            <v>20</v>
          </cell>
          <cell r="K1563">
            <v>3.8340000000000001</v>
          </cell>
          <cell r="L1563">
            <v>7.1000000000000008E-2</v>
          </cell>
          <cell r="M1563">
            <v>2.4E-2</v>
          </cell>
        </row>
        <row r="1564">
          <cell r="A1564">
            <v>11060064</v>
          </cell>
          <cell r="B1564">
            <v>3118220029354</v>
          </cell>
          <cell r="E1564" t="str">
            <v>COUTEAU FERMANT UNBOXER VERT FONCE EN TUBE TELESCOPIQUE</v>
          </cell>
          <cell r="F1564">
            <v>54</v>
          </cell>
          <cell r="G1564">
            <v>6</v>
          </cell>
          <cell r="H1564">
            <v>40</v>
          </cell>
          <cell r="I1564">
            <v>30</v>
          </cell>
          <cell r="J1564">
            <v>20</v>
          </cell>
          <cell r="K1564">
            <v>3.8340000000000001</v>
          </cell>
          <cell r="L1564">
            <v>7.1000000000000008E-2</v>
          </cell>
          <cell r="M1564">
            <v>2.4E-2</v>
          </cell>
        </row>
        <row r="1565">
          <cell r="A1565">
            <v>11060065</v>
          </cell>
          <cell r="B1565">
            <v>3118220029361</v>
          </cell>
          <cell r="E1565" t="str">
            <v>COUTEAU FERMANT UNBOXER ROUGE FONCE EN TUBE TELESCOPIQUE</v>
          </cell>
          <cell r="F1565">
            <v>54</v>
          </cell>
          <cell r="G1565">
            <v>6</v>
          </cell>
          <cell r="H1565">
            <v>40</v>
          </cell>
          <cell r="I1565">
            <v>30</v>
          </cell>
          <cell r="J1565">
            <v>20</v>
          </cell>
          <cell r="K1565">
            <v>3.8340000000000001</v>
          </cell>
          <cell r="L1565">
            <v>7.1000000000000008E-2</v>
          </cell>
          <cell r="M1565">
            <v>2.4E-2</v>
          </cell>
        </row>
        <row r="1566">
          <cell r="A1566">
            <v>11060066</v>
          </cell>
          <cell r="B1566">
            <v>3118220029378</v>
          </cell>
          <cell r="E1566" t="str">
            <v>PLV COMPTOIR 9 COUTEAUX FERMANT UNBOXER NOIR BLEUTE</v>
          </cell>
          <cell r="F1566">
            <v>9</v>
          </cell>
          <cell r="G1566">
            <v>9</v>
          </cell>
          <cell r="H1566">
            <v>38</v>
          </cell>
          <cell r="I1566">
            <v>28</v>
          </cell>
          <cell r="J1566">
            <v>26</v>
          </cell>
          <cell r="K1566">
            <v>6.7290000000000001</v>
          </cell>
          <cell r="L1566">
            <v>0.7476666666666667</v>
          </cell>
          <cell r="M1566">
            <v>2.7664000000000005E-2</v>
          </cell>
        </row>
        <row r="1567">
          <cell r="A1567">
            <v>11060067</v>
          </cell>
          <cell r="B1567">
            <v>3118220029385</v>
          </cell>
          <cell r="E1567" t="str">
            <v>PLV COMPTOIR 9 COUTEAUX FERMANT UNBOXER VERT FONCE</v>
          </cell>
          <cell r="F1567">
            <v>9</v>
          </cell>
          <cell r="G1567">
            <v>9</v>
          </cell>
          <cell r="H1567">
            <v>38</v>
          </cell>
          <cell r="I1567">
            <v>28</v>
          </cell>
          <cell r="J1567">
            <v>26</v>
          </cell>
          <cell r="K1567">
            <v>6.7290000000000001</v>
          </cell>
          <cell r="L1567">
            <v>0.7476666666666667</v>
          </cell>
          <cell r="M1567">
            <v>2.7664000000000005E-2</v>
          </cell>
        </row>
        <row r="1568">
          <cell r="A1568">
            <v>11060068</v>
          </cell>
          <cell r="B1568">
            <v>3118220029392</v>
          </cell>
          <cell r="E1568" t="str">
            <v>PLV COMPTOIR 9 COUTEAUX FERMANT UNBOXER ROUGE FONCE</v>
          </cell>
          <cell r="F1568">
            <v>9</v>
          </cell>
          <cell r="G1568">
            <v>9</v>
          </cell>
          <cell r="H1568">
            <v>38</v>
          </cell>
          <cell r="I1568">
            <v>28</v>
          </cell>
          <cell r="J1568">
            <v>26</v>
          </cell>
          <cell r="K1568">
            <v>6.7290000000000001</v>
          </cell>
          <cell r="L1568">
            <v>0.7476666666666667</v>
          </cell>
          <cell r="M1568">
            <v>2.7664000000000005E-2</v>
          </cell>
        </row>
        <row r="1569">
          <cell r="A1569">
            <v>11060069</v>
          </cell>
          <cell r="B1569">
            <v>3118220029408</v>
          </cell>
          <cell r="E1569" t="str">
            <v>KIT 9 COUTEAUX UNBOXER PANACHE NOIR/ROUGE/VERT PLV COMPTOIR</v>
          </cell>
          <cell r="F1569">
            <v>9</v>
          </cell>
          <cell r="G1569">
            <v>1</v>
          </cell>
          <cell r="H1569">
            <v>38</v>
          </cell>
          <cell r="I1569">
            <v>28</v>
          </cell>
          <cell r="J1569">
            <v>26</v>
          </cell>
          <cell r="K1569">
            <v>6.7290000000000001</v>
          </cell>
          <cell r="L1569">
            <v>0.7476666666666667</v>
          </cell>
          <cell r="M1569">
            <v>2.7664000000000005E-2</v>
          </cell>
        </row>
        <row r="1570">
          <cell r="A1570">
            <v>11060070</v>
          </cell>
          <cell r="B1570">
            <v>3118220030596</v>
          </cell>
          <cell r="E1570" t="str">
            <v>BIVOUAC ET COUVERTS EN SACHET PLASTIQUE + HOUSSE CAMOUFLAGE</v>
          </cell>
          <cell r="F1570">
            <v>6</v>
          </cell>
          <cell r="G1570">
            <v>6</v>
          </cell>
          <cell r="H1570">
            <v>31</v>
          </cell>
          <cell r="I1570">
            <v>19</v>
          </cell>
          <cell r="J1570">
            <v>9</v>
          </cell>
          <cell r="K1570">
            <v>1.105</v>
          </cell>
          <cell r="L1570">
            <v>0.18416666666666667</v>
          </cell>
          <cell r="M1570">
            <v>5.3009999999999993E-3</v>
          </cell>
        </row>
        <row r="1571">
          <cell r="A1571">
            <v>11060072</v>
          </cell>
          <cell r="B1571">
            <v>3118220031234</v>
          </cell>
          <cell r="E1571" t="str">
            <v>COUTEAU TIOR</v>
          </cell>
          <cell r="F1571">
            <v>50</v>
          </cell>
          <cell r="G1571">
            <v>50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</row>
        <row r="1572">
          <cell r="A1572">
            <v>11060073</v>
          </cell>
          <cell r="B1572">
            <v>3118220031258</v>
          </cell>
          <cell r="E1572" t="str">
            <v>ENSEMBLE COUTEAU + ETUI TIOR</v>
          </cell>
          <cell r="F1572">
            <v>50</v>
          </cell>
          <cell r="G1572">
            <v>50</v>
          </cell>
          <cell r="H1572">
            <v>58.5</v>
          </cell>
          <cell r="I1572">
            <v>38.5</v>
          </cell>
          <cell r="J1572">
            <v>19</v>
          </cell>
          <cell r="K1572">
            <v>13.31</v>
          </cell>
          <cell r="L1572">
            <v>0.26619999999999999</v>
          </cell>
          <cell r="M1572">
            <v>4.2792749999999991E-2</v>
          </cell>
        </row>
        <row r="1573">
          <cell r="A1573">
            <v>11060074</v>
          </cell>
          <cell r="B1573">
            <v>3118220031784</v>
          </cell>
          <cell r="E1573" t="str">
            <v>COFFRET PRESTIGE ARMEE</v>
          </cell>
          <cell r="F1573">
            <v>6</v>
          </cell>
          <cell r="G1573">
            <v>6</v>
          </cell>
          <cell r="H1573">
            <v>31</v>
          </cell>
          <cell r="I1573">
            <v>29.5</v>
          </cell>
          <cell r="J1573">
            <v>14</v>
          </cell>
          <cell r="K1573">
            <v>2.52</v>
          </cell>
          <cell r="L1573">
            <v>0.42</v>
          </cell>
          <cell r="M1573">
            <v>1.2802999999999998E-2</v>
          </cell>
        </row>
        <row r="1574">
          <cell r="A1574">
            <v>11060075</v>
          </cell>
          <cell r="B1574">
            <v>3118220031791</v>
          </cell>
          <cell r="E1574" t="str">
            <v>C.A.C. DOUANE LAME MICRO PEACOAT 19-3920 TPX + HOUSSE NOIRE</v>
          </cell>
          <cell r="F1574">
            <v>80</v>
          </cell>
          <cell r="G1574">
            <v>5</v>
          </cell>
          <cell r="H1574">
            <v>60</v>
          </cell>
          <cell r="I1574">
            <v>40</v>
          </cell>
          <cell r="J1574">
            <v>17.5</v>
          </cell>
          <cell r="K1574">
            <v>21.1</v>
          </cell>
          <cell r="L1574">
            <v>0.26375000000000004</v>
          </cell>
          <cell r="M1574">
            <v>4.2000000000000003E-2</v>
          </cell>
        </row>
        <row r="1575">
          <cell r="A1575">
            <v>11060077</v>
          </cell>
          <cell r="B1575">
            <v>3118220034150</v>
          </cell>
          <cell r="E1575" t="str">
            <v>CAC SERRATION MANCHE PA6 FV KAKI + ETUI SOUS BLISTER</v>
          </cell>
          <cell r="F1575">
            <v>6</v>
          </cell>
          <cell r="G1575">
            <v>6</v>
          </cell>
          <cell r="H1575">
            <v>43</v>
          </cell>
          <cell r="I1575">
            <v>17</v>
          </cell>
          <cell r="J1575">
            <v>11</v>
          </cell>
          <cell r="K1575">
            <v>1.446</v>
          </cell>
          <cell r="L1575">
            <v>0.24099999999999999</v>
          </cell>
          <cell r="M1575">
            <v>8.0409999999999995E-3</v>
          </cell>
        </row>
        <row r="1576">
          <cell r="A1576">
            <v>11060078</v>
          </cell>
          <cell r="B1576">
            <v>2009020433162</v>
          </cell>
          <cell r="E1576" t="str">
            <v>CAC SERRATION MANCHE PA6 FV NOIR + ETUI SOUS BLISTER BELGIQ</v>
          </cell>
          <cell r="F1576">
            <v>6</v>
          </cell>
          <cell r="G1576">
            <v>6</v>
          </cell>
          <cell r="H1576">
            <v>43</v>
          </cell>
          <cell r="I1576">
            <v>17</v>
          </cell>
          <cell r="J1576">
            <v>11</v>
          </cell>
          <cell r="K1576">
            <v>1.611</v>
          </cell>
          <cell r="L1576">
            <v>0.26850000000000002</v>
          </cell>
          <cell r="M1576">
            <v>8.0409999999999995E-3</v>
          </cell>
        </row>
        <row r="1577">
          <cell r="A1577">
            <v>11060079</v>
          </cell>
          <cell r="B1577">
            <v>3118220034174</v>
          </cell>
          <cell r="E1577" t="str">
            <v>CAC SERRATION MANCHE PA6 FV JAUNE FLUORESC+ETUI SOUS BLISTER</v>
          </cell>
          <cell r="F1577">
            <v>6</v>
          </cell>
          <cell r="G1577">
            <v>6</v>
          </cell>
          <cell r="H1577">
            <v>43</v>
          </cell>
          <cell r="I1577">
            <v>17</v>
          </cell>
          <cell r="J1577">
            <v>11</v>
          </cell>
          <cell r="K1577">
            <v>1.446</v>
          </cell>
          <cell r="L1577">
            <v>0.24099999999999999</v>
          </cell>
          <cell r="M1577">
            <v>8.0409999999999995E-3</v>
          </cell>
        </row>
        <row r="1578">
          <cell r="A1578">
            <v>11060080</v>
          </cell>
          <cell r="B1578">
            <v>3118220034181</v>
          </cell>
          <cell r="E1578" t="str">
            <v>CAC S200 SERRATION MANCHE PA6 FV KAKI + ETUI SOUS BLISTER</v>
          </cell>
          <cell r="F1578">
            <v>6</v>
          </cell>
          <cell r="G1578">
            <v>6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</row>
        <row r="1579">
          <cell r="A1579">
            <v>11060081</v>
          </cell>
          <cell r="B1579">
            <v>3118220034198</v>
          </cell>
          <cell r="E1579" t="str">
            <v>CAC S200 SERRATION MANCHE PA6 FV NOIR + ETUI SOUS BLISTER</v>
          </cell>
          <cell r="F1579">
            <v>6</v>
          </cell>
          <cell r="G1579">
            <v>6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</row>
        <row r="1580">
          <cell r="A1580">
            <v>11060084</v>
          </cell>
          <cell r="B1580">
            <v>3118220034235</v>
          </cell>
          <cell r="E1580" t="str">
            <v>BAROUDEUR NOIR AVEC COUVERTS ET ETUI SOUS BLISTER</v>
          </cell>
          <cell r="F1580">
            <v>6</v>
          </cell>
          <cell r="G1580">
            <v>6</v>
          </cell>
          <cell r="H1580">
            <v>40</v>
          </cell>
          <cell r="I1580">
            <v>17</v>
          </cell>
          <cell r="J1580">
            <v>11</v>
          </cell>
          <cell r="K1580">
            <v>2.226</v>
          </cell>
          <cell r="L1580">
            <v>0.371</v>
          </cell>
          <cell r="M1580">
            <v>7.4799999999999997E-3</v>
          </cell>
        </row>
        <row r="1581">
          <cell r="A1581">
            <v>11060085</v>
          </cell>
          <cell r="B1581">
            <v>3118220034228</v>
          </cell>
          <cell r="E1581" t="str">
            <v>BAROUDEUR KAKI AVEC COUVERTS ET ETUI SOUS BLISTER</v>
          </cell>
          <cell r="F1581">
            <v>6</v>
          </cell>
          <cell r="G1581">
            <v>6</v>
          </cell>
          <cell r="H1581">
            <v>40</v>
          </cell>
          <cell r="I1581">
            <v>17</v>
          </cell>
          <cell r="J1581">
            <v>11</v>
          </cell>
          <cell r="K1581">
            <v>2.226</v>
          </cell>
          <cell r="L1581">
            <v>0.371</v>
          </cell>
          <cell r="M1581">
            <v>7.4799999999999997E-3</v>
          </cell>
        </row>
        <row r="1582">
          <cell r="A1582">
            <v>11060086</v>
          </cell>
          <cell r="B1582">
            <v>2009020433155</v>
          </cell>
          <cell r="E1582" t="str">
            <v>BAROUDEUR ROUGE AVEC COUVERTS ET ETUI SOUS BLISTER BELGIQUE</v>
          </cell>
          <cell r="F1582">
            <v>6</v>
          </cell>
          <cell r="G1582">
            <v>6</v>
          </cell>
          <cell r="H1582">
            <v>43</v>
          </cell>
          <cell r="I1582">
            <v>17</v>
          </cell>
          <cell r="J1582">
            <v>11</v>
          </cell>
          <cell r="K1582">
            <v>2.226</v>
          </cell>
          <cell r="L1582">
            <v>0.371</v>
          </cell>
          <cell r="M1582">
            <v>8.0409999999999995E-3</v>
          </cell>
        </row>
        <row r="1583">
          <cell r="A1583">
            <v>11060087</v>
          </cell>
          <cell r="B1583">
            <v>3118220034259</v>
          </cell>
          <cell r="E1583" t="str">
            <v>COUTEAU BIVOUAC AVEC ETUI ET COUVERTS SOUS BLISTER</v>
          </cell>
          <cell r="F1583">
            <v>6</v>
          </cell>
          <cell r="G1583">
            <v>6</v>
          </cell>
          <cell r="H1583">
            <v>43</v>
          </cell>
          <cell r="I1583">
            <v>17</v>
          </cell>
          <cell r="J1583">
            <v>11</v>
          </cell>
          <cell r="K1583">
            <v>1.296</v>
          </cell>
          <cell r="L1583">
            <v>0.216</v>
          </cell>
          <cell r="M1583">
            <v>8.0409999999999995E-3</v>
          </cell>
        </row>
        <row r="1584">
          <cell r="A1584">
            <v>11060088</v>
          </cell>
          <cell r="B1584">
            <v>3118220034266</v>
          </cell>
          <cell r="E1584" t="str">
            <v>COUTEAU S-NECK AVEC ETUI ET ACCESSOIRES SOUS BLISTER</v>
          </cell>
          <cell r="F1584">
            <v>6</v>
          </cell>
          <cell r="G1584">
            <v>6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</row>
        <row r="1585">
          <cell r="A1585">
            <v>11060092</v>
          </cell>
          <cell r="B1585">
            <v>3118220034617</v>
          </cell>
          <cell r="E1585" t="str">
            <v>CTX BIVOUAC NOIR AVEC ETUI ET COUVERTS EN SACHET PLASTIQUE</v>
          </cell>
          <cell r="F1585">
            <v>6</v>
          </cell>
          <cell r="G1585">
            <v>6</v>
          </cell>
          <cell r="H1585">
            <v>32</v>
          </cell>
          <cell r="I1585">
            <v>19</v>
          </cell>
          <cell r="J1585">
            <v>10</v>
          </cell>
          <cell r="K1585">
            <v>1.095</v>
          </cell>
          <cell r="L1585">
            <v>0.1825</v>
          </cell>
          <cell r="M1585">
            <v>6.0799999999999995E-3</v>
          </cell>
        </row>
        <row r="1586">
          <cell r="A1586">
            <v>11060093</v>
          </cell>
          <cell r="B1586">
            <v>3118220034679</v>
          </cell>
          <cell r="E1586" t="str">
            <v>MARAUDEUR FLAMECORD FISH&amp;FIRE NOIR SERRA+ETUI KIDEX BLISTER</v>
          </cell>
          <cell r="F1586">
            <v>6</v>
          </cell>
          <cell r="G1586">
            <v>6</v>
          </cell>
          <cell r="H1586">
            <v>43</v>
          </cell>
          <cell r="I1586">
            <v>17</v>
          </cell>
          <cell r="J1586">
            <v>11</v>
          </cell>
          <cell r="K1586">
            <v>1.792</v>
          </cell>
          <cell r="L1586">
            <v>0.29866666666666669</v>
          </cell>
          <cell r="M1586">
            <v>8.0409999999999995E-3</v>
          </cell>
        </row>
        <row r="1587">
          <cell r="A1587">
            <v>11060094</v>
          </cell>
          <cell r="B1587">
            <v>3118220034167</v>
          </cell>
          <cell r="E1587" t="str">
            <v>CAC SERRATION MANCHE PA6 FV NOIR + ETUI SOUS BLISTER</v>
          </cell>
          <cell r="F1587">
            <v>6</v>
          </cell>
          <cell r="G1587">
            <v>6</v>
          </cell>
          <cell r="H1587">
            <v>43</v>
          </cell>
          <cell r="I1587">
            <v>17</v>
          </cell>
          <cell r="J1587">
            <v>11</v>
          </cell>
          <cell r="K1587">
            <v>1.446</v>
          </cell>
          <cell r="L1587">
            <v>0.24099999999999999</v>
          </cell>
          <cell r="M1587">
            <v>8.0409999999999995E-3</v>
          </cell>
        </row>
        <row r="1588">
          <cell r="A1588">
            <v>11060095</v>
          </cell>
          <cell r="B1588">
            <v>3118220034204</v>
          </cell>
          <cell r="E1588" t="str">
            <v>MARAUDEUR FLAMECORD COYOTE BROWN SERRA+ETUI KIDEX BLISTER</v>
          </cell>
          <cell r="F1588">
            <v>6</v>
          </cell>
          <cell r="G1588">
            <v>6</v>
          </cell>
          <cell r="H1588">
            <v>43</v>
          </cell>
          <cell r="I1588">
            <v>17</v>
          </cell>
          <cell r="J1588">
            <v>11</v>
          </cell>
          <cell r="K1588">
            <v>1.792</v>
          </cell>
          <cell r="L1588">
            <v>0.29866666666666669</v>
          </cell>
          <cell r="M1588">
            <v>8.0409999999999995E-3</v>
          </cell>
        </row>
        <row r="1589">
          <cell r="A1589">
            <v>11060096</v>
          </cell>
          <cell r="B1589">
            <v>3118220034242</v>
          </cell>
          <cell r="E1589" t="str">
            <v>BAROUDEUR ROUGE AVEC COUVERTS ET ETUI SOUS BLISTER</v>
          </cell>
          <cell r="F1589">
            <v>6</v>
          </cell>
          <cell r="G1589">
            <v>6</v>
          </cell>
          <cell r="H1589">
            <v>40</v>
          </cell>
          <cell r="I1589">
            <v>30</v>
          </cell>
          <cell r="J1589">
            <v>20</v>
          </cell>
          <cell r="K1589">
            <v>2.226</v>
          </cell>
          <cell r="L1589">
            <v>0.371</v>
          </cell>
          <cell r="M1589">
            <v>2.4E-2</v>
          </cell>
        </row>
        <row r="1590">
          <cell r="A1590">
            <v>11060100</v>
          </cell>
          <cell r="B1590">
            <v>3118220036215</v>
          </cell>
          <cell r="E1590" t="str">
            <v>COUTEAU LE VENGEUR AVEC ETUI KIDEX ET ACCESSOIRES</v>
          </cell>
          <cell r="F1590">
            <v>6</v>
          </cell>
          <cell r="G1590">
            <v>6</v>
          </cell>
          <cell r="H1590">
            <v>40</v>
          </cell>
          <cell r="I1590">
            <v>30</v>
          </cell>
          <cell r="J1590">
            <v>20</v>
          </cell>
          <cell r="K1590">
            <v>5.4</v>
          </cell>
          <cell r="L1590">
            <v>0.9</v>
          </cell>
          <cell r="M1590">
            <v>2.4E-2</v>
          </cell>
        </row>
        <row r="1591">
          <cell r="A1591">
            <v>11060101</v>
          </cell>
          <cell r="B1591">
            <v>3118220036222</v>
          </cell>
          <cell r="E1591" t="str">
            <v>COUTEAU FERMANT UNBOXER LE VENGEUR EN TUBE TELESCOPIQUE</v>
          </cell>
          <cell r="F1591">
            <v>54</v>
          </cell>
          <cell r="G1591">
            <v>6</v>
          </cell>
          <cell r="H1591">
            <v>40</v>
          </cell>
          <cell r="I1591">
            <v>30</v>
          </cell>
          <cell r="J1591">
            <v>20</v>
          </cell>
          <cell r="K1591">
            <v>3.8340000000000001</v>
          </cell>
          <cell r="L1591">
            <v>7.1000000000000008E-2</v>
          </cell>
          <cell r="M1591">
            <v>2.4E-2</v>
          </cell>
        </row>
        <row r="1592">
          <cell r="A1592">
            <v>11060102</v>
          </cell>
          <cell r="B1592">
            <v>3118220036239</v>
          </cell>
          <cell r="E1592" t="str">
            <v>CAC SERRATION VENGEUR EN BOITE TECHNIQUE</v>
          </cell>
          <cell r="F1592">
            <v>6</v>
          </cell>
          <cell r="G1592">
            <v>6</v>
          </cell>
          <cell r="H1592">
            <v>31</v>
          </cell>
          <cell r="I1592">
            <v>28.5</v>
          </cell>
          <cell r="J1592">
            <v>13.5</v>
          </cell>
          <cell r="K1592">
            <v>2.323</v>
          </cell>
          <cell r="L1592">
            <v>0.38716666666666666</v>
          </cell>
          <cell r="M1592">
            <v>1.1927249999999999E-2</v>
          </cell>
        </row>
        <row r="1593">
          <cell r="A1593">
            <v>11060103</v>
          </cell>
          <cell r="B1593">
            <v>3118220036246</v>
          </cell>
          <cell r="E1593" t="str">
            <v>COUTEAU CAC S200 JUNIOR MICRO BOUT ROND AVEC ETUI ET COUVERT</v>
          </cell>
          <cell r="F1593">
            <v>6</v>
          </cell>
          <cell r="G1593">
            <v>6</v>
          </cell>
          <cell r="H1593">
            <v>31.5</v>
          </cell>
          <cell r="I1593">
            <v>29.5</v>
          </cell>
          <cell r="J1593">
            <v>14</v>
          </cell>
          <cell r="K1593">
            <v>2.702</v>
          </cell>
          <cell r="L1593">
            <v>0.45033333333333331</v>
          </cell>
          <cell r="M1593">
            <v>1.30095E-2</v>
          </cell>
        </row>
        <row r="1594">
          <cell r="A1594">
            <v>11060104</v>
          </cell>
          <cell r="B1594">
            <v>3118220036253</v>
          </cell>
          <cell r="E1594" t="str">
            <v>COUTEAU CAC S200 JUNIOR MICRO AVEC ETUI ET COUVERTS</v>
          </cell>
          <cell r="F1594">
            <v>6</v>
          </cell>
          <cell r="G1594">
            <v>6</v>
          </cell>
          <cell r="H1594">
            <v>31.5</v>
          </cell>
          <cell r="I1594">
            <v>29.5</v>
          </cell>
          <cell r="J1594">
            <v>14</v>
          </cell>
          <cell r="K1594">
            <v>2.6989999999999998</v>
          </cell>
          <cell r="L1594">
            <v>0.44983333333333331</v>
          </cell>
          <cell r="M1594">
            <v>1.30095E-2</v>
          </cell>
        </row>
        <row r="1595">
          <cell r="A1595">
            <v>11060105</v>
          </cell>
          <cell r="B1595">
            <v>3118220036260</v>
          </cell>
          <cell r="E1595" t="str">
            <v>CAC S200 MICRO VENGEUR EN BOITE TECHNIQUE</v>
          </cell>
          <cell r="F1595">
            <v>6</v>
          </cell>
          <cell r="G1595">
            <v>6</v>
          </cell>
          <cell r="H1595">
            <v>31</v>
          </cell>
          <cell r="I1595">
            <v>28.5</v>
          </cell>
          <cell r="J1595">
            <v>13.5</v>
          </cell>
          <cell r="K1595">
            <v>2.0699999999999998</v>
          </cell>
          <cell r="L1595">
            <v>0.34499999999999997</v>
          </cell>
          <cell r="M1595">
            <v>1.1927249999999999E-2</v>
          </cell>
        </row>
        <row r="1596">
          <cell r="A1596">
            <v>11060110</v>
          </cell>
          <cell r="B1596">
            <v>3118220036314</v>
          </cell>
          <cell r="E1596" t="str">
            <v>COUTEAU FERMANT UNBOXER BLACK EN TUBE TELESCOPIQUE</v>
          </cell>
          <cell r="F1596">
            <v>54</v>
          </cell>
          <cell r="G1596">
            <v>6</v>
          </cell>
          <cell r="H1596">
            <v>40</v>
          </cell>
          <cell r="I1596">
            <v>30</v>
          </cell>
          <cell r="J1596">
            <v>20</v>
          </cell>
          <cell r="K1596">
            <v>5.43</v>
          </cell>
          <cell r="L1596">
            <v>0.10055555555555555</v>
          </cell>
          <cell r="M1596">
            <v>2.4E-2</v>
          </cell>
        </row>
        <row r="1597">
          <cell r="A1597">
            <v>11060111</v>
          </cell>
          <cell r="B1597">
            <v>3118220037922</v>
          </cell>
          <cell r="E1597" t="str">
            <v>CAC SERRATION MANCHE PA6 FV ROUGE</v>
          </cell>
          <cell r="F1597">
            <v>6</v>
          </cell>
          <cell r="G1597">
            <v>6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</row>
        <row r="1598">
          <cell r="A1598">
            <v>11060112</v>
          </cell>
          <cell r="B1598">
            <v>3118220037939</v>
          </cell>
          <cell r="E1598" t="str">
            <v>CAC SERRATION MANCHE PA6 TOXIFIE JAUNE FLUORESCENT</v>
          </cell>
          <cell r="F1598">
            <v>6</v>
          </cell>
          <cell r="G1598">
            <v>6</v>
          </cell>
          <cell r="H1598">
            <v>32</v>
          </cell>
          <cell r="I1598">
            <v>29</v>
          </cell>
          <cell r="J1598">
            <v>13.5</v>
          </cell>
          <cell r="K1598">
            <v>2.1120000000000001</v>
          </cell>
          <cell r="L1598">
            <v>0.35200000000000004</v>
          </cell>
          <cell r="M1598">
            <v>1.2527999999999999E-2</v>
          </cell>
        </row>
        <row r="1599">
          <cell r="A1599">
            <v>11060113</v>
          </cell>
          <cell r="B1599">
            <v>3118220037946</v>
          </cell>
          <cell r="E1599" t="str">
            <v>CAC SERRATION MANCHE PA6 TOXIFIE KAKI</v>
          </cell>
          <cell r="F1599">
            <v>6</v>
          </cell>
          <cell r="G1599">
            <v>6</v>
          </cell>
          <cell r="H1599">
            <v>32</v>
          </cell>
          <cell r="I1599">
            <v>29</v>
          </cell>
          <cell r="J1599">
            <v>13.5</v>
          </cell>
          <cell r="K1599">
            <v>1.5</v>
          </cell>
          <cell r="L1599">
            <v>0.25</v>
          </cell>
          <cell r="M1599">
            <v>1.2527999999999999E-2</v>
          </cell>
        </row>
        <row r="1600">
          <cell r="A1600">
            <v>11060114</v>
          </cell>
          <cell r="B1600">
            <v>3118220037953</v>
          </cell>
          <cell r="E1600" t="str">
            <v>CAC SERRATION MANCHE PA6 TOXIFIE NOIR</v>
          </cell>
          <cell r="F1600">
            <v>6</v>
          </cell>
          <cell r="G1600">
            <v>6</v>
          </cell>
          <cell r="H1600">
            <v>32</v>
          </cell>
          <cell r="I1600">
            <v>29</v>
          </cell>
          <cell r="J1600">
            <v>13.5</v>
          </cell>
          <cell r="K1600">
            <v>1.47</v>
          </cell>
          <cell r="L1600">
            <v>0.245</v>
          </cell>
          <cell r="M1600">
            <v>1.2527999999999999E-2</v>
          </cell>
        </row>
        <row r="1601">
          <cell r="A1601">
            <v>11060115</v>
          </cell>
          <cell r="B1601">
            <v>3118220037960</v>
          </cell>
          <cell r="E1601" t="str">
            <v>CAC SERRATION MANCHE PA6 TOXIFIE ROUGE</v>
          </cell>
          <cell r="F1601">
            <v>6</v>
          </cell>
          <cell r="G1601">
            <v>6</v>
          </cell>
          <cell r="H1601">
            <v>32</v>
          </cell>
          <cell r="I1601">
            <v>29</v>
          </cell>
          <cell r="J1601">
            <v>13.5</v>
          </cell>
          <cell r="K1601">
            <v>2.1120000000000001</v>
          </cell>
          <cell r="L1601">
            <v>0.35200000000000004</v>
          </cell>
          <cell r="M1601">
            <v>1.2527999999999999E-2</v>
          </cell>
        </row>
        <row r="1602">
          <cell r="A1602">
            <v>11060117</v>
          </cell>
          <cell r="B1602">
            <v>3118220038899</v>
          </cell>
          <cell r="E1602" t="str">
            <v>CAC MARINE NATIONALE MANCHE PA6 FV BLEU + ETUI EN SACHET</v>
          </cell>
          <cell r="F1602">
            <v>6</v>
          </cell>
          <cell r="G1602">
            <v>6</v>
          </cell>
          <cell r="H1602">
            <v>31</v>
          </cell>
          <cell r="I1602">
            <v>9.5</v>
          </cell>
          <cell r="J1602">
            <v>19</v>
          </cell>
          <cell r="K1602">
            <v>1.38</v>
          </cell>
          <cell r="L1602">
            <v>0.22999999999999998</v>
          </cell>
          <cell r="M1602">
            <v>5.5954999999999998E-3</v>
          </cell>
        </row>
        <row r="1603">
          <cell r="A1603">
            <v>11060118</v>
          </cell>
          <cell r="B1603">
            <v>2009021779740</v>
          </cell>
          <cell r="E1603" t="str">
            <v>CAC SERRATION MANCHE PA6 FV JAUNE +ETUI SOUS BLISTER BELGIQ</v>
          </cell>
          <cell r="F1603">
            <v>6</v>
          </cell>
          <cell r="G1603">
            <v>6</v>
          </cell>
          <cell r="H1603">
            <v>43</v>
          </cell>
          <cell r="I1603">
            <v>17</v>
          </cell>
          <cell r="J1603">
            <v>11</v>
          </cell>
          <cell r="K1603">
            <v>1.446</v>
          </cell>
          <cell r="L1603">
            <v>0.24099999999999999</v>
          </cell>
          <cell r="M1603">
            <v>8.0409999999999995E-3</v>
          </cell>
        </row>
        <row r="1604">
          <cell r="A1604">
            <v>11060120</v>
          </cell>
          <cell r="B1604">
            <v>3118220041448</v>
          </cell>
          <cell r="E1604" t="str">
            <v>ENSEMBLE COUTEAU ETUI ENTRAINEMENT BLEU</v>
          </cell>
          <cell r="F1604">
            <v>1</v>
          </cell>
          <cell r="G1604">
            <v>1</v>
          </cell>
          <cell r="H1604">
            <v>58</v>
          </cell>
          <cell r="I1604">
            <v>39</v>
          </cell>
          <cell r="J1604">
            <v>18.5</v>
          </cell>
          <cell r="K1604">
            <v>12.574999999999999</v>
          </cell>
          <cell r="L1604">
            <v>12.574999999999999</v>
          </cell>
          <cell r="M1604">
            <v>4.1846999999999995E-2</v>
          </cell>
        </row>
        <row r="1605">
          <cell r="A1605">
            <v>11060121</v>
          </cell>
          <cell r="B1605">
            <v>3118220042636</v>
          </cell>
          <cell r="E1605" t="str">
            <v>COFFRET PRESTIGE VIP DOUANE FRANCAISE</v>
          </cell>
          <cell r="F1605">
            <v>6</v>
          </cell>
          <cell r="G1605">
            <v>6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</row>
        <row r="1606">
          <cell r="A1606">
            <v>11060122</v>
          </cell>
          <cell r="B1606">
            <v>3118220042766</v>
          </cell>
          <cell r="E1606" t="str">
            <v>CAC MARINE NATIONALE MANCHE PA6 FV BLEU + HOUSSE EN BTE TECH</v>
          </cell>
          <cell r="F1606">
            <v>6</v>
          </cell>
          <cell r="G1606">
            <v>6</v>
          </cell>
          <cell r="H1606">
            <v>31.5</v>
          </cell>
          <cell r="I1606">
            <v>29</v>
          </cell>
          <cell r="J1606">
            <v>14</v>
          </cell>
          <cell r="K1606">
            <v>2.577</v>
          </cell>
          <cell r="L1606">
            <v>0.42949999999999999</v>
          </cell>
          <cell r="M1606">
            <v>1.2789E-2</v>
          </cell>
        </row>
        <row r="1607">
          <cell r="A1607">
            <v>11060123</v>
          </cell>
          <cell r="B1607">
            <v>3118220042773</v>
          </cell>
          <cell r="E1607" t="str">
            <v>CAC S200 PA6 NOIR TOXI GENDARMERIE NATIONALE+HOUSSE BTE TECH</v>
          </cell>
          <cell r="F1607">
            <v>6</v>
          </cell>
          <cell r="G1607">
            <v>6</v>
          </cell>
          <cell r="H1607">
            <v>31.5</v>
          </cell>
          <cell r="I1607">
            <v>29</v>
          </cell>
          <cell r="J1607">
            <v>14</v>
          </cell>
          <cell r="K1607">
            <v>2.577</v>
          </cell>
          <cell r="L1607">
            <v>0.42949999999999999</v>
          </cell>
          <cell r="M1607">
            <v>1.2789E-2</v>
          </cell>
        </row>
        <row r="1608">
          <cell r="A1608">
            <v>11060124</v>
          </cell>
          <cell r="B1608">
            <v>3118220042834</v>
          </cell>
          <cell r="E1608" t="str">
            <v>BAROUDEUR KAKI LAME AJOUREE +COUVERTS SS GAINE+SACHET PLAST.</v>
          </cell>
          <cell r="F1608">
            <v>6</v>
          </cell>
          <cell r="G1608">
            <v>6</v>
          </cell>
          <cell r="H1608">
            <v>31.5</v>
          </cell>
          <cell r="I1608">
            <v>19</v>
          </cell>
          <cell r="J1608">
            <v>10</v>
          </cell>
          <cell r="K1608">
            <v>1.9059999999999999</v>
          </cell>
          <cell r="L1608">
            <v>0.31766666666666665</v>
          </cell>
          <cell r="M1608">
            <v>5.9850000000000007E-3</v>
          </cell>
        </row>
        <row r="1609">
          <cell r="A1609">
            <v>11060125</v>
          </cell>
          <cell r="B1609">
            <v>3118220042858</v>
          </cell>
          <cell r="E1609" t="str">
            <v>CAC S200 DAMAS INOX TWIST MICRO MANCH G10 TOXI NOIR BOIT TEC</v>
          </cell>
          <cell r="F1609">
            <v>6</v>
          </cell>
          <cell r="G1609">
            <v>6</v>
          </cell>
          <cell r="H1609">
            <v>31.5</v>
          </cell>
          <cell r="I1609">
            <v>29</v>
          </cell>
          <cell r="J1609">
            <v>14</v>
          </cell>
          <cell r="K1609">
            <v>2.597</v>
          </cell>
          <cell r="L1609">
            <v>0.43283333333333335</v>
          </cell>
          <cell r="M1609">
            <v>1.2789E-2</v>
          </cell>
        </row>
        <row r="1610">
          <cell r="A1610">
            <v>11060126</v>
          </cell>
          <cell r="B1610">
            <v>3118220042865</v>
          </cell>
          <cell r="E1610" t="str">
            <v>CAC S200 DAMAS INOX TWIST MICRO MANCH G10 TOXI KAKI BOIT TEC</v>
          </cell>
          <cell r="F1610">
            <v>6</v>
          </cell>
          <cell r="G1610">
            <v>6</v>
          </cell>
          <cell r="H1610">
            <v>31.5</v>
          </cell>
          <cell r="I1610">
            <v>29</v>
          </cell>
          <cell r="J1610">
            <v>14</v>
          </cell>
          <cell r="K1610">
            <v>2.597</v>
          </cell>
          <cell r="L1610">
            <v>0.43283333333333335</v>
          </cell>
          <cell r="M1610">
            <v>1.2789E-2</v>
          </cell>
        </row>
        <row r="1611">
          <cell r="A1611">
            <v>11060127</v>
          </cell>
          <cell r="B1611">
            <v>3118220042872</v>
          </cell>
          <cell r="E1611" t="str">
            <v>CAC S200 DAMAS INOX TWIST MICRO MANCH G10 TOXI ROUG BOIT TEC</v>
          </cell>
          <cell r="F1611">
            <v>6</v>
          </cell>
          <cell r="G1611">
            <v>6</v>
          </cell>
          <cell r="H1611">
            <v>31.5</v>
          </cell>
          <cell r="I1611">
            <v>29</v>
          </cell>
          <cell r="J1611">
            <v>14</v>
          </cell>
          <cell r="K1611">
            <v>2.597</v>
          </cell>
          <cell r="L1611">
            <v>0.43283333333333335</v>
          </cell>
          <cell r="M1611">
            <v>1.2789E-2</v>
          </cell>
        </row>
        <row r="1612">
          <cell r="A1612">
            <v>11060128</v>
          </cell>
          <cell r="B1612">
            <v>3118220044425</v>
          </cell>
          <cell r="E1612" t="str">
            <v>COUTEAU UNBOXER BLEU MARINE NATIONALE EN TUBE TELESCOPIQUE</v>
          </cell>
          <cell r="F1612">
            <v>54</v>
          </cell>
          <cell r="G1612">
            <v>54</v>
          </cell>
          <cell r="H1612">
            <v>40</v>
          </cell>
          <cell r="I1612">
            <v>30</v>
          </cell>
          <cell r="J1612">
            <v>20</v>
          </cell>
          <cell r="K1612">
            <v>5.43</v>
          </cell>
          <cell r="L1612">
            <v>0.10055555555555555</v>
          </cell>
          <cell r="M1612">
            <v>2.4E-2</v>
          </cell>
        </row>
        <row r="1613">
          <cell r="A1613">
            <v>11060129</v>
          </cell>
          <cell r="B1613">
            <v>3118220044432</v>
          </cell>
          <cell r="E1613" t="str">
            <v>COUTEAU UNBOXER ROUGE MARINE NATIONALE EN TUBE TELESCOPIQUE</v>
          </cell>
          <cell r="F1613">
            <v>54</v>
          </cell>
          <cell r="G1613">
            <v>54</v>
          </cell>
          <cell r="H1613">
            <v>40</v>
          </cell>
          <cell r="I1613">
            <v>30</v>
          </cell>
          <cell r="J1613">
            <v>20</v>
          </cell>
          <cell r="K1613">
            <v>5.3579999999999997</v>
          </cell>
          <cell r="L1613">
            <v>9.9222222222222212E-2</v>
          </cell>
          <cell r="M1613">
            <v>2.4E-2</v>
          </cell>
        </row>
        <row r="1614">
          <cell r="A1614">
            <v>11060130</v>
          </cell>
          <cell r="B1614">
            <v>3118220045620</v>
          </cell>
          <cell r="E1614" t="str">
            <v>CAC S200 SERRATION MANCHE G10 TOXIFIÉ ORANGE BOITE TECHNIQ</v>
          </cell>
          <cell r="F1614">
            <v>6</v>
          </cell>
          <cell r="G1614">
            <v>6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</row>
        <row r="1615">
          <cell r="A1615">
            <v>11060131</v>
          </cell>
          <cell r="B1615">
            <v>3118220045637</v>
          </cell>
          <cell r="E1615" t="str">
            <v>CAC S200 SERRATION MANCHE G10 TOXIFIÉ ARDOISE BOITE TECHNIQ</v>
          </cell>
          <cell r="F1615">
            <v>6</v>
          </cell>
          <cell r="G1615">
            <v>6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</row>
        <row r="1616">
          <cell r="A1616">
            <v>11060132</v>
          </cell>
          <cell r="B1616">
            <v>3118220045910</v>
          </cell>
          <cell r="E1616" t="str">
            <v>CTX BIVOUAC ROUGE MARINE NAT AVEC ETUI ET COUVERTS EN SACHET</v>
          </cell>
          <cell r="F1616">
            <v>6</v>
          </cell>
          <cell r="G1616">
            <v>6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</row>
        <row r="1617">
          <cell r="A1617">
            <v>11060133</v>
          </cell>
          <cell r="B1617">
            <v>3118220045927</v>
          </cell>
          <cell r="E1617" t="str">
            <v>CTX BIVOUAC BLEU MARINE NAT AVEC ETUI ET COUVERTS EN SACHET</v>
          </cell>
          <cell r="F1617">
            <v>6</v>
          </cell>
          <cell r="G1617">
            <v>6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</row>
        <row r="1618">
          <cell r="A1618">
            <v>11060134</v>
          </cell>
          <cell r="B1618">
            <v>3118220045934</v>
          </cell>
          <cell r="E1618" t="str">
            <v>CTX BIVOUAC ROUGE AVEC ETUI ET COUVERTS EN SACHET PLASTIQUE</v>
          </cell>
          <cell r="F1618">
            <v>6</v>
          </cell>
          <cell r="G1618">
            <v>6</v>
          </cell>
          <cell r="H1618">
            <v>31</v>
          </cell>
          <cell r="I1618">
            <v>19</v>
          </cell>
          <cell r="J1618">
            <v>9.5</v>
          </cell>
          <cell r="K1618">
            <v>1.1850000000000001</v>
          </cell>
          <cell r="L1618">
            <v>0.19750000000000001</v>
          </cell>
          <cell r="M1618">
            <v>5.5954999999999998E-3</v>
          </cell>
        </row>
        <row r="1619">
          <cell r="A1619">
            <v>11060135</v>
          </cell>
          <cell r="B1619">
            <v>3118220045941</v>
          </cell>
          <cell r="E1619" t="str">
            <v>CTX BIVOUAC BLEU AVEC ETUI ET COUVERTS EN SACHET PLASTIQUE</v>
          </cell>
          <cell r="F1619">
            <v>6</v>
          </cell>
          <cell r="G1619">
            <v>6</v>
          </cell>
          <cell r="H1619">
            <v>31</v>
          </cell>
          <cell r="I1619">
            <v>19</v>
          </cell>
          <cell r="J1619">
            <v>9.5</v>
          </cell>
          <cell r="K1619">
            <v>1.1850000000000001</v>
          </cell>
          <cell r="L1619">
            <v>0.19750000000000001</v>
          </cell>
          <cell r="M1619">
            <v>5.5954999999999998E-3</v>
          </cell>
        </row>
        <row r="1620">
          <cell r="A1620">
            <v>11060136</v>
          </cell>
          <cell r="B1620">
            <v>3118220046450</v>
          </cell>
          <cell r="E1620" t="str">
            <v>COUTEAU FERMANT UNBOXER BLEU MARINE EN TUBE TELESCOPIQUE</v>
          </cell>
          <cell r="F1620">
            <v>54</v>
          </cell>
          <cell r="G1620">
            <v>6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</row>
        <row r="1621">
          <cell r="A1621">
            <v>11060137</v>
          </cell>
          <cell r="B1621">
            <v>3118220046665</v>
          </cell>
          <cell r="E1621" t="str">
            <v>CAC SERRATION MANCHE PA6 FV KAKI EN BOITE TECHNIQUE KALOS</v>
          </cell>
          <cell r="F1621">
            <v>6</v>
          </cell>
          <cell r="G1621">
            <v>6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</row>
        <row r="1622">
          <cell r="A1622">
            <v>11060138</v>
          </cell>
          <cell r="B1622">
            <v>3118220046672</v>
          </cell>
          <cell r="E1622" t="str">
            <v>CAC SERRATION MANCHE PA6 FV NOIR EN BOITE TECHNIQUE KALOS</v>
          </cell>
          <cell r="F1622">
            <v>6</v>
          </cell>
          <cell r="G1622">
            <v>6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</row>
        <row r="1623">
          <cell r="A1623">
            <v>11060139</v>
          </cell>
          <cell r="B1623">
            <v>3118220046689</v>
          </cell>
          <cell r="E1623" t="str">
            <v>CAC SERRATION VENGEUR EN BOITE TECHNIQUE KALOS</v>
          </cell>
          <cell r="F1623">
            <v>6</v>
          </cell>
          <cell r="G1623">
            <v>6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</row>
        <row r="1624">
          <cell r="A1624">
            <v>11070001</v>
          </cell>
          <cell r="B1624">
            <v>3118220024533</v>
          </cell>
          <cell r="E1624" t="str">
            <v>COUTEAU BIVOUAC AVEC ETUI ET COUVERTS EN BOITE TECHNIQUE</v>
          </cell>
          <cell r="F1624">
            <v>6</v>
          </cell>
          <cell r="G1624">
            <v>6</v>
          </cell>
          <cell r="H1624">
            <v>32</v>
          </cell>
          <cell r="I1624">
            <v>29</v>
          </cell>
          <cell r="J1624">
            <v>13.5</v>
          </cell>
          <cell r="K1624">
            <v>2.238</v>
          </cell>
          <cell r="L1624">
            <v>0.373</v>
          </cell>
          <cell r="M1624">
            <v>1.2527999999999999E-2</v>
          </cell>
        </row>
        <row r="1625">
          <cell r="A1625">
            <v>11180143</v>
          </cell>
          <cell r="B1625"/>
          <cell r="C1625"/>
          <cell r="D1625"/>
          <cell r="E1625" t="str">
            <v>PAIRE DE PLAQUETTES CAC S200 G10 TOXIFIEES CAMO LM081</v>
          </cell>
          <cell r="L1625" t="e">
            <v>#DIV/0!</v>
          </cell>
          <cell r="M1625">
            <v>0</v>
          </cell>
        </row>
        <row r="1626">
          <cell r="A1626">
            <v>11200001</v>
          </cell>
          <cell r="B1626">
            <v>3118220026285</v>
          </cell>
          <cell r="E1626" t="str">
            <v>TARTINEUR PORQUEROLLES SUR CARTE PEGBORDABLE</v>
          </cell>
          <cell r="F1626">
            <v>144</v>
          </cell>
          <cell r="G1626">
            <v>12</v>
          </cell>
          <cell r="H1626">
            <v>35</v>
          </cell>
          <cell r="I1626">
            <v>30</v>
          </cell>
          <cell r="J1626">
            <v>27</v>
          </cell>
          <cell r="K1626">
            <v>11.754</v>
          </cell>
          <cell r="L1626">
            <v>8.1625000000000003E-2</v>
          </cell>
          <cell r="M1626">
            <v>2.835E-2</v>
          </cell>
        </row>
        <row r="1627">
          <cell r="A1627">
            <v>11210001</v>
          </cell>
          <cell r="B1627">
            <v>3118220026292</v>
          </cell>
          <cell r="E1627" t="str">
            <v>TARTINEUR CABOURG SUR CARTE PEGBORDABLE</v>
          </cell>
          <cell r="F1627">
            <v>144</v>
          </cell>
          <cell r="G1627">
            <v>12</v>
          </cell>
          <cell r="H1627">
            <v>35</v>
          </cell>
          <cell r="I1627">
            <v>30</v>
          </cell>
          <cell r="J1627">
            <v>27</v>
          </cell>
          <cell r="K1627">
            <v>10.199</v>
          </cell>
          <cell r="L1627">
            <v>7.0826388888888883E-2</v>
          </cell>
          <cell r="M1627">
            <v>2.835E-2</v>
          </cell>
        </row>
        <row r="1628">
          <cell r="A1628">
            <v>11340033</v>
          </cell>
          <cell r="B1628" t="str">
            <v xml:space="preserve"> /</v>
          </cell>
          <cell r="C1628" t="str">
            <v xml:space="preserve"> /</v>
          </cell>
          <cell r="D1628" t="str">
            <v xml:space="preserve"> /</v>
          </cell>
          <cell r="E1628" t="str">
            <v>CALE CARTON POUR BOITE SET DE 3 CTX BRIGADE</v>
          </cell>
        </row>
        <row r="1629">
          <cell r="A1629">
            <v>11390022</v>
          </cell>
          <cell r="B1629"/>
          <cell r="C1629"/>
          <cell r="D1629"/>
          <cell r="E1629" t="str">
            <v>MITRE TB MADE IN BRUTE</v>
          </cell>
          <cell r="F1629">
            <v>300</v>
          </cell>
          <cell r="G1629">
            <v>300</v>
          </cell>
          <cell r="H1629">
            <v>26</v>
          </cell>
          <cell r="I1629">
            <v>14</v>
          </cell>
          <cell r="J1629">
            <v>34</v>
          </cell>
          <cell r="K1629">
            <v>7.5</v>
          </cell>
          <cell r="L1629">
            <v>2.5000000000000001E-2</v>
          </cell>
          <cell r="M1629">
            <v>1.2376E-2</v>
          </cell>
        </row>
        <row r="1630">
          <cell r="A1630">
            <v>11390023</v>
          </cell>
          <cell r="B1630"/>
          <cell r="C1630"/>
          <cell r="D1630"/>
          <cell r="E1630" t="str">
            <v>MITRE MADE IN BRUTE</v>
          </cell>
          <cell r="F1630">
            <v>180</v>
          </cell>
          <cell r="G1630">
            <v>180</v>
          </cell>
          <cell r="H1630">
            <v>26</v>
          </cell>
          <cell r="I1630">
            <v>14</v>
          </cell>
          <cell r="J1630">
            <v>34</v>
          </cell>
          <cell r="K1630">
            <v>12.7</v>
          </cell>
          <cell r="L1630">
            <v>7.0555555555555552E-2</v>
          </cell>
          <cell r="M1630">
            <v>1.2376E-2</v>
          </cell>
        </row>
        <row r="1631">
          <cell r="A1631">
            <v>11400001</v>
          </cell>
          <cell r="B1631">
            <v>3118220026490</v>
          </cell>
          <cell r="E1631" t="str">
            <v>OFFICE 9CM TRADITION BOIS D'OLIVIER EN FX TB</v>
          </cell>
          <cell r="F1631">
            <v>150</v>
          </cell>
          <cell r="G1631">
            <v>6</v>
          </cell>
          <cell r="H1631">
            <v>40</v>
          </cell>
          <cell r="I1631">
            <v>30</v>
          </cell>
          <cell r="J1631">
            <v>20</v>
          </cell>
          <cell r="K1631">
            <v>10.81</v>
          </cell>
          <cell r="L1631">
            <v>7.2066666666666668E-2</v>
          </cell>
          <cell r="M1631">
            <v>2.4E-2</v>
          </cell>
        </row>
        <row r="1632">
          <cell r="A1632">
            <v>11400002</v>
          </cell>
          <cell r="B1632">
            <v>3118220026506</v>
          </cell>
          <cell r="E1632" t="str">
            <v>STEAK 12CM TRADITION BOIS D'OLIVIER EN FX TB</v>
          </cell>
          <cell r="F1632">
            <v>150</v>
          </cell>
          <cell r="G1632">
            <v>6</v>
          </cell>
          <cell r="H1632">
            <v>40</v>
          </cell>
          <cell r="I1632">
            <v>30</v>
          </cell>
          <cell r="J1632">
            <v>20</v>
          </cell>
          <cell r="K1632">
            <v>10.81</v>
          </cell>
          <cell r="L1632">
            <v>7.2066666666666668E-2</v>
          </cell>
          <cell r="M1632">
            <v>2.4E-2</v>
          </cell>
        </row>
        <row r="1633">
          <cell r="A1633">
            <v>11400003</v>
          </cell>
          <cell r="B1633">
            <v>3118220026513</v>
          </cell>
          <cell r="E1633" t="str">
            <v>PAIN 20CM TRADITION BOIS D'OLIVIER EN FX TB</v>
          </cell>
          <cell r="F1633">
            <v>72</v>
          </cell>
          <cell r="G1633">
            <v>6</v>
          </cell>
          <cell r="H1633">
            <v>40</v>
          </cell>
          <cell r="I1633">
            <v>30</v>
          </cell>
          <cell r="J1633">
            <v>20.5</v>
          </cell>
          <cell r="K1633">
            <v>12.672000000000001</v>
          </cell>
          <cell r="L1633">
            <v>0.17600000000000002</v>
          </cell>
          <cell r="M1633">
            <v>2.46E-2</v>
          </cell>
        </row>
        <row r="1634">
          <cell r="A1634">
            <v>11400004</v>
          </cell>
          <cell r="B1634">
            <v>3118220026520</v>
          </cell>
          <cell r="E1634" t="str">
            <v>CUISINE 17CM TRADITION BOIS D'OLIVIER EN FX TB</v>
          </cell>
          <cell r="F1634">
            <v>72</v>
          </cell>
          <cell r="G1634">
            <v>6</v>
          </cell>
          <cell r="H1634">
            <v>40</v>
          </cell>
          <cell r="I1634">
            <v>30</v>
          </cell>
          <cell r="J1634">
            <v>20.5</v>
          </cell>
          <cell r="K1634">
            <v>12.672000000000001</v>
          </cell>
          <cell r="L1634">
            <v>0.17600000000000002</v>
          </cell>
          <cell r="M1634">
            <v>2.46E-2</v>
          </cell>
        </row>
        <row r="1635">
          <cell r="A1635">
            <v>11400005</v>
          </cell>
          <cell r="B1635">
            <v>3118220026537</v>
          </cell>
          <cell r="E1635" t="str">
            <v>VIANDE 21CM TRADITION BOIS D'OLIVIER EN FX TB</v>
          </cell>
          <cell r="F1635">
            <v>72</v>
          </cell>
          <cell r="G1635">
            <v>6</v>
          </cell>
          <cell r="H1635">
            <v>44</v>
          </cell>
          <cell r="I1635">
            <v>28</v>
          </cell>
          <cell r="J1635">
            <v>28.5</v>
          </cell>
          <cell r="K1635">
            <v>17.440999999999999</v>
          </cell>
          <cell r="L1635">
            <v>0.2422361111111111</v>
          </cell>
          <cell r="M1635">
            <v>3.5112000000000004E-2</v>
          </cell>
        </row>
        <row r="1636">
          <cell r="A1636">
            <v>11410001</v>
          </cell>
          <cell r="B1636">
            <v>3118220026544</v>
          </cell>
          <cell r="E1636" t="str">
            <v>CHEF 19CM LOUIS EN BOITE</v>
          </cell>
          <cell r="F1636">
            <v>6</v>
          </cell>
          <cell r="G1636">
            <v>6</v>
          </cell>
          <cell r="H1636">
            <v>45</v>
          </cell>
          <cell r="I1636">
            <v>31</v>
          </cell>
          <cell r="J1636">
            <v>9</v>
          </cell>
          <cell r="K1636">
            <v>2.6139999999999999</v>
          </cell>
          <cell r="L1636">
            <v>0.43566666666666665</v>
          </cell>
          <cell r="M1636">
            <v>1.2555E-2</v>
          </cell>
        </row>
        <row r="1637">
          <cell r="A1637">
            <v>11410002</v>
          </cell>
          <cell r="B1637">
            <v>3118220026551</v>
          </cell>
          <cell r="E1637" t="str">
            <v>SANTOKU 18CM LOUIS EN BOITE</v>
          </cell>
          <cell r="F1637">
            <v>6</v>
          </cell>
          <cell r="G1637">
            <v>6</v>
          </cell>
          <cell r="H1637">
            <v>38.5</v>
          </cell>
          <cell r="I1637">
            <v>20</v>
          </cell>
          <cell r="J1637">
            <v>11.5</v>
          </cell>
          <cell r="K1637">
            <v>2.1800000000000002</v>
          </cell>
          <cell r="L1637">
            <v>0.36333333333333334</v>
          </cell>
          <cell r="M1637">
            <v>8.855E-3</v>
          </cell>
        </row>
        <row r="1638">
          <cell r="A1638">
            <v>11410003</v>
          </cell>
          <cell r="B1638">
            <v>3118220026568</v>
          </cell>
          <cell r="E1638" t="str">
            <v>CUISINE 17CM LOUIS EN BOITE</v>
          </cell>
          <cell r="F1638">
            <v>6</v>
          </cell>
          <cell r="G1638">
            <v>6</v>
          </cell>
          <cell r="H1638">
            <v>38.5</v>
          </cell>
          <cell r="I1638">
            <v>20</v>
          </cell>
          <cell r="J1638">
            <v>11.5</v>
          </cell>
          <cell r="K1638">
            <v>2.09</v>
          </cell>
          <cell r="L1638">
            <v>0.34833333333333333</v>
          </cell>
          <cell r="M1638">
            <v>8.855E-3</v>
          </cell>
        </row>
        <row r="1639">
          <cell r="A1639">
            <v>11410004</v>
          </cell>
          <cell r="B1639">
            <v>3118220026575</v>
          </cell>
          <cell r="E1639" t="str">
            <v>STEAK 11CM LOUIS EN BOITE</v>
          </cell>
          <cell r="F1639">
            <v>6</v>
          </cell>
          <cell r="G1639">
            <v>6</v>
          </cell>
          <cell r="H1639">
            <v>31</v>
          </cell>
          <cell r="I1639">
            <v>19</v>
          </cell>
          <cell r="J1639">
            <v>10</v>
          </cell>
          <cell r="K1639">
            <v>1.1220000000000001</v>
          </cell>
          <cell r="L1639">
            <v>0.18700000000000003</v>
          </cell>
          <cell r="M1639">
            <v>5.8899999999999994E-3</v>
          </cell>
        </row>
        <row r="1640">
          <cell r="A1640">
            <v>11410005</v>
          </cell>
          <cell r="B1640">
            <v>3118220026582</v>
          </cell>
          <cell r="E1640" t="str">
            <v>OFFICE 9CM LOUIS EN BOITE</v>
          </cell>
          <cell r="F1640">
            <v>6</v>
          </cell>
          <cell r="G1640">
            <v>6</v>
          </cell>
          <cell r="H1640">
            <v>31</v>
          </cell>
          <cell r="I1640">
            <v>19</v>
          </cell>
          <cell r="J1640">
            <v>10</v>
          </cell>
          <cell r="K1640">
            <v>1.2</v>
          </cell>
          <cell r="L1640">
            <v>0.19999999999999998</v>
          </cell>
          <cell r="M1640">
            <v>5.8899999999999994E-3</v>
          </cell>
        </row>
        <row r="1641">
          <cell r="A1641">
            <v>11410006</v>
          </cell>
          <cell r="B1641">
            <v>3118220026599</v>
          </cell>
          <cell r="E1641" t="str">
            <v>POLYVALENT MICRODENTE 11CM LOUIS EN BOITE</v>
          </cell>
          <cell r="F1641">
            <v>6</v>
          </cell>
          <cell r="G1641">
            <v>6</v>
          </cell>
          <cell r="H1641">
            <v>31.5</v>
          </cell>
          <cell r="I1641">
            <v>18.5</v>
          </cell>
          <cell r="J1641">
            <v>9</v>
          </cell>
          <cell r="K1641">
            <v>1.232</v>
          </cell>
          <cell r="L1641">
            <v>0.20533333333333334</v>
          </cell>
          <cell r="M1641">
            <v>5.2447499999999994E-3</v>
          </cell>
        </row>
        <row r="1642">
          <cell r="A1642">
            <v>11410007</v>
          </cell>
          <cell r="B1642">
            <v>3118220028753</v>
          </cell>
          <cell r="E1642" t="str">
            <v>COFFRET 3 COUTEAUX (OFFICE, SANTUKO, CHEF) LOUIS</v>
          </cell>
          <cell r="F1642">
            <v>6</v>
          </cell>
          <cell r="G1642">
            <v>6</v>
          </cell>
          <cell r="H1642">
            <v>40</v>
          </cell>
          <cell r="I1642">
            <v>30</v>
          </cell>
          <cell r="J1642">
            <v>20</v>
          </cell>
          <cell r="K1642">
            <v>4.08</v>
          </cell>
          <cell r="L1642">
            <v>0.68</v>
          </cell>
          <cell r="M1642">
            <v>2.4E-2</v>
          </cell>
        </row>
        <row r="1643">
          <cell r="A1643">
            <v>11410008</v>
          </cell>
          <cell r="B1643">
            <v>3118220036925</v>
          </cell>
          <cell r="E1643" t="str">
            <v>TUBO 4 STEAKS LOUIS LAME LISSE</v>
          </cell>
          <cell r="F1643">
            <v>6</v>
          </cell>
          <cell r="G1643">
            <v>6</v>
          </cell>
          <cell r="H1643">
            <v>31</v>
          </cell>
          <cell r="I1643">
            <v>29</v>
          </cell>
          <cell r="J1643">
            <v>13.5</v>
          </cell>
          <cell r="K1643">
            <v>2.27</v>
          </cell>
          <cell r="L1643">
            <v>0.37833333333333335</v>
          </cell>
          <cell r="M1643">
            <v>1.2136500000000001E-2</v>
          </cell>
        </row>
        <row r="1644">
          <cell r="A1644">
            <v>11410009</v>
          </cell>
          <cell r="B1644">
            <v>4610032447009</v>
          </cell>
          <cell r="E1644" t="str">
            <v>OFFICE 9CM LOUIS BORK HN705 EN BOITE</v>
          </cell>
          <cell r="F1644">
            <v>6</v>
          </cell>
          <cell r="G1644">
            <v>6</v>
          </cell>
          <cell r="H1644">
            <v>38</v>
          </cell>
          <cell r="I1644">
            <v>19</v>
          </cell>
          <cell r="J1644">
            <v>11</v>
          </cell>
          <cell r="K1644">
            <v>1.5</v>
          </cell>
          <cell r="L1644">
            <v>0.25</v>
          </cell>
          <cell r="M1644">
            <v>7.9419999999999994E-3</v>
          </cell>
        </row>
        <row r="1645">
          <cell r="A1645">
            <v>11410010</v>
          </cell>
          <cell r="B1645">
            <v>4610032446996</v>
          </cell>
          <cell r="E1645" t="str">
            <v>STEAK 11 CM LOUIS BORK HN704 EN BOITE</v>
          </cell>
          <cell r="F1645">
            <v>6</v>
          </cell>
          <cell r="G1645">
            <v>6</v>
          </cell>
          <cell r="H1645">
            <v>38</v>
          </cell>
          <cell r="I1645">
            <v>19.5</v>
          </cell>
          <cell r="J1645">
            <v>11.5</v>
          </cell>
          <cell r="K1645">
            <v>1.536</v>
          </cell>
          <cell r="L1645">
            <v>0.25600000000000001</v>
          </cell>
          <cell r="M1645">
            <v>8.5214999999999996E-3</v>
          </cell>
        </row>
        <row r="1646">
          <cell r="A1646">
            <v>11410011</v>
          </cell>
          <cell r="B1646">
            <v>4610032446989</v>
          </cell>
          <cell r="E1646" t="str">
            <v>CUISINE 17CM LOUIS BORK HN703 EN BOITE</v>
          </cell>
          <cell r="F1646">
            <v>6</v>
          </cell>
          <cell r="G1646">
            <v>6</v>
          </cell>
          <cell r="H1646">
            <v>45</v>
          </cell>
          <cell r="I1646">
            <v>31</v>
          </cell>
          <cell r="J1646">
            <v>9</v>
          </cell>
          <cell r="K1646">
            <v>2.6139999999999999</v>
          </cell>
          <cell r="L1646">
            <v>0.43566666666666665</v>
          </cell>
          <cell r="M1646">
            <v>1.2555E-2</v>
          </cell>
        </row>
        <row r="1647">
          <cell r="A1647">
            <v>11410012</v>
          </cell>
          <cell r="B1647">
            <v>4610032446972</v>
          </cell>
          <cell r="E1647" t="str">
            <v>SANTOKU 18CM LOUIS BORK HN702 EN BOITE</v>
          </cell>
          <cell r="F1647">
            <v>6</v>
          </cell>
          <cell r="G1647">
            <v>6</v>
          </cell>
          <cell r="H1647">
            <v>45</v>
          </cell>
          <cell r="I1647">
            <v>31</v>
          </cell>
          <cell r="J1647">
            <v>9</v>
          </cell>
          <cell r="K1647">
            <v>2.7240000000000002</v>
          </cell>
          <cell r="L1647">
            <v>0.45400000000000001</v>
          </cell>
          <cell r="M1647">
            <v>1.2555E-2</v>
          </cell>
        </row>
        <row r="1648">
          <cell r="A1648">
            <v>11410013</v>
          </cell>
          <cell r="B1648">
            <v>4610032446965</v>
          </cell>
          <cell r="E1648" t="str">
            <v>CHEF 19 CM LOUIS BORK HN701 EN BOITE</v>
          </cell>
          <cell r="F1648">
            <v>6</v>
          </cell>
          <cell r="G1648">
            <v>6</v>
          </cell>
          <cell r="H1648">
            <v>46</v>
          </cell>
          <cell r="I1648">
            <v>31</v>
          </cell>
          <cell r="J1648">
            <v>8</v>
          </cell>
          <cell r="K1648">
            <v>2.6749999999999998</v>
          </cell>
          <cell r="L1648">
            <v>0.4458333333333333</v>
          </cell>
          <cell r="M1648">
            <v>1.1408E-2</v>
          </cell>
        </row>
        <row r="1649">
          <cell r="A1649">
            <v>11410014</v>
          </cell>
          <cell r="B1649">
            <v>3118220043688</v>
          </cell>
          <cell r="E1649" t="str">
            <v>ENSEMBLE 5 COUTEAUX LOUIS</v>
          </cell>
          <cell r="F1649">
            <v>6</v>
          </cell>
          <cell r="G1649">
            <v>6</v>
          </cell>
          <cell r="H1649">
            <v>60</v>
          </cell>
          <cell r="I1649">
            <v>42</v>
          </cell>
          <cell r="J1649">
            <v>23</v>
          </cell>
          <cell r="K1649">
            <v>10.23</v>
          </cell>
          <cell r="L1649">
            <v>1.7050000000000001</v>
          </cell>
          <cell r="M1649">
            <v>5.7960000000000005E-2</v>
          </cell>
        </row>
        <row r="1650">
          <cell r="A1650">
            <v>11410015</v>
          </cell>
          <cell r="B1650">
            <v>4610032449959</v>
          </cell>
          <cell r="E1650" t="str">
            <v>PAIN 21 CM LOUIS BORK HN706 EN BOITE</v>
          </cell>
          <cell r="F1650">
            <v>6</v>
          </cell>
          <cell r="G1650">
            <v>6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</row>
        <row r="1651">
          <cell r="A1651">
            <v>11410016</v>
          </cell>
          <cell r="B1651">
            <v>3118220046917</v>
          </cell>
          <cell r="E1651" t="str">
            <v>PAIN 21 CM LOUIS EN BOITE TB COLLECTION</v>
          </cell>
          <cell r="F1651">
            <v>6</v>
          </cell>
          <cell r="G1651">
            <v>6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</row>
        <row r="1652">
          <cell r="A1652">
            <v>11410021</v>
          </cell>
          <cell r="B1652"/>
          <cell r="C1652"/>
          <cell r="D1652"/>
          <cell r="E1652" t="str">
            <v>KIT COFFRET SET 3 PCE SEB_TEFAL</v>
          </cell>
          <cell r="L1652" t="e">
            <v>#DIV/0!</v>
          </cell>
          <cell r="M1652">
            <v>0</v>
          </cell>
        </row>
        <row r="1653">
          <cell r="A1653">
            <v>11410023</v>
          </cell>
          <cell r="B1653"/>
          <cell r="C1653"/>
          <cell r="D1653"/>
          <cell r="E1653" t="str">
            <v>KIT COFFRET SANTOKU SEB_TEFAL</v>
          </cell>
          <cell r="L1653" t="e">
            <v>#DIV/0!</v>
          </cell>
          <cell r="M1653">
            <v>0</v>
          </cell>
        </row>
        <row r="1654">
          <cell r="A1654">
            <v>11410024</v>
          </cell>
          <cell r="B1654"/>
          <cell r="C1654"/>
          <cell r="D1654"/>
          <cell r="E1654" t="str">
            <v>KIT COFFRET UTILITY SEB_TEFAL</v>
          </cell>
          <cell r="L1654" t="e">
            <v>#DIV/0!</v>
          </cell>
          <cell r="M1654">
            <v>0</v>
          </cell>
        </row>
        <row r="1655">
          <cell r="A1655">
            <v>11410029</v>
          </cell>
          <cell r="B1655"/>
          <cell r="C1655"/>
          <cell r="D1655"/>
          <cell r="E1655" t="str">
            <v>KIT COFFRET UTILITY SEB_T-FAL</v>
          </cell>
          <cell r="L1655" t="e">
            <v>#DIV/0!</v>
          </cell>
          <cell r="M1655">
            <v>0</v>
          </cell>
        </row>
        <row r="1656">
          <cell r="A1656">
            <v>11410030</v>
          </cell>
          <cell r="B1656"/>
          <cell r="C1656"/>
          <cell r="D1656"/>
          <cell r="E1656" t="str">
            <v>KIT COFFRET SANTOKU SEB_T-FAL</v>
          </cell>
          <cell r="L1656" t="e">
            <v>#DIV/0!</v>
          </cell>
          <cell r="M1656">
            <v>0</v>
          </cell>
        </row>
        <row r="1657">
          <cell r="A1657">
            <v>11410034</v>
          </cell>
          <cell r="B1657"/>
          <cell r="C1657"/>
          <cell r="D1657"/>
          <cell r="E1657" t="str">
            <v>KIT COFFRET CHEF SEB_T-FAL</v>
          </cell>
          <cell r="L1657" t="e">
            <v>#DIV/0!</v>
          </cell>
          <cell r="M1657">
            <v>0</v>
          </cell>
        </row>
        <row r="1658">
          <cell r="A1658">
            <v>11410036</v>
          </cell>
          <cell r="B1658"/>
          <cell r="C1658"/>
          <cell r="D1658"/>
          <cell r="E1658" t="str">
            <v>KIT COFFRET CHEF SEB_TEFAL</v>
          </cell>
          <cell r="L1658" t="e">
            <v>#DIV/0!</v>
          </cell>
          <cell r="M1658">
            <v>0</v>
          </cell>
        </row>
        <row r="1659">
          <cell r="A1659">
            <v>11500011</v>
          </cell>
          <cell r="B1659">
            <v>3118220042124</v>
          </cell>
          <cell r="E1659" t="str">
            <v>OFFICE POLYMERE LAME LISSE</v>
          </cell>
          <cell r="F1659">
            <v>120</v>
          </cell>
          <cell r="G1659">
            <v>6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</row>
        <row r="1660">
          <cell r="A1660">
            <v>11500012</v>
          </cell>
          <cell r="B1660">
            <v>3118220043855</v>
          </cell>
          <cell r="E1660" t="str">
            <v>SET 3 CTX (OFFICE,CUISINE,SANTOKU) POLYMERE TOP CHEF</v>
          </cell>
          <cell r="F1660">
            <v>10</v>
          </cell>
          <cell r="G1660">
            <v>10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</row>
        <row r="1661">
          <cell r="A1661">
            <v>11500013</v>
          </cell>
          <cell r="B1661">
            <v>3118220043879</v>
          </cell>
          <cell r="E1661" t="str">
            <v>SET 4 STEAKS MANCHE POLYMERE TOP CHEF</v>
          </cell>
          <cell r="F1661">
            <v>6</v>
          </cell>
          <cell r="G1661">
            <v>6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</row>
        <row r="1662">
          <cell r="A1662">
            <v>11500014</v>
          </cell>
          <cell r="B1662">
            <v>3118220042193</v>
          </cell>
          <cell r="E1662" t="str">
            <v>SANTUKO 19 CM POLYMERE FRX TB COLLECTION</v>
          </cell>
          <cell r="F1662">
            <v>120</v>
          </cell>
          <cell r="G1662">
            <v>6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</row>
        <row r="1663">
          <cell r="A1663">
            <v>11500015</v>
          </cell>
          <cell r="B1663">
            <v>3118220042209</v>
          </cell>
          <cell r="E1663" t="str">
            <v>PAIN POLYMERE FRX TB COLLECTION</v>
          </cell>
          <cell r="F1663">
            <v>120</v>
          </cell>
          <cell r="G1663">
            <v>6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</row>
        <row r="1664">
          <cell r="A1664">
            <v>11500016</v>
          </cell>
          <cell r="B1664">
            <v>3118220042216</v>
          </cell>
          <cell r="E1664" t="str">
            <v>BLOC 5 COUTEAUX BRIGADE POLYMERE</v>
          </cell>
          <cell r="F1664">
            <v>6</v>
          </cell>
          <cell r="G1664">
            <v>6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</row>
        <row r="1665">
          <cell r="A1665">
            <v>11510011</v>
          </cell>
          <cell r="B1665">
            <v>3118220042223</v>
          </cell>
          <cell r="E1665" t="str">
            <v>OFFICE BOIS STABILISE LAME MICRODENTE EN BERLINGOT</v>
          </cell>
          <cell r="F1665">
            <v>120</v>
          </cell>
          <cell r="G1665">
            <v>6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</row>
        <row r="1666">
          <cell r="A1666">
            <v>11510013</v>
          </cell>
          <cell r="B1666">
            <v>3118220042247</v>
          </cell>
          <cell r="E1666" t="str">
            <v>CUISINE 17 CM BOIS STABILISE EN BERLINGOT</v>
          </cell>
          <cell r="F1666">
            <v>60</v>
          </cell>
          <cell r="G1666">
            <v>6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</row>
        <row r="1667">
          <cell r="A1667">
            <v>11510014</v>
          </cell>
          <cell r="B1667">
            <v>3118220042254</v>
          </cell>
          <cell r="E1667" t="str">
            <v>SANTUKO 19 CM BOIS STABILISE EN BERLINGOT</v>
          </cell>
          <cell r="F1667">
            <v>60</v>
          </cell>
          <cell r="G1667">
            <v>6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</row>
        <row r="1668">
          <cell r="A1668">
            <v>11510015</v>
          </cell>
          <cell r="B1668">
            <v>3118220042261</v>
          </cell>
          <cell r="E1668" t="str">
            <v>BLOC 4 COUTEAUX BRIGADE BOIS STABILISE</v>
          </cell>
          <cell r="F1668">
            <v>6</v>
          </cell>
          <cell r="G1668">
            <v>6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</row>
        <row r="1669">
          <cell r="A1669">
            <v>11510016</v>
          </cell>
          <cell r="B1669">
            <v>3118220042681</v>
          </cell>
          <cell r="E1669" t="str">
            <v>OFFICE BOIS STABILISE LAME LISSE CARTONNETTE TB C</v>
          </cell>
          <cell r="F1669">
            <v>120</v>
          </cell>
          <cell r="G1669">
            <v>6</v>
          </cell>
          <cell r="H1669">
            <v>31</v>
          </cell>
          <cell r="I1669">
            <v>29</v>
          </cell>
          <cell r="J1669">
            <v>14</v>
          </cell>
          <cell r="K1669">
            <v>5.2960000000000003</v>
          </cell>
          <cell r="L1669">
            <v>4.4133333333333337E-2</v>
          </cell>
          <cell r="M1669">
            <v>1.2586000000000002E-2</v>
          </cell>
        </row>
        <row r="1670">
          <cell r="A1670">
            <v>11510017</v>
          </cell>
          <cell r="B1670">
            <v>3118220042698</v>
          </cell>
          <cell r="E1670" t="str">
            <v>STEAK BOIS STABILISE LAME MICRODENTE CARTONNETTE TB C</v>
          </cell>
          <cell r="F1670">
            <v>120</v>
          </cell>
          <cell r="G1670">
            <v>6</v>
          </cell>
          <cell r="H1670">
            <v>31</v>
          </cell>
          <cell r="I1670">
            <v>29</v>
          </cell>
          <cell r="J1670">
            <v>14</v>
          </cell>
          <cell r="K1670">
            <v>5.633</v>
          </cell>
          <cell r="L1670">
            <v>4.6941666666666666E-2</v>
          </cell>
          <cell r="M1670">
            <v>1.2586000000000002E-2</v>
          </cell>
        </row>
        <row r="1671">
          <cell r="A1671">
            <v>11510018</v>
          </cell>
          <cell r="B1671">
            <v>3118220042704</v>
          </cell>
          <cell r="E1671" t="str">
            <v>DESOSSER 15 CM BOIS STABILISE CARTONNETTE TB C</v>
          </cell>
          <cell r="F1671">
            <v>90</v>
          </cell>
          <cell r="G1671">
            <v>6</v>
          </cell>
          <cell r="H1671">
            <v>43.5</v>
          </cell>
          <cell r="I1671">
            <v>30</v>
          </cell>
          <cell r="J1671">
            <v>29.5</v>
          </cell>
          <cell r="K1671">
            <v>7.7830000000000004</v>
          </cell>
          <cell r="L1671">
            <v>8.6477777777777778E-2</v>
          </cell>
          <cell r="M1671">
            <v>3.8497500000000004E-2</v>
          </cell>
        </row>
        <row r="1672">
          <cell r="A1672">
            <v>11510019</v>
          </cell>
          <cell r="B1672">
            <v>3118220042711</v>
          </cell>
          <cell r="E1672" t="str">
            <v>SANTUKO 19 CM BOIS STABILISE CARTONNETTE TB C</v>
          </cell>
          <cell r="F1672">
            <v>60</v>
          </cell>
          <cell r="G1672">
            <v>6</v>
          </cell>
          <cell r="H1672">
            <v>40</v>
          </cell>
          <cell r="I1672">
            <v>30</v>
          </cell>
          <cell r="J1672">
            <v>20</v>
          </cell>
          <cell r="K1672">
            <v>7.18</v>
          </cell>
          <cell r="L1672">
            <v>0.11966666666666666</v>
          </cell>
          <cell r="M1672">
            <v>2.4E-2</v>
          </cell>
        </row>
        <row r="1673">
          <cell r="A1673">
            <v>11510020</v>
          </cell>
          <cell r="B1673">
            <v>3118220042728</v>
          </cell>
          <cell r="E1673" t="str">
            <v>PAIN 19 CM BOIS STABILISE CARTONNETTE TB C</v>
          </cell>
          <cell r="F1673">
            <v>60</v>
          </cell>
          <cell r="G1673">
            <v>6</v>
          </cell>
          <cell r="H1673">
            <v>45</v>
          </cell>
          <cell r="I1673">
            <v>33</v>
          </cell>
          <cell r="J1673">
            <v>20</v>
          </cell>
          <cell r="K1673">
            <v>7.09</v>
          </cell>
          <cell r="L1673">
            <v>0.11816666666666667</v>
          </cell>
          <cell r="M1673">
            <v>2.9699999999999997E-2</v>
          </cell>
        </row>
        <row r="1674">
          <cell r="A1674">
            <v>11510021</v>
          </cell>
          <cell r="B1674">
            <v>3118220042735</v>
          </cell>
          <cell r="E1674" t="str">
            <v>CHEF 19 CM BOIS STABILISE CARTONNETTE TB C</v>
          </cell>
          <cell r="F1674">
            <v>60</v>
          </cell>
          <cell r="G1674">
            <v>6</v>
          </cell>
          <cell r="H1674">
            <v>40</v>
          </cell>
          <cell r="I1674">
            <v>30</v>
          </cell>
          <cell r="J1674">
            <v>20</v>
          </cell>
          <cell r="K1674">
            <v>6.9770000000000003</v>
          </cell>
          <cell r="L1674">
            <v>0.11628333333333334</v>
          </cell>
          <cell r="M1674">
            <v>2.4E-2</v>
          </cell>
        </row>
        <row r="1675">
          <cell r="A1675">
            <v>11510022</v>
          </cell>
          <cell r="B1675">
            <v>3118220042742</v>
          </cell>
          <cell r="E1675" t="str">
            <v>BLOC 5 COUTEAUX BRIGADE BOIS STABILISE</v>
          </cell>
          <cell r="F1675">
            <v>1</v>
          </cell>
          <cell r="G1675">
            <v>1</v>
          </cell>
          <cell r="H1675">
            <v>40</v>
          </cell>
          <cell r="I1675">
            <v>30</v>
          </cell>
          <cell r="J1675">
            <v>20</v>
          </cell>
          <cell r="K1675">
            <v>2.4740000000000002</v>
          </cell>
          <cell r="L1675">
            <v>2.4740000000000002</v>
          </cell>
          <cell r="M1675">
            <v>2.4E-2</v>
          </cell>
        </row>
        <row r="1676">
          <cell r="A1676">
            <v>11510023</v>
          </cell>
          <cell r="B1676">
            <v>3118220043862</v>
          </cell>
          <cell r="E1676" t="str">
            <v>SET 3 CTX (OFFICE,CUIS.,SANTOKU) BOIS STABILISE TOP CHEF</v>
          </cell>
          <cell r="F1676">
            <v>6</v>
          </cell>
          <cell r="G1676">
            <v>6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</row>
        <row r="1677">
          <cell r="A1677">
            <v>11510024</v>
          </cell>
          <cell r="B1677">
            <v>3118220043886</v>
          </cell>
          <cell r="E1677" t="str">
            <v>SET 4 STEAKS MANCHE BOIS STABILISE TOP CHEF</v>
          </cell>
          <cell r="F1677">
            <v>6</v>
          </cell>
          <cell r="G1677">
            <v>6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</row>
        <row r="1678">
          <cell r="A1678">
            <v>11520001</v>
          </cell>
          <cell r="B1678">
            <v>3118220038332</v>
          </cell>
          <cell r="C1678" t="str">
            <v>13118220038339</v>
          </cell>
          <cell r="D1678" t="str">
            <v>23118220038336</v>
          </cell>
          <cell r="E1678" t="str">
            <v>COFFRET 4 COUTEAUX INTUITION BRILLANT BOITE LAGUIOLE</v>
          </cell>
          <cell r="F1678">
            <v>6</v>
          </cell>
          <cell r="G1678">
            <v>6</v>
          </cell>
          <cell r="H1678">
            <v>26</v>
          </cell>
          <cell r="I1678">
            <v>16</v>
          </cell>
          <cell r="J1678">
            <v>17</v>
          </cell>
          <cell r="K1678">
            <v>2.3759999999999999</v>
          </cell>
          <cell r="L1678">
            <v>0.39599999999999996</v>
          </cell>
          <cell r="M1678">
            <v>7.0719999999999993E-3</v>
          </cell>
        </row>
        <row r="1679">
          <cell r="A1679">
            <v>11520002</v>
          </cell>
          <cell r="B1679">
            <v>3118220038349</v>
          </cell>
          <cell r="C1679" t="str">
            <v>13118220038346</v>
          </cell>
          <cell r="D1679" t="str">
            <v>23118220038343</v>
          </cell>
          <cell r="E1679" t="str">
            <v>COFFRET 4 FOURCHETTES INTUITION BRILLANT BOITE LAGUIOLE</v>
          </cell>
          <cell r="F1679">
            <v>6</v>
          </cell>
          <cell r="G1679">
            <v>6</v>
          </cell>
          <cell r="H1679">
            <v>26</v>
          </cell>
          <cell r="I1679">
            <v>22.4</v>
          </cell>
          <cell r="J1679">
            <v>21.5</v>
          </cell>
          <cell r="K1679">
            <v>1.5960000000000001</v>
          </cell>
          <cell r="L1679">
            <v>0.26600000000000001</v>
          </cell>
          <cell r="M1679">
            <v>1.2521599999999999E-2</v>
          </cell>
        </row>
        <row r="1680">
          <cell r="A1680">
            <v>11520003</v>
          </cell>
          <cell r="B1680">
            <v>3118220038356</v>
          </cell>
          <cell r="C1680" t="str">
            <v>13118220038353</v>
          </cell>
          <cell r="D1680" t="str">
            <v>23118220038350</v>
          </cell>
          <cell r="E1680" t="str">
            <v>COFFRET 4 CUILLERES INTUITION BRILLANT BOITE LAGUIOLE</v>
          </cell>
          <cell r="F1680">
            <v>6</v>
          </cell>
          <cell r="G1680">
            <v>6</v>
          </cell>
          <cell r="H1680">
            <v>26</v>
          </cell>
          <cell r="I1680">
            <v>22</v>
          </cell>
          <cell r="J1680">
            <v>22.5</v>
          </cell>
          <cell r="K1680">
            <v>1.968</v>
          </cell>
          <cell r="L1680">
            <v>0.32800000000000001</v>
          </cell>
          <cell r="M1680">
            <v>1.2870000000000001E-2</v>
          </cell>
        </row>
        <row r="1681">
          <cell r="A1681">
            <v>11520004</v>
          </cell>
          <cell r="B1681">
            <v>3118220038363</v>
          </cell>
          <cell r="C1681" t="str">
            <v>13118220038360</v>
          </cell>
          <cell r="D1681" t="str">
            <v>23118220038367</v>
          </cell>
          <cell r="E1681" t="str">
            <v>COFFRET 4 CAFES INTUITION BRILLANT BOITE LAGUIOLE</v>
          </cell>
          <cell r="F1681">
            <v>6</v>
          </cell>
          <cell r="G1681">
            <v>6</v>
          </cell>
          <cell r="H1681">
            <v>18</v>
          </cell>
          <cell r="I1681">
            <v>18</v>
          </cell>
          <cell r="J1681">
            <v>17</v>
          </cell>
          <cell r="K1681">
            <v>0.84599999999999997</v>
          </cell>
          <cell r="L1681">
            <v>0.14099999999999999</v>
          </cell>
          <cell r="M1681">
            <v>5.5079999999999999E-3</v>
          </cell>
        </row>
        <row r="1682">
          <cell r="A1682">
            <v>11520005</v>
          </cell>
          <cell r="B1682">
            <v>3118220044401</v>
          </cell>
          <cell r="C1682">
            <v>13118220044408</v>
          </cell>
          <cell r="D1682">
            <v>23118220044405</v>
          </cell>
          <cell r="E1682" t="str">
            <v>COFFRET 4 MOKAS INTUITION BRILLANT BOITE LAGUIOLE</v>
          </cell>
          <cell r="F1682">
            <v>24</v>
          </cell>
          <cell r="G1682">
            <v>6</v>
          </cell>
          <cell r="H1682">
            <v>32.799999999999997</v>
          </cell>
          <cell r="I1682">
            <v>32.5</v>
          </cell>
          <cell r="J1682">
            <v>16.8</v>
          </cell>
          <cell r="K1682">
            <v>2.3199999999999998</v>
          </cell>
          <cell r="L1682">
            <v>9.6666666666666665E-2</v>
          </cell>
          <cell r="M1682">
            <v>1.7908799999999999E-2</v>
          </cell>
        </row>
        <row r="1683">
          <cell r="A1683">
            <v>11520006</v>
          </cell>
          <cell r="B1683">
            <v>3118220044418</v>
          </cell>
          <cell r="C1683">
            <v>13118220044415</v>
          </cell>
          <cell r="D1683">
            <v>23118220044412</v>
          </cell>
          <cell r="E1683" t="str">
            <v>COFFRET 4 MAZAGRANS INTUITION BRILLANT BOITE LAGUIOLE</v>
          </cell>
          <cell r="F1683">
            <v>6</v>
          </cell>
          <cell r="G1683">
            <v>6</v>
          </cell>
          <cell r="H1683">
            <v>23</v>
          </cell>
          <cell r="I1683">
            <v>18</v>
          </cell>
          <cell r="J1683">
            <v>16.8</v>
          </cell>
          <cell r="K1683">
            <v>1.1200000000000001</v>
          </cell>
          <cell r="L1683">
            <v>0.18666666666666668</v>
          </cell>
          <cell r="M1683">
            <v>6.9552000000000017E-3</v>
          </cell>
        </row>
        <row r="1684">
          <cell r="A1684">
            <v>11520007</v>
          </cell>
          <cell r="B1684">
            <v>3118220045057</v>
          </cell>
          <cell r="C1684">
            <v>13118220045054</v>
          </cell>
          <cell r="D1684">
            <v>23118220045051</v>
          </cell>
          <cell r="E1684" t="str">
            <v>COUTEAU INTUITION BRILLANT EN VRAC POUR VITRINE</v>
          </cell>
          <cell r="F1684">
            <v>150</v>
          </cell>
          <cell r="G1684">
            <v>15</v>
          </cell>
          <cell r="H1684">
            <v>24.5</v>
          </cell>
          <cell r="I1684">
            <v>17.5</v>
          </cell>
          <cell r="J1684">
            <v>37</v>
          </cell>
          <cell r="K1684">
            <v>13.35</v>
          </cell>
          <cell r="L1684">
            <v>8.8999999999999996E-2</v>
          </cell>
          <cell r="M1684">
            <v>1.5863749999999999E-2</v>
          </cell>
        </row>
        <row r="1685">
          <cell r="A1685">
            <v>11520008</v>
          </cell>
          <cell r="B1685">
            <v>3118220045064</v>
          </cell>
          <cell r="C1685">
            <v>13118220045061</v>
          </cell>
          <cell r="D1685">
            <v>23118220045068</v>
          </cell>
          <cell r="E1685" t="str">
            <v>FOURCHETTE INTUITION BRILLANT EN VRAC POUR VITRINE</v>
          </cell>
          <cell r="F1685">
            <v>200</v>
          </cell>
          <cell r="G1685">
            <v>20</v>
          </cell>
          <cell r="H1685">
            <v>32</v>
          </cell>
          <cell r="I1685">
            <v>27</v>
          </cell>
          <cell r="J1685">
            <v>15</v>
          </cell>
          <cell r="K1685">
            <v>10</v>
          </cell>
          <cell r="L1685">
            <v>0.05</v>
          </cell>
          <cell r="M1685">
            <v>1.2960000000000001E-2</v>
          </cell>
        </row>
        <row r="1686">
          <cell r="A1686">
            <v>11520009</v>
          </cell>
          <cell r="B1686">
            <v>3118220045071</v>
          </cell>
          <cell r="C1686">
            <v>13118220045078</v>
          </cell>
          <cell r="D1686">
            <v>23118220045075</v>
          </cell>
          <cell r="E1686" t="str">
            <v>CUILLERE INTUITION BRILLANT EN VRAC POUR VITRINE</v>
          </cell>
          <cell r="F1686">
            <v>200</v>
          </cell>
          <cell r="G1686">
            <v>20</v>
          </cell>
          <cell r="H1686">
            <v>32</v>
          </cell>
          <cell r="I1686">
            <v>27</v>
          </cell>
          <cell r="J1686">
            <v>15</v>
          </cell>
          <cell r="K1686">
            <v>12.2</v>
          </cell>
          <cell r="L1686">
            <v>6.0999999999999999E-2</v>
          </cell>
          <cell r="M1686">
            <v>1.2960000000000001E-2</v>
          </cell>
        </row>
        <row r="1687">
          <cell r="A1687">
            <v>11520010</v>
          </cell>
          <cell r="B1687">
            <v>3118220045088</v>
          </cell>
          <cell r="E1687" t="str">
            <v>CAFE INTUITION BRILLANT EN VRAC POUR VITRINE</v>
          </cell>
          <cell r="F1687">
            <v>500</v>
          </cell>
          <cell r="G1687">
            <v>20</v>
          </cell>
          <cell r="H1687">
            <v>24.5</v>
          </cell>
          <cell r="I1687">
            <v>17.5</v>
          </cell>
          <cell r="J1687">
            <v>37</v>
          </cell>
          <cell r="K1687">
            <v>0</v>
          </cell>
          <cell r="L1687">
            <v>0</v>
          </cell>
          <cell r="M1687">
            <v>1.5863749999999999E-2</v>
          </cell>
        </row>
        <row r="1688">
          <cell r="A1688">
            <v>11700006</v>
          </cell>
          <cell r="B1688">
            <v>3118220037076</v>
          </cell>
          <cell r="E1688" t="str">
            <v>PAIN 22CM BRIGADE TB COLLECTION PACK ECOLOGIQUE</v>
          </cell>
          <cell r="F1688">
            <v>6</v>
          </cell>
          <cell r="G1688">
            <v>6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</row>
        <row r="1689">
          <cell r="A1689">
            <v>11710001</v>
          </cell>
          <cell r="B1689">
            <v>3118220037083</v>
          </cell>
          <cell r="E1689" t="str">
            <v>OFFICE 9CM BRIGADE BOIS TB COLLECTION CARTONNETTE TB C</v>
          </cell>
          <cell r="F1689">
            <v>180</v>
          </cell>
          <cell r="G1689">
            <v>6</v>
          </cell>
          <cell r="H1689">
            <v>44</v>
          </cell>
          <cell r="I1689">
            <v>33</v>
          </cell>
          <cell r="J1689">
            <v>15</v>
          </cell>
          <cell r="K1689">
            <v>7.0949999999999998</v>
          </cell>
          <cell r="L1689">
            <v>3.9416666666666662E-2</v>
          </cell>
          <cell r="M1689">
            <v>2.1780000000000001E-2</v>
          </cell>
        </row>
        <row r="1690">
          <cell r="A1690">
            <v>11710002</v>
          </cell>
          <cell r="B1690">
            <v>3118220037090</v>
          </cell>
          <cell r="E1690" t="str">
            <v>STEAK 12CM BRIGADE BOIS TB COLLECTION CARTONNETTE TB C</v>
          </cell>
          <cell r="F1690">
            <v>180</v>
          </cell>
          <cell r="G1690">
            <v>6</v>
          </cell>
          <cell r="H1690">
            <v>45</v>
          </cell>
          <cell r="I1690">
            <v>34</v>
          </cell>
          <cell r="J1690">
            <v>20</v>
          </cell>
          <cell r="K1690">
            <v>7.4020000000000001</v>
          </cell>
          <cell r="L1690">
            <v>4.112222222222222E-2</v>
          </cell>
          <cell r="M1690">
            <v>3.0600000000000002E-2</v>
          </cell>
        </row>
        <row r="1691">
          <cell r="A1691">
            <v>11710003</v>
          </cell>
          <cell r="B1691">
            <v>3118220037106</v>
          </cell>
          <cell r="E1691" t="str">
            <v>CUISINE 15CM BRIGADE BOIS TB COLLECTION CARTONNETTE TB C</v>
          </cell>
          <cell r="F1691">
            <v>72</v>
          </cell>
          <cell r="G1691">
            <v>6</v>
          </cell>
          <cell r="H1691">
            <v>40</v>
          </cell>
          <cell r="I1691">
            <v>30</v>
          </cell>
          <cell r="J1691">
            <v>20</v>
          </cell>
          <cell r="K1691">
            <v>5.8710000000000004</v>
          </cell>
          <cell r="L1691">
            <v>8.1541666666666679E-2</v>
          </cell>
          <cell r="M1691">
            <v>2.4E-2</v>
          </cell>
        </row>
        <row r="1692">
          <cell r="A1692">
            <v>11710004</v>
          </cell>
          <cell r="B1692">
            <v>3118220037113</v>
          </cell>
          <cell r="E1692" t="str">
            <v>CHEF 20CM BRIGADE BOIS TB COLLECTION CARTONNETTE TB C</v>
          </cell>
          <cell r="F1692">
            <v>72</v>
          </cell>
          <cell r="G1692">
            <v>6</v>
          </cell>
          <cell r="H1692">
            <v>44.5</v>
          </cell>
          <cell r="I1692">
            <v>33</v>
          </cell>
          <cell r="J1692">
            <v>23</v>
          </cell>
          <cell r="K1692">
            <v>7.32</v>
          </cell>
          <cell r="L1692">
            <v>0.10166666666666667</v>
          </cell>
          <cell r="M1692">
            <v>3.37755E-2</v>
          </cell>
        </row>
        <row r="1693">
          <cell r="A1693">
            <v>11710006</v>
          </cell>
          <cell r="B1693">
            <v>3601029988682</v>
          </cell>
          <cell r="E1693" t="str">
            <v>OFFICE 9CM BRIGADE BOIS HOMESIDE SIPLEC</v>
          </cell>
          <cell r="F1693">
            <v>180</v>
          </cell>
          <cell r="G1693">
            <v>6</v>
          </cell>
          <cell r="H1693">
            <v>46</v>
          </cell>
          <cell r="I1693">
            <v>34</v>
          </cell>
          <cell r="J1693">
            <v>20.5</v>
          </cell>
          <cell r="K1693">
            <v>7.11</v>
          </cell>
          <cell r="L1693">
            <v>3.95E-2</v>
          </cell>
          <cell r="M1693">
            <v>3.2062000000000007E-2</v>
          </cell>
        </row>
        <row r="1694">
          <cell r="A1694">
            <v>11710007</v>
          </cell>
          <cell r="B1694">
            <v>3601029988699</v>
          </cell>
          <cell r="E1694" t="str">
            <v>COUTEAU CAMPAGNARD 12CM BRIGADE BOIS HOMESIDE SIPLEC</v>
          </cell>
          <cell r="F1694">
            <v>180</v>
          </cell>
          <cell r="G1694">
            <v>6</v>
          </cell>
          <cell r="H1694">
            <v>46</v>
          </cell>
          <cell r="I1694">
            <v>34</v>
          </cell>
          <cell r="J1694">
            <v>21</v>
          </cell>
          <cell r="K1694">
            <v>7.56</v>
          </cell>
          <cell r="L1694">
            <v>4.1999999999999996E-2</v>
          </cell>
          <cell r="M1694">
            <v>3.2844000000000005E-2</v>
          </cell>
        </row>
        <row r="1695">
          <cell r="A1695">
            <v>11710008</v>
          </cell>
          <cell r="B1695">
            <v>3601029988705</v>
          </cell>
          <cell r="E1695" t="str">
            <v>CUISINE 15CM BRIGADE BOIS HOMESIDE SIPLEC</v>
          </cell>
          <cell r="F1695">
            <v>72</v>
          </cell>
          <cell r="G1695">
            <v>6</v>
          </cell>
          <cell r="H1695">
            <v>45</v>
          </cell>
          <cell r="I1695">
            <v>34</v>
          </cell>
          <cell r="J1695">
            <v>20</v>
          </cell>
          <cell r="K1695">
            <v>6.0609999999999999</v>
          </cell>
          <cell r="L1695">
            <v>8.418055555555555E-2</v>
          </cell>
          <cell r="M1695">
            <v>3.0600000000000002E-2</v>
          </cell>
        </row>
        <row r="1696">
          <cell r="A1696">
            <v>11710009</v>
          </cell>
          <cell r="B1696">
            <v>3601029988712</v>
          </cell>
          <cell r="E1696" t="str">
            <v>CHEF 20CM BRIGADE BOIS HOMESIDE SIPLEC</v>
          </cell>
          <cell r="F1696">
            <v>72</v>
          </cell>
          <cell r="G1696">
            <v>6</v>
          </cell>
          <cell r="H1696">
            <v>45</v>
          </cell>
          <cell r="I1696">
            <v>32.5</v>
          </cell>
          <cell r="J1696">
            <v>27.5</v>
          </cell>
          <cell r="K1696">
            <v>7.056</v>
          </cell>
          <cell r="L1696">
            <v>9.8000000000000004E-2</v>
          </cell>
          <cell r="M1696">
            <v>4.0218749999999998E-2</v>
          </cell>
        </row>
        <row r="1697">
          <cell r="A1697">
            <v>11710010</v>
          </cell>
          <cell r="B1697">
            <v>3601029988729</v>
          </cell>
          <cell r="E1697" t="str">
            <v>PAIN 22CM BRIGADE BOIS HOMESIDE SIPLEC</v>
          </cell>
          <cell r="F1697">
            <v>96</v>
          </cell>
          <cell r="G1697">
            <v>6</v>
          </cell>
          <cell r="H1697">
            <v>46</v>
          </cell>
          <cell r="I1697">
            <v>34</v>
          </cell>
          <cell r="J1697">
            <v>28</v>
          </cell>
          <cell r="K1697">
            <v>9.3279999999999994</v>
          </cell>
          <cell r="L1697">
            <v>9.7166666666666665E-2</v>
          </cell>
          <cell r="M1697">
            <v>4.3791999999999998E-2</v>
          </cell>
        </row>
        <row r="1698">
          <cell r="A1698">
            <v>11710011</v>
          </cell>
          <cell r="B1698">
            <v>3616479606598</v>
          </cell>
          <cell r="E1698" t="str">
            <v>CAMPAGNARD 12CM TRADITION BOIS CRF SS CARTONNETTE CRF</v>
          </cell>
          <cell r="F1698">
            <v>180</v>
          </cell>
          <cell r="G1698">
            <v>6</v>
          </cell>
          <cell r="H1698">
            <v>45.5</v>
          </cell>
          <cell r="I1698">
            <v>32</v>
          </cell>
          <cell r="J1698">
            <v>31</v>
          </cell>
          <cell r="K1698">
            <v>11.56</v>
          </cell>
          <cell r="L1698">
            <v>6.4222222222222222E-2</v>
          </cell>
          <cell r="M1698">
            <v>4.5136000000000003E-2</v>
          </cell>
        </row>
        <row r="1699">
          <cell r="A1699">
            <v>11710012</v>
          </cell>
          <cell r="B1699">
            <v>3616479606604</v>
          </cell>
          <cell r="E1699" t="str">
            <v>DESOSSER TRADITION BOIS CRF SS CARTONNETTE CRF</v>
          </cell>
          <cell r="F1699">
            <v>72</v>
          </cell>
          <cell r="G1699">
            <v>6</v>
          </cell>
          <cell r="H1699">
            <v>40</v>
          </cell>
          <cell r="I1699">
            <v>30</v>
          </cell>
          <cell r="J1699">
            <v>20</v>
          </cell>
          <cell r="K1699">
            <v>7.3369999999999997</v>
          </cell>
          <cell r="L1699">
            <v>0.10190277777777777</v>
          </cell>
          <cell r="M1699">
            <v>2.4E-2</v>
          </cell>
        </row>
        <row r="1700">
          <cell r="A1700">
            <v>11710013</v>
          </cell>
          <cell r="B1700">
            <v>3616479617822</v>
          </cell>
          <cell r="E1700" t="str">
            <v>CUISINE 15CM TRADITION BOIS CRF SS CARTONNETTE CRF</v>
          </cell>
          <cell r="F1700">
            <v>72</v>
          </cell>
          <cell r="G1700">
            <v>6</v>
          </cell>
          <cell r="H1700">
            <v>45</v>
          </cell>
          <cell r="I1700">
            <v>31.5</v>
          </cell>
          <cell r="J1700">
            <v>26</v>
          </cell>
          <cell r="K1700">
            <v>8.3719999999999999</v>
          </cell>
          <cell r="L1700">
            <v>0.11627777777777777</v>
          </cell>
          <cell r="M1700">
            <v>3.6854999999999999E-2</v>
          </cell>
        </row>
        <row r="1701">
          <cell r="A1701">
            <v>11710014</v>
          </cell>
          <cell r="B1701">
            <v>3616479617839</v>
          </cell>
          <cell r="E1701" t="str">
            <v>CHEF 20CM TRADITION BOIS CRF SS CARTONNETTE CRF</v>
          </cell>
          <cell r="F1701">
            <v>72</v>
          </cell>
          <cell r="G1701">
            <v>6</v>
          </cell>
          <cell r="H1701">
            <v>45</v>
          </cell>
          <cell r="I1701">
            <v>32</v>
          </cell>
          <cell r="J1701">
            <v>26</v>
          </cell>
          <cell r="K1701">
            <v>9.1829999999999998</v>
          </cell>
          <cell r="L1701">
            <v>0.12754166666666666</v>
          </cell>
          <cell r="M1701">
            <v>3.7440000000000008E-2</v>
          </cell>
        </row>
        <row r="1702">
          <cell r="A1702">
            <v>11710015</v>
          </cell>
          <cell r="B1702">
            <v>3616479617846</v>
          </cell>
          <cell r="E1702" t="str">
            <v>PAIN 22CM TRADITION BOIS CRF SS CARTONNETTE CRF</v>
          </cell>
          <cell r="F1702">
            <v>96</v>
          </cell>
          <cell r="G1702">
            <v>6</v>
          </cell>
          <cell r="H1702">
            <v>45</v>
          </cell>
          <cell r="I1702">
            <v>32</v>
          </cell>
          <cell r="J1702">
            <v>31</v>
          </cell>
          <cell r="K1702">
            <v>12.019</v>
          </cell>
          <cell r="L1702">
            <v>0.12519791666666666</v>
          </cell>
          <cell r="M1702">
            <v>4.4640000000000006E-2</v>
          </cell>
        </row>
        <row r="1703">
          <cell r="A1703">
            <v>11710016</v>
          </cell>
          <cell r="B1703">
            <v>3616479606611</v>
          </cell>
          <cell r="E1703" t="str">
            <v>SANTOKU TRADITION BOIS CRF SS CARTONNETTE CRF</v>
          </cell>
          <cell r="F1703">
            <v>72</v>
          </cell>
          <cell r="G1703">
            <v>6</v>
          </cell>
          <cell r="H1703">
            <v>45</v>
          </cell>
          <cell r="I1703">
            <v>31.5</v>
          </cell>
          <cell r="J1703">
            <v>26</v>
          </cell>
          <cell r="K1703">
            <v>9.64</v>
          </cell>
          <cell r="L1703">
            <v>0.13388888888888889</v>
          </cell>
          <cell r="M1703">
            <v>3.6854999999999999E-2</v>
          </cell>
        </row>
        <row r="1704">
          <cell r="A1704">
            <v>11710017</v>
          </cell>
          <cell r="B1704">
            <v>3616479606628</v>
          </cell>
          <cell r="E1704" t="str">
            <v>SET 3 COUTEAUX TRADITION BOIS CRF</v>
          </cell>
          <cell r="F1704">
            <v>6</v>
          </cell>
          <cell r="G1704">
            <v>6</v>
          </cell>
          <cell r="H1704">
            <v>40</v>
          </cell>
          <cell r="I1704">
            <v>30</v>
          </cell>
          <cell r="J1704">
            <v>20</v>
          </cell>
          <cell r="K1704">
            <v>2.0499999999999998</v>
          </cell>
          <cell r="L1704">
            <v>0.34166666666666662</v>
          </cell>
          <cell r="M1704">
            <v>2.4E-2</v>
          </cell>
        </row>
        <row r="1705">
          <cell r="A1705">
            <v>11710018</v>
          </cell>
          <cell r="B1705">
            <v>3118220044579</v>
          </cell>
          <cell r="E1705" t="str">
            <v>LOT DE 4 COUTEAUX BRIGADE BOIS GIFI 2022</v>
          </cell>
          <cell r="F1705">
            <v>1</v>
          </cell>
          <cell r="G1705">
            <v>1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</row>
        <row r="1706">
          <cell r="A1706">
            <v>11710019</v>
          </cell>
          <cell r="B1706">
            <v>3118220047228</v>
          </cell>
          <cell r="E1706" t="str">
            <v>COFFRET TB COLLECTION 3 COUTEAUX BOIS FABRIQUE EN FRANCE</v>
          </cell>
          <cell r="F1706">
            <v>6</v>
          </cell>
          <cell r="G1706">
            <v>6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</row>
        <row r="1707">
          <cell r="A1707">
            <v>11730001</v>
          </cell>
          <cell r="B1707">
            <v>3118220039100</v>
          </cell>
          <cell r="E1707" t="str">
            <v>COUTEAU OFFICE 9CM TOP CHEF FRANCE</v>
          </cell>
          <cell r="F1707">
            <v>72</v>
          </cell>
          <cell r="G1707">
            <v>6</v>
          </cell>
          <cell r="H1707">
            <v>40</v>
          </cell>
          <cell r="I1707">
            <v>30</v>
          </cell>
          <cell r="J1707">
            <v>21</v>
          </cell>
          <cell r="K1707">
            <v>3.71</v>
          </cell>
          <cell r="L1707">
            <v>5.1527777777777777E-2</v>
          </cell>
          <cell r="M1707">
            <v>2.52E-2</v>
          </cell>
        </row>
        <row r="1708">
          <cell r="A1708">
            <v>11730002</v>
          </cell>
          <cell r="B1708">
            <v>3118220039117</v>
          </cell>
          <cell r="E1708" t="str">
            <v>COUTEAU STEAK MICRODENTE 13CM TOP CHEF FRANCE</v>
          </cell>
          <cell r="F1708">
            <v>180</v>
          </cell>
          <cell r="G1708">
            <v>6</v>
          </cell>
          <cell r="H1708">
            <v>36</v>
          </cell>
          <cell r="I1708">
            <v>26</v>
          </cell>
          <cell r="J1708">
            <v>13</v>
          </cell>
          <cell r="K1708">
            <v>9.5449999999999999</v>
          </cell>
          <cell r="L1708">
            <v>5.3027777777777778E-2</v>
          </cell>
          <cell r="M1708">
            <v>1.2167999999999998E-2</v>
          </cell>
        </row>
        <row r="1709">
          <cell r="A1709">
            <v>11730003</v>
          </cell>
          <cell r="B1709">
            <v>3118220039124</v>
          </cell>
          <cell r="E1709" t="str">
            <v>COUTEAU STEAK LISSE 13CM TOP CHEF FRANCE</v>
          </cell>
          <cell r="F1709">
            <v>180</v>
          </cell>
          <cell r="G1709">
            <v>6</v>
          </cell>
          <cell r="H1709">
            <v>36</v>
          </cell>
          <cell r="I1709">
            <v>26</v>
          </cell>
          <cell r="J1709">
            <v>13</v>
          </cell>
          <cell r="K1709">
            <v>9.2959999999999994</v>
          </cell>
          <cell r="L1709">
            <v>5.1644444444444444E-2</v>
          </cell>
          <cell r="M1709">
            <v>1.2167999999999998E-2</v>
          </cell>
        </row>
        <row r="1710">
          <cell r="A1710">
            <v>11730004</v>
          </cell>
          <cell r="B1710">
            <v>3118220039131</v>
          </cell>
          <cell r="E1710" t="str">
            <v>COUTEAU CUISINE 17CM TOP CHEF FRANCE</v>
          </cell>
          <cell r="F1710">
            <v>96</v>
          </cell>
          <cell r="G1710">
            <v>6</v>
          </cell>
          <cell r="H1710">
            <v>45</v>
          </cell>
          <cell r="I1710">
            <v>34</v>
          </cell>
          <cell r="J1710">
            <v>19.5</v>
          </cell>
          <cell r="K1710">
            <v>8.8670000000000009</v>
          </cell>
          <cell r="L1710">
            <v>9.2364583333333347E-2</v>
          </cell>
          <cell r="M1710">
            <v>2.9834999999999997E-2</v>
          </cell>
        </row>
        <row r="1711">
          <cell r="A1711">
            <v>11730005</v>
          </cell>
          <cell r="B1711">
            <v>3118220039148</v>
          </cell>
          <cell r="E1711" t="str">
            <v>COUTEAU CHEF 19CM TOP CHEF FRANCE</v>
          </cell>
          <cell r="F1711">
            <v>0</v>
          </cell>
          <cell r="G1711">
            <v>6</v>
          </cell>
          <cell r="H1711">
            <v>45</v>
          </cell>
          <cell r="I1711">
            <v>32</v>
          </cell>
          <cell r="J1711">
            <v>31</v>
          </cell>
          <cell r="K1711">
            <v>10.539</v>
          </cell>
          <cell r="L1711" t="e">
            <v>#DIV/0!</v>
          </cell>
          <cell r="M1711">
            <v>4.4640000000000006E-2</v>
          </cell>
        </row>
        <row r="1712">
          <cell r="A1712">
            <v>11730006</v>
          </cell>
          <cell r="B1712">
            <v>3118220039155</v>
          </cell>
          <cell r="E1712" t="str">
            <v>COUTEAU SANTOKU 20CM TOP CHEF FRANCE</v>
          </cell>
          <cell r="F1712">
            <v>96</v>
          </cell>
          <cell r="G1712">
            <v>6</v>
          </cell>
          <cell r="H1712">
            <v>40</v>
          </cell>
          <cell r="I1712">
            <v>32</v>
          </cell>
          <cell r="J1712">
            <v>33</v>
          </cell>
          <cell r="K1712">
            <v>11.311</v>
          </cell>
          <cell r="L1712">
            <v>0.11782291666666667</v>
          </cell>
          <cell r="M1712">
            <v>4.224E-2</v>
          </cell>
        </row>
        <row r="1713">
          <cell r="A1713">
            <v>11730007</v>
          </cell>
          <cell r="B1713">
            <v>3118220039162</v>
          </cell>
          <cell r="E1713" t="str">
            <v>COUTEAU PAIN 21 TOP CHEF FRANCE</v>
          </cell>
          <cell r="F1713">
            <v>96</v>
          </cell>
          <cell r="G1713">
            <v>6</v>
          </cell>
          <cell r="H1713">
            <v>45</v>
          </cell>
          <cell r="I1713">
            <v>32</v>
          </cell>
          <cell r="J1713">
            <v>31</v>
          </cell>
          <cell r="K1713">
            <v>10.744999999999999</v>
          </cell>
          <cell r="L1713">
            <v>0.11192708333333333</v>
          </cell>
          <cell r="M1713">
            <v>4.4640000000000006E-2</v>
          </cell>
        </row>
        <row r="1714">
          <cell r="A1714">
            <v>11730008</v>
          </cell>
          <cell r="B1714">
            <v>3118220043411</v>
          </cell>
          <cell r="E1714" t="str">
            <v>COUTEAU OFFICE 9CM TOP CHEF FRANCE CARTONNETTE TB</v>
          </cell>
          <cell r="F1714">
            <v>180</v>
          </cell>
          <cell r="G1714">
            <v>6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</row>
        <row r="1715">
          <cell r="A1715">
            <v>11730009</v>
          </cell>
          <cell r="B1715">
            <v>3118220043428</v>
          </cell>
          <cell r="E1715" t="str">
            <v>COUTEAU CUISINE 17CM TOP CHEF FRANCE SS CARTONNETTE TB</v>
          </cell>
          <cell r="F1715">
            <v>96</v>
          </cell>
          <cell r="G1715">
            <v>6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</row>
        <row r="1716">
          <cell r="A1716">
            <v>11730010</v>
          </cell>
          <cell r="B1716">
            <v>3118220043435</v>
          </cell>
          <cell r="E1716" t="str">
            <v>COUTEAU SANTOKU 20CM TOP CHEF FRANCE SS CARTONNETTE TB</v>
          </cell>
          <cell r="F1716">
            <v>96</v>
          </cell>
          <cell r="G1716">
            <v>6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</row>
        <row r="1717">
          <cell r="A1717">
            <v>11880001</v>
          </cell>
          <cell r="B1717">
            <v>3118220043077</v>
          </cell>
          <cell r="E1717" t="str">
            <v>OFFICE 8CM METALIS CARTONNETTE TB C</v>
          </cell>
          <cell r="F1717">
            <v>120</v>
          </cell>
          <cell r="G1717">
            <v>6</v>
          </cell>
          <cell r="H1717">
            <v>45</v>
          </cell>
          <cell r="I1717">
            <v>31.5</v>
          </cell>
          <cell r="J1717">
            <v>19</v>
          </cell>
          <cell r="K1717">
            <v>8.8919999999999995</v>
          </cell>
          <cell r="L1717">
            <v>7.4099999999999999E-2</v>
          </cell>
          <cell r="M1717">
            <v>2.6932500000000005E-2</v>
          </cell>
        </row>
        <row r="1718">
          <cell r="A1718">
            <v>11880002</v>
          </cell>
          <cell r="B1718">
            <v>3118220043084</v>
          </cell>
          <cell r="E1718" t="str">
            <v>STEAK 10CM METALIS CARTONNETTE TB C</v>
          </cell>
          <cell r="F1718">
            <v>120</v>
          </cell>
          <cell r="G1718">
            <v>6</v>
          </cell>
          <cell r="H1718">
            <v>45</v>
          </cell>
          <cell r="I1718">
            <v>31.5</v>
          </cell>
          <cell r="J1718">
            <v>19</v>
          </cell>
          <cell r="K1718">
            <v>9.3710000000000004</v>
          </cell>
          <cell r="L1718">
            <v>7.809166666666667E-2</v>
          </cell>
          <cell r="M1718">
            <v>2.6932500000000005E-2</v>
          </cell>
        </row>
        <row r="1719">
          <cell r="A1719">
            <v>11880003</v>
          </cell>
          <cell r="B1719">
            <v>3118220043091</v>
          </cell>
          <cell r="E1719" t="str">
            <v>CUISINE 17CM METALIS CARTONNETTE TB C</v>
          </cell>
          <cell r="F1719">
            <v>72</v>
          </cell>
          <cell r="G1719">
            <v>6</v>
          </cell>
          <cell r="H1719">
            <v>45</v>
          </cell>
          <cell r="I1719">
            <v>31.5</v>
          </cell>
          <cell r="J1719">
            <v>26</v>
          </cell>
          <cell r="K1719">
            <v>9.1280000000000001</v>
          </cell>
          <cell r="L1719">
            <v>0.12677777777777777</v>
          </cell>
          <cell r="M1719">
            <v>3.6854999999999999E-2</v>
          </cell>
        </row>
        <row r="1720">
          <cell r="A1720">
            <v>11880004</v>
          </cell>
          <cell r="B1720">
            <v>3118220043107</v>
          </cell>
          <cell r="E1720" t="str">
            <v>SANTOKU 19CM METALIS CARTONNETTE TB C</v>
          </cell>
          <cell r="F1720">
            <v>72</v>
          </cell>
          <cell r="G1720">
            <v>6</v>
          </cell>
          <cell r="H1720">
            <v>45</v>
          </cell>
          <cell r="I1720">
            <v>31.5</v>
          </cell>
          <cell r="J1720">
            <v>26</v>
          </cell>
          <cell r="K1720">
            <v>10.257999999999999</v>
          </cell>
          <cell r="L1720">
            <v>0.14247222222222222</v>
          </cell>
          <cell r="M1720">
            <v>3.6854999999999999E-2</v>
          </cell>
        </row>
        <row r="1721">
          <cell r="A1721">
            <v>11880005</v>
          </cell>
          <cell r="B1721">
            <v>3118220043114</v>
          </cell>
          <cell r="E1721" t="str">
            <v>PAIN 20CM METALIS CARTONNETTE TB C</v>
          </cell>
          <cell r="F1721">
            <v>72</v>
          </cell>
          <cell r="G1721">
            <v>6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</row>
        <row r="1722">
          <cell r="A1722">
            <v>11910001</v>
          </cell>
          <cell r="B1722">
            <v>3118220046658</v>
          </cell>
          <cell r="E1722" t="str">
            <v>COUTEAU STEAK MADE_IN_BOIS</v>
          </cell>
          <cell r="F1722">
            <v>200</v>
          </cell>
          <cell r="G1722">
            <v>200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</row>
        <row r="1723">
          <cell r="A1723">
            <v>11910002</v>
          </cell>
          <cell r="B1723">
            <v>3118220046757</v>
          </cell>
          <cell r="E1723" t="str">
            <v>COUTEAU STEAK MADE_IN_POLYMERE</v>
          </cell>
          <cell r="F1723">
            <v>150</v>
          </cell>
          <cell r="G1723">
            <v>150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</row>
        <row r="1724">
          <cell r="A1724">
            <v>11910003</v>
          </cell>
          <cell r="B1724">
            <v>3118220046764</v>
          </cell>
          <cell r="E1724" t="str">
            <v>COUTEAU STEAK MADE_IN_POLYMERE A DEFINIR</v>
          </cell>
          <cell r="F1724">
            <v>150</v>
          </cell>
          <cell r="G1724">
            <v>150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</row>
        <row r="1725">
          <cell r="A1725">
            <v>11920001</v>
          </cell>
          <cell r="B1725">
            <v>3118220047273</v>
          </cell>
          <cell r="E1725" t="str">
            <v>EPLUCHEUR Y LAME DENTEE PIVOTANTE EN VRAC+GENCOD</v>
          </cell>
          <cell r="F1725">
            <v>144</v>
          </cell>
          <cell r="G1725">
            <v>12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</row>
        <row r="1726">
          <cell r="A1726">
            <v>11920002</v>
          </cell>
          <cell r="B1726">
            <v>3118220047280</v>
          </cell>
          <cell r="E1726" t="str">
            <v>EPLUCHEUR DROIT LAME DENTEE PIVOTANTE EN VRAC+GENCOD</v>
          </cell>
          <cell r="F1726">
            <v>144</v>
          </cell>
          <cell r="G1726">
            <v>12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</row>
        <row r="1727">
          <cell r="A1727">
            <v>11920003</v>
          </cell>
          <cell r="B1727">
            <v>3118220047297</v>
          </cell>
          <cell r="E1727" t="str">
            <v>EPLUCHEUR Y LAME DENTEE PIVOTANTE EN DISPLAY DE 48P</v>
          </cell>
          <cell r="F1727">
            <v>48</v>
          </cell>
          <cell r="G1727">
            <v>48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</row>
        <row r="1728">
          <cell r="A1728">
            <v>11920004</v>
          </cell>
          <cell r="B1728">
            <v>3118220047303</v>
          </cell>
          <cell r="E1728" t="str">
            <v>EPLUCHEUR DROIT LAME DENTEE PIVOTANTE EN DISPLAY DE 48P</v>
          </cell>
          <cell r="F1728">
            <v>48</v>
          </cell>
          <cell r="G1728">
            <v>48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</row>
        <row r="1729">
          <cell r="A1729">
            <v>11920005</v>
          </cell>
          <cell r="B1729">
            <v>3118220047365</v>
          </cell>
          <cell r="E1729" t="str">
            <v>BLOC PIN 6 STEAKS EASY BTE PACKBORDABLE TB COLLECTION</v>
          </cell>
          <cell r="F1729">
            <v>8</v>
          </cell>
          <cell r="G1729">
            <v>8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</row>
        <row r="1730">
          <cell r="A1730">
            <v>11950001</v>
          </cell>
          <cell r="B1730">
            <v>3118220048676</v>
          </cell>
          <cell r="C1730">
            <v>13118220048673</v>
          </cell>
          <cell r="D1730">
            <v>23118220048670</v>
          </cell>
          <cell r="E1730" t="str">
            <v>COFFRET 4 STEAKS EPICURIEN BOITE TB COLLECTION</v>
          </cell>
          <cell r="F1730">
            <v>12</v>
          </cell>
          <cell r="G1730">
            <v>6</v>
          </cell>
          <cell r="H1730">
            <v>37</v>
          </cell>
          <cell r="I1730">
            <v>29.5</v>
          </cell>
          <cell r="J1730">
            <v>20</v>
          </cell>
          <cell r="K1730">
            <v>0.45</v>
          </cell>
          <cell r="L1730">
            <v>3.7499999999999999E-2</v>
          </cell>
          <cell r="M1730">
            <v>2.1829999999999999E-2</v>
          </cell>
        </row>
        <row r="1731">
          <cell r="A1731">
            <v>12050001</v>
          </cell>
          <cell r="B1731">
            <v>3118220048683</v>
          </cell>
          <cell r="C1731">
            <v>13118220048680</v>
          </cell>
          <cell r="D1731">
            <v>23118220048687</v>
          </cell>
          <cell r="E1731" t="str">
            <v>COFFRET 4 STEAKS BRASSERIE BOITE TB COLLECTION</v>
          </cell>
          <cell r="F1731">
            <v>12</v>
          </cell>
          <cell r="G1731">
            <v>6</v>
          </cell>
          <cell r="H1731">
            <v>36.5</v>
          </cell>
          <cell r="I1731">
            <v>29</v>
          </cell>
          <cell r="J1731">
            <v>20</v>
          </cell>
          <cell r="K1731">
            <v>0.57999999999999996</v>
          </cell>
          <cell r="L1731">
            <v>4.8333333333333332E-2</v>
          </cell>
          <cell r="M1731">
            <v>2.1169999999999994E-2</v>
          </cell>
        </row>
        <row r="1732">
          <cell r="A1732">
            <v>20020001</v>
          </cell>
          <cell r="B1732">
            <v>3118220020849</v>
          </cell>
          <cell r="E1732" t="str">
            <v>M16 LAGUIOLE INTUITION METAL COFFRET BI MAT ROUGE</v>
          </cell>
          <cell r="F1732">
            <v>6</v>
          </cell>
          <cell r="G1732">
            <v>6</v>
          </cell>
          <cell r="H1732">
            <v>29</v>
          </cell>
          <cell r="I1732">
            <v>28</v>
          </cell>
          <cell r="J1732">
            <v>19.5</v>
          </cell>
          <cell r="K1732">
            <v>7.5960000000000001</v>
          </cell>
          <cell r="L1732">
            <v>1.266</v>
          </cell>
          <cell r="M1732">
            <v>1.5834000000000001E-2</v>
          </cell>
        </row>
        <row r="1733">
          <cell r="A1733">
            <v>20020002</v>
          </cell>
          <cell r="B1733">
            <v>3118220020856</v>
          </cell>
          <cell r="E1733" t="str">
            <v>COUTEAU LAGUIOLE INTUITION METAL + GENCOD</v>
          </cell>
          <cell r="F1733">
            <v>240</v>
          </cell>
          <cell r="G1733">
            <v>6</v>
          </cell>
          <cell r="H1733">
            <v>34.5</v>
          </cell>
          <cell r="I1733">
            <v>28</v>
          </cell>
          <cell r="J1733">
            <v>32.5</v>
          </cell>
          <cell r="K1733">
            <v>12.48</v>
          </cell>
          <cell r="L1733">
            <v>5.2000000000000005E-2</v>
          </cell>
          <cell r="M1733">
            <v>3.1394999999999999E-2</v>
          </cell>
        </row>
        <row r="1734">
          <cell r="A1734">
            <v>20020003</v>
          </cell>
          <cell r="B1734">
            <v>3118220020863</v>
          </cell>
          <cell r="E1734" t="str">
            <v>FOURCHETTE LAGUIOLE INTUITION METAL + GENCOD</v>
          </cell>
          <cell r="F1734">
            <v>240</v>
          </cell>
          <cell r="G1734">
            <v>6</v>
          </cell>
          <cell r="H1734">
            <v>38.5</v>
          </cell>
          <cell r="I1734">
            <v>25.5</v>
          </cell>
          <cell r="J1734">
            <v>33.5</v>
          </cell>
          <cell r="K1734">
            <v>15.12</v>
          </cell>
          <cell r="L1734">
            <v>6.3E-2</v>
          </cell>
          <cell r="M1734">
            <v>3.2888625000000005E-2</v>
          </cell>
        </row>
        <row r="1735">
          <cell r="A1735">
            <v>20020004</v>
          </cell>
          <cell r="B1735">
            <v>3118220020870</v>
          </cell>
          <cell r="E1735" t="str">
            <v>CUILLERE INTUITION METAL + GENCOD</v>
          </cell>
          <cell r="F1735">
            <v>240</v>
          </cell>
          <cell r="G1735">
            <v>6</v>
          </cell>
          <cell r="H1735">
            <v>38.5</v>
          </cell>
          <cell r="I1735">
            <v>25.5</v>
          </cell>
          <cell r="J1735">
            <v>33.5</v>
          </cell>
          <cell r="K1735">
            <v>16.079999999999998</v>
          </cell>
          <cell r="L1735">
            <v>6.699999999999999E-2</v>
          </cell>
          <cell r="M1735">
            <v>3.2888625000000005E-2</v>
          </cell>
        </row>
        <row r="1736">
          <cell r="A1736">
            <v>20020005</v>
          </cell>
          <cell r="B1736">
            <v>3118220020887</v>
          </cell>
          <cell r="E1736" t="str">
            <v>CUILLERE CAFE LAGUIOLE INTUITION METAL + GENCOD</v>
          </cell>
          <cell r="F1736">
            <v>240</v>
          </cell>
          <cell r="G1736">
            <v>6</v>
          </cell>
          <cell r="H1736">
            <v>38</v>
          </cell>
          <cell r="I1736">
            <v>20.5</v>
          </cell>
          <cell r="J1736">
            <v>28</v>
          </cell>
          <cell r="K1736">
            <v>7.44</v>
          </cell>
          <cell r="L1736">
            <v>3.1000000000000003E-2</v>
          </cell>
          <cell r="M1736">
            <v>2.1812000000000002E-2</v>
          </cell>
        </row>
        <row r="1737">
          <cell r="A1737">
            <v>20100001</v>
          </cell>
          <cell r="B1737">
            <v>3118220007437</v>
          </cell>
          <cell r="C1737" t="str">
            <v>13118220007434</v>
          </cell>
          <cell r="D1737" t="str">
            <v>23118220007431</v>
          </cell>
          <cell r="E1737" t="str">
            <v>COFFRET AIMANTE A FENETRE 6 CX LAG TABLE METAL INOX</v>
          </cell>
          <cell r="F1737">
            <v>24</v>
          </cell>
          <cell r="G1737">
            <v>6</v>
          </cell>
          <cell r="H1737">
            <v>48</v>
          </cell>
          <cell r="I1737">
            <v>33</v>
          </cell>
          <cell r="J1737">
            <v>29</v>
          </cell>
          <cell r="K1737">
            <v>12.288</v>
          </cell>
          <cell r="L1737">
            <v>0.51200000000000001</v>
          </cell>
          <cell r="M1737">
            <v>4.5935999999999998E-2</v>
          </cell>
        </row>
        <row r="1738">
          <cell r="A1738">
            <v>20100002</v>
          </cell>
          <cell r="B1738">
            <v>3118220019423</v>
          </cell>
          <cell r="C1738" t="str">
            <v>13118220019420</v>
          </cell>
          <cell r="D1738" t="str">
            <v>23118220019427</v>
          </cell>
          <cell r="E1738" t="str">
            <v>M16 LAG METAL COFFRET + BANDEAU</v>
          </cell>
          <cell r="F1738">
            <v>6</v>
          </cell>
          <cell r="G1738">
            <v>6</v>
          </cell>
          <cell r="H1738">
            <v>33</v>
          </cell>
          <cell r="I1738">
            <v>28.5</v>
          </cell>
          <cell r="J1738">
            <v>28.5</v>
          </cell>
          <cell r="K1738">
            <v>5.8680000000000003</v>
          </cell>
          <cell r="L1738">
            <v>0.97800000000000009</v>
          </cell>
          <cell r="M1738">
            <v>2.6804250000000002E-2</v>
          </cell>
        </row>
        <row r="1739">
          <cell r="A1739">
            <v>20100003</v>
          </cell>
          <cell r="B1739">
            <v>3118220037434</v>
          </cell>
          <cell r="C1739" t="str">
            <v>13118220037431</v>
          </cell>
          <cell r="D1739" t="str">
            <v>23118220037438</v>
          </cell>
          <cell r="E1739" t="str">
            <v>COUTEAU LAGUIOLE METAL VRAC + GENCOD</v>
          </cell>
          <cell r="F1739">
            <v>240</v>
          </cell>
          <cell r="G1739">
            <v>6</v>
          </cell>
          <cell r="H1739">
            <v>34</v>
          </cell>
          <cell r="I1739">
            <v>27</v>
          </cell>
          <cell r="J1739">
            <v>32</v>
          </cell>
          <cell r="K1739">
            <v>13.022</v>
          </cell>
          <cell r="L1739">
            <v>5.4258333333333332E-2</v>
          </cell>
          <cell r="M1739">
            <v>2.9376000000000006E-2</v>
          </cell>
        </row>
        <row r="1740">
          <cell r="A1740">
            <v>20100004</v>
          </cell>
          <cell r="B1740">
            <v>3118220037441</v>
          </cell>
          <cell r="C1740" t="str">
            <v>13118220037448</v>
          </cell>
          <cell r="D1740" t="str">
            <v>23118220037445</v>
          </cell>
          <cell r="E1740" t="str">
            <v>FOURCHETTE LAGUIOLE METAL VRAC + GENCOD</v>
          </cell>
          <cell r="F1740">
            <v>240</v>
          </cell>
          <cell r="G1740">
            <v>6</v>
          </cell>
          <cell r="H1740">
            <v>38.5</v>
          </cell>
          <cell r="I1740">
            <v>25</v>
          </cell>
          <cell r="J1740">
            <v>31.5</v>
          </cell>
          <cell r="K1740">
            <v>15.542999999999999</v>
          </cell>
          <cell r="L1740">
            <v>6.4762500000000001E-2</v>
          </cell>
          <cell r="M1740">
            <v>3.0318749999999998E-2</v>
          </cell>
        </row>
        <row r="1741">
          <cell r="A1741">
            <v>20100005</v>
          </cell>
          <cell r="B1741">
            <v>3118220037458</v>
          </cell>
          <cell r="C1741" t="str">
            <v>13118220037455</v>
          </cell>
          <cell r="D1741" t="str">
            <v>23118220037452</v>
          </cell>
          <cell r="E1741" t="str">
            <v>CUILLERE LAGUIOLE METAL VRAC + GENCOD</v>
          </cell>
          <cell r="F1741">
            <v>240</v>
          </cell>
          <cell r="G1741">
            <v>6</v>
          </cell>
          <cell r="H1741">
            <v>38.5</v>
          </cell>
          <cell r="I1741">
            <v>25</v>
          </cell>
          <cell r="J1741">
            <v>31.5</v>
          </cell>
          <cell r="K1741">
            <v>16.643999999999998</v>
          </cell>
          <cell r="L1741">
            <v>6.9349999999999995E-2</v>
          </cell>
          <cell r="M1741">
            <v>3.0318749999999998E-2</v>
          </cell>
        </row>
        <row r="1742">
          <cell r="A1742">
            <v>20100006</v>
          </cell>
          <cell r="B1742">
            <v>3118220037465</v>
          </cell>
          <cell r="C1742" t="str">
            <v>13118220037462</v>
          </cell>
          <cell r="D1742" t="str">
            <v>23118220037469</v>
          </cell>
          <cell r="E1742" t="str">
            <v>CAFE LAGUIOLE METAL VRAC + GENCOD</v>
          </cell>
          <cell r="F1742">
            <v>240</v>
          </cell>
          <cell r="G1742">
            <v>6</v>
          </cell>
          <cell r="H1742">
            <v>38.5</v>
          </cell>
          <cell r="I1742">
            <v>20.5</v>
          </cell>
          <cell r="J1742">
            <v>26.5</v>
          </cell>
          <cell r="K1742">
            <v>8.2629999999999999</v>
          </cell>
          <cell r="L1742">
            <v>3.4429166666666663E-2</v>
          </cell>
          <cell r="M1742">
            <v>2.0915125E-2</v>
          </cell>
        </row>
        <row r="1743">
          <cell r="A1743">
            <v>20100007</v>
          </cell>
          <cell r="B1743">
            <v>3118220040007</v>
          </cell>
          <cell r="E1743" t="str">
            <v>M16 PIECES LAGUIOLE METAL CLASSIC SATIN</v>
          </cell>
          <cell r="F1743">
            <v>6</v>
          </cell>
          <cell r="G1743">
            <v>6</v>
          </cell>
          <cell r="H1743">
            <v>33</v>
          </cell>
          <cell r="I1743">
            <v>28.5</v>
          </cell>
          <cell r="J1743">
            <v>28.5</v>
          </cell>
          <cell r="K1743">
            <v>6.359</v>
          </cell>
          <cell r="L1743">
            <v>1.0598333333333334</v>
          </cell>
          <cell r="M1743">
            <v>2.6804250000000002E-2</v>
          </cell>
        </row>
        <row r="1744">
          <cell r="A1744">
            <v>20110006</v>
          </cell>
          <cell r="B1744">
            <v>3118220016804</v>
          </cell>
          <cell r="E1744" t="str">
            <v>COUTEAU LAGUIOLE HERITAGE SUR CARTE PEGB GENCOD</v>
          </cell>
          <cell r="F1744">
            <v>120</v>
          </cell>
          <cell r="G1744">
            <v>6</v>
          </cell>
          <cell r="H1744">
            <v>33</v>
          </cell>
          <cell r="I1744">
            <v>33</v>
          </cell>
          <cell r="J1744">
            <v>33</v>
          </cell>
          <cell r="K1744">
            <v>20.9</v>
          </cell>
          <cell r="L1744">
            <v>0.17416666666666666</v>
          </cell>
          <cell r="M1744">
            <v>3.5937000000000004E-2</v>
          </cell>
        </row>
        <row r="1745">
          <cell r="A1745">
            <v>20110007</v>
          </cell>
          <cell r="B1745">
            <v>3118220016811</v>
          </cell>
          <cell r="E1745" t="str">
            <v>FOURCHETTE LAGUIOLE HERITAGE SUR CARTE PEGB GENCOD</v>
          </cell>
          <cell r="F1745">
            <v>240</v>
          </cell>
          <cell r="G1745">
            <v>6</v>
          </cell>
          <cell r="H1745">
            <v>62</v>
          </cell>
          <cell r="I1745">
            <v>47</v>
          </cell>
          <cell r="J1745">
            <v>34</v>
          </cell>
          <cell r="K1745">
            <v>23.76</v>
          </cell>
          <cell r="L1745">
            <v>9.9000000000000005E-2</v>
          </cell>
          <cell r="M1745">
            <v>9.9075999999999997E-2</v>
          </cell>
        </row>
        <row r="1746">
          <cell r="A1746">
            <v>20110008</v>
          </cell>
          <cell r="B1746">
            <v>3118220016828</v>
          </cell>
          <cell r="E1746" t="str">
            <v>CUILLERE LAGUIOLE HERITAGE SUR CARTE PEGB GENCOD</v>
          </cell>
          <cell r="F1746">
            <v>240</v>
          </cell>
          <cell r="G1746">
            <v>6</v>
          </cell>
          <cell r="H1746">
            <v>62.5</v>
          </cell>
          <cell r="I1746">
            <v>47</v>
          </cell>
          <cell r="J1746">
            <v>33</v>
          </cell>
          <cell r="K1746">
            <v>28.024000000000001</v>
          </cell>
          <cell r="L1746">
            <v>0.11676666666666667</v>
          </cell>
          <cell r="M1746">
            <v>9.6937499999999996E-2</v>
          </cell>
        </row>
        <row r="1747">
          <cell r="A1747">
            <v>20110009</v>
          </cell>
          <cell r="B1747">
            <v>3118220016835</v>
          </cell>
          <cell r="E1747" t="str">
            <v>CAFE LAGUIOLE HERITAGE SUR CARTE PEGB GENCOD</v>
          </cell>
          <cell r="F1747">
            <v>240</v>
          </cell>
          <cell r="G1747">
            <v>6</v>
          </cell>
          <cell r="H1747">
            <v>52.5</v>
          </cell>
          <cell r="I1747">
            <v>41</v>
          </cell>
          <cell r="J1747">
            <v>33</v>
          </cell>
          <cell r="K1747">
            <v>14.992000000000001</v>
          </cell>
          <cell r="L1747">
            <v>6.246666666666667E-2</v>
          </cell>
          <cell r="M1747">
            <v>7.1032500000000012E-2</v>
          </cell>
        </row>
        <row r="1748">
          <cell r="A1748">
            <v>20110010</v>
          </cell>
          <cell r="B1748">
            <v>3118220023826</v>
          </cell>
          <cell r="E1748" t="str">
            <v>M16 LAG HERITAGE SATINE BOITE LAGUIOLE</v>
          </cell>
          <cell r="F1748">
            <v>6</v>
          </cell>
          <cell r="G1748">
            <v>6</v>
          </cell>
          <cell r="H1748">
            <v>30</v>
          </cell>
          <cell r="I1748">
            <v>27.5</v>
          </cell>
          <cell r="J1748">
            <v>30.5</v>
          </cell>
          <cell r="K1748">
            <v>8.5619999999999994</v>
          </cell>
          <cell r="L1748">
            <v>1.4269999999999998</v>
          </cell>
          <cell r="M1748">
            <v>2.5162500000000004E-2</v>
          </cell>
        </row>
        <row r="1749">
          <cell r="A1749">
            <v>20110011</v>
          </cell>
          <cell r="B1749">
            <v>3118220023932</v>
          </cell>
          <cell r="E1749" t="str">
            <v>COUTEAU LAGUIOLE HERITAGE SATINE VRAC + GENCOD</v>
          </cell>
          <cell r="F1749">
            <v>120</v>
          </cell>
          <cell r="G1749">
            <v>6</v>
          </cell>
          <cell r="H1749">
            <v>30</v>
          </cell>
          <cell r="I1749">
            <v>19</v>
          </cell>
          <cell r="J1749">
            <v>13</v>
          </cell>
          <cell r="K1749">
            <v>18</v>
          </cell>
          <cell r="L1749">
            <v>0.15</v>
          </cell>
          <cell r="M1749">
            <v>7.4099999999999999E-3</v>
          </cell>
        </row>
        <row r="1750">
          <cell r="A1750">
            <v>20110012</v>
          </cell>
          <cell r="B1750">
            <v>3118220023949</v>
          </cell>
          <cell r="E1750" t="str">
            <v>FOURCHETTE LAGUIOLE HERITAGE SATINE VRAC + GENCOD</v>
          </cell>
          <cell r="F1750">
            <v>240</v>
          </cell>
          <cell r="G1750">
            <v>6</v>
          </cell>
          <cell r="H1750">
            <v>31.5</v>
          </cell>
          <cell r="I1750">
            <v>29</v>
          </cell>
          <cell r="J1750">
            <v>13</v>
          </cell>
          <cell r="K1750">
            <v>15.5</v>
          </cell>
          <cell r="L1750">
            <v>6.458333333333334E-2</v>
          </cell>
          <cell r="M1750">
            <v>1.1875500000000001E-2</v>
          </cell>
        </row>
        <row r="1751">
          <cell r="A1751">
            <v>20110013</v>
          </cell>
          <cell r="B1751">
            <v>3118220023956</v>
          </cell>
          <cell r="E1751" t="str">
            <v>CUILLERE LAGUIOLE HERITAGE SATINE VRAC + GENCOD</v>
          </cell>
          <cell r="F1751">
            <v>240</v>
          </cell>
          <cell r="G1751">
            <v>6</v>
          </cell>
          <cell r="H1751">
            <v>31.5</v>
          </cell>
          <cell r="I1751">
            <v>29</v>
          </cell>
          <cell r="J1751">
            <v>13</v>
          </cell>
          <cell r="K1751">
            <v>16.850000000000001</v>
          </cell>
          <cell r="L1751">
            <v>7.0208333333333345E-2</v>
          </cell>
          <cell r="M1751">
            <v>1.1875500000000001E-2</v>
          </cell>
        </row>
        <row r="1752">
          <cell r="A1752">
            <v>20110014</v>
          </cell>
          <cell r="B1752">
            <v>3118220023963</v>
          </cell>
          <cell r="E1752" t="str">
            <v>CAFE LAGUIOLE HERITAGE SATINE VRAC + GENCOD</v>
          </cell>
          <cell r="F1752">
            <v>240</v>
          </cell>
          <cell r="G1752">
            <v>6</v>
          </cell>
          <cell r="H1752">
            <v>46</v>
          </cell>
          <cell r="I1752">
            <v>15</v>
          </cell>
          <cell r="J1752">
            <v>11</v>
          </cell>
          <cell r="K1752">
            <v>7.36</v>
          </cell>
          <cell r="L1752">
            <v>3.0666666666666668E-2</v>
          </cell>
          <cell r="M1752">
            <v>7.5900000000000013E-3</v>
          </cell>
        </row>
        <row r="1753">
          <cell r="A1753">
            <v>20110016</v>
          </cell>
          <cell r="B1753">
            <v>3118220028494</v>
          </cell>
          <cell r="E1753" t="str">
            <v>COUTEAU LAGUIOLE HERITAGE FINITION SABLE CARTE PEGB GENCOD</v>
          </cell>
          <cell r="F1753">
            <v>120</v>
          </cell>
          <cell r="G1753">
            <v>6</v>
          </cell>
          <cell r="H1753">
            <v>32</v>
          </cell>
          <cell r="I1753">
            <v>32</v>
          </cell>
          <cell r="J1753">
            <v>33.5</v>
          </cell>
          <cell r="K1753">
            <v>22.899000000000001</v>
          </cell>
          <cell r="L1753">
            <v>0.19082499999999999</v>
          </cell>
          <cell r="M1753">
            <v>3.4304000000000001E-2</v>
          </cell>
        </row>
        <row r="1754">
          <cell r="A1754">
            <v>20110017</v>
          </cell>
          <cell r="B1754">
            <v>3118220028500</v>
          </cell>
          <cell r="E1754" t="str">
            <v>FOURCHETTE LAGUIOLE HERITAGE FINITION SABLE CARTE PEGB GENCO</v>
          </cell>
          <cell r="F1754">
            <v>240</v>
          </cell>
          <cell r="G1754">
            <v>6</v>
          </cell>
          <cell r="H1754">
            <v>62</v>
          </cell>
          <cell r="I1754">
            <v>47</v>
          </cell>
          <cell r="J1754">
            <v>31.5</v>
          </cell>
          <cell r="K1754">
            <v>26.38</v>
          </cell>
          <cell r="L1754">
            <v>0.10991666666666666</v>
          </cell>
          <cell r="M1754">
            <v>9.1790999999999998E-2</v>
          </cell>
        </row>
        <row r="1755">
          <cell r="A1755">
            <v>20110018</v>
          </cell>
          <cell r="B1755">
            <v>3118220028517</v>
          </cell>
          <cell r="E1755" t="str">
            <v>CUILLERE LAGUIOLE HERITAGE FINITION SABLE CARTE PEGB GENCOD</v>
          </cell>
          <cell r="F1755">
            <v>240</v>
          </cell>
          <cell r="G1755">
            <v>6</v>
          </cell>
          <cell r="H1755">
            <v>62</v>
          </cell>
          <cell r="I1755">
            <v>47</v>
          </cell>
          <cell r="J1755">
            <v>34</v>
          </cell>
          <cell r="K1755">
            <v>27.518999999999998</v>
          </cell>
          <cell r="L1755">
            <v>0.11466249999999999</v>
          </cell>
          <cell r="M1755">
            <v>9.9075999999999997E-2</v>
          </cell>
        </row>
        <row r="1756">
          <cell r="A1756">
            <v>20110019</v>
          </cell>
          <cell r="B1756">
            <v>3118220028524</v>
          </cell>
          <cell r="E1756" t="str">
            <v>CAFE LAGUIOLE HERITAGE FINITION SABLE CARTE PEGB GENCOD</v>
          </cell>
          <cell r="F1756">
            <v>240</v>
          </cell>
          <cell r="G1756">
            <v>6</v>
          </cell>
          <cell r="H1756">
            <v>52</v>
          </cell>
          <cell r="I1756">
            <v>41</v>
          </cell>
          <cell r="J1756">
            <v>33</v>
          </cell>
          <cell r="K1756">
            <v>14.84</v>
          </cell>
          <cell r="L1756">
            <v>6.183333333333333E-2</v>
          </cell>
          <cell r="M1756">
            <v>7.0356000000000002E-2</v>
          </cell>
        </row>
        <row r="1757">
          <cell r="A1757">
            <v>20110020</v>
          </cell>
          <cell r="B1757">
            <v>3118220028968</v>
          </cell>
          <cell r="C1757" t="str">
            <v>13118220028965</v>
          </cell>
          <cell r="D1757" t="str">
            <v>23118220028962</v>
          </cell>
          <cell r="E1757" t="str">
            <v>M16 LAGUIOLE HERITAGE FINITION SABLEE EN BOITE LAGUIOLE</v>
          </cell>
          <cell r="F1757">
            <v>6</v>
          </cell>
          <cell r="G1757">
            <v>6</v>
          </cell>
          <cell r="H1757">
            <v>30</v>
          </cell>
          <cell r="I1757">
            <v>27.5</v>
          </cell>
          <cell r="J1757">
            <v>31</v>
          </cell>
          <cell r="K1757">
            <v>9.1739999999999995</v>
          </cell>
          <cell r="L1757">
            <v>1.5289999999999999</v>
          </cell>
          <cell r="M1757">
            <v>2.5575000000000001E-2</v>
          </cell>
        </row>
        <row r="1758">
          <cell r="A1758">
            <v>20110021</v>
          </cell>
          <cell r="B1758">
            <v>3118220029606</v>
          </cell>
          <cell r="E1758" t="str">
            <v>MOKA HERITAGE SUR CARTE PEGBORDABLE</v>
          </cell>
          <cell r="F1758">
            <v>240</v>
          </cell>
          <cell r="G1758">
            <v>6</v>
          </cell>
          <cell r="H1758">
            <v>51.5</v>
          </cell>
          <cell r="I1758">
            <v>41.5</v>
          </cell>
          <cell r="J1758">
            <v>33</v>
          </cell>
          <cell r="K1758">
            <v>12.317</v>
          </cell>
          <cell r="L1758">
            <v>5.1320833333333336E-2</v>
          </cell>
          <cell r="M1758">
            <v>7.0529250000000016E-2</v>
          </cell>
        </row>
        <row r="1759">
          <cell r="A1759">
            <v>20110022</v>
          </cell>
          <cell r="B1759">
            <v>3118220029613</v>
          </cell>
          <cell r="E1759" t="str">
            <v>MOKA HERITAGE FINITION SABLE SUR CARTE PEGBORDABLE</v>
          </cell>
          <cell r="F1759">
            <v>240</v>
          </cell>
          <cell r="G1759">
            <v>6</v>
          </cell>
          <cell r="H1759">
            <v>51.5</v>
          </cell>
          <cell r="I1759">
            <v>41.5</v>
          </cell>
          <cell r="J1759">
            <v>33</v>
          </cell>
          <cell r="K1759">
            <v>12.337</v>
          </cell>
          <cell r="L1759">
            <v>5.1404166666666667E-2</v>
          </cell>
          <cell r="M1759">
            <v>7.0529250000000016E-2</v>
          </cell>
        </row>
        <row r="1760">
          <cell r="A1760">
            <v>20110023</v>
          </cell>
          <cell r="B1760">
            <v>3118220029620</v>
          </cell>
          <cell r="E1760" t="str">
            <v>MAZAGRAN HERITAGE SUR CARTE PEGBORDABLE</v>
          </cell>
          <cell r="F1760">
            <v>240</v>
          </cell>
          <cell r="G1760">
            <v>6</v>
          </cell>
          <cell r="H1760">
            <v>51.5</v>
          </cell>
          <cell r="I1760">
            <v>41.5</v>
          </cell>
          <cell r="J1760">
            <v>33</v>
          </cell>
          <cell r="K1760">
            <v>17.553999999999998</v>
          </cell>
          <cell r="L1760">
            <v>7.314166666666666E-2</v>
          </cell>
          <cell r="M1760">
            <v>7.0529250000000016E-2</v>
          </cell>
        </row>
        <row r="1761">
          <cell r="A1761">
            <v>20110024</v>
          </cell>
          <cell r="B1761">
            <v>3118220029637</v>
          </cell>
          <cell r="E1761" t="str">
            <v>MAZAGRAN HERITAGE FINITION SABLE SUR CARTE PEGBORDABLE</v>
          </cell>
          <cell r="F1761">
            <v>240</v>
          </cell>
          <cell r="G1761">
            <v>6</v>
          </cell>
          <cell r="H1761">
            <v>51.5</v>
          </cell>
          <cell r="I1761">
            <v>41.5</v>
          </cell>
          <cell r="J1761">
            <v>33</v>
          </cell>
          <cell r="K1761">
            <v>17.649000000000001</v>
          </cell>
          <cell r="L1761">
            <v>7.3537500000000006E-2</v>
          </cell>
          <cell r="M1761">
            <v>7.0529250000000016E-2</v>
          </cell>
        </row>
        <row r="1762">
          <cell r="A1762">
            <v>20110025</v>
          </cell>
          <cell r="B1762">
            <v>3118220031548</v>
          </cell>
          <cell r="C1762" t="str">
            <v>13118220031545</v>
          </cell>
          <cell r="D1762" t="str">
            <v>23118220031542</v>
          </cell>
          <cell r="E1762" t="str">
            <v>COFFRET 2 PCES SERVICE A SALADE FINITION MIROIR LAG HERITAGE</v>
          </cell>
          <cell r="F1762">
            <v>24</v>
          </cell>
          <cell r="G1762">
            <v>6</v>
          </cell>
          <cell r="H1762">
            <v>54</v>
          </cell>
          <cell r="I1762">
            <v>33</v>
          </cell>
          <cell r="J1762">
            <v>37.5</v>
          </cell>
          <cell r="K1762">
            <v>12.074</v>
          </cell>
          <cell r="L1762">
            <v>0.50308333333333333</v>
          </cell>
          <cell r="M1762">
            <v>6.6824999999999996E-2</v>
          </cell>
        </row>
        <row r="1763">
          <cell r="A1763">
            <v>20110026</v>
          </cell>
          <cell r="B1763">
            <v>3118220031555</v>
          </cell>
          <cell r="C1763" t="str">
            <v>13118220031552</v>
          </cell>
          <cell r="D1763" t="str">
            <v>23118220031559</v>
          </cell>
          <cell r="E1763" t="str">
            <v>COFFRET 2 PCES SERVICE A SALADE FINITION SABLE LAG HERITAGE</v>
          </cell>
          <cell r="F1763">
            <v>24</v>
          </cell>
          <cell r="G1763">
            <v>6</v>
          </cell>
          <cell r="H1763">
            <v>54</v>
          </cell>
          <cell r="I1763">
            <v>33</v>
          </cell>
          <cell r="J1763">
            <v>37.5</v>
          </cell>
          <cell r="K1763">
            <v>10.56</v>
          </cell>
          <cell r="L1763">
            <v>0.44</v>
          </cell>
          <cell r="M1763">
            <v>6.6824999999999996E-2</v>
          </cell>
        </row>
        <row r="1764">
          <cell r="A1764">
            <v>20110027</v>
          </cell>
          <cell r="B1764">
            <v>3118220032392</v>
          </cell>
          <cell r="C1764" t="str">
            <v>13118220032399</v>
          </cell>
          <cell r="D1764" t="str">
            <v>23118220032396</v>
          </cell>
          <cell r="E1764" t="str">
            <v>COUTEAU LAGUIOLE HERITAGE, HERITAGE SABLEE VRAC + GENCOD</v>
          </cell>
          <cell r="F1764">
            <v>120</v>
          </cell>
          <cell r="G1764">
            <v>6</v>
          </cell>
          <cell r="H1764">
            <v>27</v>
          </cell>
          <cell r="I1764">
            <v>25.5</v>
          </cell>
          <cell r="J1764">
            <v>21.5</v>
          </cell>
          <cell r="K1764">
            <v>19.013000000000002</v>
          </cell>
          <cell r="L1764">
            <v>0.15844166666666668</v>
          </cell>
          <cell r="M1764">
            <v>1.4802750000000002E-2</v>
          </cell>
        </row>
        <row r="1765">
          <cell r="A1765">
            <v>20110028</v>
          </cell>
          <cell r="B1765">
            <v>3118220032408</v>
          </cell>
          <cell r="C1765" t="str">
            <v>13118220032405</v>
          </cell>
          <cell r="D1765" t="str">
            <v>23118220032402</v>
          </cell>
          <cell r="E1765" t="str">
            <v>FOURCHETTE LAGUIOLE HERITAGE, HERITAGE SABLEE VRAC + GENCOD</v>
          </cell>
          <cell r="F1765">
            <v>120</v>
          </cell>
          <cell r="G1765">
            <v>6</v>
          </cell>
          <cell r="H1765">
            <v>32.5</v>
          </cell>
          <cell r="I1765">
            <v>24.5</v>
          </cell>
          <cell r="J1765">
            <v>21</v>
          </cell>
          <cell r="K1765">
            <v>9.24</v>
          </cell>
          <cell r="L1765">
            <v>7.6999999999999999E-2</v>
          </cell>
          <cell r="M1765">
            <v>1.672125E-2</v>
          </cell>
        </row>
        <row r="1766">
          <cell r="A1766">
            <v>20110029</v>
          </cell>
          <cell r="B1766">
            <v>3118220032415</v>
          </cell>
          <cell r="C1766" t="str">
            <v>13118220032412</v>
          </cell>
          <cell r="D1766" t="str">
            <v>23118220032419</v>
          </cell>
          <cell r="E1766" t="str">
            <v>CUILLERE LAGUIOLE HERITAGE, HERITAGE SABLEE VRAC + GENCOD</v>
          </cell>
          <cell r="F1766">
            <v>120</v>
          </cell>
          <cell r="G1766">
            <v>6</v>
          </cell>
          <cell r="H1766">
            <v>32</v>
          </cell>
          <cell r="I1766">
            <v>25</v>
          </cell>
          <cell r="J1766">
            <v>22</v>
          </cell>
          <cell r="K1766">
            <v>8.76</v>
          </cell>
          <cell r="L1766">
            <v>7.2999999999999995E-2</v>
          </cell>
          <cell r="M1766">
            <v>1.7600000000000001E-2</v>
          </cell>
        </row>
        <row r="1767">
          <cell r="A1767">
            <v>20110030</v>
          </cell>
          <cell r="B1767">
            <v>3118220032422</v>
          </cell>
          <cell r="C1767" t="str">
            <v>13118220032429</v>
          </cell>
          <cell r="D1767" t="str">
            <v>23118220032426</v>
          </cell>
          <cell r="E1767" t="str">
            <v>CAFE LAGUIOLE HERITAGE, HERITAGE SABLEE VRAC + GENCOD</v>
          </cell>
          <cell r="F1767">
            <v>120</v>
          </cell>
          <cell r="G1767">
            <v>6</v>
          </cell>
          <cell r="H1767">
            <v>30</v>
          </cell>
          <cell r="I1767">
            <v>20</v>
          </cell>
          <cell r="J1767">
            <v>17.5</v>
          </cell>
          <cell r="K1767">
            <v>4.24</v>
          </cell>
          <cell r="L1767">
            <v>3.5333333333333335E-2</v>
          </cell>
          <cell r="M1767">
            <v>1.0500000000000001E-2</v>
          </cell>
        </row>
        <row r="1768">
          <cell r="A1768">
            <v>20110032</v>
          </cell>
          <cell r="B1768">
            <v>3118220048751</v>
          </cell>
          <cell r="C1768">
            <v>13118220049458</v>
          </cell>
          <cell r="D1768">
            <v>23118220049455</v>
          </cell>
          <cell r="E1768" t="str">
            <v>M16 LAGUIOLE HERITAGE EMOTION 18/10 BRILLAN BTE LAG HERITAG</v>
          </cell>
          <cell r="F1768">
            <v>6</v>
          </cell>
          <cell r="G1768">
            <v>6</v>
          </cell>
          <cell r="H1768">
            <v>31</v>
          </cell>
          <cell r="I1768">
            <v>27</v>
          </cell>
          <cell r="J1768">
            <v>32</v>
          </cell>
          <cell r="K1768">
            <v>8.0500000000000007</v>
          </cell>
          <cell r="L1768">
            <v>1.3416666666666668</v>
          </cell>
          <cell r="M1768">
            <v>2.6784000000000002E-2</v>
          </cell>
        </row>
        <row r="1769">
          <cell r="A1769">
            <v>20110033</v>
          </cell>
          <cell r="B1769">
            <v>3118220048768</v>
          </cell>
          <cell r="C1769">
            <v>13118220048765</v>
          </cell>
          <cell r="D1769">
            <v>23118220048762</v>
          </cell>
          <cell r="E1769" t="str">
            <v>COUTEAU LAGUIOLE HERITAGE EMOTION 18/10 VRAC + GENCOD</v>
          </cell>
          <cell r="F1769">
            <v>120</v>
          </cell>
          <cell r="G1769">
            <v>6</v>
          </cell>
          <cell r="H1769">
            <v>29</v>
          </cell>
          <cell r="I1769">
            <v>27</v>
          </cell>
          <cell r="J1769">
            <v>22</v>
          </cell>
          <cell r="K1769">
            <v>12.15</v>
          </cell>
          <cell r="L1769">
            <v>0.10125000000000001</v>
          </cell>
          <cell r="M1769">
            <v>1.7226000000000002E-2</v>
          </cell>
        </row>
        <row r="1770">
          <cell r="A1770">
            <v>20110034</v>
          </cell>
          <cell r="B1770">
            <v>3118220048775</v>
          </cell>
          <cell r="C1770">
            <v>13118220048772</v>
          </cell>
          <cell r="D1770">
            <v>23118220048779</v>
          </cell>
          <cell r="E1770" t="str">
            <v>FOURCHETTE LAGUIOLE HERITAGE EMOTION 18/10 VRAC + GENCOD</v>
          </cell>
          <cell r="F1770">
            <v>240</v>
          </cell>
          <cell r="G1770">
            <v>6</v>
          </cell>
          <cell r="H1770">
            <v>45</v>
          </cell>
          <cell r="I1770">
            <v>26.5</v>
          </cell>
          <cell r="J1770">
            <v>25.5</v>
          </cell>
          <cell r="K1770">
            <v>18.55</v>
          </cell>
          <cell r="L1770">
            <v>7.7291666666666675E-2</v>
          </cell>
          <cell r="M1770">
            <v>3.0408749999999998E-2</v>
          </cell>
        </row>
        <row r="1771">
          <cell r="A1771">
            <v>20110035</v>
          </cell>
          <cell r="B1771">
            <v>3118220048782</v>
          </cell>
          <cell r="C1771">
            <v>13118220048789</v>
          </cell>
          <cell r="D1771">
            <v>23118220048786</v>
          </cell>
          <cell r="E1771" t="str">
            <v>CUILLERE LAGUIOLE HERITAGE EMOTION 18/10 VRAC + GENCOD</v>
          </cell>
          <cell r="F1771">
            <v>240</v>
          </cell>
          <cell r="G1771">
            <v>6</v>
          </cell>
          <cell r="H1771">
            <v>44.5</v>
          </cell>
          <cell r="I1771">
            <v>26</v>
          </cell>
          <cell r="J1771">
            <v>24.5</v>
          </cell>
          <cell r="K1771">
            <v>24.5</v>
          </cell>
          <cell r="L1771">
            <v>0.10208333333333333</v>
          </cell>
          <cell r="M1771">
            <v>2.8346500000000004E-2</v>
          </cell>
        </row>
        <row r="1772">
          <cell r="A1772">
            <v>20110036</v>
          </cell>
          <cell r="B1772">
            <v>3118220048799</v>
          </cell>
          <cell r="C1772">
            <v>13118220048796</v>
          </cell>
          <cell r="D1772">
            <v>23118220048793</v>
          </cell>
          <cell r="E1772" t="str">
            <v>CAFE LAGUIOLE HERITAGE EMOTION 18/10 VRAC + GENCOD</v>
          </cell>
          <cell r="F1772">
            <v>240</v>
          </cell>
          <cell r="G1772">
            <v>6</v>
          </cell>
          <cell r="H1772">
            <v>45</v>
          </cell>
          <cell r="I1772">
            <v>18</v>
          </cell>
          <cell r="J1772">
            <v>23</v>
          </cell>
          <cell r="K1772">
            <v>8.9</v>
          </cell>
          <cell r="L1772">
            <v>3.7083333333333336E-2</v>
          </cell>
          <cell r="M1772">
            <v>1.8630000000000001E-2</v>
          </cell>
        </row>
        <row r="1773">
          <cell r="A1773">
            <v>20110041</v>
          </cell>
          <cell r="B1773">
            <v>3118220049451</v>
          </cell>
          <cell r="C1773">
            <v>13118220049458</v>
          </cell>
          <cell r="D1773">
            <v>23118220049455</v>
          </cell>
          <cell r="E1773" t="str">
            <v>M16 LAGUIOLE HERITAGE EMOTION 18/10 SATIN BTE LAG HERITAGE</v>
          </cell>
          <cell r="F1773">
            <v>6</v>
          </cell>
          <cell r="G1773">
            <v>6</v>
          </cell>
          <cell r="H1773">
            <v>31</v>
          </cell>
          <cell r="I1773">
            <v>27</v>
          </cell>
          <cell r="J1773">
            <v>32</v>
          </cell>
          <cell r="K1773">
            <v>8.0500000000000007</v>
          </cell>
          <cell r="L1773">
            <v>1.3416666666666668</v>
          </cell>
          <cell r="M1773">
            <v>2.6784000000000002E-2</v>
          </cell>
        </row>
        <row r="1774">
          <cell r="A1774">
            <v>20110042</v>
          </cell>
          <cell r="B1774">
            <v>3661075340810</v>
          </cell>
          <cell r="C1774" t="str">
            <v xml:space="preserve"> /</v>
          </cell>
          <cell r="D1774">
            <v>3661075340827</v>
          </cell>
          <cell r="E1774" t="str">
            <v>LAG HERITAGE MÉNAGÈRE STYLE 16PCS POLYFLAME</v>
          </cell>
          <cell r="F1774">
            <v>6</v>
          </cell>
          <cell r="G1774">
            <v>6</v>
          </cell>
          <cell r="H1774">
            <v>30.5</v>
          </cell>
          <cell r="I1774">
            <v>20.5</v>
          </cell>
          <cell r="J1774">
            <v>31</v>
          </cell>
          <cell r="K1774">
            <v>6.7</v>
          </cell>
          <cell r="L1774">
            <v>1.1166666666666667</v>
          </cell>
          <cell r="M1774">
            <v>1.9382750000000001E-2</v>
          </cell>
        </row>
        <row r="1775">
          <cell r="A1775">
            <v>20110043</v>
          </cell>
          <cell r="B1775">
            <v>3661075352462</v>
          </cell>
          <cell r="C1775" t="str">
            <v xml:space="preserve"> /</v>
          </cell>
          <cell r="D1775" t="str">
            <v>3661075352479</v>
          </cell>
          <cell r="E1775" t="str">
            <v>LAG HERITAGE MÉNAGÈRE  ARABESQUE 16PCS POLYFLAME</v>
          </cell>
          <cell r="F1775">
            <v>6</v>
          </cell>
          <cell r="G1775">
            <v>6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</row>
        <row r="1776">
          <cell r="A1776">
            <v>20110044</v>
          </cell>
          <cell r="B1776">
            <v>3661075352486</v>
          </cell>
          <cell r="C1776" t="str">
            <v xml:space="preserve"> /</v>
          </cell>
          <cell r="D1776" t="str">
            <v>3661075352493</v>
          </cell>
          <cell r="E1776" t="str">
            <v>LAG HERITAGE MÉNAGÈRE  NOIRE MATE 16PCS POLYFLAME</v>
          </cell>
          <cell r="F1776">
            <v>6</v>
          </cell>
          <cell r="G1776">
            <v>6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</row>
        <row r="1777">
          <cell r="A1777">
            <v>20110045</v>
          </cell>
          <cell r="B1777">
            <v>3661075352509</v>
          </cell>
          <cell r="C1777" t="str">
            <v xml:space="preserve"> /</v>
          </cell>
          <cell r="D1777" t="str">
            <v>3661075352516</v>
          </cell>
          <cell r="E1777" t="str">
            <v>LAG HERITAGE MÉNAGÈRE CHAMPAGNE MATE 16PCS POLYFLAME</v>
          </cell>
          <cell r="F1777">
            <v>6</v>
          </cell>
          <cell r="G1777">
            <v>6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</row>
        <row r="1778">
          <cell r="A1778">
            <v>20110046</v>
          </cell>
          <cell r="B1778">
            <v>3118220052604</v>
          </cell>
          <cell r="C1778">
            <v>13118220052601</v>
          </cell>
          <cell r="D1778">
            <v>23118220052608</v>
          </cell>
          <cell r="E1778" t="str">
            <v>M16 LAGUIOLE HERITAGE HORIZON BTE LAG HERITAGE</v>
          </cell>
          <cell r="F1778">
            <v>6</v>
          </cell>
          <cell r="G1778">
            <v>6</v>
          </cell>
          <cell r="H1778">
            <v>31</v>
          </cell>
          <cell r="I1778">
            <v>27</v>
          </cell>
          <cell r="J1778">
            <v>32</v>
          </cell>
          <cell r="K1778">
            <v>8.0500000000000007</v>
          </cell>
          <cell r="L1778">
            <v>1.3416666666666668</v>
          </cell>
          <cell r="M1778">
            <v>2.6783999999999999E-2</v>
          </cell>
        </row>
        <row r="1779">
          <cell r="A1779">
            <v>20110047</v>
          </cell>
          <cell r="B1779">
            <v>3118220052611</v>
          </cell>
          <cell r="C1779">
            <v>13118220052618</v>
          </cell>
          <cell r="D1779">
            <v>23118220052615</v>
          </cell>
          <cell r="E1779" t="str">
            <v>COUTEAU LAGUIOLE HERITAGE HORIZON VRAC + GENCOD</v>
          </cell>
          <cell r="F1779">
            <v>120</v>
          </cell>
          <cell r="G1779">
            <v>6</v>
          </cell>
          <cell r="H1779">
            <v>29</v>
          </cell>
          <cell r="I1779">
            <v>27</v>
          </cell>
          <cell r="J1779">
            <v>22</v>
          </cell>
          <cell r="K1779">
            <v>12.15</v>
          </cell>
          <cell r="L1779">
            <v>0.10125000000000001</v>
          </cell>
          <cell r="M1779">
            <v>1.7225999999999998E-2</v>
          </cell>
        </row>
        <row r="1780">
          <cell r="A1780">
            <v>20110048</v>
          </cell>
          <cell r="B1780">
            <v>3118220052628</v>
          </cell>
          <cell r="C1780">
            <v>13118220052625</v>
          </cell>
          <cell r="D1780">
            <v>23118220052622</v>
          </cell>
          <cell r="E1780" t="str">
            <v>FOURCHETTE LAGUIOLE HERITAGE HORIZON VRAC + GENCOD</v>
          </cell>
          <cell r="F1780">
            <v>240</v>
          </cell>
          <cell r="G1780">
            <v>6</v>
          </cell>
          <cell r="H1780">
            <v>45</v>
          </cell>
          <cell r="I1780">
            <v>26.5</v>
          </cell>
          <cell r="J1780">
            <v>25.5</v>
          </cell>
          <cell r="K1780">
            <v>18.55</v>
          </cell>
          <cell r="L1780">
            <v>7.7291666666666675E-2</v>
          </cell>
          <cell r="M1780">
            <v>3.0408750000000002E-2</v>
          </cell>
        </row>
        <row r="1781">
          <cell r="A1781">
            <v>20110049</v>
          </cell>
          <cell r="B1781">
            <v>3118220052635</v>
          </cell>
          <cell r="C1781">
            <v>13118220052632</v>
          </cell>
          <cell r="D1781">
            <v>23118220052639</v>
          </cell>
          <cell r="E1781" t="str">
            <v>CUILLERE LAGUIOLE HERITAGE HORIZON VRAC + GENCOD</v>
          </cell>
          <cell r="F1781">
            <v>240</v>
          </cell>
          <cell r="G1781">
            <v>6</v>
          </cell>
          <cell r="H1781">
            <v>44.5</v>
          </cell>
          <cell r="I1781">
            <v>26</v>
          </cell>
          <cell r="J1781">
            <v>24.5</v>
          </cell>
          <cell r="K1781">
            <v>24.5</v>
          </cell>
          <cell r="L1781">
            <v>0.10208333333333333</v>
          </cell>
          <cell r="M1781">
            <v>2.83465E-2</v>
          </cell>
        </row>
        <row r="1782">
          <cell r="A1782">
            <v>20110050</v>
          </cell>
          <cell r="B1782">
            <v>3118220052642</v>
          </cell>
          <cell r="C1782">
            <v>13118220052649</v>
          </cell>
          <cell r="D1782">
            <v>23118220052646</v>
          </cell>
          <cell r="E1782" t="str">
            <v>CAFE LAGUIOLE HERITAGE HORIZON VRAC + GENCOD</v>
          </cell>
          <cell r="F1782">
            <v>240</v>
          </cell>
          <cell r="G1782">
            <v>6</v>
          </cell>
          <cell r="H1782">
            <v>45</v>
          </cell>
          <cell r="I1782">
            <v>18</v>
          </cell>
          <cell r="J1782">
            <v>23</v>
          </cell>
          <cell r="K1782">
            <v>8.9</v>
          </cell>
          <cell r="L1782">
            <v>3.7083333333333336E-2</v>
          </cell>
          <cell r="M1782">
            <v>1.8630000000000001E-2</v>
          </cell>
        </row>
        <row r="1783">
          <cell r="A1783">
            <v>20110051</v>
          </cell>
          <cell r="B1783" t="str">
            <v>3118220052994</v>
          </cell>
          <cell r="C1783" t="str">
            <v>13118220052991</v>
          </cell>
          <cell r="D1783" t="str">
            <v>23118220052998</v>
          </cell>
          <cell r="E1783" t="str">
            <v>M16 LAGUIOLE HERITAGE INVITATION BTE LAG HERITAGE</v>
          </cell>
          <cell r="F1783">
            <v>6</v>
          </cell>
          <cell r="G1783">
            <v>6</v>
          </cell>
          <cell r="H1783">
            <v>31</v>
          </cell>
          <cell r="I1783">
            <v>27</v>
          </cell>
          <cell r="J1783">
            <v>32</v>
          </cell>
          <cell r="K1783">
            <v>8.0500000000000007</v>
          </cell>
          <cell r="L1783">
            <v>1.3416666666666668</v>
          </cell>
          <cell r="M1783">
            <v>2.6783999999999999E-2</v>
          </cell>
        </row>
        <row r="1784">
          <cell r="A1784">
            <v>20110052</v>
          </cell>
          <cell r="B1784" t="str">
            <v>3118220053007</v>
          </cell>
          <cell r="C1784">
            <v>13118220053004</v>
          </cell>
          <cell r="D1784" t="str">
            <v>23118220053001</v>
          </cell>
          <cell r="E1784" t="str">
            <v>COUTEAU LAGUIOLE HERITAGE INVITATION VRAC + GENCOD</v>
          </cell>
          <cell r="F1784">
            <v>120</v>
          </cell>
          <cell r="G1784">
            <v>6</v>
          </cell>
          <cell r="H1784">
            <v>29</v>
          </cell>
          <cell r="I1784">
            <v>27</v>
          </cell>
          <cell r="J1784">
            <v>22</v>
          </cell>
          <cell r="K1784">
            <v>12.15</v>
          </cell>
          <cell r="L1784">
            <v>0.10125000000000001</v>
          </cell>
          <cell r="M1784">
            <v>1.7225999999999998E-2</v>
          </cell>
        </row>
        <row r="1785">
          <cell r="A1785">
            <v>20110053</v>
          </cell>
          <cell r="B1785" t="str">
            <v>3118220053014</v>
          </cell>
          <cell r="C1785">
            <v>13118220053011</v>
          </cell>
          <cell r="D1785" t="str">
            <v>23118220053018</v>
          </cell>
          <cell r="E1785" t="str">
            <v>FOURCHETTE LAGUIOLE HERITAGE INVITATION VRAC + GENCOD</v>
          </cell>
          <cell r="F1785">
            <v>240</v>
          </cell>
          <cell r="G1785">
            <v>6</v>
          </cell>
          <cell r="H1785">
            <v>45</v>
          </cell>
          <cell r="I1785">
            <v>26.5</v>
          </cell>
          <cell r="J1785">
            <v>25.5</v>
          </cell>
          <cell r="K1785">
            <v>18.55</v>
          </cell>
          <cell r="L1785">
            <v>7.7291666666666675E-2</v>
          </cell>
          <cell r="M1785">
            <v>3.0408750000000002E-2</v>
          </cell>
        </row>
        <row r="1786">
          <cell r="A1786">
            <v>20110054</v>
          </cell>
          <cell r="B1786" t="str">
            <v>3118220053021</v>
          </cell>
          <cell r="C1786" t="str">
            <v>13118220053028</v>
          </cell>
          <cell r="D1786" t="str">
            <v>23118220053025</v>
          </cell>
          <cell r="E1786" t="str">
            <v>CUILLERE LAGUIOLE HERITAGE INVITATION VRAC + GENCOD</v>
          </cell>
          <cell r="F1786">
            <v>240</v>
          </cell>
          <cell r="G1786">
            <v>6</v>
          </cell>
          <cell r="H1786">
            <v>44.5</v>
          </cell>
          <cell r="I1786">
            <v>26</v>
          </cell>
          <cell r="J1786">
            <v>24.5</v>
          </cell>
          <cell r="K1786">
            <v>24.5</v>
          </cell>
          <cell r="L1786">
            <v>0.10208333333333333</v>
          </cell>
          <cell r="M1786">
            <v>2.83465E-2</v>
          </cell>
        </row>
        <row r="1787">
          <cell r="A1787">
            <v>20110055</v>
          </cell>
          <cell r="B1787" t="str">
            <v>3118220053038</v>
          </cell>
          <cell r="C1787" t="str">
            <v>13118220053035</v>
          </cell>
          <cell r="D1787" t="str">
            <v>23118220053032</v>
          </cell>
          <cell r="E1787" t="str">
            <v>CAFE LAGUIOLE HERITAGE INVITATION VRAC + GENCOD</v>
          </cell>
          <cell r="F1787">
            <v>240</v>
          </cell>
          <cell r="G1787">
            <v>6</v>
          </cell>
          <cell r="H1787">
            <v>45</v>
          </cell>
          <cell r="I1787">
            <v>18</v>
          </cell>
          <cell r="J1787">
            <v>23</v>
          </cell>
          <cell r="K1787">
            <v>8.9</v>
          </cell>
          <cell r="L1787">
            <v>3.7083333333333336E-2</v>
          </cell>
          <cell r="M1787">
            <v>1.8630000000000001E-2</v>
          </cell>
        </row>
        <row r="1788">
          <cell r="A1788">
            <v>20110056</v>
          </cell>
          <cell r="B1788">
            <v>3118220054363</v>
          </cell>
          <cell r="C1788">
            <v>13118220054360</v>
          </cell>
          <cell r="D1788">
            <v>23118220054367</v>
          </cell>
          <cell r="E1788" t="str">
            <v>COUTEAU LAGUIOLE HERITAGE EMOTION 18/10 SATIN VRAC + GENCOD</v>
          </cell>
          <cell r="F1788">
            <v>120</v>
          </cell>
          <cell r="G1788">
            <v>6</v>
          </cell>
          <cell r="H1788">
            <v>29</v>
          </cell>
          <cell r="I1788">
            <v>27</v>
          </cell>
          <cell r="J1788">
            <v>22</v>
          </cell>
          <cell r="K1788">
            <v>12.15</v>
          </cell>
          <cell r="L1788">
            <v>0.10125000000000001</v>
          </cell>
          <cell r="M1788">
            <v>1.7226000000000002E-2</v>
          </cell>
        </row>
        <row r="1789">
          <cell r="A1789">
            <v>20110057</v>
          </cell>
          <cell r="B1789">
            <v>3118220054370</v>
          </cell>
          <cell r="C1789">
            <v>13118220054377</v>
          </cell>
          <cell r="D1789">
            <v>23118220054374</v>
          </cell>
          <cell r="E1789" t="str">
            <v>FOURCHETTE LAG HERITAGE EMOTION 18/10 SATIN VRAC + GENCOD</v>
          </cell>
          <cell r="F1789">
            <v>240</v>
          </cell>
          <cell r="G1789">
            <v>6</v>
          </cell>
          <cell r="H1789">
            <v>45</v>
          </cell>
          <cell r="I1789">
            <v>26.5</v>
          </cell>
          <cell r="J1789">
            <v>25.5</v>
          </cell>
          <cell r="K1789">
            <v>18.55</v>
          </cell>
          <cell r="L1789">
            <v>7.7291666666666675E-2</v>
          </cell>
          <cell r="M1789">
            <v>3.0408749999999998E-2</v>
          </cell>
        </row>
        <row r="1790">
          <cell r="A1790">
            <v>20110058</v>
          </cell>
          <cell r="B1790">
            <v>3118220054387</v>
          </cell>
          <cell r="C1790">
            <v>13118220054384</v>
          </cell>
          <cell r="D1790">
            <v>23118220054381</v>
          </cell>
          <cell r="E1790" t="str">
            <v>CUILLERE LAG HERITAGE EMOTION 18/10 SATIN VRAC + GENCOD</v>
          </cell>
          <cell r="F1790">
            <v>240</v>
          </cell>
          <cell r="G1790">
            <v>6</v>
          </cell>
          <cell r="H1790">
            <v>44.5</v>
          </cell>
          <cell r="I1790">
            <v>26</v>
          </cell>
          <cell r="J1790">
            <v>24.5</v>
          </cell>
          <cell r="K1790">
            <v>24.5</v>
          </cell>
          <cell r="L1790">
            <v>0.10208333333333333</v>
          </cell>
          <cell r="M1790">
            <v>2.8346500000000004E-2</v>
          </cell>
        </row>
        <row r="1791">
          <cell r="A1791">
            <v>20110059</v>
          </cell>
          <cell r="B1791">
            <v>3118220054394</v>
          </cell>
          <cell r="C1791">
            <v>13118220054391</v>
          </cell>
          <cell r="D1791">
            <v>23118220054398</v>
          </cell>
          <cell r="E1791" t="str">
            <v>CAFE LAGUIOLE HERITAGE EMOTION 18/10 SATIN VRAC + GENCOD</v>
          </cell>
          <cell r="F1791">
            <v>240</v>
          </cell>
          <cell r="G1791">
            <v>6</v>
          </cell>
          <cell r="H1791">
            <v>45</v>
          </cell>
          <cell r="I1791">
            <v>18</v>
          </cell>
          <cell r="J1791">
            <v>23</v>
          </cell>
          <cell r="K1791">
            <v>8.9</v>
          </cell>
          <cell r="L1791">
            <v>3.7083333333333336E-2</v>
          </cell>
          <cell r="M1791">
            <v>1.8630000000000001E-2</v>
          </cell>
        </row>
        <row r="1792">
          <cell r="A1792">
            <v>20110060</v>
          </cell>
          <cell r="B1792" t="str">
            <v>3118220055742</v>
          </cell>
          <cell r="C1792" t="str">
            <v>13118220055749</v>
          </cell>
          <cell r="D1792" t="str">
            <v>23118220055746</v>
          </cell>
          <cell r="E1792" t="str">
            <v>COFFRET 4 PCS LAG HERITAGE COUVERTS ENFANTS</v>
          </cell>
          <cell r="F1792">
            <v>6</v>
          </cell>
          <cell r="G1792">
            <v>6</v>
          </cell>
          <cell r="L1792">
            <v>0</v>
          </cell>
          <cell r="M1792">
            <v>0</v>
          </cell>
        </row>
        <row r="1793">
          <cell r="A1793">
            <v>20160001</v>
          </cell>
          <cell r="B1793">
            <v>3118220002524</v>
          </cell>
          <cell r="C1793" t="str">
            <v>13118220002521</v>
          </cell>
          <cell r="D1793" t="str">
            <v>23118220002528</v>
          </cell>
          <cell r="E1793" t="str">
            <v>LOT 3 COUTEAUX TABLE OSLO BRILLANT CLASSIQUE +SUSPENSION</v>
          </cell>
          <cell r="F1793">
            <v>72</v>
          </cell>
          <cell r="G1793">
            <v>12</v>
          </cell>
          <cell r="H1793">
            <v>35</v>
          </cell>
          <cell r="I1793">
            <v>28</v>
          </cell>
          <cell r="J1793">
            <v>15</v>
          </cell>
          <cell r="K1793">
            <v>12.888</v>
          </cell>
          <cell r="L1793">
            <v>0.17899999999999999</v>
          </cell>
          <cell r="M1793">
            <v>1.4699999999999998E-2</v>
          </cell>
        </row>
        <row r="1794">
          <cell r="A1794">
            <v>20160002</v>
          </cell>
          <cell r="B1794">
            <v>3118220002531</v>
          </cell>
          <cell r="C1794" t="str">
            <v>13118220002538</v>
          </cell>
          <cell r="D1794" t="str">
            <v>23118220002535</v>
          </cell>
          <cell r="E1794" t="str">
            <v>LOT 3 STEAK POINTU OSLO BRILLANT CLASSIQUE +SUSPENSION</v>
          </cell>
          <cell r="F1794">
            <v>72</v>
          </cell>
          <cell r="G1794">
            <v>12</v>
          </cell>
          <cell r="H1794">
            <v>34.5</v>
          </cell>
          <cell r="I1794">
            <v>29</v>
          </cell>
          <cell r="J1794">
            <v>15</v>
          </cell>
          <cell r="K1794">
            <v>13.308</v>
          </cell>
          <cell r="L1794">
            <v>0.18483333333333332</v>
          </cell>
          <cell r="M1794">
            <v>1.5007499999999998E-2</v>
          </cell>
        </row>
        <row r="1795">
          <cell r="A1795">
            <v>20160003</v>
          </cell>
          <cell r="B1795">
            <v>3118220002548</v>
          </cell>
          <cell r="C1795" t="str">
            <v>13118220002545</v>
          </cell>
          <cell r="D1795" t="str">
            <v>23118220002542</v>
          </cell>
          <cell r="E1795" t="str">
            <v>LOT 3 COUTEAUX DESSERT OSLO BRILLANT CLASSIQUE +SUSPENSION</v>
          </cell>
          <cell r="F1795">
            <v>72</v>
          </cell>
          <cell r="G1795">
            <v>12</v>
          </cell>
          <cell r="H1795">
            <v>35.5</v>
          </cell>
          <cell r="I1795">
            <v>29</v>
          </cell>
          <cell r="J1795">
            <v>15.5</v>
          </cell>
          <cell r="K1795">
            <v>10.8</v>
          </cell>
          <cell r="L1795">
            <v>0.15000000000000002</v>
          </cell>
          <cell r="M1795">
            <v>1.5957249999999999E-2</v>
          </cell>
        </row>
        <row r="1796">
          <cell r="A1796">
            <v>20160004</v>
          </cell>
          <cell r="B1796">
            <v>3118220002555</v>
          </cell>
          <cell r="C1796" t="str">
            <v>13118220002552</v>
          </cell>
          <cell r="D1796" t="str">
            <v>23118220002559</v>
          </cell>
          <cell r="E1796" t="str">
            <v>LOT 6 FOURCHETTES OSLO BRILLANT CLASSIQUE +SUSPENSION</v>
          </cell>
          <cell r="F1796">
            <v>72</v>
          </cell>
          <cell r="G1796">
            <v>12</v>
          </cell>
          <cell r="H1796">
            <v>33</v>
          </cell>
          <cell r="I1796">
            <v>24</v>
          </cell>
          <cell r="J1796">
            <v>27.5</v>
          </cell>
          <cell r="K1796">
            <v>13.536</v>
          </cell>
          <cell r="L1796">
            <v>0.188</v>
          </cell>
          <cell r="M1796">
            <v>2.1780000000000001E-2</v>
          </cell>
        </row>
        <row r="1797">
          <cell r="A1797">
            <v>20160005</v>
          </cell>
          <cell r="B1797">
            <v>3118220002562</v>
          </cell>
          <cell r="C1797" t="str">
            <v>13118220002569</v>
          </cell>
          <cell r="D1797" t="str">
            <v>23118220002566</v>
          </cell>
          <cell r="E1797" t="str">
            <v>LOT 6 CUILLERES OSLO BRILLANT CLASSIQUE +SUSPENSION</v>
          </cell>
          <cell r="F1797">
            <v>72</v>
          </cell>
          <cell r="G1797">
            <v>12</v>
          </cell>
          <cell r="H1797">
            <v>33</v>
          </cell>
          <cell r="I1797">
            <v>24.5</v>
          </cell>
          <cell r="J1797">
            <v>28</v>
          </cell>
          <cell r="K1797">
            <v>20.591999999999999</v>
          </cell>
          <cell r="L1797">
            <v>0.28599999999999998</v>
          </cell>
          <cell r="M1797">
            <v>2.2638000000000002E-2</v>
          </cell>
        </row>
        <row r="1798">
          <cell r="A1798">
            <v>20160006</v>
          </cell>
          <cell r="B1798">
            <v>3118220002579</v>
          </cell>
          <cell r="C1798" t="str">
            <v>13118220002576</v>
          </cell>
          <cell r="D1798" t="str">
            <v>23118220002573</v>
          </cell>
          <cell r="E1798" t="str">
            <v>LOT 6 CAFE OSLO BRILLANT CLASSIQUE +SUSPENSION</v>
          </cell>
          <cell r="F1798">
            <v>144</v>
          </cell>
          <cell r="G1798">
            <v>12</v>
          </cell>
          <cell r="H1798">
            <v>40</v>
          </cell>
          <cell r="I1798">
            <v>25</v>
          </cell>
          <cell r="J1798">
            <v>22</v>
          </cell>
          <cell r="K1798">
            <v>17.28</v>
          </cell>
          <cell r="L1798">
            <v>0.12000000000000001</v>
          </cell>
          <cell r="M1798">
            <v>2.2000000000000002E-2</v>
          </cell>
        </row>
        <row r="1799">
          <cell r="A1799">
            <v>20160007</v>
          </cell>
          <cell r="B1799">
            <v>3118220002586</v>
          </cell>
          <cell r="C1799" t="str">
            <v>13118220002583</v>
          </cell>
          <cell r="D1799" t="str">
            <v>23118220002580</v>
          </cell>
          <cell r="E1799" t="str">
            <v>LOT 6 MOKA OSLO BRILLANT CLASSIQUE +SUSPENSION</v>
          </cell>
          <cell r="F1799">
            <v>144</v>
          </cell>
          <cell r="G1799">
            <v>12</v>
          </cell>
          <cell r="H1799">
            <v>40</v>
          </cell>
          <cell r="I1799">
            <v>24.5</v>
          </cell>
          <cell r="J1799">
            <v>22</v>
          </cell>
          <cell r="K1799">
            <v>13.596</v>
          </cell>
          <cell r="L1799">
            <v>9.4416666666666663E-2</v>
          </cell>
          <cell r="M1799">
            <v>2.1560000000000003E-2</v>
          </cell>
        </row>
        <row r="1800">
          <cell r="A1800">
            <v>20160008</v>
          </cell>
          <cell r="B1800">
            <v>3118220002593</v>
          </cell>
          <cell r="C1800" t="str">
            <v>13118220002590</v>
          </cell>
          <cell r="D1800" t="str">
            <v>23118220002597</v>
          </cell>
          <cell r="E1800" t="str">
            <v>LOT 6 FOURCHETTE DESSERT OSLO BRILLANT CLASSIQUE +SUSPENSION</v>
          </cell>
          <cell r="F1800">
            <v>72</v>
          </cell>
          <cell r="G1800">
            <v>12</v>
          </cell>
          <cell r="H1800">
            <v>33</v>
          </cell>
          <cell r="I1800">
            <v>25</v>
          </cell>
          <cell r="J1800">
            <v>28</v>
          </cell>
          <cell r="K1800">
            <v>10.8</v>
          </cell>
          <cell r="L1800">
            <v>0.15000000000000002</v>
          </cell>
          <cell r="M1800">
            <v>2.3099999999999999E-2</v>
          </cell>
        </row>
        <row r="1801">
          <cell r="A1801">
            <v>20160009</v>
          </cell>
          <cell r="B1801">
            <v>3118220002609</v>
          </cell>
          <cell r="C1801" t="str">
            <v>13118220002606</v>
          </cell>
          <cell r="D1801" t="str">
            <v>23118220002603</v>
          </cell>
          <cell r="E1801" t="str">
            <v>M24 OSLO BRILLANT CLASSIQUE BOITE CADEAU LISA</v>
          </cell>
          <cell r="F1801">
            <v>6</v>
          </cell>
          <cell r="G1801">
            <v>6</v>
          </cell>
          <cell r="H1801">
            <v>30</v>
          </cell>
          <cell r="I1801">
            <v>27</v>
          </cell>
          <cell r="J1801">
            <v>31.5</v>
          </cell>
          <cell r="K1801">
            <v>6.2460000000000004</v>
          </cell>
          <cell r="L1801">
            <v>1.0410000000000001</v>
          </cell>
          <cell r="M1801">
            <v>2.5514999999999999E-2</v>
          </cell>
        </row>
        <row r="1802">
          <cell r="A1802">
            <v>20160014</v>
          </cell>
          <cell r="B1802">
            <v>3222476922052</v>
          </cell>
          <cell r="E1802" t="str">
            <v>M16 OSLO DECOR ETOILE NOIR FINLANDEK</v>
          </cell>
          <cell r="F1802">
            <v>6</v>
          </cell>
          <cell r="G1802">
            <v>6</v>
          </cell>
          <cell r="H1802">
            <v>30.5</v>
          </cell>
          <cell r="I1802">
            <v>24</v>
          </cell>
          <cell r="J1802">
            <v>30</v>
          </cell>
          <cell r="K1802">
            <v>4.5179999999999998</v>
          </cell>
          <cell r="L1802">
            <v>0.753</v>
          </cell>
          <cell r="M1802">
            <v>2.196E-2</v>
          </cell>
        </row>
        <row r="1803">
          <cell r="A1803">
            <v>20160015</v>
          </cell>
          <cell r="B1803">
            <v>3118220023260</v>
          </cell>
          <cell r="E1803" t="str">
            <v>COUTEAU OSLO DECOR ETOILE ANTHRACITE VRAC + GENCOD</v>
          </cell>
          <cell r="F1803">
            <v>120</v>
          </cell>
          <cell r="G1803">
            <v>6</v>
          </cell>
          <cell r="H1803">
            <v>32</v>
          </cell>
          <cell r="I1803">
            <v>27</v>
          </cell>
          <cell r="J1803">
            <v>18</v>
          </cell>
          <cell r="K1803">
            <v>7.673</v>
          </cell>
          <cell r="L1803">
            <v>6.3941666666666661E-2</v>
          </cell>
          <cell r="M1803">
            <v>1.5552000000000002E-2</v>
          </cell>
        </row>
        <row r="1804">
          <cell r="A1804">
            <v>20160016</v>
          </cell>
          <cell r="B1804">
            <v>3118220023277</v>
          </cell>
          <cell r="E1804" t="str">
            <v>FOURCHETTE OSLO DECOR ETOILE ANTHRACITE VRAC + GENCOD</v>
          </cell>
          <cell r="F1804">
            <v>120</v>
          </cell>
          <cell r="G1804">
            <v>6</v>
          </cell>
          <cell r="H1804">
            <v>32.5</v>
          </cell>
          <cell r="I1804">
            <v>25</v>
          </cell>
          <cell r="J1804">
            <v>20</v>
          </cell>
          <cell r="K1804">
            <v>5.431</v>
          </cell>
          <cell r="L1804">
            <v>4.5258333333333331E-2</v>
          </cell>
          <cell r="M1804">
            <v>1.6250000000000001E-2</v>
          </cell>
        </row>
        <row r="1805">
          <cell r="A1805">
            <v>20160017</v>
          </cell>
          <cell r="B1805">
            <v>3118220023284</v>
          </cell>
          <cell r="E1805" t="str">
            <v>CUILLERE OSLO DECOR ETOILE ANTHRACITE VRAC + GENCOD</v>
          </cell>
          <cell r="F1805">
            <v>120</v>
          </cell>
          <cell r="G1805">
            <v>6</v>
          </cell>
          <cell r="H1805">
            <v>32.5</v>
          </cell>
          <cell r="I1805">
            <v>25</v>
          </cell>
          <cell r="J1805">
            <v>20</v>
          </cell>
          <cell r="K1805">
            <v>6.2270000000000003</v>
          </cell>
          <cell r="L1805">
            <v>5.1891666666666669E-2</v>
          </cell>
          <cell r="M1805">
            <v>1.6250000000000001E-2</v>
          </cell>
        </row>
        <row r="1806">
          <cell r="A1806">
            <v>20160018</v>
          </cell>
          <cell r="B1806">
            <v>3118220023291</v>
          </cell>
          <cell r="E1806" t="str">
            <v>CAFE OSLO DECOR ETOILE ANTHRACITE VRAC + GENCOD</v>
          </cell>
          <cell r="F1806">
            <v>240</v>
          </cell>
          <cell r="G1806">
            <v>6</v>
          </cell>
          <cell r="H1806">
            <v>37</v>
          </cell>
          <cell r="I1806">
            <v>20.5</v>
          </cell>
          <cell r="J1806">
            <v>28.5</v>
          </cell>
          <cell r="K1806">
            <v>5.7229999999999999</v>
          </cell>
          <cell r="L1806">
            <v>2.3845833333333333E-2</v>
          </cell>
          <cell r="M1806">
            <v>2.1617250000000001E-2</v>
          </cell>
        </row>
        <row r="1807">
          <cell r="A1807">
            <v>20160019</v>
          </cell>
          <cell r="B1807">
            <v>3118220023307</v>
          </cell>
          <cell r="E1807" t="str">
            <v>COUTEAU OSLO DECOR SQUARE VRAC + GENCOD</v>
          </cell>
          <cell r="F1807">
            <v>120</v>
          </cell>
          <cell r="G1807">
            <v>6</v>
          </cell>
          <cell r="H1807">
            <v>32</v>
          </cell>
          <cell r="I1807">
            <v>27</v>
          </cell>
          <cell r="J1807">
            <v>18</v>
          </cell>
          <cell r="K1807">
            <v>7.673</v>
          </cell>
          <cell r="L1807">
            <v>6.3941666666666661E-2</v>
          </cell>
          <cell r="M1807">
            <v>1.5552000000000002E-2</v>
          </cell>
        </row>
        <row r="1808">
          <cell r="A1808">
            <v>20160020</v>
          </cell>
          <cell r="B1808">
            <v>3118220023314</v>
          </cell>
          <cell r="E1808" t="str">
            <v>FOURCHETTE OSLO DECOR SQUARE VRAC + GENCOD</v>
          </cell>
          <cell r="F1808">
            <v>120</v>
          </cell>
          <cell r="G1808">
            <v>6</v>
          </cell>
          <cell r="H1808">
            <v>32.5</v>
          </cell>
          <cell r="I1808">
            <v>25</v>
          </cell>
          <cell r="J1808">
            <v>20</v>
          </cell>
          <cell r="K1808">
            <v>5.431</v>
          </cell>
          <cell r="L1808">
            <v>4.5258333333333331E-2</v>
          </cell>
          <cell r="M1808">
            <v>1.6250000000000001E-2</v>
          </cell>
        </row>
        <row r="1809">
          <cell r="A1809">
            <v>20160021</v>
          </cell>
          <cell r="B1809">
            <v>3118220023321</v>
          </cell>
          <cell r="E1809" t="str">
            <v>CUILLERE OSLO DECOR SQUARE VRAC + GENCOD</v>
          </cell>
          <cell r="F1809">
            <v>120</v>
          </cell>
          <cell r="G1809">
            <v>6</v>
          </cell>
          <cell r="H1809">
            <v>32.5</v>
          </cell>
          <cell r="I1809">
            <v>25</v>
          </cell>
          <cell r="J1809">
            <v>20</v>
          </cell>
          <cell r="K1809">
            <v>6.2270000000000003</v>
          </cell>
          <cell r="L1809">
            <v>5.1891666666666669E-2</v>
          </cell>
          <cell r="M1809">
            <v>1.6250000000000001E-2</v>
          </cell>
        </row>
        <row r="1810">
          <cell r="A1810">
            <v>20160022</v>
          </cell>
          <cell r="B1810">
            <v>3118220023338</v>
          </cell>
          <cell r="E1810" t="str">
            <v>CAFE OSLO DECOR SQUARE VRAC + GENCOD</v>
          </cell>
          <cell r="F1810">
            <v>240</v>
          </cell>
          <cell r="G1810">
            <v>6</v>
          </cell>
          <cell r="H1810">
            <v>37</v>
          </cell>
          <cell r="I1810">
            <v>20.5</v>
          </cell>
          <cell r="J1810">
            <v>28.5</v>
          </cell>
          <cell r="K1810">
            <v>5.7229999999999999</v>
          </cell>
          <cell r="L1810">
            <v>2.3845833333333333E-2</v>
          </cell>
          <cell r="M1810">
            <v>2.1617250000000001E-2</v>
          </cell>
        </row>
        <row r="1811">
          <cell r="A1811">
            <v>20160031</v>
          </cell>
          <cell r="B1811">
            <v>3118220025899</v>
          </cell>
          <cell r="E1811" t="str">
            <v>M16 OSLO DECOR SQUARE BOITE TB COLLECTION</v>
          </cell>
          <cell r="F1811">
            <v>6</v>
          </cell>
          <cell r="G1811">
            <v>6</v>
          </cell>
          <cell r="H1811">
            <v>40</v>
          </cell>
          <cell r="I1811">
            <v>30</v>
          </cell>
          <cell r="J1811">
            <v>20</v>
          </cell>
          <cell r="K1811">
            <v>4.92</v>
          </cell>
          <cell r="L1811">
            <v>0.82</v>
          </cell>
          <cell r="M1811">
            <v>2.4E-2</v>
          </cell>
        </row>
        <row r="1812">
          <cell r="A1812">
            <v>20160033</v>
          </cell>
          <cell r="B1812">
            <v>3118220030367</v>
          </cell>
          <cell r="C1812" t="str">
            <v>13118220030364</v>
          </cell>
          <cell r="D1812" t="str">
            <v>23118220030361</v>
          </cell>
          <cell r="E1812" t="str">
            <v>LOT 6 CUILLERES MAZAGRAN OSLO SUR CARTE</v>
          </cell>
          <cell r="F1812">
            <v>72</v>
          </cell>
          <cell r="G1812">
            <v>12</v>
          </cell>
          <cell r="H1812">
            <v>34</v>
          </cell>
          <cell r="I1812">
            <v>25</v>
          </cell>
          <cell r="J1812">
            <v>28</v>
          </cell>
          <cell r="K1812">
            <v>12.192</v>
          </cell>
          <cell r="L1812">
            <v>0.16933333333333334</v>
          </cell>
          <cell r="M1812">
            <v>2.3800000000000002E-2</v>
          </cell>
        </row>
        <row r="1813">
          <cell r="A1813">
            <v>20160034</v>
          </cell>
          <cell r="B1813">
            <v>3118220031746</v>
          </cell>
          <cell r="E1813" t="str">
            <v>LOT 3 TARTINEURS OSLO SUR CARTE PEGBORDABLE</v>
          </cell>
          <cell r="F1813">
            <v>72</v>
          </cell>
          <cell r="G1813">
            <v>12</v>
          </cell>
          <cell r="H1813">
            <v>35</v>
          </cell>
          <cell r="I1813">
            <v>29</v>
          </cell>
          <cell r="J1813">
            <v>1.5</v>
          </cell>
          <cell r="K1813">
            <v>7.3440000000000003</v>
          </cell>
          <cell r="L1813">
            <v>0.10200000000000001</v>
          </cell>
          <cell r="M1813">
            <v>1.5224999999999998E-3</v>
          </cell>
        </row>
        <row r="1814">
          <cell r="A1814">
            <v>20160035</v>
          </cell>
          <cell r="B1814">
            <v>3605757169290</v>
          </cell>
          <cell r="E1814" t="str">
            <v>M16 LETO (OSLO) SABLE BOITE ALINEA (27169308)</v>
          </cell>
          <cell r="F1814">
            <v>6</v>
          </cell>
          <cell r="G1814">
            <v>6</v>
          </cell>
          <cell r="H1814">
            <v>30</v>
          </cell>
          <cell r="I1814">
            <v>27</v>
          </cell>
          <cell r="J1814">
            <v>31.5</v>
          </cell>
          <cell r="K1814">
            <v>4.4219999999999997</v>
          </cell>
          <cell r="L1814">
            <v>0.73699999999999999</v>
          </cell>
          <cell r="M1814">
            <v>2.5514999999999999E-2</v>
          </cell>
        </row>
        <row r="1815">
          <cell r="A1815">
            <v>20160036</v>
          </cell>
          <cell r="B1815">
            <v>3605757169313</v>
          </cell>
          <cell r="E1815" t="str">
            <v>M16 LETO (OSLO) BRILLANT BOITE ALINEA (27169322)</v>
          </cell>
          <cell r="F1815">
            <v>6</v>
          </cell>
          <cell r="G1815">
            <v>6</v>
          </cell>
          <cell r="H1815">
            <v>30</v>
          </cell>
          <cell r="I1815">
            <v>27</v>
          </cell>
          <cell r="J1815">
            <v>31.5</v>
          </cell>
          <cell r="K1815">
            <v>4.4340000000000002</v>
          </cell>
          <cell r="L1815">
            <v>0.73899999999999999</v>
          </cell>
          <cell r="M1815">
            <v>2.5514999999999999E-2</v>
          </cell>
        </row>
        <row r="1816">
          <cell r="A1816">
            <v>20160037</v>
          </cell>
          <cell r="B1816">
            <v>3118220032958</v>
          </cell>
          <cell r="C1816" t="str">
            <v>13118220032955</v>
          </cell>
          <cell r="D1816" t="str">
            <v>23118220032952</v>
          </cell>
          <cell r="E1816" t="str">
            <v>M48 OSLO SATINE EN BOITE TB COLLECTION</v>
          </cell>
          <cell r="F1816">
            <v>3</v>
          </cell>
          <cell r="G1816">
            <v>3</v>
          </cell>
          <cell r="H1816">
            <v>30</v>
          </cell>
          <cell r="I1816">
            <v>26</v>
          </cell>
          <cell r="J1816">
            <v>31</v>
          </cell>
          <cell r="K1816">
            <v>6.7149999999999999</v>
          </cell>
          <cell r="L1816">
            <v>2.2383333333333333</v>
          </cell>
          <cell r="M1816">
            <v>2.418E-2</v>
          </cell>
        </row>
        <row r="1817">
          <cell r="A1817">
            <v>20200002</v>
          </cell>
          <cell r="B1817">
            <v>3118220011847</v>
          </cell>
          <cell r="C1817" t="str">
            <v>13118220011844</v>
          </cell>
          <cell r="D1817" t="str">
            <v>23118220011841</v>
          </cell>
          <cell r="E1817" t="str">
            <v>COUTEAU KOS (TOSCANE) BRILLANT+GENCOD</v>
          </cell>
          <cell r="F1817">
            <v>144</v>
          </cell>
          <cell r="G1817">
            <v>6</v>
          </cell>
          <cell r="H1817">
            <v>30</v>
          </cell>
          <cell r="I1817">
            <v>26.5</v>
          </cell>
          <cell r="J1817">
            <v>20</v>
          </cell>
          <cell r="K1817">
            <v>10.78</v>
          </cell>
          <cell r="L1817">
            <v>7.4861111111111101E-2</v>
          </cell>
          <cell r="M1817">
            <v>1.5899999999999997E-2</v>
          </cell>
        </row>
        <row r="1818">
          <cell r="A1818">
            <v>20200003</v>
          </cell>
          <cell r="B1818">
            <v>3118220011854</v>
          </cell>
          <cell r="C1818" t="str">
            <v>13118220011851</v>
          </cell>
          <cell r="D1818" t="str">
            <v>23118220011858</v>
          </cell>
          <cell r="E1818" t="str">
            <v>FOURCHETTE KOS (TOSCANE) BRILLANT+GENCOD</v>
          </cell>
          <cell r="F1818">
            <v>144</v>
          </cell>
          <cell r="G1818">
            <v>6</v>
          </cell>
          <cell r="H1818">
            <v>31.5</v>
          </cell>
          <cell r="I1818">
            <v>25.5</v>
          </cell>
          <cell r="J1818">
            <v>22</v>
          </cell>
          <cell r="K1818">
            <v>10.53</v>
          </cell>
          <cell r="L1818">
            <v>7.3124999999999996E-2</v>
          </cell>
          <cell r="M1818">
            <v>1.7671500000000003E-2</v>
          </cell>
        </row>
        <row r="1819">
          <cell r="A1819">
            <v>20200004</v>
          </cell>
          <cell r="B1819">
            <v>3118220011861</v>
          </cell>
          <cell r="C1819" t="str">
            <v>13118220011868</v>
          </cell>
          <cell r="D1819" t="str">
            <v>23118220011865</v>
          </cell>
          <cell r="E1819" t="str">
            <v>CUILERE KOS (TOSCANE) BRILLANT+GENCOD</v>
          </cell>
          <cell r="F1819">
            <v>144</v>
          </cell>
          <cell r="G1819">
            <v>6</v>
          </cell>
          <cell r="H1819">
            <v>31.5</v>
          </cell>
          <cell r="I1819">
            <v>25.5</v>
          </cell>
          <cell r="J1819">
            <v>14.5</v>
          </cell>
          <cell r="K1819">
            <v>12.24</v>
          </cell>
          <cell r="L1819">
            <v>8.5000000000000006E-2</v>
          </cell>
          <cell r="M1819">
            <v>1.1647125000000001E-2</v>
          </cell>
        </row>
        <row r="1820">
          <cell r="A1820">
            <v>20200005</v>
          </cell>
          <cell r="B1820">
            <v>3118220011878</v>
          </cell>
          <cell r="C1820" t="str">
            <v>13118220011875</v>
          </cell>
          <cell r="D1820" t="str">
            <v>23118220011872</v>
          </cell>
          <cell r="E1820" t="str">
            <v>CAFE KOS (TOSCANE) BRILLANT+GENCOD</v>
          </cell>
          <cell r="F1820">
            <v>144</v>
          </cell>
          <cell r="G1820">
            <v>6</v>
          </cell>
          <cell r="H1820">
            <v>19</v>
          </cell>
          <cell r="I1820">
            <v>20</v>
          </cell>
          <cell r="J1820">
            <v>24</v>
          </cell>
          <cell r="K1820">
            <v>4.032</v>
          </cell>
          <cell r="L1820">
            <v>2.8000000000000001E-2</v>
          </cell>
          <cell r="M1820">
            <v>9.1199999999999996E-3</v>
          </cell>
        </row>
        <row r="1821">
          <cell r="A1821">
            <v>20200006</v>
          </cell>
          <cell r="B1821">
            <v>3614613272517</v>
          </cell>
          <cell r="E1821" t="str">
            <v>M16 KOS SATINE (TOSCANE) BOITE CARREFOUR</v>
          </cell>
          <cell r="F1821">
            <v>3</v>
          </cell>
          <cell r="G1821">
            <v>3</v>
          </cell>
          <cell r="H1821">
            <v>23.5</v>
          </cell>
          <cell r="I1821">
            <v>17.5</v>
          </cell>
          <cell r="J1821">
            <v>31</v>
          </cell>
          <cell r="K1821">
            <v>3.0329999999999999</v>
          </cell>
          <cell r="L1821">
            <v>1.0109999999999999</v>
          </cell>
          <cell r="M1821">
            <v>1.2748749999999998E-2</v>
          </cell>
        </row>
        <row r="1822">
          <cell r="A1822">
            <v>20200007</v>
          </cell>
          <cell r="B1822">
            <v>3605756632672</v>
          </cell>
          <cell r="E1822" t="str">
            <v>M16 KOS (TOSCANE) BRILLANT BOITE ALINEA</v>
          </cell>
          <cell r="F1822">
            <v>6</v>
          </cell>
          <cell r="G1822">
            <v>6</v>
          </cell>
          <cell r="H1822">
            <v>32.5</v>
          </cell>
          <cell r="I1822">
            <v>29.5</v>
          </cell>
          <cell r="J1822">
            <v>24</v>
          </cell>
          <cell r="K1822">
            <v>6.4080000000000004</v>
          </cell>
          <cell r="L1822">
            <v>1.0680000000000001</v>
          </cell>
          <cell r="M1822">
            <v>2.3010000000000003E-2</v>
          </cell>
        </row>
        <row r="1823">
          <cell r="A1823">
            <v>20200008</v>
          </cell>
          <cell r="B1823">
            <v>3616180847884</v>
          </cell>
          <cell r="E1823" t="str">
            <v>LOT DE 2 COUTEAUX KOS (SATINE) SUR CARTE PEGB GENCOD CRF</v>
          </cell>
          <cell r="F1823">
            <v>72</v>
          </cell>
          <cell r="G1823">
            <v>6</v>
          </cell>
          <cell r="H1823">
            <v>37.5</v>
          </cell>
          <cell r="I1823">
            <v>28.5</v>
          </cell>
          <cell r="J1823">
            <v>29.5</v>
          </cell>
          <cell r="K1823">
            <v>11.055</v>
          </cell>
          <cell r="L1823">
            <v>0.15354166666666666</v>
          </cell>
          <cell r="M1823">
            <v>3.1528124999999997E-2</v>
          </cell>
        </row>
        <row r="1824">
          <cell r="A1824">
            <v>20200009</v>
          </cell>
          <cell r="B1824">
            <v>3616180847891</v>
          </cell>
          <cell r="E1824" t="str">
            <v>LOT DE 3 FOURCHETTES KOS (SATINE) SUR CARTE PEGB GENCOD CRF</v>
          </cell>
          <cell r="F1824">
            <v>72</v>
          </cell>
          <cell r="G1824">
            <v>6</v>
          </cell>
          <cell r="H1824">
            <v>38</v>
          </cell>
          <cell r="I1824">
            <v>25</v>
          </cell>
          <cell r="J1824">
            <v>25.5</v>
          </cell>
          <cell r="K1824">
            <v>13.356</v>
          </cell>
          <cell r="L1824">
            <v>0.1855</v>
          </cell>
          <cell r="M1824">
            <v>2.4225E-2</v>
          </cell>
        </row>
        <row r="1825">
          <cell r="A1825">
            <v>20200010</v>
          </cell>
          <cell r="B1825">
            <v>3616180847907</v>
          </cell>
          <cell r="E1825" t="str">
            <v>LOT DE 3 CUILLERES KOS (SATINE) SUR CARTE PEGB GENCOD CRF</v>
          </cell>
          <cell r="F1825">
            <v>72</v>
          </cell>
          <cell r="G1825">
            <v>6</v>
          </cell>
          <cell r="H1825">
            <v>38</v>
          </cell>
          <cell r="I1825">
            <v>25</v>
          </cell>
          <cell r="J1825">
            <v>27</v>
          </cell>
          <cell r="K1825">
            <v>15.96</v>
          </cell>
          <cell r="L1825">
            <v>0.22166666666666668</v>
          </cell>
          <cell r="M1825">
            <v>2.5649999999999999E-2</v>
          </cell>
        </row>
        <row r="1826">
          <cell r="A1826">
            <v>20200011</v>
          </cell>
          <cell r="B1826">
            <v>3616180847914</v>
          </cell>
          <cell r="E1826" t="str">
            <v>LOT DE 3 CAFES KOS (SATINE) SUR CARTE PEGB GENCOD CRF</v>
          </cell>
          <cell r="F1826">
            <v>120</v>
          </cell>
          <cell r="G1826">
            <v>6</v>
          </cell>
          <cell r="H1826">
            <v>37</v>
          </cell>
          <cell r="I1826">
            <v>26.5</v>
          </cell>
          <cell r="J1826">
            <v>27</v>
          </cell>
          <cell r="K1826">
            <v>10</v>
          </cell>
          <cell r="L1826">
            <v>8.3333333333333329E-2</v>
          </cell>
          <cell r="M1826">
            <v>2.6473499999999997E-2</v>
          </cell>
        </row>
        <row r="1827">
          <cell r="A1827">
            <v>20200012</v>
          </cell>
          <cell r="B1827">
            <v>3616181493783</v>
          </cell>
          <cell r="E1827" t="str">
            <v>COFFRET 6 CAFES KOS (TOSCANE) SATINE CRF</v>
          </cell>
          <cell r="F1827">
            <v>24</v>
          </cell>
          <cell r="G1827">
            <v>6</v>
          </cell>
          <cell r="H1827">
            <v>42.5</v>
          </cell>
          <cell r="I1827">
            <v>23</v>
          </cell>
          <cell r="J1827">
            <v>41</v>
          </cell>
          <cell r="K1827">
            <v>5.4240000000000004</v>
          </cell>
          <cell r="L1827">
            <v>0.22600000000000001</v>
          </cell>
          <cell r="M1827">
            <v>4.0077499999999995E-2</v>
          </cell>
        </row>
        <row r="1828">
          <cell r="A1828">
            <v>20260001</v>
          </cell>
          <cell r="B1828">
            <v>3118220002623</v>
          </cell>
          <cell r="E1828" t="str">
            <v>M16 CURVING SATINE BOITE CADEAU LISA</v>
          </cell>
          <cell r="F1828">
            <v>6</v>
          </cell>
          <cell r="G1828">
            <v>6</v>
          </cell>
          <cell r="H1828">
            <v>30</v>
          </cell>
          <cell r="I1828">
            <v>24</v>
          </cell>
          <cell r="J1828">
            <v>30</v>
          </cell>
          <cell r="K1828">
            <v>6.66</v>
          </cell>
          <cell r="L1828">
            <v>1.1100000000000001</v>
          </cell>
          <cell r="M1828">
            <v>2.1599999999999998E-2</v>
          </cell>
        </row>
        <row r="1829">
          <cell r="A1829">
            <v>20260003</v>
          </cell>
          <cell r="B1829">
            <v>3118220027121</v>
          </cell>
          <cell r="C1829" t="str">
            <v>13118220027128</v>
          </cell>
          <cell r="D1829" t="str">
            <v>23118220027125</v>
          </cell>
          <cell r="E1829" t="str">
            <v>COUTEAU CURVING FINITION BRILLANTE EN BOITE PEGBOARDABLE</v>
          </cell>
          <cell r="F1829">
            <v>72</v>
          </cell>
          <cell r="G1829">
            <v>12</v>
          </cell>
          <cell r="H1829">
            <v>31.5</v>
          </cell>
          <cell r="I1829">
            <v>24</v>
          </cell>
          <cell r="J1829">
            <v>19</v>
          </cell>
          <cell r="K1829">
            <v>5.9589999999999996</v>
          </cell>
          <cell r="L1829">
            <v>8.2763888888888887E-2</v>
          </cell>
          <cell r="M1829">
            <v>1.4363999999999998E-2</v>
          </cell>
        </row>
        <row r="1830">
          <cell r="A1830">
            <v>20260004</v>
          </cell>
          <cell r="B1830">
            <v>3118220027138</v>
          </cell>
          <cell r="C1830" t="str">
            <v>13118220027135</v>
          </cell>
          <cell r="D1830" t="str">
            <v>23118220027132</v>
          </cell>
          <cell r="E1830" t="str">
            <v>FOURCHETTE CURVING FINITION BRILLANTE EN BOITE PEGBOARDABLE</v>
          </cell>
          <cell r="F1830">
            <v>72</v>
          </cell>
          <cell r="G1830">
            <v>12</v>
          </cell>
          <cell r="H1830">
            <v>30</v>
          </cell>
          <cell r="I1830">
            <v>22</v>
          </cell>
          <cell r="J1830">
            <v>18.5</v>
          </cell>
          <cell r="K1830">
            <v>4.5359999999999996</v>
          </cell>
          <cell r="L1830">
            <v>6.3E-2</v>
          </cell>
          <cell r="M1830">
            <v>1.221E-2</v>
          </cell>
        </row>
        <row r="1831">
          <cell r="A1831">
            <v>20260005</v>
          </cell>
          <cell r="B1831">
            <v>3118220027145</v>
          </cell>
          <cell r="C1831" t="str">
            <v>13118220027142</v>
          </cell>
          <cell r="D1831" t="str">
            <v>23118220027149</v>
          </cell>
          <cell r="E1831" t="str">
            <v>CUILLERE CURVING FINITION BRILLANTE EN BOITE PEGBOARDABLE</v>
          </cell>
          <cell r="F1831">
            <v>72</v>
          </cell>
          <cell r="G1831">
            <v>12</v>
          </cell>
          <cell r="H1831">
            <v>30</v>
          </cell>
          <cell r="I1831">
            <v>22</v>
          </cell>
          <cell r="J1831">
            <v>18</v>
          </cell>
          <cell r="K1831">
            <v>6.7619999999999996</v>
          </cell>
          <cell r="L1831">
            <v>9.3916666666666662E-2</v>
          </cell>
          <cell r="M1831">
            <v>1.1880000000000002E-2</v>
          </cell>
        </row>
        <row r="1832">
          <cell r="A1832">
            <v>20260006</v>
          </cell>
          <cell r="B1832">
            <v>3118220027152</v>
          </cell>
          <cell r="C1832" t="str">
            <v>13118220027159</v>
          </cell>
          <cell r="D1832" t="str">
            <v>23118220027156</v>
          </cell>
          <cell r="E1832" t="str">
            <v>CAFE CURVING FINITION BRILLANTE EN BOITE PEGBOARDABLE</v>
          </cell>
          <cell r="F1832">
            <v>72</v>
          </cell>
          <cell r="G1832">
            <v>12</v>
          </cell>
          <cell r="H1832">
            <v>23</v>
          </cell>
          <cell r="I1832">
            <v>18.5</v>
          </cell>
          <cell r="J1832">
            <v>15</v>
          </cell>
          <cell r="K1832">
            <v>2.6970000000000001</v>
          </cell>
          <cell r="L1832">
            <v>3.7458333333333337E-2</v>
          </cell>
          <cell r="M1832">
            <v>6.3825000000000002E-3</v>
          </cell>
        </row>
        <row r="1833">
          <cell r="A1833">
            <v>20260007</v>
          </cell>
          <cell r="B1833">
            <v>3118220027169</v>
          </cell>
          <cell r="C1833" t="str">
            <v>13118220027166</v>
          </cell>
          <cell r="D1833" t="str">
            <v>23118220027163</v>
          </cell>
          <cell r="E1833" t="str">
            <v>COUTEAU STEAK CURVING BRILLANT EN BOITE PEGBOARDABLE</v>
          </cell>
          <cell r="F1833">
            <v>72</v>
          </cell>
          <cell r="G1833">
            <v>12</v>
          </cell>
          <cell r="H1833">
            <v>31.5</v>
          </cell>
          <cell r="I1833">
            <v>24</v>
          </cell>
          <cell r="J1833">
            <v>19</v>
          </cell>
          <cell r="K1833">
            <v>5.9589999999999996</v>
          </cell>
          <cell r="L1833">
            <v>8.2763888888888887E-2</v>
          </cell>
          <cell r="M1833">
            <v>1.4363999999999998E-2</v>
          </cell>
        </row>
        <row r="1834">
          <cell r="A1834">
            <v>20300001</v>
          </cell>
          <cell r="B1834">
            <v>3118220011724</v>
          </cell>
          <cell r="E1834" t="str">
            <v>FOURCHETTE TABLE EXPRESSION METAL SATINE BERLINGOT</v>
          </cell>
          <cell r="F1834">
            <v>96</v>
          </cell>
          <cell r="G1834">
            <v>12</v>
          </cell>
          <cell r="H1834">
            <v>53.5</v>
          </cell>
          <cell r="I1834">
            <v>39</v>
          </cell>
          <cell r="J1834">
            <v>32</v>
          </cell>
          <cell r="K1834">
            <v>18.625</v>
          </cell>
          <cell r="L1834">
            <v>0.19401041666666666</v>
          </cell>
          <cell r="M1834">
            <v>6.6768000000000008E-2</v>
          </cell>
        </row>
        <row r="1835">
          <cell r="A1835">
            <v>20300002</v>
          </cell>
          <cell r="B1835">
            <v>3118220011731</v>
          </cell>
          <cell r="E1835" t="str">
            <v>CUILLERE TABLE EXPRESSION METAL SATINE BERLINGOT</v>
          </cell>
          <cell r="F1835">
            <v>96</v>
          </cell>
          <cell r="G1835">
            <v>12</v>
          </cell>
          <cell r="H1835">
            <v>53.5</v>
          </cell>
          <cell r="I1835">
            <v>39</v>
          </cell>
          <cell r="J1835">
            <v>32</v>
          </cell>
          <cell r="K1835">
            <v>19.686</v>
          </cell>
          <cell r="L1835">
            <v>0.20506250000000001</v>
          </cell>
          <cell r="M1835">
            <v>6.6768000000000008E-2</v>
          </cell>
        </row>
        <row r="1836">
          <cell r="A1836">
            <v>20300003</v>
          </cell>
          <cell r="B1836">
            <v>3118220011748</v>
          </cell>
          <cell r="E1836" t="str">
            <v>CAFE EXPRESSION METAL SATINE BERLINGOT</v>
          </cell>
          <cell r="F1836">
            <v>96</v>
          </cell>
          <cell r="G1836">
            <v>12</v>
          </cell>
          <cell r="H1836">
            <v>31.5</v>
          </cell>
          <cell r="I1836">
            <v>26</v>
          </cell>
          <cell r="J1836">
            <v>24.5</v>
          </cell>
          <cell r="K1836">
            <v>7.2859999999999996</v>
          </cell>
          <cell r="L1836">
            <v>7.5895833333333329E-2</v>
          </cell>
          <cell r="M1836">
            <v>2.00655E-2</v>
          </cell>
        </row>
        <row r="1837">
          <cell r="A1837">
            <v>20390001</v>
          </cell>
          <cell r="B1837">
            <v>3118220011243</v>
          </cell>
          <cell r="E1837" t="str">
            <v>M16 NEW TRANSITION VRAC</v>
          </cell>
          <cell r="F1837">
            <v>10</v>
          </cell>
          <cell r="G1837">
            <v>10</v>
          </cell>
          <cell r="H1837">
            <v>27</v>
          </cell>
          <cell r="I1837">
            <v>23</v>
          </cell>
          <cell r="J1837">
            <v>15.5</v>
          </cell>
          <cell r="K1837">
            <v>10.744</v>
          </cell>
          <cell r="L1837">
            <v>1.0744</v>
          </cell>
          <cell r="M1837">
            <v>9.6255000000000021E-3</v>
          </cell>
        </row>
        <row r="1838">
          <cell r="A1838">
            <v>20390002</v>
          </cell>
          <cell r="B1838">
            <v>3118220011250</v>
          </cell>
          <cell r="E1838" t="str">
            <v>COUTEAU NEW TRANSITION+GENCOD</v>
          </cell>
          <cell r="F1838">
            <v>120</v>
          </cell>
          <cell r="G1838">
            <v>6</v>
          </cell>
          <cell r="H1838">
            <v>27</v>
          </cell>
          <cell r="I1838">
            <v>26</v>
          </cell>
          <cell r="J1838">
            <v>21.5</v>
          </cell>
          <cell r="K1838">
            <v>10.44</v>
          </cell>
          <cell r="L1838">
            <v>8.6999999999999994E-2</v>
          </cell>
          <cell r="M1838">
            <v>1.5092999999999999E-2</v>
          </cell>
        </row>
        <row r="1839">
          <cell r="A1839">
            <v>20390003</v>
          </cell>
          <cell r="B1839">
            <v>3118220011267</v>
          </cell>
          <cell r="E1839" t="str">
            <v>FOURCHETTE NEW TRANSITION+GENCOD</v>
          </cell>
          <cell r="F1839">
            <v>120</v>
          </cell>
          <cell r="G1839">
            <v>6</v>
          </cell>
          <cell r="H1839">
            <v>33</v>
          </cell>
          <cell r="I1839">
            <v>25</v>
          </cell>
          <cell r="J1839">
            <v>21</v>
          </cell>
          <cell r="K1839">
            <v>8.0399999999999991</v>
          </cell>
          <cell r="L1839">
            <v>6.699999999999999E-2</v>
          </cell>
          <cell r="M1839">
            <v>1.7325E-2</v>
          </cell>
        </row>
        <row r="1840">
          <cell r="A1840">
            <v>20390004</v>
          </cell>
          <cell r="B1840">
            <v>3118220011274</v>
          </cell>
          <cell r="E1840" t="str">
            <v>CUILLERE NEW TRANSITION+GENCOD</v>
          </cell>
          <cell r="F1840">
            <v>120</v>
          </cell>
          <cell r="G1840">
            <v>6</v>
          </cell>
          <cell r="H1840">
            <v>33</v>
          </cell>
          <cell r="I1840">
            <v>25</v>
          </cell>
          <cell r="J1840">
            <v>21</v>
          </cell>
          <cell r="K1840">
            <v>10.210000000000001</v>
          </cell>
          <cell r="L1840">
            <v>8.5083333333333344E-2</v>
          </cell>
          <cell r="M1840">
            <v>1.7325E-2</v>
          </cell>
        </row>
        <row r="1841">
          <cell r="A1841">
            <v>20390005</v>
          </cell>
          <cell r="B1841">
            <v>3118220011281</v>
          </cell>
          <cell r="E1841" t="str">
            <v>CAFE NEW TRANSITION+GENCOD</v>
          </cell>
          <cell r="F1841">
            <v>240</v>
          </cell>
          <cell r="G1841">
            <v>6</v>
          </cell>
          <cell r="H1841">
            <v>37.5</v>
          </cell>
          <cell r="I1841">
            <v>32</v>
          </cell>
          <cell r="J1841">
            <v>16.5</v>
          </cell>
          <cell r="K1841">
            <v>9.65</v>
          </cell>
          <cell r="L1841">
            <v>4.0208333333333332E-2</v>
          </cell>
          <cell r="M1841">
            <v>1.9799999999999998E-2</v>
          </cell>
        </row>
        <row r="1842">
          <cell r="A1842">
            <v>20390006</v>
          </cell>
          <cell r="B1842">
            <v>3118220013858</v>
          </cell>
          <cell r="E1842" t="str">
            <v>M16 NEW TRANSITION EN BOITE</v>
          </cell>
          <cell r="F1842">
            <v>6</v>
          </cell>
          <cell r="G1842">
            <v>6</v>
          </cell>
          <cell r="H1842">
            <v>40</v>
          </cell>
          <cell r="I1842">
            <v>30</v>
          </cell>
          <cell r="J1842">
            <v>20</v>
          </cell>
          <cell r="K1842">
            <v>7.2960000000000003</v>
          </cell>
          <cell r="L1842">
            <v>1.216</v>
          </cell>
          <cell r="M1842">
            <v>2.4E-2</v>
          </cell>
        </row>
        <row r="1843">
          <cell r="A1843">
            <v>20480002</v>
          </cell>
          <cell r="B1843">
            <v>3118220023888</v>
          </cell>
          <cell r="C1843">
            <v>13118220023885</v>
          </cell>
          <cell r="D1843">
            <v>23118220023882</v>
          </cell>
          <cell r="E1843" t="str">
            <v>COUTEAU STEAK CLEO 15/10</v>
          </cell>
          <cell r="F1843">
            <v>432</v>
          </cell>
          <cell r="G1843">
            <v>12</v>
          </cell>
          <cell r="H1843">
            <v>26</v>
          </cell>
          <cell r="I1843">
            <v>26</v>
          </cell>
          <cell r="J1843">
            <v>15.5</v>
          </cell>
          <cell r="K1843">
            <v>18.431999999999999</v>
          </cell>
          <cell r="L1843">
            <v>4.2666666666666665E-2</v>
          </cell>
          <cell r="M1843">
            <v>1.0477999999999998E-2</v>
          </cell>
        </row>
        <row r="1844">
          <cell r="A1844">
            <v>20480003</v>
          </cell>
          <cell r="B1844">
            <v>3118220027411</v>
          </cell>
          <cell r="C1844">
            <v>13118220027418</v>
          </cell>
          <cell r="D1844">
            <v>23118220027415</v>
          </cell>
          <cell r="E1844" t="str">
            <v>COUTEAU CLEO PROMOCASH</v>
          </cell>
          <cell r="F1844">
            <v>250</v>
          </cell>
          <cell r="G1844">
            <v>25</v>
          </cell>
          <cell r="H1844">
            <v>28.5</v>
          </cell>
          <cell r="I1844">
            <v>27</v>
          </cell>
          <cell r="J1844">
            <v>12</v>
          </cell>
          <cell r="K1844">
            <v>10.25</v>
          </cell>
          <cell r="L1844">
            <v>4.1000000000000002E-2</v>
          </cell>
          <cell r="M1844">
            <v>9.2339999999999992E-3</v>
          </cell>
        </row>
        <row r="1845">
          <cell r="A1845">
            <v>20480004</v>
          </cell>
          <cell r="B1845">
            <v>3118220027428</v>
          </cell>
          <cell r="C1845">
            <v>13118220027425</v>
          </cell>
          <cell r="D1845">
            <v>23118220027422</v>
          </cell>
          <cell r="E1845" t="str">
            <v>FOUCHETTE CLEO PROMOCASH</v>
          </cell>
          <cell r="F1845">
            <v>250</v>
          </cell>
          <cell r="G1845">
            <v>25</v>
          </cell>
          <cell r="H1845">
            <v>28</v>
          </cell>
          <cell r="I1845">
            <v>25.5</v>
          </cell>
          <cell r="J1845">
            <v>15</v>
          </cell>
          <cell r="K1845">
            <v>6</v>
          </cell>
          <cell r="L1845">
            <v>2.4E-2</v>
          </cell>
          <cell r="M1845">
            <v>1.0710000000000003E-2</v>
          </cell>
        </row>
        <row r="1846">
          <cell r="A1846">
            <v>20480005</v>
          </cell>
          <cell r="B1846">
            <v>3118220027435</v>
          </cell>
          <cell r="C1846">
            <v>13118220027432</v>
          </cell>
          <cell r="D1846">
            <v>23118220027439</v>
          </cell>
          <cell r="E1846" t="str">
            <v>CUILLERE CLEO PROMOCASH</v>
          </cell>
          <cell r="F1846">
            <v>250</v>
          </cell>
          <cell r="G1846">
            <v>25</v>
          </cell>
          <cell r="H1846">
            <v>28</v>
          </cell>
          <cell r="I1846">
            <v>25.5</v>
          </cell>
          <cell r="J1846">
            <v>15.5</v>
          </cell>
          <cell r="K1846">
            <v>6.5</v>
          </cell>
          <cell r="L1846">
            <v>2.5999999999999999E-2</v>
          </cell>
          <cell r="M1846">
            <v>1.1067E-2</v>
          </cell>
        </row>
        <row r="1847">
          <cell r="A1847">
            <v>20480006</v>
          </cell>
          <cell r="B1847">
            <v>3118220027442</v>
          </cell>
          <cell r="C1847">
            <v>13118220027449</v>
          </cell>
          <cell r="D1847">
            <v>23118220027446</v>
          </cell>
          <cell r="E1847" t="str">
            <v>CAFE CLEO PROMOCASH</v>
          </cell>
          <cell r="F1847">
            <v>300</v>
          </cell>
          <cell r="G1847">
            <v>50</v>
          </cell>
          <cell r="H1847">
            <v>18</v>
          </cell>
          <cell r="I1847">
            <v>17.5</v>
          </cell>
          <cell r="J1847">
            <v>12</v>
          </cell>
          <cell r="K1847">
            <v>3.528</v>
          </cell>
          <cell r="L1847">
            <v>1.176E-2</v>
          </cell>
          <cell r="M1847">
            <v>3.7799999999999999E-3</v>
          </cell>
        </row>
        <row r="1848">
          <cell r="A1848">
            <v>20480007</v>
          </cell>
          <cell r="B1848">
            <v>3118220030312</v>
          </cell>
          <cell r="C1848">
            <v>13118220030319</v>
          </cell>
          <cell r="D1848">
            <v>23118220030316</v>
          </cell>
          <cell r="E1848" t="str">
            <v>96 MOKA CLEO EN TUBO</v>
          </cell>
          <cell r="F1848">
            <v>6</v>
          </cell>
          <cell r="G1848">
            <v>6</v>
          </cell>
          <cell r="H1848">
            <v>24</v>
          </cell>
          <cell r="I1848">
            <v>17.5</v>
          </cell>
          <cell r="J1848">
            <v>17.5</v>
          </cell>
          <cell r="K1848">
            <v>4.8659999999999997</v>
          </cell>
          <cell r="L1848">
            <v>0.81099999999999994</v>
          </cell>
          <cell r="M1848">
            <v>7.3500000000000006E-3</v>
          </cell>
        </row>
        <row r="1849">
          <cell r="A1849">
            <v>20480008</v>
          </cell>
          <cell r="B1849">
            <v>3118220030329</v>
          </cell>
          <cell r="C1849">
            <v>13118220030326</v>
          </cell>
          <cell r="D1849">
            <v>23118220030323</v>
          </cell>
          <cell r="E1849" t="str">
            <v>96 CUILLERES CAFE CLEO EN TUBO</v>
          </cell>
          <cell r="F1849">
            <v>6</v>
          </cell>
          <cell r="G1849">
            <v>6</v>
          </cell>
          <cell r="H1849">
            <v>24</v>
          </cell>
          <cell r="I1849">
            <v>17.5</v>
          </cell>
          <cell r="J1849">
            <v>17.5</v>
          </cell>
          <cell r="K1849">
            <v>7.2309999999999999</v>
          </cell>
          <cell r="L1849">
            <v>1.2051666666666667</v>
          </cell>
          <cell r="M1849">
            <v>7.3500000000000006E-3</v>
          </cell>
        </row>
        <row r="1850">
          <cell r="A1850">
            <v>20480009</v>
          </cell>
          <cell r="B1850">
            <v>3118220031739</v>
          </cell>
          <cell r="C1850">
            <v>13118220031736</v>
          </cell>
          <cell r="D1850">
            <v>23118220031733</v>
          </cell>
          <cell r="E1850" t="str">
            <v>LOT 2 TARTINEURS CLEO</v>
          </cell>
          <cell r="F1850">
            <v>216</v>
          </cell>
          <cell r="G1850">
            <v>12</v>
          </cell>
          <cell r="H1850">
            <v>33</v>
          </cell>
          <cell r="I1850">
            <v>16</v>
          </cell>
          <cell r="J1850">
            <v>17</v>
          </cell>
          <cell r="K1850">
            <v>16.43</v>
          </cell>
          <cell r="L1850">
            <v>7.6064814814814807E-2</v>
          </cell>
          <cell r="M1850">
            <v>8.9759999999999996E-3</v>
          </cell>
        </row>
        <row r="1851">
          <cell r="A1851">
            <v>20480010</v>
          </cell>
          <cell r="B1851">
            <v>3118220036888</v>
          </cell>
          <cell r="E1851" t="str">
            <v>MENAGERE 48 PIECES INOX AVEC POT STUDENT</v>
          </cell>
          <cell r="F1851">
            <v>6</v>
          </cell>
          <cell r="G1851">
            <v>6</v>
          </cell>
          <cell r="H1851">
            <v>34.200000000000003</v>
          </cell>
          <cell r="I1851">
            <v>22.8</v>
          </cell>
          <cell r="J1851">
            <v>25.5</v>
          </cell>
          <cell r="K1851">
            <v>9.11</v>
          </cell>
          <cell r="L1851">
            <v>1.5183333333333333</v>
          </cell>
          <cell r="M1851">
            <v>1.988388E-2</v>
          </cell>
        </row>
        <row r="1852">
          <cell r="A1852">
            <v>20520001</v>
          </cell>
          <cell r="B1852">
            <v>3118220043954</v>
          </cell>
          <cell r="E1852" t="str">
            <v>COUTEAU VIEUX PARIS EN BOITE KRAFT PEGBOARDABLE</v>
          </cell>
          <cell r="F1852">
            <v>48</v>
          </cell>
          <cell r="G1852">
            <v>6</v>
          </cell>
          <cell r="H1852">
            <v>40.5</v>
          </cell>
          <cell r="I1852">
            <v>12</v>
          </cell>
          <cell r="J1852">
            <v>9</v>
          </cell>
          <cell r="K1852">
            <v>4.8</v>
          </cell>
          <cell r="L1852">
            <v>9.9999999999999992E-2</v>
          </cell>
          <cell r="M1852">
            <v>4.3740000000000003E-3</v>
          </cell>
        </row>
        <row r="1853">
          <cell r="A1853">
            <v>20520002</v>
          </cell>
          <cell r="B1853">
            <v>3118220043961</v>
          </cell>
          <cell r="E1853" t="str">
            <v>FOURCHETTE VIEUX PARIS EN BOITE KRAFT PEGBOARDABLE</v>
          </cell>
          <cell r="F1853">
            <v>48</v>
          </cell>
          <cell r="G1853">
            <v>6</v>
          </cell>
          <cell r="H1853">
            <v>31</v>
          </cell>
          <cell r="I1853">
            <v>29</v>
          </cell>
          <cell r="J1853">
            <v>14</v>
          </cell>
          <cell r="K1853">
            <v>2.2799999999999998</v>
          </cell>
          <cell r="L1853">
            <v>4.7499999999999994E-2</v>
          </cell>
          <cell r="M1853">
            <v>1.2586000000000002E-2</v>
          </cell>
        </row>
        <row r="1854">
          <cell r="A1854">
            <v>20520003</v>
          </cell>
          <cell r="B1854">
            <v>3118220043978</v>
          </cell>
          <cell r="E1854" t="str">
            <v>CUILLERE VIEUX PARIS EN BOITE KRAFT PEGBOARDABLE</v>
          </cell>
          <cell r="F1854">
            <v>48</v>
          </cell>
          <cell r="G1854">
            <v>6</v>
          </cell>
          <cell r="H1854">
            <v>31</v>
          </cell>
          <cell r="I1854">
            <v>29</v>
          </cell>
          <cell r="J1854">
            <v>14</v>
          </cell>
          <cell r="K1854">
            <v>3.45</v>
          </cell>
          <cell r="L1854">
            <v>7.1875000000000008E-2</v>
          </cell>
          <cell r="M1854">
            <v>1.2586000000000002E-2</v>
          </cell>
        </row>
        <row r="1855">
          <cell r="A1855">
            <v>20520004</v>
          </cell>
          <cell r="B1855">
            <v>3118220043985</v>
          </cell>
          <cell r="E1855" t="str">
            <v>CAFE VIEUX PARIS EN BOITE KRAFT PEGBOARDABLE</v>
          </cell>
          <cell r="F1855">
            <v>48</v>
          </cell>
          <cell r="G1855">
            <v>6</v>
          </cell>
          <cell r="H1855">
            <v>31</v>
          </cell>
          <cell r="I1855">
            <v>29</v>
          </cell>
          <cell r="J1855">
            <v>14</v>
          </cell>
          <cell r="K1855">
            <v>1.85</v>
          </cell>
          <cell r="L1855">
            <v>3.8541666666666669E-2</v>
          </cell>
          <cell r="M1855">
            <v>1.2586000000000002E-2</v>
          </cell>
        </row>
        <row r="1856">
          <cell r="A1856">
            <v>20550001</v>
          </cell>
          <cell r="B1856">
            <v>3118220032880</v>
          </cell>
          <cell r="E1856" t="str">
            <v>1 LOT 1 CT 1 FTTE 1 CUILL 1 CAFE BAROQUE EN BOITE</v>
          </cell>
          <cell r="F1856">
            <v>16</v>
          </cell>
          <cell r="G1856">
            <v>16</v>
          </cell>
          <cell r="H1856">
            <v>37</v>
          </cell>
          <cell r="I1856">
            <v>28</v>
          </cell>
          <cell r="J1856">
            <v>18.5</v>
          </cell>
          <cell r="K1856">
            <v>5.38</v>
          </cell>
          <cell r="L1856">
            <v>0.33624999999999999</v>
          </cell>
          <cell r="M1856">
            <v>1.9165999999999999E-2</v>
          </cell>
        </row>
        <row r="1857">
          <cell r="A1857">
            <v>20550002</v>
          </cell>
          <cell r="B1857">
            <v>3118220037526</v>
          </cell>
          <cell r="E1857" t="str">
            <v>COUTEAU BAROQUE VRAC</v>
          </cell>
          <cell r="F1857">
            <v>120</v>
          </cell>
          <cell r="G1857">
            <v>6</v>
          </cell>
          <cell r="H1857">
            <v>29</v>
          </cell>
          <cell r="I1857">
            <v>25</v>
          </cell>
          <cell r="J1857">
            <v>12</v>
          </cell>
          <cell r="K1857">
            <v>9.5470000000000006</v>
          </cell>
          <cell r="L1857">
            <v>7.9558333333333342E-2</v>
          </cell>
          <cell r="M1857">
            <v>8.6999999999999994E-3</v>
          </cell>
        </row>
        <row r="1858">
          <cell r="A1858">
            <v>20560002</v>
          </cell>
          <cell r="B1858">
            <v>3118220026667</v>
          </cell>
          <cell r="E1858" t="str">
            <v>COUTEAU SELECT PROMOCASH</v>
          </cell>
          <cell r="F1858">
            <v>72</v>
          </cell>
          <cell r="G1858">
            <v>12</v>
          </cell>
          <cell r="H1858">
            <v>37</v>
          </cell>
          <cell r="I1858">
            <v>23</v>
          </cell>
          <cell r="J1858">
            <v>15</v>
          </cell>
          <cell r="K1858">
            <v>6.984</v>
          </cell>
          <cell r="L1858">
            <v>9.7000000000000003E-2</v>
          </cell>
          <cell r="M1858">
            <v>1.2765E-2</v>
          </cell>
        </row>
        <row r="1859">
          <cell r="A1859">
            <v>20560004</v>
          </cell>
          <cell r="B1859">
            <v>3118220026681</v>
          </cell>
          <cell r="E1859" t="str">
            <v>CUILLERE SELECT PROMOCASH</v>
          </cell>
          <cell r="F1859">
            <v>72</v>
          </cell>
          <cell r="G1859">
            <v>12</v>
          </cell>
          <cell r="H1859">
            <v>36</v>
          </cell>
          <cell r="I1859">
            <v>22</v>
          </cell>
          <cell r="J1859">
            <v>18</v>
          </cell>
          <cell r="K1859">
            <v>7.056</v>
          </cell>
          <cell r="L1859">
            <v>9.8000000000000004E-2</v>
          </cell>
          <cell r="M1859">
            <v>1.4255999999999998E-2</v>
          </cell>
        </row>
        <row r="1860">
          <cell r="A1860">
            <v>20560006</v>
          </cell>
          <cell r="B1860">
            <v>3118220026704</v>
          </cell>
          <cell r="E1860" t="str">
            <v>MOKA SELECT PROMOCASH</v>
          </cell>
          <cell r="F1860">
            <v>72</v>
          </cell>
          <cell r="G1860">
            <v>12</v>
          </cell>
          <cell r="H1860">
            <v>30</v>
          </cell>
          <cell r="I1860">
            <v>22</v>
          </cell>
          <cell r="J1860">
            <v>13.5</v>
          </cell>
          <cell r="K1860">
            <v>2.2320000000000002</v>
          </cell>
          <cell r="L1860">
            <v>3.1000000000000003E-2</v>
          </cell>
          <cell r="M1860">
            <v>8.9099999999999995E-3</v>
          </cell>
        </row>
        <row r="1861">
          <cell r="A1861">
            <v>20710001</v>
          </cell>
          <cell r="B1861">
            <v>3118220003873</v>
          </cell>
          <cell r="C1861" t="str">
            <v>13118220003870</v>
          </cell>
          <cell r="D1861" t="str">
            <v>23118220003877</v>
          </cell>
          <cell r="E1861" t="str">
            <v>COUTEAU GRAND SIECLE+GENCOD</v>
          </cell>
          <cell r="F1861">
            <v>120</v>
          </cell>
          <cell r="G1861">
            <v>6</v>
          </cell>
          <cell r="H1861">
            <v>29</v>
          </cell>
          <cell r="I1861">
            <v>29</v>
          </cell>
          <cell r="J1861">
            <v>15.5</v>
          </cell>
          <cell r="K1861">
            <v>12.84</v>
          </cell>
          <cell r="L1861">
            <v>0.107</v>
          </cell>
          <cell r="M1861">
            <v>1.3035500000000002E-2</v>
          </cell>
        </row>
        <row r="1862">
          <cell r="A1862">
            <v>20710002</v>
          </cell>
          <cell r="B1862">
            <v>3118220003880</v>
          </cell>
          <cell r="C1862" t="str">
            <v>13118220003887</v>
          </cell>
          <cell r="D1862" t="str">
            <v>23118220003884</v>
          </cell>
          <cell r="E1862" t="str">
            <v>FOURCHETTE GRAND SIECLE+GENCOD</v>
          </cell>
          <cell r="F1862">
            <v>120</v>
          </cell>
          <cell r="G1862">
            <v>6</v>
          </cell>
          <cell r="H1862">
            <v>27.5</v>
          </cell>
          <cell r="I1862">
            <v>26</v>
          </cell>
          <cell r="J1862">
            <v>21</v>
          </cell>
          <cell r="K1862">
            <v>7.44</v>
          </cell>
          <cell r="L1862">
            <v>6.2000000000000006E-2</v>
          </cell>
          <cell r="M1862">
            <v>1.5015000000000001E-2</v>
          </cell>
        </row>
        <row r="1863">
          <cell r="A1863">
            <v>20710003</v>
          </cell>
          <cell r="B1863">
            <v>3118220003897</v>
          </cell>
          <cell r="C1863" t="str">
            <v>13118220003894</v>
          </cell>
          <cell r="D1863" t="str">
            <v>23118220003891</v>
          </cell>
          <cell r="E1863" t="str">
            <v>CUILLERE GRAND SIECLE+GENCOD</v>
          </cell>
          <cell r="F1863">
            <v>120</v>
          </cell>
          <cell r="G1863">
            <v>6</v>
          </cell>
          <cell r="H1863">
            <v>27.5</v>
          </cell>
          <cell r="I1863">
            <v>26</v>
          </cell>
          <cell r="J1863">
            <v>21</v>
          </cell>
          <cell r="K1863">
            <v>10.26</v>
          </cell>
          <cell r="L1863">
            <v>8.5499999999999993E-2</v>
          </cell>
          <cell r="M1863">
            <v>1.5015000000000001E-2</v>
          </cell>
        </row>
        <row r="1864">
          <cell r="A1864">
            <v>20710004</v>
          </cell>
          <cell r="B1864">
            <v>3118220003903</v>
          </cell>
          <cell r="C1864" t="str">
            <v>13118220003900</v>
          </cell>
          <cell r="D1864" t="str">
            <v>23118220003907</v>
          </cell>
          <cell r="E1864" t="str">
            <v>CAFE GRAND SIECLE+GENCOD</v>
          </cell>
          <cell r="F1864">
            <v>120</v>
          </cell>
          <cell r="G1864">
            <v>6</v>
          </cell>
          <cell r="H1864">
            <v>28</v>
          </cell>
          <cell r="I1864">
            <v>18.5</v>
          </cell>
          <cell r="J1864">
            <v>18</v>
          </cell>
          <cell r="K1864">
            <v>4.04</v>
          </cell>
          <cell r="L1864">
            <v>3.3666666666666664E-2</v>
          </cell>
          <cell r="M1864">
            <v>9.3240000000000007E-3</v>
          </cell>
        </row>
        <row r="1865">
          <cell r="A1865">
            <v>20710005</v>
          </cell>
          <cell r="B1865">
            <v>3118220026421</v>
          </cell>
          <cell r="C1865" t="str">
            <v>13118220026428</v>
          </cell>
          <cell r="D1865" t="str">
            <v>23118220026425</v>
          </cell>
          <cell r="E1865" t="str">
            <v>M24 GRAND SIECLE EN BOITE TB COLLECTION</v>
          </cell>
          <cell r="F1865">
            <v>6</v>
          </cell>
          <cell r="G1865">
            <v>6</v>
          </cell>
          <cell r="H1865">
            <v>30.5</v>
          </cell>
          <cell r="I1865">
            <v>26</v>
          </cell>
          <cell r="J1865">
            <v>31.5</v>
          </cell>
          <cell r="K1865">
            <v>10.992000000000001</v>
          </cell>
          <cell r="L1865">
            <v>1.8320000000000001</v>
          </cell>
          <cell r="M1865">
            <v>2.4979499999999998E-2</v>
          </cell>
        </row>
        <row r="1866">
          <cell r="A1866">
            <v>20710007</v>
          </cell>
          <cell r="B1866">
            <v>3118220038615</v>
          </cell>
          <cell r="E1866" t="str">
            <v>M16 TB COLLECTION GRAND SIECLE + GENCOD</v>
          </cell>
          <cell r="F1866">
            <v>6</v>
          </cell>
          <cell r="G1866">
            <v>6</v>
          </cell>
          <cell r="H1866">
            <v>30.5</v>
          </cell>
          <cell r="I1866">
            <v>26</v>
          </cell>
          <cell r="J1866">
            <v>31.5</v>
          </cell>
          <cell r="K1866">
            <v>7.68</v>
          </cell>
          <cell r="L1866">
            <v>1.28</v>
          </cell>
          <cell r="M1866">
            <v>2.4979499999999998E-2</v>
          </cell>
        </row>
        <row r="1867">
          <cell r="A1867">
            <v>20820001</v>
          </cell>
          <cell r="B1867">
            <v>3118220043916</v>
          </cell>
          <cell r="E1867" t="str">
            <v>COUTEAU SAN REMO EN BOITE KRAFT PEGBOARDABLE</v>
          </cell>
          <cell r="F1867">
            <v>48</v>
          </cell>
          <cell r="G1867">
            <v>6</v>
          </cell>
          <cell r="H1867">
            <v>31.5</v>
          </cell>
          <cell r="I1867">
            <v>28.5</v>
          </cell>
          <cell r="J1867">
            <v>13</v>
          </cell>
          <cell r="K1867">
            <v>4.7</v>
          </cell>
          <cell r="L1867">
            <v>9.7916666666666666E-2</v>
          </cell>
          <cell r="M1867">
            <v>1.1670750000000001E-2</v>
          </cell>
        </row>
        <row r="1868">
          <cell r="A1868">
            <v>20820002</v>
          </cell>
          <cell r="B1868">
            <v>3118220043923</v>
          </cell>
          <cell r="E1868" t="str">
            <v>FOURCHETTE SAN REMO EN BOITE KRAFT PEGBOARDABLE</v>
          </cell>
          <cell r="F1868">
            <v>48</v>
          </cell>
          <cell r="G1868">
            <v>6</v>
          </cell>
          <cell r="H1868">
            <v>40</v>
          </cell>
          <cell r="I1868">
            <v>13</v>
          </cell>
          <cell r="J1868">
            <v>8.5</v>
          </cell>
          <cell r="K1868">
            <v>4.16</v>
          </cell>
          <cell r="L1868">
            <v>8.666666666666667E-2</v>
          </cell>
          <cell r="M1868">
            <v>4.4200000000000003E-3</v>
          </cell>
        </row>
        <row r="1869">
          <cell r="A1869">
            <v>20820003</v>
          </cell>
          <cell r="B1869">
            <v>3118220043930</v>
          </cell>
          <cell r="E1869" t="str">
            <v>CUILLERE SAN REMO EN BOITE KRAFT PEGBOARDABLE</v>
          </cell>
          <cell r="F1869">
            <v>48</v>
          </cell>
          <cell r="G1869">
            <v>6</v>
          </cell>
          <cell r="H1869">
            <v>31.5</v>
          </cell>
          <cell r="I1869">
            <v>28.5</v>
          </cell>
          <cell r="J1869">
            <v>13</v>
          </cell>
          <cell r="K1869">
            <v>4.5999999999999996</v>
          </cell>
          <cell r="L1869">
            <v>9.5833333333333326E-2</v>
          </cell>
          <cell r="M1869">
            <v>1.1670750000000001E-2</v>
          </cell>
        </row>
        <row r="1870">
          <cell r="A1870">
            <v>20820004</v>
          </cell>
          <cell r="B1870">
            <v>3118220043947</v>
          </cell>
          <cell r="E1870" t="str">
            <v>CAFE SAN REMO EN BOITE KRAFT PEGBOARDABLE</v>
          </cell>
          <cell r="F1870">
            <v>48</v>
          </cell>
          <cell r="G1870">
            <v>6</v>
          </cell>
          <cell r="H1870">
            <v>31.5</v>
          </cell>
          <cell r="I1870">
            <v>28.5</v>
          </cell>
          <cell r="J1870">
            <v>13</v>
          </cell>
          <cell r="K1870">
            <v>2.87</v>
          </cell>
          <cell r="L1870">
            <v>5.9791666666666667E-2</v>
          </cell>
          <cell r="M1870">
            <v>1.1670750000000001E-2</v>
          </cell>
        </row>
        <row r="1871">
          <cell r="A1871">
            <v>20840001</v>
          </cell>
          <cell r="B1871">
            <v>3118220021624</v>
          </cell>
          <cell r="E1871" t="str">
            <v>CUILLERE A CONFITURE INOX</v>
          </cell>
          <cell r="F1871">
            <v>240</v>
          </cell>
          <cell r="G1871">
            <v>24</v>
          </cell>
          <cell r="H1871">
            <v>28</v>
          </cell>
          <cell r="I1871">
            <v>20</v>
          </cell>
          <cell r="J1871">
            <v>17</v>
          </cell>
          <cell r="K1871">
            <v>3.206</v>
          </cell>
          <cell r="L1871">
            <v>1.3358333333333333E-2</v>
          </cell>
          <cell r="M1871">
            <v>9.5200000000000024E-3</v>
          </cell>
        </row>
        <row r="1872">
          <cell r="A1872">
            <v>20870001</v>
          </cell>
          <cell r="B1872">
            <v>3118220005709</v>
          </cell>
          <cell r="E1872" t="str">
            <v>COUTEAU LAG EVOLUTION MIROIR SATINE GENCOD</v>
          </cell>
          <cell r="F1872">
            <v>120</v>
          </cell>
          <cell r="G1872">
            <v>6</v>
          </cell>
          <cell r="H1872">
            <v>46</v>
          </cell>
          <cell r="I1872">
            <v>15</v>
          </cell>
          <cell r="J1872">
            <v>101.1</v>
          </cell>
          <cell r="K1872">
            <v>11.446</v>
          </cell>
          <cell r="L1872">
            <v>9.5383333333333334E-2</v>
          </cell>
          <cell r="M1872">
            <v>6.9759000000000002E-2</v>
          </cell>
        </row>
        <row r="1873">
          <cell r="A1873">
            <v>20870002</v>
          </cell>
          <cell r="B1873">
            <v>3118220005716</v>
          </cell>
          <cell r="E1873" t="str">
            <v>FOURCHETTE LAG EVOLUTION MIROIR SATINE GENCOD</v>
          </cell>
          <cell r="F1873">
            <v>120</v>
          </cell>
          <cell r="G1873">
            <v>6</v>
          </cell>
          <cell r="H1873">
            <v>27</v>
          </cell>
          <cell r="I1873">
            <v>27</v>
          </cell>
          <cell r="J1873">
            <v>20.5</v>
          </cell>
          <cell r="K1873">
            <v>10.7</v>
          </cell>
          <cell r="L1873">
            <v>8.9166666666666658E-2</v>
          </cell>
          <cell r="M1873">
            <v>1.4944500000000001E-2</v>
          </cell>
        </row>
        <row r="1874">
          <cell r="A1874">
            <v>20870003</v>
          </cell>
          <cell r="B1874">
            <v>3118220005723</v>
          </cell>
          <cell r="E1874" t="str">
            <v>CUILLERE LAG EVOLUTION MIROIR SATINE GENCOD</v>
          </cell>
          <cell r="F1874">
            <v>120</v>
          </cell>
          <cell r="G1874">
            <v>6</v>
          </cell>
          <cell r="H1874">
            <v>30.5</v>
          </cell>
          <cell r="I1874">
            <v>29</v>
          </cell>
          <cell r="J1874">
            <v>14</v>
          </cell>
          <cell r="K1874">
            <v>10.874000000000001</v>
          </cell>
          <cell r="L1874">
            <v>9.0616666666666665E-2</v>
          </cell>
          <cell r="M1874">
            <v>1.2383E-2</v>
          </cell>
        </row>
        <row r="1875">
          <cell r="A1875">
            <v>20870004</v>
          </cell>
          <cell r="B1875">
            <v>3118220005730</v>
          </cell>
          <cell r="E1875" t="str">
            <v>CAFE LAG EVOLUTION MIROIR SATINE GENCOD</v>
          </cell>
          <cell r="F1875">
            <v>240</v>
          </cell>
          <cell r="G1875">
            <v>6</v>
          </cell>
          <cell r="H1875">
            <v>36</v>
          </cell>
          <cell r="I1875">
            <v>20</v>
          </cell>
          <cell r="J1875">
            <v>25.5</v>
          </cell>
          <cell r="K1875">
            <v>9.5500000000000007</v>
          </cell>
          <cell r="L1875">
            <v>3.979166666666667E-2</v>
          </cell>
          <cell r="M1875">
            <v>1.8359999999999998E-2</v>
          </cell>
        </row>
        <row r="1876">
          <cell r="A1876">
            <v>20890001</v>
          </cell>
          <cell r="B1876">
            <v>3118220006621</v>
          </cell>
          <cell r="C1876" t="str">
            <v>13118220006628</v>
          </cell>
          <cell r="D1876" t="str">
            <v>23118220006625</v>
          </cell>
          <cell r="E1876" t="str">
            <v>COUTEAU ECORCE VRAC GENCOD</v>
          </cell>
          <cell r="F1876">
            <v>120</v>
          </cell>
          <cell r="G1876">
            <v>6</v>
          </cell>
          <cell r="H1876">
            <v>24.5</v>
          </cell>
          <cell r="I1876">
            <v>20.5</v>
          </cell>
          <cell r="J1876">
            <v>15.5</v>
          </cell>
          <cell r="K1876">
            <v>6.64</v>
          </cell>
          <cell r="L1876">
            <v>5.5333333333333332E-2</v>
          </cell>
          <cell r="M1876">
            <v>7.7848750000000001E-3</v>
          </cell>
        </row>
        <row r="1877">
          <cell r="A1877">
            <v>20890002</v>
          </cell>
          <cell r="B1877">
            <v>3118220006638</v>
          </cell>
          <cell r="C1877" t="str">
            <v>13118220006635</v>
          </cell>
          <cell r="D1877" t="str">
            <v>23118220006632</v>
          </cell>
          <cell r="E1877" t="str">
            <v>FOURCHETTE ECORCE VRAC GENCOD</v>
          </cell>
          <cell r="F1877">
            <v>120</v>
          </cell>
          <cell r="G1877">
            <v>6</v>
          </cell>
          <cell r="H1877">
            <v>25</v>
          </cell>
          <cell r="I1877">
            <v>20</v>
          </cell>
          <cell r="J1877">
            <v>17</v>
          </cell>
          <cell r="K1877">
            <v>4.2</v>
          </cell>
          <cell r="L1877">
            <v>3.5000000000000003E-2</v>
          </cell>
          <cell r="M1877">
            <v>8.5000000000000006E-3</v>
          </cell>
        </row>
        <row r="1878">
          <cell r="A1878">
            <v>20890003</v>
          </cell>
          <cell r="B1878">
            <v>3118220006645</v>
          </cell>
          <cell r="C1878" t="str">
            <v>13118220006642</v>
          </cell>
          <cell r="D1878" t="str">
            <v>23118220006649</v>
          </cell>
          <cell r="E1878" t="str">
            <v>CUILLERE ECORCE VRAC GENCOD</v>
          </cell>
          <cell r="F1878">
            <v>120</v>
          </cell>
          <cell r="G1878">
            <v>6</v>
          </cell>
          <cell r="H1878">
            <v>26</v>
          </cell>
          <cell r="I1878">
            <v>23.5</v>
          </cell>
          <cell r="J1878">
            <v>15.5</v>
          </cell>
          <cell r="K1878">
            <v>6.52</v>
          </cell>
          <cell r="L1878">
            <v>5.4333333333333331E-2</v>
          </cell>
          <cell r="M1878">
            <v>9.4704999999999998E-3</v>
          </cell>
        </row>
        <row r="1879">
          <cell r="A1879">
            <v>20890004</v>
          </cell>
          <cell r="B1879">
            <v>3118220006652</v>
          </cell>
          <cell r="C1879" t="str">
            <v>13118220006659</v>
          </cell>
          <cell r="D1879" t="str">
            <v>23118220006656</v>
          </cell>
          <cell r="E1879" t="str">
            <v>CAFE ECORCE VRAC GENCOD</v>
          </cell>
          <cell r="F1879">
            <v>240</v>
          </cell>
          <cell r="G1879">
            <v>6</v>
          </cell>
          <cell r="H1879">
            <v>30</v>
          </cell>
          <cell r="I1879">
            <v>16.5</v>
          </cell>
          <cell r="J1879">
            <v>17</v>
          </cell>
          <cell r="K1879">
            <v>5.8</v>
          </cell>
          <cell r="L1879">
            <v>2.4166666666666666E-2</v>
          </cell>
          <cell r="M1879">
            <v>8.4150000000000006E-3</v>
          </cell>
        </row>
        <row r="1880">
          <cell r="A1880">
            <v>20890005</v>
          </cell>
          <cell r="B1880">
            <v>3118220015142</v>
          </cell>
          <cell r="C1880" t="str">
            <v>13118220015149</v>
          </cell>
          <cell r="D1880" t="str">
            <v>23118220015146</v>
          </cell>
          <cell r="E1880" t="str">
            <v>M24 ECORCE BOITE TB COLLECTION</v>
          </cell>
          <cell r="F1880">
            <v>3</v>
          </cell>
          <cell r="G1880">
            <v>3</v>
          </cell>
          <cell r="H1880">
            <v>26.5</v>
          </cell>
          <cell r="I1880">
            <v>18</v>
          </cell>
          <cell r="J1880">
            <v>32</v>
          </cell>
          <cell r="K1880">
            <v>3.3359999999999999</v>
          </cell>
          <cell r="L1880">
            <v>1.1119999999999999</v>
          </cell>
          <cell r="M1880">
            <v>1.5264000000000002E-2</v>
          </cell>
        </row>
        <row r="1881">
          <cell r="A1881">
            <v>20890006</v>
          </cell>
          <cell r="B1881">
            <v>3118220027176</v>
          </cell>
          <cell r="C1881" t="str">
            <v>13118220027173</v>
          </cell>
          <cell r="D1881" t="str">
            <v>23118220027170</v>
          </cell>
          <cell r="E1881" t="str">
            <v>COUTEAU ECORCE PROMOCASH</v>
          </cell>
          <cell r="F1881">
            <v>72</v>
          </cell>
          <cell r="G1881">
            <v>12</v>
          </cell>
          <cell r="H1881">
            <v>25.5</v>
          </cell>
          <cell r="I1881">
            <v>17.5</v>
          </cell>
          <cell r="J1881">
            <v>11</v>
          </cell>
          <cell r="K1881">
            <v>4.0259999999999998</v>
          </cell>
          <cell r="L1881">
            <v>5.5916666666666663E-2</v>
          </cell>
          <cell r="M1881">
            <v>4.9087500000000008E-3</v>
          </cell>
        </row>
        <row r="1882">
          <cell r="A1882">
            <v>20890007</v>
          </cell>
          <cell r="B1882">
            <v>3118220027183</v>
          </cell>
          <cell r="C1882" t="str">
            <v>13118220027180</v>
          </cell>
          <cell r="D1882" t="str">
            <v>23118220027187</v>
          </cell>
          <cell r="E1882" t="str">
            <v>FOURCHETTE ECORCE PROMOCASH</v>
          </cell>
          <cell r="F1882">
            <v>72</v>
          </cell>
          <cell r="G1882">
            <v>12</v>
          </cell>
          <cell r="H1882">
            <v>25</v>
          </cell>
          <cell r="I1882">
            <v>17</v>
          </cell>
          <cell r="J1882">
            <v>14</v>
          </cell>
          <cell r="K1882">
            <v>2.5920000000000001</v>
          </cell>
          <cell r="L1882">
            <v>3.6000000000000004E-2</v>
          </cell>
          <cell r="M1882">
            <v>5.9500000000000004E-3</v>
          </cell>
        </row>
        <row r="1883">
          <cell r="A1883">
            <v>20890008</v>
          </cell>
          <cell r="B1883">
            <v>3118220027190</v>
          </cell>
          <cell r="C1883" t="str">
            <v>13118220027197</v>
          </cell>
          <cell r="D1883" t="str">
            <v>23118220027194</v>
          </cell>
          <cell r="E1883" t="str">
            <v>CUILLERE ECORCE PROMOCASH</v>
          </cell>
          <cell r="F1883">
            <v>72</v>
          </cell>
          <cell r="G1883">
            <v>12</v>
          </cell>
          <cell r="H1883">
            <v>25</v>
          </cell>
          <cell r="I1883">
            <v>17</v>
          </cell>
          <cell r="J1883">
            <v>14</v>
          </cell>
          <cell r="K1883">
            <v>3.7679999999999998</v>
          </cell>
          <cell r="L1883">
            <v>5.2333333333333329E-2</v>
          </cell>
          <cell r="M1883">
            <v>5.9500000000000004E-3</v>
          </cell>
        </row>
        <row r="1884">
          <cell r="A1884">
            <v>20890009</v>
          </cell>
          <cell r="B1884">
            <v>3118220027206</v>
          </cell>
          <cell r="C1884" t="str">
            <v>13118220027203</v>
          </cell>
          <cell r="D1884" t="str">
            <v>23118220027200</v>
          </cell>
          <cell r="E1884" t="str">
            <v>CAFE ECORCE PROMOCASH</v>
          </cell>
          <cell r="F1884">
            <v>72</v>
          </cell>
          <cell r="G1884">
            <v>12</v>
          </cell>
          <cell r="H1884">
            <v>18</v>
          </cell>
          <cell r="I1884">
            <v>18</v>
          </cell>
          <cell r="J1884">
            <v>12</v>
          </cell>
          <cell r="K1884">
            <v>1.6559999999999999</v>
          </cell>
          <cell r="L1884">
            <v>2.3E-2</v>
          </cell>
          <cell r="M1884">
            <v>3.888E-3</v>
          </cell>
        </row>
        <row r="1885">
          <cell r="A1885">
            <v>20890010</v>
          </cell>
          <cell r="B1885">
            <v>3118220032934</v>
          </cell>
          <cell r="E1885" t="str">
            <v>M48 ECORCE BOITE TB COLLECTION</v>
          </cell>
          <cell r="F1885">
            <v>3</v>
          </cell>
          <cell r="G1885">
            <v>3</v>
          </cell>
          <cell r="H1885">
            <v>30</v>
          </cell>
          <cell r="I1885">
            <v>26</v>
          </cell>
          <cell r="J1885">
            <v>31</v>
          </cell>
          <cell r="K1885">
            <v>6.6420000000000003</v>
          </cell>
          <cell r="L1885">
            <v>2.214</v>
          </cell>
          <cell r="M1885">
            <v>2.418E-2</v>
          </cell>
        </row>
        <row r="1886">
          <cell r="A1886">
            <v>20890011</v>
          </cell>
          <cell r="B1886">
            <v>3118220037694</v>
          </cell>
          <cell r="E1886" t="str">
            <v>LOT DE 3P ROMANE CTX+FTTE+CAFE EN DISPLAY 48P</v>
          </cell>
          <cell r="F1886">
            <v>144</v>
          </cell>
          <cell r="G1886">
            <v>48</v>
          </cell>
          <cell r="H1886">
            <v>28</v>
          </cell>
          <cell r="I1886">
            <v>19.5</v>
          </cell>
          <cell r="J1886">
            <v>37</v>
          </cell>
          <cell r="K1886">
            <v>18.54</v>
          </cell>
          <cell r="L1886">
            <v>0.12875</v>
          </cell>
          <cell r="M1886">
            <v>2.0202000000000005E-2</v>
          </cell>
        </row>
        <row r="1887">
          <cell r="A1887">
            <v>20890012</v>
          </cell>
          <cell r="B1887">
            <v>3118220038653</v>
          </cell>
          <cell r="E1887" t="str">
            <v>M16 TB COLLECTION ECORCE + GENCOD</v>
          </cell>
          <cell r="F1887">
            <v>6</v>
          </cell>
          <cell r="G1887">
            <v>6</v>
          </cell>
          <cell r="H1887">
            <v>40</v>
          </cell>
          <cell r="I1887">
            <v>31</v>
          </cell>
          <cell r="J1887">
            <v>26</v>
          </cell>
          <cell r="K1887">
            <v>5.14</v>
          </cell>
          <cell r="L1887">
            <v>0.85666666666666658</v>
          </cell>
          <cell r="M1887">
            <v>3.2240000000000005E-2</v>
          </cell>
        </row>
        <row r="1888">
          <cell r="A1888">
            <v>20890013</v>
          </cell>
          <cell r="B1888">
            <v>3118220039643</v>
          </cell>
          <cell r="C1888" t="str">
            <v>13118220039640</v>
          </cell>
          <cell r="D1888" t="str">
            <v>23118220039647</v>
          </cell>
          <cell r="E1888" t="str">
            <v>COUTEAU ECORCE PVD NOIR VRAC+GENCOD</v>
          </cell>
          <cell r="F1888">
            <v>120</v>
          </cell>
          <cell r="G1888">
            <v>6</v>
          </cell>
          <cell r="H1888">
            <v>25.5</v>
          </cell>
          <cell r="I1888">
            <v>21</v>
          </cell>
          <cell r="J1888">
            <v>11.5</v>
          </cell>
          <cell r="K1888">
            <v>6.72</v>
          </cell>
          <cell r="L1888">
            <v>5.6000000000000001E-2</v>
          </cell>
          <cell r="M1888">
            <v>6.1582500000000005E-3</v>
          </cell>
        </row>
        <row r="1889">
          <cell r="A1889">
            <v>20890014</v>
          </cell>
          <cell r="B1889">
            <v>3118220039650</v>
          </cell>
          <cell r="C1889" t="str">
            <v>13118220039657</v>
          </cell>
          <cell r="D1889" t="str">
            <v>23118220039654</v>
          </cell>
          <cell r="E1889" t="str">
            <v>FOURCHETTE ECORCE PVD NOIR VRAC+GENCOD</v>
          </cell>
          <cell r="F1889">
            <v>120</v>
          </cell>
          <cell r="G1889">
            <v>6</v>
          </cell>
          <cell r="H1889">
            <v>23.5</v>
          </cell>
          <cell r="I1889">
            <v>19</v>
          </cell>
          <cell r="J1889">
            <v>14</v>
          </cell>
          <cell r="K1889">
            <v>4.38</v>
          </cell>
          <cell r="L1889">
            <v>3.6499999999999998E-2</v>
          </cell>
          <cell r="M1889">
            <v>6.2509999999999996E-3</v>
          </cell>
        </row>
        <row r="1890">
          <cell r="A1890">
            <v>20890015</v>
          </cell>
          <cell r="B1890">
            <v>3118220039667</v>
          </cell>
          <cell r="C1890" t="str">
            <v>13118220039664</v>
          </cell>
          <cell r="D1890" t="str">
            <v>23118220039661</v>
          </cell>
          <cell r="E1890" t="str">
            <v>CUILLERE ECORCE PVD NOIR VRAC+GENCOD</v>
          </cell>
          <cell r="F1890">
            <v>120</v>
          </cell>
          <cell r="G1890">
            <v>6</v>
          </cell>
          <cell r="H1890">
            <v>25.5</v>
          </cell>
          <cell r="I1890">
            <v>23.5</v>
          </cell>
          <cell r="J1890">
            <v>16</v>
          </cell>
          <cell r="K1890">
            <v>6.46</v>
          </cell>
          <cell r="L1890">
            <v>5.383333333333333E-2</v>
          </cell>
          <cell r="M1890">
            <v>9.5879999999999993E-3</v>
          </cell>
        </row>
        <row r="1891">
          <cell r="A1891">
            <v>20890016</v>
          </cell>
          <cell r="B1891">
            <v>3118220039674</v>
          </cell>
          <cell r="C1891" t="str">
            <v>13118220039671</v>
          </cell>
          <cell r="D1891" t="str">
            <v>23118220039678</v>
          </cell>
          <cell r="E1891" t="str">
            <v>CAFE ECORCE PVD NOIR VRAC+GENCOD</v>
          </cell>
          <cell r="F1891">
            <v>240</v>
          </cell>
          <cell r="G1891">
            <v>6</v>
          </cell>
          <cell r="H1891">
            <v>30</v>
          </cell>
          <cell r="I1891">
            <v>16.5</v>
          </cell>
          <cell r="J1891">
            <v>17</v>
          </cell>
          <cell r="K1891">
            <v>6.72</v>
          </cell>
          <cell r="L1891">
            <v>2.8000000000000001E-2</v>
          </cell>
          <cell r="M1891">
            <v>8.4150000000000006E-3</v>
          </cell>
        </row>
        <row r="1892">
          <cell r="A1892">
            <v>20890017</v>
          </cell>
          <cell r="B1892">
            <v>3118220039681</v>
          </cell>
          <cell r="C1892" t="str">
            <v>13118220039688</v>
          </cell>
          <cell r="D1892" t="str">
            <v>23118220039685</v>
          </cell>
          <cell r="E1892" t="str">
            <v>COUTEAU ECORCE PVD CUIVRE+GENCOD</v>
          </cell>
          <cell r="F1892">
            <v>120</v>
          </cell>
          <cell r="G1892">
            <v>6</v>
          </cell>
          <cell r="H1892">
            <v>25</v>
          </cell>
          <cell r="I1892">
            <v>21.5</v>
          </cell>
          <cell r="J1892">
            <v>12.5</v>
          </cell>
          <cell r="K1892">
            <v>6.72</v>
          </cell>
          <cell r="L1892">
            <v>5.6000000000000001E-2</v>
          </cell>
          <cell r="M1892">
            <v>6.7187499999999999E-3</v>
          </cell>
        </row>
        <row r="1893">
          <cell r="A1893">
            <v>20890018</v>
          </cell>
          <cell r="B1893">
            <v>3118220039698</v>
          </cell>
          <cell r="C1893" t="str">
            <v>13118220039695</v>
          </cell>
          <cell r="D1893" t="str">
            <v>23118220039692</v>
          </cell>
          <cell r="E1893" t="str">
            <v>FOURCHETTE ECORCE PVD CUIVRE+GENCOD</v>
          </cell>
          <cell r="F1893">
            <v>120</v>
          </cell>
          <cell r="G1893">
            <v>6</v>
          </cell>
          <cell r="H1893">
            <v>23</v>
          </cell>
          <cell r="I1893">
            <v>19</v>
          </cell>
          <cell r="J1893">
            <v>15</v>
          </cell>
          <cell r="K1893">
            <v>4.4889999999999999</v>
          </cell>
          <cell r="L1893">
            <v>3.7408333333333335E-2</v>
          </cell>
          <cell r="M1893">
            <v>6.5550000000000009E-3</v>
          </cell>
        </row>
        <row r="1894">
          <cell r="A1894">
            <v>20890019</v>
          </cell>
          <cell r="B1894">
            <v>3118220039704</v>
          </cell>
          <cell r="C1894" t="str">
            <v>13118220039701</v>
          </cell>
          <cell r="D1894" t="str">
            <v>23118220039708</v>
          </cell>
          <cell r="E1894" t="str">
            <v>CUILLERE ECORCE PVD CUIVRE+GENCOD</v>
          </cell>
          <cell r="F1894">
            <v>120</v>
          </cell>
          <cell r="G1894">
            <v>6</v>
          </cell>
          <cell r="H1894">
            <v>26</v>
          </cell>
          <cell r="I1894">
            <v>23.5</v>
          </cell>
          <cell r="J1894">
            <v>15</v>
          </cell>
          <cell r="K1894">
            <v>6.7069999999999999</v>
          </cell>
          <cell r="L1894">
            <v>5.5891666666666666E-2</v>
          </cell>
          <cell r="M1894">
            <v>9.1649999999999995E-3</v>
          </cell>
        </row>
        <row r="1895">
          <cell r="A1895">
            <v>20890020</v>
          </cell>
          <cell r="B1895">
            <v>3118220039711</v>
          </cell>
          <cell r="C1895" t="str">
            <v>13118220039718</v>
          </cell>
          <cell r="D1895" t="str">
            <v>23118220039715</v>
          </cell>
          <cell r="E1895" t="str">
            <v>CAFE ECORCE PVD CUIVRE+GENCOD</v>
          </cell>
          <cell r="F1895">
            <v>240</v>
          </cell>
          <cell r="G1895">
            <v>6</v>
          </cell>
          <cell r="H1895">
            <v>30.5</v>
          </cell>
          <cell r="I1895">
            <v>16.5</v>
          </cell>
          <cell r="J1895">
            <v>17</v>
          </cell>
          <cell r="K1895">
            <v>6.72</v>
          </cell>
          <cell r="L1895">
            <v>2.8000000000000001E-2</v>
          </cell>
          <cell r="M1895">
            <v>8.5552499999999986E-3</v>
          </cell>
        </row>
        <row r="1896">
          <cell r="A1896">
            <v>20890021</v>
          </cell>
          <cell r="B1896">
            <v>3118220039728</v>
          </cell>
          <cell r="C1896" t="str">
            <v>13118220039725</v>
          </cell>
          <cell r="D1896" t="str">
            <v>23118220039722</v>
          </cell>
          <cell r="E1896" t="str">
            <v>COUTEAU ECORCE PVD OR MAT+GENCOD</v>
          </cell>
          <cell r="F1896">
            <v>120</v>
          </cell>
          <cell r="G1896">
            <v>6</v>
          </cell>
          <cell r="H1896">
            <v>25.5</v>
          </cell>
          <cell r="I1896">
            <v>21</v>
          </cell>
          <cell r="J1896">
            <v>11.5</v>
          </cell>
          <cell r="K1896">
            <v>6.36</v>
          </cell>
          <cell r="L1896">
            <v>5.3000000000000005E-2</v>
          </cell>
          <cell r="M1896">
            <v>6.1582500000000005E-3</v>
          </cell>
        </row>
        <row r="1897">
          <cell r="A1897">
            <v>20890022</v>
          </cell>
          <cell r="B1897">
            <v>3118220039735</v>
          </cell>
          <cell r="C1897" t="str">
            <v>13118220039732</v>
          </cell>
          <cell r="D1897" t="str">
            <v>23118220039739</v>
          </cell>
          <cell r="E1897" t="str">
            <v>FOURCHETTE ECORCE PVD OR MAT+GENCOD</v>
          </cell>
          <cell r="F1897">
            <v>120</v>
          </cell>
          <cell r="G1897">
            <v>6</v>
          </cell>
          <cell r="H1897">
            <v>23.5</v>
          </cell>
          <cell r="I1897">
            <v>20</v>
          </cell>
          <cell r="J1897">
            <v>15</v>
          </cell>
          <cell r="K1897">
            <v>4.08</v>
          </cell>
          <cell r="L1897">
            <v>3.4000000000000002E-2</v>
          </cell>
          <cell r="M1897">
            <v>7.0499999999999981E-3</v>
          </cell>
        </row>
        <row r="1898">
          <cell r="A1898">
            <v>20890023</v>
          </cell>
          <cell r="B1898">
            <v>3118220039742</v>
          </cell>
          <cell r="C1898" t="str">
            <v>13118220039749</v>
          </cell>
          <cell r="D1898" t="str">
            <v>23118220039746</v>
          </cell>
          <cell r="E1898" t="str">
            <v>CUILLERE ECORCE PVD OR MAT+GENCOD</v>
          </cell>
          <cell r="F1898">
            <v>120</v>
          </cell>
          <cell r="G1898">
            <v>6</v>
          </cell>
          <cell r="H1898">
            <v>25.5</v>
          </cell>
          <cell r="I1898">
            <v>23.5</v>
          </cell>
          <cell r="J1898">
            <v>16</v>
          </cell>
          <cell r="K1898">
            <v>6.48</v>
          </cell>
          <cell r="L1898">
            <v>5.4000000000000006E-2</v>
          </cell>
          <cell r="M1898">
            <v>9.5879999999999993E-3</v>
          </cell>
        </row>
        <row r="1899">
          <cell r="A1899">
            <v>20890024</v>
          </cell>
          <cell r="B1899">
            <v>3118220039759</v>
          </cell>
          <cell r="C1899" t="str">
            <v>13118220039756</v>
          </cell>
          <cell r="D1899" t="str">
            <v>23118220039753</v>
          </cell>
          <cell r="E1899" t="str">
            <v>CAFE ECORCE PVD OR MAT+GENCOD</v>
          </cell>
          <cell r="F1899">
            <v>240</v>
          </cell>
          <cell r="G1899">
            <v>6</v>
          </cell>
          <cell r="H1899">
            <v>30.5</v>
          </cell>
          <cell r="I1899">
            <v>16.5</v>
          </cell>
          <cell r="J1899">
            <v>17.5</v>
          </cell>
          <cell r="K1899">
            <v>6.72</v>
          </cell>
          <cell r="L1899">
            <v>2.8000000000000001E-2</v>
          </cell>
          <cell r="M1899">
            <v>8.8068749999999987E-3</v>
          </cell>
        </row>
        <row r="1900">
          <cell r="A1900">
            <v>20890025</v>
          </cell>
          <cell r="B1900">
            <v>3118220039803</v>
          </cell>
          <cell r="C1900" t="str">
            <v>13118220039800</v>
          </cell>
          <cell r="D1900" t="str">
            <v>23118220039807</v>
          </cell>
          <cell r="E1900" t="str">
            <v>M16 TB ECORCE PVD MAT NOIR BOITE TB COLLECTION</v>
          </cell>
          <cell r="F1900">
            <v>6</v>
          </cell>
          <cell r="G1900">
            <v>6</v>
          </cell>
          <cell r="H1900">
            <v>29.5</v>
          </cell>
          <cell r="I1900">
            <v>27</v>
          </cell>
          <cell r="J1900">
            <v>32</v>
          </cell>
          <cell r="K1900">
            <v>4.8540000000000001</v>
          </cell>
          <cell r="L1900">
            <v>0.80900000000000005</v>
          </cell>
          <cell r="M1900">
            <v>2.5488E-2</v>
          </cell>
        </row>
        <row r="1901">
          <cell r="A1901">
            <v>20890026</v>
          </cell>
          <cell r="B1901">
            <v>3118220039810</v>
          </cell>
          <cell r="C1901" t="str">
            <v>13118220039817</v>
          </cell>
          <cell r="D1901" t="str">
            <v>23118220039814</v>
          </cell>
          <cell r="E1901" t="str">
            <v>M16 TB ECORCE PVD MAT CUIVRE BOITE TB COLLECTION</v>
          </cell>
          <cell r="F1901">
            <v>6</v>
          </cell>
          <cell r="G1901">
            <v>6</v>
          </cell>
          <cell r="H1901">
            <v>29.5</v>
          </cell>
          <cell r="I1901">
            <v>27</v>
          </cell>
          <cell r="J1901">
            <v>32</v>
          </cell>
          <cell r="K1901">
            <v>4.8239999999999998</v>
          </cell>
          <cell r="L1901">
            <v>0.80399999999999994</v>
          </cell>
          <cell r="M1901">
            <v>2.5488E-2</v>
          </cell>
        </row>
        <row r="1902">
          <cell r="A1902">
            <v>20890027</v>
          </cell>
          <cell r="B1902">
            <v>3118220042117</v>
          </cell>
          <cell r="C1902" t="str">
            <v>13118220042114</v>
          </cell>
          <cell r="D1902" t="str">
            <v>23118220042111</v>
          </cell>
          <cell r="E1902" t="str">
            <v>M16 TB ECORCE PVD OR MAT BOITE TB COLLECTION</v>
          </cell>
          <cell r="F1902">
            <v>6</v>
          </cell>
          <cell r="G1902">
            <v>6</v>
          </cell>
          <cell r="H1902">
            <v>40</v>
          </cell>
          <cell r="I1902">
            <v>30</v>
          </cell>
          <cell r="J1902">
            <v>24</v>
          </cell>
          <cell r="K1902">
            <v>5.18</v>
          </cell>
          <cell r="L1902">
            <v>0.86333333333333329</v>
          </cell>
          <cell r="M1902">
            <v>2.8799999999999999E-2</v>
          </cell>
        </row>
        <row r="1903">
          <cell r="A1903">
            <v>21040001</v>
          </cell>
          <cell r="B1903">
            <v>3118220023222</v>
          </cell>
          <cell r="E1903" t="str">
            <v>COUTEAU DROP METAL VRAC + GENCOD</v>
          </cell>
          <cell r="F1903">
            <v>240</v>
          </cell>
          <cell r="G1903">
            <v>6</v>
          </cell>
          <cell r="H1903">
            <v>34.5</v>
          </cell>
          <cell r="I1903">
            <v>27.5</v>
          </cell>
          <cell r="J1903">
            <v>32</v>
          </cell>
          <cell r="K1903">
            <v>11.348000000000001</v>
          </cell>
          <cell r="L1903">
            <v>4.7283333333333337E-2</v>
          </cell>
          <cell r="M1903">
            <v>3.0359999999999995E-2</v>
          </cell>
        </row>
        <row r="1904">
          <cell r="A1904">
            <v>21040002</v>
          </cell>
          <cell r="B1904">
            <v>3118220023239</v>
          </cell>
          <cell r="E1904" t="str">
            <v>FOURCHETTE DROP METAL VRAC + GENCOD</v>
          </cell>
          <cell r="F1904">
            <v>240</v>
          </cell>
          <cell r="G1904">
            <v>6</v>
          </cell>
          <cell r="H1904">
            <v>37.5</v>
          </cell>
          <cell r="I1904">
            <v>24.5</v>
          </cell>
          <cell r="J1904">
            <v>32.5</v>
          </cell>
          <cell r="K1904">
            <v>11.875</v>
          </cell>
          <cell r="L1904">
            <v>4.9479166666666664E-2</v>
          </cell>
          <cell r="M1904">
            <v>2.9859375E-2</v>
          </cell>
        </row>
        <row r="1905">
          <cell r="A1905">
            <v>21040003</v>
          </cell>
          <cell r="B1905">
            <v>3118220023246</v>
          </cell>
          <cell r="E1905" t="str">
            <v>CUILLERE DROP METAL VRAC + GENCOD</v>
          </cell>
          <cell r="F1905">
            <v>240</v>
          </cell>
          <cell r="G1905">
            <v>6</v>
          </cell>
          <cell r="H1905">
            <v>38</v>
          </cell>
          <cell r="I1905">
            <v>25</v>
          </cell>
          <cell r="J1905">
            <v>33.5</v>
          </cell>
          <cell r="K1905">
            <v>13.43</v>
          </cell>
          <cell r="L1905">
            <v>5.5958333333333332E-2</v>
          </cell>
          <cell r="M1905">
            <v>3.1824999999999999E-2</v>
          </cell>
        </row>
        <row r="1906">
          <cell r="A1906">
            <v>21040004</v>
          </cell>
          <cell r="B1906">
            <v>3118220023253</v>
          </cell>
          <cell r="E1906" t="str">
            <v>CAFE DROP METAL VRAC + GENCOD</v>
          </cell>
          <cell r="F1906">
            <v>240</v>
          </cell>
          <cell r="G1906">
            <v>6</v>
          </cell>
          <cell r="H1906">
            <v>38.5</v>
          </cell>
          <cell r="I1906">
            <v>20.5</v>
          </cell>
          <cell r="J1906">
            <v>29</v>
          </cell>
          <cell r="K1906">
            <v>6.0709999999999997</v>
          </cell>
          <cell r="L1906">
            <v>2.5295833333333333E-2</v>
          </cell>
          <cell r="M1906">
            <v>2.2888249999999995E-2</v>
          </cell>
        </row>
        <row r="1907">
          <cell r="A1907">
            <v>21050001</v>
          </cell>
          <cell r="B1907">
            <v>3118220023178</v>
          </cell>
          <cell r="E1907" t="str">
            <v>COUTEAU FURTIF METAL VRAC GENCOD</v>
          </cell>
          <cell r="F1907">
            <v>240</v>
          </cell>
          <cell r="G1907">
            <v>6</v>
          </cell>
          <cell r="H1907">
            <v>35</v>
          </cell>
          <cell r="I1907">
            <v>26.5</v>
          </cell>
          <cell r="J1907">
            <v>33</v>
          </cell>
          <cell r="K1907">
            <v>16.062999999999999</v>
          </cell>
          <cell r="L1907">
            <v>6.6929166666666665E-2</v>
          </cell>
          <cell r="M1907">
            <v>3.0607499999999996E-2</v>
          </cell>
        </row>
        <row r="1908">
          <cell r="A1908">
            <v>21050002</v>
          </cell>
          <cell r="B1908">
            <v>3118220023185</v>
          </cell>
          <cell r="E1908" t="str">
            <v>FOURCHETTE FURTIF METAL VRAC GENCOD</v>
          </cell>
          <cell r="F1908">
            <v>240</v>
          </cell>
          <cell r="G1908">
            <v>6</v>
          </cell>
          <cell r="H1908">
            <v>38.5</v>
          </cell>
          <cell r="I1908">
            <v>28.5</v>
          </cell>
          <cell r="J1908">
            <v>33</v>
          </cell>
          <cell r="K1908">
            <v>13.583</v>
          </cell>
          <cell r="L1908">
            <v>5.6595833333333331E-2</v>
          </cell>
          <cell r="M1908">
            <v>3.6209249999999998E-2</v>
          </cell>
        </row>
        <row r="1909">
          <cell r="A1909">
            <v>21050004</v>
          </cell>
          <cell r="B1909">
            <v>3118220023208</v>
          </cell>
          <cell r="E1909" t="str">
            <v>CAFE FURTIF METAL VRAC GENCOD</v>
          </cell>
          <cell r="F1909">
            <v>240</v>
          </cell>
          <cell r="G1909">
            <v>6</v>
          </cell>
          <cell r="H1909">
            <v>38</v>
          </cell>
          <cell r="I1909">
            <v>20.5</v>
          </cell>
          <cell r="J1909">
            <v>28.5</v>
          </cell>
          <cell r="K1909">
            <v>7.34</v>
          </cell>
          <cell r="L1909">
            <v>3.0583333333333334E-2</v>
          </cell>
          <cell r="M1909">
            <v>2.2201499999999999E-2</v>
          </cell>
        </row>
        <row r="1910">
          <cell r="A1910">
            <v>21050005</v>
          </cell>
          <cell r="B1910">
            <v>3118220036093</v>
          </cell>
          <cell r="E1910" t="str">
            <v>M16 FURTIF METAL EN BOITE LISA ALBAN COLLECTION</v>
          </cell>
          <cell r="F1910">
            <v>6</v>
          </cell>
          <cell r="G1910">
            <v>6</v>
          </cell>
          <cell r="H1910">
            <v>40</v>
          </cell>
          <cell r="I1910">
            <v>30</v>
          </cell>
          <cell r="J1910">
            <v>20</v>
          </cell>
          <cell r="K1910">
            <v>6.22</v>
          </cell>
          <cell r="L1910">
            <v>1.0366666666666666</v>
          </cell>
          <cell r="M1910">
            <v>2.4E-2</v>
          </cell>
        </row>
        <row r="1911">
          <cell r="A1911">
            <v>21120001</v>
          </cell>
          <cell r="B1911">
            <v>3118220019591</v>
          </cell>
          <cell r="E1911" t="str">
            <v>M24 PERLE EN BOITE TB COLLECTION</v>
          </cell>
          <cell r="F1911">
            <v>6</v>
          </cell>
          <cell r="G1911">
            <v>6</v>
          </cell>
          <cell r="H1911">
            <v>30</v>
          </cell>
          <cell r="I1911">
            <v>27</v>
          </cell>
          <cell r="J1911">
            <v>31.5</v>
          </cell>
          <cell r="K1911">
            <v>9.4779999999999998</v>
          </cell>
          <cell r="L1911">
            <v>1.5796666666666666</v>
          </cell>
          <cell r="M1911">
            <v>2.5514999999999999E-2</v>
          </cell>
        </row>
        <row r="1912">
          <cell r="A1912">
            <v>21120002</v>
          </cell>
          <cell r="B1912">
            <v>3118220019935</v>
          </cell>
          <cell r="C1912" t="str">
            <v>13118220019932</v>
          </cell>
          <cell r="D1912" t="str">
            <v>23118220019939</v>
          </cell>
          <cell r="E1912" t="str">
            <v>COUTEAUX PERLE + GENCOD</v>
          </cell>
          <cell r="F1912">
            <v>240</v>
          </cell>
          <cell r="G1912">
            <v>6</v>
          </cell>
          <cell r="H1912">
            <v>45</v>
          </cell>
          <cell r="I1912">
            <v>25.5</v>
          </cell>
          <cell r="J1912">
            <v>25</v>
          </cell>
          <cell r="K1912">
            <v>22.64</v>
          </cell>
          <cell r="L1912">
            <v>9.4333333333333338E-2</v>
          </cell>
          <cell r="M1912">
            <v>2.8687499999999998E-2</v>
          </cell>
        </row>
        <row r="1913">
          <cell r="A1913">
            <v>21120003</v>
          </cell>
          <cell r="B1913">
            <v>3118220019942</v>
          </cell>
          <cell r="C1913" t="str">
            <v>13118220019949</v>
          </cell>
          <cell r="D1913" t="str">
            <v>23118220019946</v>
          </cell>
          <cell r="E1913" t="str">
            <v>FOURCHETTE PERLE + GENCOD</v>
          </cell>
          <cell r="F1913">
            <v>240</v>
          </cell>
          <cell r="G1913">
            <v>6</v>
          </cell>
          <cell r="H1913">
            <v>45.5</v>
          </cell>
          <cell r="I1913">
            <v>25.5</v>
          </cell>
          <cell r="J1913">
            <v>25</v>
          </cell>
          <cell r="K1913">
            <v>10.56</v>
          </cell>
          <cell r="L1913">
            <v>4.4000000000000004E-2</v>
          </cell>
          <cell r="M1913">
            <v>2.9006250000000001E-2</v>
          </cell>
        </row>
        <row r="1914">
          <cell r="A1914">
            <v>21120004</v>
          </cell>
          <cell r="B1914">
            <v>3118220019959</v>
          </cell>
          <cell r="C1914" t="str">
            <v>13118220019956</v>
          </cell>
          <cell r="D1914" t="str">
            <v>23118220019953</v>
          </cell>
          <cell r="E1914" t="str">
            <v>CUILLERE PERLE + GENCOD</v>
          </cell>
          <cell r="F1914">
            <v>240</v>
          </cell>
          <cell r="G1914">
            <v>6</v>
          </cell>
          <cell r="H1914">
            <v>45</v>
          </cell>
          <cell r="I1914">
            <v>25.5</v>
          </cell>
          <cell r="J1914">
            <v>25</v>
          </cell>
          <cell r="K1914">
            <v>14.44</v>
          </cell>
          <cell r="L1914">
            <v>6.0166666666666667E-2</v>
          </cell>
          <cell r="M1914">
            <v>2.8687499999999998E-2</v>
          </cell>
        </row>
        <row r="1915">
          <cell r="A1915">
            <v>21120005</v>
          </cell>
          <cell r="B1915">
            <v>3118220019966</v>
          </cell>
          <cell r="C1915" t="str">
            <v>13118220019963</v>
          </cell>
          <cell r="D1915" t="str">
            <v>23118220019960</v>
          </cell>
          <cell r="E1915" t="str">
            <v>CAFE PERLE + GENCOD</v>
          </cell>
          <cell r="F1915">
            <v>240</v>
          </cell>
          <cell r="G1915">
            <v>6</v>
          </cell>
          <cell r="H1915">
            <v>45</v>
          </cell>
          <cell r="I1915">
            <v>19</v>
          </cell>
          <cell r="J1915">
            <v>22.5</v>
          </cell>
          <cell r="K1915">
            <v>5.76</v>
          </cell>
          <cell r="L1915">
            <v>2.4E-2</v>
          </cell>
          <cell r="M1915">
            <v>1.9237500000000001E-2</v>
          </cell>
        </row>
        <row r="1916">
          <cell r="A1916">
            <v>21120006</v>
          </cell>
          <cell r="B1916">
            <v>3118220038639</v>
          </cell>
          <cell r="C1916" t="str">
            <v>13118220038636</v>
          </cell>
          <cell r="D1916" t="str">
            <v>23118220038633</v>
          </cell>
          <cell r="E1916" t="str">
            <v>M16 TB COLLECTION PERLE + GENCOD</v>
          </cell>
          <cell r="F1916">
            <v>6</v>
          </cell>
          <cell r="G1916">
            <v>6</v>
          </cell>
          <cell r="H1916">
            <v>31</v>
          </cell>
          <cell r="I1916">
            <v>27.5</v>
          </cell>
          <cell r="J1916">
            <v>31</v>
          </cell>
          <cell r="K1916">
            <v>6.67</v>
          </cell>
          <cell r="L1916">
            <v>1.1116666666666666</v>
          </cell>
          <cell r="M1916">
            <v>2.6427500000000003E-2</v>
          </cell>
        </row>
        <row r="1917">
          <cell r="A1917">
            <v>21130001</v>
          </cell>
          <cell r="B1917">
            <v>3118220019607</v>
          </cell>
          <cell r="C1917" t="str">
            <v>13118220019604</v>
          </cell>
          <cell r="D1917" t="str">
            <v>23118220019601</v>
          </cell>
          <cell r="E1917" t="str">
            <v>M24 BOREAL EN BOITE TB COLLECTION</v>
          </cell>
          <cell r="F1917">
            <v>6</v>
          </cell>
          <cell r="G1917">
            <v>6</v>
          </cell>
          <cell r="H1917">
            <v>31</v>
          </cell>
          <cell r="I1917">
            <v>27</v>
          </cell>
          <cell r="J1917">
            <v>31</v>
          </cell>
          <cell r="K1917">
            <v>7.8120000000000003</v>
          </cell>
          <cell r="L1917">
            <v>1.302</v>
          </cell>
          <cell r="M1917">
            <v>2.5947000000000001E-2</v>
          </cell>
        </row>
        <row r="1918">
          <cell r="A1918">
            <v>21130002</v>
          </cell>
          <cell r="B1918">
            <v>3118220022065</v>
          </cell>
          <cell r="C1918" t="str">
            <v>13118220022062</v>
          </cell>
          <cell r="D1918" t="str">
            <v>23118220022069</v>
          </cell>
          <cell r="E1918" t="str">
            <v>COUTEAU BOREAL + GENCOD</v>
          </cell>
          <cell r="F1918">
            <v>120</v>
          </cell>
          <cell r="G1918">
            <v>6</v>
          </cell>
          <cell r="H1918">
            <v>28.5</v>
          </cell>
          <cell r="I1918">
            <v>20</v>
          </cell>
          <cell r="J1918">
            <v>22.5</v>
          </cell>
          <cell r="K1918">
            <v>10.68</v>
          </cell>
          <cell r="L1918">
            <v>8.8999999999999996E-2</v>
          </cell>
          <cell r="M1918">
            <v>1.2825E-2</v>
          </cell>
        </row>
        <row r="1919">
          <cell r="A1919">
            <v>21130003</v>
          </cell>
          <cell r="B1919">
            <v>3118220022072</v>
          </cell>
          <cell r="C1919" t="str">
            <v>13118220022079</v>
          </cell>
          <cell r="D1919" t="str">
            <v>23118220022076</v>
          </cell>
          <cell r="E1919" t="str">
            <v>FOURCHETTE BOREAL + GENCOD</v>
          </cell>
          <cell r="F1919">
            <v>240</v>
          </cell>
          <cell r="G1919">
            <v>6</v>
          </cell>
          <cell r="H1919">
            <v>44</v>
          </cell>
          <cell r="I1919">
            <v>26</v>
          </cell>
          <cell r="J1919">
            <v>24.5</v>
          </cell>
          <cell r="K1919">
            <v>8.32</v>
          </cell>
          <cell r="L1919">
            <v>3.4666666666666665E-2</v>
          </cell>
          <cell r="M1919">
            <v>2.8028000000000001E-2</v>
          </cell>
        </row>
        <row r="1920">
          <cell r="A1920">
            <v>21130004</v>
          </cell>
          <cell r="B1920">
            <v>3118220022089</v>
          </cell>
          <cell r="C1920" t="str">
            <v>13118220022086</v>
          </cell>
          <cell r="D1920" t="str">
            <v>23118220022083</v>
          </cell>
          <cell r="E1920" t="str">
            <v>CUILLERE BOREAL + GENCOD</v>
          </cell>
          <cell r="F1920">
            <v>240</v>
          </cell>
          <cell r="G1920">
            <v>6</v>
          </cell>
          <cell r="H1920">
            <v>25</v>
          </cell>
          <cell r="I1920">
            <v>24</v>
          </cell>
          <cell r="J1920">
            <v>34.5</v>
          </cell>
          <cell r="K1920">
            <v>9.36</v>
          </cell>
          <cell r="L1920">
            <v>3.9E-2</v>
          </cell>
          <cell r="M1920">
            <v>2.07E-2</v>
          </cell>
        </row>
        <row r="1921">
          <cell r="A1921">
            <v>21130005</v>
          </cell>
          <cell r="B1921">
            <v>3118220022096</v>
          </cell>
          <cell r="C1921" t="str">
            <v>13118220022093</v>
          </cell>
          <cell r="D1921" t="str">
            <v>23118220022090</v>
          </cell>
          <cell r="E1921" t="str">
            <v>CAFE BOREAL + GENCOD</v>
          </cell>
          <cell r="F1921">
            <v>240</v>
          </cell>
          <cell r="G1921">
            <v>6</v>
          </cell>
          <cell r="H1921">
            <v>45</v>
          </cell>
          <cell r="I1921">
            <v>18</v>
          </cell>
          <cell r="J1921">
            <v>22</v>
          </cell>
          <cell r="K1921">
            <v>4.84</v>
          </cell>
          <cell r="L1921">
            <v>2.0166666666666666E-2</v>
          </cell>
          <cell r="M1921">
            <v>1.7819999999999999E-2</v>
          </cell>
        </row>
        <row r="1922">
          <cell r="A1922">
            <v>21130006</v>
          </cell>
          <cell r="B1922">
            <v>3118220038592</v>
          </cell>
          <cell r="E1922" t="str">
            <v>M16 TB COLLECTION BOREAL + GENCOD</v>
          </cell>
          <cell r="F1922">
            <v>6</v>
          </cell>
          <cell r="G1922">
            <v>6</v>
          </cell>
          <cell r="H1922">
            <v>40</v>
          </cell>
          <cell r="I1922">
            <v>31</v>
          </cell>
          <cell r="J1922">
            <v>26</v>
          </cell>
          <cell r="K1922">
            <v>5.28</v>
          </cell>
          <cell r="L1922">
            <v>0.88</v>
          </cell>
          <cell r="M1922">
            <v>3.2240000000000005E-2</v>
          </cell>
        </row>
        <row r="1923">
          <cell r="A1923">
            <v>21140001</v>
          </cell>
          <cell r="B1923">
            <v>3118220019614</v>
          </cell>
          <cell r="C1923" t="str">
            <v>13118220019611</v>
          </cell>
          <cell r="D1923" t="str">
            <v>23118220019618</v>
          </cell>
          <cell r="E1923" t="str">
            <v>M24 PALMA BOITE TB COLLECTION</v>
          </cell>
          <cell r="F1923">
            <v>6</v>
          </cell>
          <cell r="G1923">
            <v>6</v>
          </cell>
          <cell r="H1923">
            <v>20</v>
          </cell>
          <cell r="I1923">
            <v>24</v>
          </cell>
          <cell r="J1923">
            <v>28</v>
          </cell>
          <cell r="K1923">
            <v>8.952</v>
          </cell>
          <cell r="L1923">
            <v>1.492</v>
          </cell>
          <cell r="M1923">
            <v>1.3440000000000002E-2</v>
          </cell>
        </row>
        <row r="1924">
          <cell r="A1924">
            <v>21140002</v>
          </cell>
          <cell r="B1924">
            <v>3118220019973</v>
          </cell>
          <cell r="C1924" t="str">
            <v>13118220019970</v>
          </cell>
          <cell r="D1924" t="str">
            <v>23118220019977</v>
          </cell>
          <cell r="E1924" t="str">
            <v>COUTEAU PALMA + GENCOD</v>
          </cell>
          <cell r="F1924">
            <v>120</v>
          </cell>
          <cell r="G1924">
            <v>6</v>
          </cell>
          <cell r="H1924">
            <v>27.5</v>
          </cell>
          <cell r="I1924">
            <v>20</v>
          </cell>
          <cell r="J1924">
            <v>21.5</v>
          </cell>
          <cell r="K1924">
            <v>12.62</v>
          </cell>
          <cell r="L1924">
            <v>0.10516666666666666</v>
          </cell>
          <cell r="M1924">
            <v>1.1825E-2</v>
          </cell>
        </row>
        <row r="1925">
          <cell r="A1925">
            <v>21140003</v>
          </cell>
          <cell r="B1925">
            <v>3118220019980</v>
          </cell>
          <cell r="C1925" t="str">
            <v>13118220019987</v>
          </cell>
          <cell r="D1925" t="str">
            <v>23118220019984</v>
          </cell>
          <cell r="E1925" t="str">
            <v>FOURCHETTE PALMA + GENCOD</v>
          </cell>
          <cell r="F1925">
            <v>240</v>
          </cell>
          <cell r="G1925">
            <v>6</v>
          </cell>
          <cell r="H1925">
            <v>25</v>
          </cell>
          <cell r="I1925">
            <v>25</v>
          </cell>
          <cell r="J1925">
            <v>34.5</v>
          </cell>
          <cell r="K1925">
            <v>10.08</v>
          </cell>
          <cell r="L1925">
            <v>4.2000000000000003E-2</v>
          </cell>
          <cell r="M1925">
            <v>2.1562499999999998E-2</v>
          </cell>
        </row>
        <row r="1926">
          <cell r="A1926">
            <v>21140004</v>
          </cell>
          <cell r="B1926">
            <v>3118220019997</v>
          </cell>
          <cell r="C1926" t="str">
            <v>13118220019994</v>
          </cell>
          <cell r="D1926" t="str">
            <v>23118220019991</v>
          </cell>
          <cell r="E1926" t="str">
            <v>CUILLERE PALMA + GENCOD</v>
          </cell>
          <cell r="F1926">
            <v>240</v>
          </cell>
          <cell r="G1926">
            <v>6</v>
          </cell>
          <cell r="H1926">
            <v>24.5</v>
          </cell>
          <cell r="I1926">
            <v>25</v>
          </cell>
          <cell r="J1926">
            <v>34</v>
          </cell>
          <cell r="K1926">
            <v>14.2</v>
          </cell>
          <cell r="L1926">
            <v>5.9166666666666666E-2</v>
          </cell>
          <cell r="M1926">
            <v>2.0825E-2</v>
          </cell>
        </row>
        <row r="1927">
          <cell r="A1927">
            <v>21140005</v>
          </cell>
          <cell r="B1927">
            <v>3118220020009</v>
          </cell>
          <cell r="C1927" t="str">
            <v>13118220020006</v>
          </cell>
          <cell r="D1927" t="str">
            <v>23118220020003</v>
          </cell>
          <cell r="E1927" t="str">
            <v>CAFE PALMA + GENCOD</v>
          </cell>
          <cell r="F1927">
            <v>240</v>
          </cell>
          <cell r="G1927">
            <v>6</v>
          </cell>
          <cell r="H1927">
            <v>26</v>
          </cell>
          <cell r="I1927">
            <v>18.5</v>
          </cell>
          <cell r="J1927">
            <v>31</v>
          </cell>
          <cell r="K1927">
            <v>7.2</v>
          </cell>
          <cell r="L1927">
            <v>3.0000000000000002E-2</v>
          </cell>
          <cell r="M1927">
            <v>1.4911000000000001E-2</v>
          </cell>
        </row>
        <row r="1928">
          <cell r="A1928">
            <v>21140006</v>
          </cell>
          <cell r="B1928">
            <v>3118220026865</v>
          </cell>
          <cell r="E1928" t="str">
            <v>COUTEAU PALMA 18/10 PROMOCASH</v>
          </cell>
          <cell r="F1928">
            <v>72</v>
          </cell>
          <cell r="G1928">
            <v>12</v>
          </cell>
          <cell r="H1928">
            <v>30.5</v>
          </cell>
          <cell r="I1928">
            <v>21.5</v>
          </cell>
          <cell r="J1928">
            <v>17.5</v>
          </cell>
          <cell r="K1928">
            <v>7.6319999999999997</v>
          </cell>
          <cell r="L1928">
            <v>0.106</v>
          </cell>
          <cell r="M1928">
            <v>1.1475624999999998E-2</v>
          </cell>
        </row>
        <row r="1929">
          <cell r="A1929">
            <v>21140008</v>
          </cell>
          <cell r="B1929">
            <v>3118220026889</v>
          </cell>
          <cell r="E1929" t="str">
            <v>CUILLERE PALMA 18/10 PROMOCASH</v>
          </cell>
          <cell r="F1929">
            <v>72</v>
          </cell>
          <cell r="G1929">
            <v>12</v>
          </cell>
          <cell r="H1929">
            <v>30</v>
          </cell>
          <cell r="I1929">
            <v>22</v>
          </cell>
          <cell r="J1929">
            <v>17.5</v>
          </cell>
          <cell r="K1929">
            <v>4.1580000000000004</v>
          </cell>
          <cell r="L1929">
            <v>5.7750000000000003E-2</v>
          </cell>
          <cell r="M1929">
            <v>1.155E-2</v>
          </cell>
        </row>
        <row r="1930">
          <cell r="A1930">
            <v>21140009</v>
          </cell>
          <cell r="B1930">
            <v>3118220026896</v>
          </cell>
          <cell r="E1930" t="str">
            <v>CAFE PALMA 18/10 PROMOCASH</v>
          </cell>
          <cell r="F1930">
            <v>72</v>
          </cell>
          <cell r="G1930">
            <v>12</v>
          </cell>
          <cell r="H1930">
            <v>30</v>
          </cell>
          <cell r="I1930">
            <v>22</v>
          </cell>
          <cell r="J1930">
            <v>12.5</v>
          </cell>
          <cell r="K1930">
            <v>2.5710000000000002</v>
          </cell>
          <cell r="L1930">
            <v>3.5708333333333335E-2</v>
          </cell>
          <cell r="M1930">
            <v>8.2500000000000004E-3</v>
          </cell>
        </row>
        <row r="1931">
          <cell r="A1931">
            <v>21140010</v>
          </cell>
          <cell r="B1931">
            <v>3118220038622</v>
          </cell>
          <cell r="E1931" t="str">
            <v>M16 TB COLLECTION PALMA + GENCOD</v>
          </cell>
          <cell r="F1931">
            <v>6</v>
          </cell>
          <cell r="G1931">
            <v>6</v>
          </cell>
          <cell r="H1931">
            <v>40</v>
          </cell>
          <cell r="I1931">
            <v>31</v>
          </cell>
          <cell r="J1931">
            <v>26</v>
          </cell>
          <cell r="K1931">
            <v>6.58</v>
          </cell>
          <cell r="L1931">
            <v>1.0966666666666667</v>
          </cell>
          <cell r="M1931">
            <v>3.2240000000000005E-2</v>
          </cell>
        </row>
        <row r="1932">
          <cell r="A1932">
            <v>21150001</v>
          </cell>
          <cell r="B1932">
            <v>3118220019621</v>
          </cell>
          <cell r="E1932" t="str">
            <v>M24 OLA BOITE TB COLLECTION</v>
          </cell>
          <cell r="F1932">
            <v>6</v>
          </cell>
          <cell r="G1932">
            <v>6</v>
          </cell>
          <cell r="H1932">
            <v>30</v>
          </cell>
          <cell r="I1932">
            <v>24</v>
          </cell>
          <cell r="J1932">
            <v>28</v>
          </cell>
          <cell r="K1932">
            <v>9.18</v>
          </cell>
          <cell r="L1932">
            <v>1.53</v>
          </cell>
          <cell r="M1932">
            <v>2.0160000000000001E-2</v>
          </cell>
        </row>
        <row r="1933">
          <cell r="A1933">
            <v>21150002</v>
          </cell>
          <cell r="B1933">
            <v>3118220019638</v>
          </cell>
          <cell r="C1933" t="str">
            <v>13118220019635</v>
          </cell>
          <cell r="D1933" t="str">
            <v>23118220019632</v>
          </cell>
          <cell r="E1933" t="str">
            <v>COUTEAU OLA + GENCOD</v>
          </cell>
          <cell r="F1933">
            <v>120</v>
          </cell>
          <cell r="G1933">
            <v>6</v>
          </cell>
          <cell r="H1933">
            <v>28</v>
          </cell>
          <cell r="I1933">
            <v>20</v>
          </cell>
          <cell r="J1933">
            <v>22.5</v>
          </cell>
          <cell r="K1933">
            <v>10.86</v>
          </cell>
          <cell r="L1933">
            <v>9.0499999999999997E-2</v>
          </cell>
          <cell r="M1933">
            <v>1.2600000000000002E-2</v>
          </cell>
        </row>
        <row r="1934">
          <cell r="A1934">
            <v>21150003</v>
          </cell>
          <cell r="B1934">
            <v>3118220020023</v>
          </cell>
          <cell r="C1934" t="str">
            <v>13118220020020</v>
          </cell>
          <cell r="D1934" t="str">
            <v>23118220020027</v>
          </cell>
          <cell r="E1934" t="str">
            <v>FOURCHETTE OLA + GENCOD</v>
          </cell>
          <cell r="F1934">
            <v>240</v>
          </cell>
          <cell r="G1934">
            <v>6</v>
          </cell>
          <cell r="H1934">
            <v>45</v>
          </cell>
          <cell r="I1934">
            <v>26</v>
          </cell>
          <cell r="J1934">
            <v>25</v>
          </cell>
          <cell r="K1934">
            <v>10.56</v>
          </cell>
          <cell r="L1934">
            <v>4.4000000000000004E-2</v>
          </cell>
          <cell r="M1934">
            <v>2.9250000000000002E-2</v>
          </cell>
        </row>
        <row r="1935">
          <cell r="A1935">
            <v>21150004</v>
          </cell>
          <cell r="B1935">
            <v>3118220020030</v>
          </cell>
          <cell r="C1935" t="str">
            <v>13118220020037</v>
          </cell>
          <cell r="D1935" t="str">
            <v>23118220020034</v>
          </cell>
          <cell r="E1935" t="str">
            <v>CUILLERE OLA + GENCOD</v>
          </cell>
          <cell r="F1935">
            <v>240</v>
          </cell>
          <cell r="G1935">
            <v>6</v>
          </cell>
          <cell r="H1935">
            <v>45</v>
          </cell>
          <cell r="I1935">
            <v>25</v>
          </cell>
          <cell r="J1935">
            <v>25</v>
          </cell>
          <cell r="K1935">
            <v>13.96</v>
          </cell>
          <cell r="L1935">
            <v>5.8166666666666672E-2</v>
          </cell>
          <cell r="M1935">
            <v>2.8125000000000001E-2</v>
          </cell>
        </row>
        <row r="1936">
          <cell r="A1936">
            <v>21150005</v>
          </cell>
          <cell r="B1936">
            <v>3118220020047</v>
          </cell>
          <cell r="C1936" t="str">
            <v>13118220020044</v>
          </cell>
          <cell r="D1936" t="str">
            <v>23118220020041</v>
          </cell>
          <cell r="E1936" t="str">
            <v>CAFE OLA + GENCOD</v>
          </cell>
          <cell r="F1936">
            <v>240</v>
          </cell>
          <cell r="G1936">
            <v>6</v>
          </cell>
          <cell r="H1936">
            <v>45</v>
          </cell>
          <cell r="I1936">
            <v>18.5</v>
          </cell>
          <cell r="J1936">
            <v>22</v>
          </cell>
          <cell r="K1936">
            <v>5</v>
          </cell>
          <cell r="L1936">
            <v>2.0833333333333332E-2</v>
          </cell>
          <cell r="M1936">
            <v>1.8315000000000001E-2</v>
          </cell>
        </row>
        <row r="1937">
          <cell r="A1937">
            <v>21150006</v>
          </cell>
          <cell r="B1937">
            <v>3118220038608</v>
          </cell>
          <cell r="E1937" t="str">
            <v>M16 TB COLLECTION OLA + GENCOD</v>
          </cell>
          <cell r="F1937">
            <v>6</v>
          </cell>
          <cell r="G1937">
            <v>6</v>
          </cell>
          <cell r="H1937">
            <v>31</v>
          </cell>
          <cell r="I1937">
            <v>27.5</v>
          </cell>
          <cell r="J1937">
            <v>31</v>
          </cell>
          <cell r="K1937">
            <v>6.36</v>
          </cell>
          <cell r="L1937">
            <v>1.06</v>
          </cell>
          <cell r="M1937">
            <v>2.6427500000000003E-2</v>
          </cell>
        </row>
        <row r="1938">
          <cell r="A1938">
            <v>21160001</v>
          </cell>
          <cell r="B1938">
            <v>3118220019645</v>
          </cell>
          <cell r="C1938" t="str">
            <v>13118220019642</v>
          </cell>
          <cell r="D1938" t="str">
            <v>23118220019649</v>
          </cell>
          <cell r="E1938" t="str">
            <v>M24 IMPERIAL BOITE LISA</v>
          </cell>
          <cell r="F1938">
            <v>6</v>
          </cell>
          <cell r="G1938">
            <v>6</v>
          </cell>
          <cell r="H1938">
            <v>30</v>
          </cell>
          <cell r="I1938">
            <v>24</v>
          </cell>
          <cell r="J1938">
            <v>28</v>
          </cell>
          <cell r="K1938">
            <v>8.5139999999999993</v>
          </cell>
          <cell r="L1938">
            <v>1.4189999999999998</v>
          </cell>
          <cell r="M1938">
            <v>2.0160000000000001E-2</v>
          </cell>
        </row>
        <row r="1939">
          <cell r="A1939">
            <v>21160002</v>
          </cell>
          <cell r="B1939">
            <v>3118220020016</v>
          </cell>
          <cell r="C1939" t="str">
            <v>13118220020013</v>
          </cell>
          <cell r="D1939" t="str">
            <v>23118220020010</v>
          </cell>
          <cell r="E1939" t="str">
            <v>COUTEAUX IMPERIAL + GENCOD</v>
          </cell>
          <cell r="F1939">
            <v>240</v>
          </cell>
          <cell r="G1939">
            <v>6</v>
          </cell>
          <cell r="H1939">
            <v>44</v>
          </cell>
          <cell r="I1939">
            <v>28</v>
          </cell>
          <cell r="J1939">
            <v>29</v>
          </cell>
          <cell r="K1939">
            <v>18.079999999999998</v>
          </cell>
          <cell r="L1939">
            <v>7.5333333333333322E-2</v>
          </cell>
          <cell r="M1939">
            <v>3.5728000000000003E-2</v>
          </cell>
        </row>
        <row r="1940">
          <cell r="A1940">
            <v>21160003</v>
          </cell>
          <cell r="B1940">
            <v>3118220022034</v>
          </cell>
          <cell r="C1940" t="str">
            <v>13118220022031</v>
          </cell>
          <cell r="D1940" t="str">
            <v>23118220022038</v>
          </cell>
          <cell r="E1940" t="str">
            <v>FOURCHETTE IMPERIAL + GENCOD</v>
          </cell>
          <cell r="F1940">
            <v>240</v>
          </cell>
          <cell r="G1940">
            <v>6</v>
          </cell>
          <cell r="H1940">
            <v>45</v>
          </cell>
          <cell r="I1940">
            <v>26</v>
          </cell>
          <cell r="J1940">
            <v>25</v>
          </cell>
          <cell r="K1940">
            <v>12.72</v>
          </cell>
          <cell r="L1940">
            <v>5.3000000000000005E-2</v>
          </cell>
          <cell r="M1940">
            <v>2.9250000000000002E-2</v>
          </cell>
        </row>
        <row r="1941">
          <cell r="A1941">
            <v>21160004</v>
          </cell>
          <cell r="B1941">
            <v>3118220022041</v>
          </cell>
          <cell r="C1941" t="str">
            <v>13118220022048</v>
          </cell>
          <cell r="D1941" t="str">
            <v>23118220022045</v>
          </cell>
          <cell r="E1941" t="str">
            <v>CUILLERE IMPERIAL + GENCOD</v>
          </cell>
          <cell r="F1941">
            <v>240</v>
          </cell>
          <cell r="G1941">
            <v>6</v>
          </cell>
          <cell r="H1941">
            <v>45</v>
          </cell>
          <cell r="I1941">
            <v>26</v>
          </cell>
          <cell r="J1941">
            <v>25</v>
          </cell>
          <cell r="K1941">
            <v>16.994</v>
          </cell>
          <cell r="L1941">
            <v>7.0808333333333334E-2</v>
          </cell>
          <cell r="M1941">
            <v>2.9250000000000002E-2</v>
          </cell>
        </row>
        <row r="1942">
          <cell r="A1942">
            <v>21160005</v>
          </cell>
          <cell r="B1942">
            <v>3118220022058</v>
          </cell>
          <cell r="C1942" t="str">
            <v>13118220022055</v>
          </cell>
          <cell r="D1942" t="str">
            <v>23118220022052</v>
          </cell>
          <cell r="E1942" t="str">
            <v>CAFE IMPERIAL + GENCOD</v>
          </cell>
          <cell r="F1942">
            <v>240</v>
          </cell>
          <cell r="G1942">
            <v>6</v>
          </cell>
          <cell r="H1942">
            <v>45</v>
          </cell>
          <cell r="I1942">
            <v>19</v>
          </cell>
          <cell r="J1942">
            <v>22</v>
          </cell>
          <cell r="K1942">
            <v>6.72</v>
          </cell>
          <cell r="L1942">
            <v>2.8000000000000001E-2</v>
          </cell>
          <cell r="M1942">
            <v>1.8810000000000004E-2</v>
          </cell>
        </row>
        <row r="1943">
          <cell r="A1943">
            <v>21160012</v>
          </cell>
          <cell r="B1943">
            <v>3118220027275</v>
          </cell>
          <cell r="E1943" t="str">
            <v>CUILLERE DESSERT IMPERIAL PROMOCASH</v>
          </cell>
          <cell r="F1943">
            <v>72</v>
          </cell>
          <cell r="G1943">
            <v>12</v>
          </cell>
          <cell r="H1943">
            <v>30</v>
          </cell>
          <cell r="I1943">
            <v>22</v>
          </cell>
          <cell r="J1943">
            <v>18</v>
          </cell>
          <cell r="K1943">
            <v>3.24</v>
          </cell>
          <cell r="L1943">
            <v>4.5000000000000005E-2</v>
          </cell>
          <cell r="M1943">
            <v>1.1880000000000002E-2</v>
          </cell>
        </row>
        <row r="1944">
          <cell r="A1944">
            <v>21160016</v>
          </cell>
          <cell r="B1944">
            <v>3118220038646</v>
          </cell>
          <cell r="E1944" t="str">
            <v>M16 TB COLLECTION IMPERIAL + GENCOD</v>
          </cell>
          <cell r="F1944">
            <v>6</v>
          </cell>
          <cell r="G1944">
            <v>6</v>
          </cell>
          <cell r="H1944">
            <v>40</v>
          </cell>
          <cell r="I1944">
            <v>31</v>
          </cell>
          <cell r="J1944">
            <v>26</v>
          </cell>
          <cell r="K1944">
            <v>6.12</v>
          </cell>
          <cell r="L1944">
            <v>1.02</v>
          </cell>
          <cell r="M1944">
            <v>3.2240000000000005E-2</v>
          </cell>
        </row>
        <row r="1945">
          <cell r="A1945">
            <v>21160017</v>
          </cell>
          <cell r="B1945">
            <v>3118220046863</v>
          </cell>
          <cell r="E1945" t="str">
            <v>COUTEAU DESSERT IMPERIAL + GENCOD</v>
          </cell>
          <cell r="F1945">
            <v>240</v>
          </cell>
          <cell r="G1945">
            <v>6</v>
          </cell>
          <cell r="H1945">
            <v>31.5</v>
          </cell>
          <cell r="I1945">
            <v>19</v>
          </cell>
          <cell r="J1945">
            <v>9</v>
          </cell>
          <cell r="K1945">
            <v>8.4</v>
          </cell>
          <cell r="L1945">
            <v>3.5000000000000003E-2</v>
          </cell>
          <cell r="M1945">
            <v>5.3864999999999998E-3</v>
          </cell>
        </row>
        <row r="1946">
          <cell r="A1946">
            <v>21160018</v>
          </cell>
          <cell r="B1946">
            <v>3118220046870</v>
          </cell>
          <cell r="E1946" t="str">
            <v>FOURCHETTE DESSERT IMPERIAL + GENCOD</v>
          </cell>
          <cell r="F1946">
            <v>240</v>
          </cell>
          <cell r="G1946">
            <v>6</v>
          </cell>
          <cell r="H1946">
            <v>31.5</v>
          </cell>
          <cell r="I1946">
            <v>19</v>
          </cell>
          <cell r="J1946">
            <v>9</v>
          </cell>
          <cell r="K1946">
            <v>8.0299999999999994</v>
          </cell>
          <cell r="L1946">
            <v>3.3458333333333333E-2</v>
          </cell>
          <cell r="M1946">
            <v>5.3864999999999998E-3</v>
          </cell>
        </row>
        <row r="1947">
          <cell r="A1947">
            <v>21160019</v>
          </cell>
          <cell r="B1947">
            <v>3118220046887</v>
          </cell>
          <cell r="E1947" t="str">
            <v>COUTEAU POISSON IMPERIAL + GENCOD</v>
          </cell>
          <cell r="F1947">
            <v>240</v>
          </cell>
          <cell r="G1947">
            <v>6</v>
          </cell>
          <cell r="H1947">
            <v>31.5</v>
          </cell>
          <cell r="I1947">
            <v>19</v>
          </cell>
          <cell r="J1947">
            <v>9</v>
          </cell>
          <cell r="K1947">
            <v>6.99</v>
          </cell>
          <cell r="L1947">
            <v>2.9125000000000002E-2</v>
          </cell>
          <cell r="M1947">
            <v>5.3864999999999998E-3</v>
          </cell>
        </row>
        <row r="1948">
          <cell r="A1948">
            <v>21160020</v>
          </cell>
          <cell r="B1948">
            <v>3118220046894</v>
          </cell>
          <cell r="E1948" t="str">
            <v>FOURCHETTE POISSON IMPERIAL + GENCOD</v>
          </cell>
          <cell r="F1948">
            <v>240</v>
          </cell>
          <cell r="G1948">
            <v>6</v>
          </cell>
          <cell r="H1948">
            <v>31.5</v>
          </cell>
          <cell r="I1948">
            <v>19</v>
          </cell>
          <cell r="J1948">
            <v>9</v>
          </cell>
          <cell r="K1948">
            <v>8.73</v>
          </cell>
          <cell r="L1948">
            <v>3.6375000000000005E-2</v>
          </cell>
          <cell r="M1948">
            <v>5.3864999999999998E-3</v>
          </cell>
        </row>
        <row r="1949">
          <cell r="A1949">
            <v>21170003</v>
          </cell>
          <cell r="B1949">
            <v>3118220024823</v>
          </cell>
          <cell r="E1949" t="str">
            <v>COUTEAU BRUME NOIR + GENCOD</v>
          </cell>
          <cell r="F1949">
            <v>240</v>
          </cell>
          <cell r="G1949">
            <v>6</v>
          </cell>
          <cell r="H1949">
            <v>44</v>
          </cell>
          <cell r="I1949">
            <v>29</v>
          </cell>
          <cell r="J1949">
            <v>27</v>
          </cell>
          <cell r="K1949">
            <v>18.579999999999998</v>
          </cell>
          <cell r="L1949">
            <v>7.7416666666666661E-2</v>
          </cell>
          <cell r="M1949">
            <v>3.4451999999999997E-2</v>
          </cell>
        </row>
        <row r="1950">
          <cell r="A1950">
            <v>21170005</v>
          </cell>
          <cell r="B1950">
            <v>3118220024847</v>
          </cell>
          <cell r="E1950" t="str">
            <v>CUILLERE BRUME NOIR + GENCOD</v>
          </cell>
          <cell r="F1950">
            <v>240</v>
          </cell>
          <cell r="G1950">
            <v>6</v>
          </cell>
          <cell r="H1950">
            <v>44</v>
          </cell>
          <cell r="I1950">
            <v>25.5</v>
          </cell>
          <cell r="J1950">
            <v>24</v>
          </cell>
          <cell r="K1950">
            <v>18.853000000000002</v>
          </cell>
          <cell r="L1950">
            <v>7.8554166666666675E-2</v>
          </cell>
          <cell r="M1950">
            <v>2.6928000000000001E-2</v>
          </cell>
        </row>
        <row r="1951">
          <cell r="A1951">
            <v>21170007</v>
          </cell>
          <cell r="B1951">
            <v>3118220024861</v>
          </cell>
          <cell r="E1951" t="str">
            <v>COUTEAU BRUME AUBERGINE + GENCOD</v>
          </cell>
          <cell r="F1951">
            <v>240</v>
          </cell>
          <cell r="G1951">
            <v>6</v>
          </cell>
          <cell r="H1951">
            <v>44</v>
          </cell>
          <cell r="I1951">
            <v>29</v>
          </cell>
          <cell r="J1951">
            <v>27</v>
          </cell>
          <cell r="K1951">
            <v>18.579999999999998</v>
          </cell>
          <cell r="L1951">
            <v>7.7416666666666661E-2</v>
          </cell>
          <cell r="M1951">
            <v>3.4451999999999997E-2</v>
          </cell>
        </row>
        <row r="1952">
          <cell r="A1952">
            <v>21170008</v>
          </cell>
          <cell r="B1952">
            <v>3118220024878</v>
          </cell>
          <cell r="E1952" t="str">
            <v>FOURCHETTE BRUME AUBERGINE + GENCOD</v>
          </cell>
          <cell r="F1952">
            <v>240</v>
          </cell>
          <cell r="G1952">
            <v>6</v>
          </cell>
          <cell r="H1952">
            <v>44</v>
          </cell>
          <cell r="I1952">
            <v>25</v>
          </cell>
          <cell r="J1952">
            <v>18.5</v>
          </cell>
          <cell r="K1952">
            <v>15.26</v>
          </cell>
          <cell r="L1952">
            <v>6.3583333333333339E-2</v>
          </cell>
          <cell r="M1952">
            <v>2.035E-2</v>
          </cell>
        </row>
        <row r="1953">
          <cell r="A1953">
            <v>21170009</v>
          </cell>
          <cell r="B1953">
            <v>3118220024885</v>
          </cell>
          <cell r="E1953" t="str">
            <v>CUILLERE BRUME AUBERGINE + GENCOD</v>
          </cell>
          <cell r="F1953">
            <v>240</v>
          </cell>
          <cell r="G1953">
            <v>6</v>
          </cell>
          <cell r="H1953">
            <v>44</v>
          </cell>
          <cell r="I1953">
            <v>25.5</v>
          </cell>
          <cell r="J1953">
            <v>24</v>
          </cell>
          <cell r="K1953">
            <v>18.853000000000002</v>
          </cell>
          <cell r="L1953">
            <v>7.8554166666666675E-2</v>
          </cell>
          <cell r="M1953">
            <v>2.6928000000000001E-2</v>
          </cell>
        </row>
        <row r="1954">
          <cell r="A1954">
            <v>21170010</v>
          </cell>
          <cell r="B1954">
            <v>3118220024892</v>
          </cell>
          <cell r="E1954" t="str">
            <v>CAFE BRUME AUBERGINE + GENCOD</v>
          </cell>
          <cell r="F1954">
            <v>240</v>
          </cell>
          <cell r="G1954">
            <v>6</v>
          </cell>
          <cell r="H1954">
            <v>36.5</v>
          </cell>
          <cell r="I1954">
            <v>18.5</v>
          </cell>
          <cell r="J1954">
            <v>23</v>
          </cell>
          <cell r="K1954">
            <v>7.016</v>
          </cell>
          <cell r="L1954">
            <v>2.9233333333333333E-2</v>
          </cell>
          <cell r="M1954">
            <v>1.5530749999999999E-2</v>
          </cell>
        </row>
        <row r="1955">
          <cell r="A1955">
            <v>21180001</v>
          </cell>
          <cell r="B1955">
            <v>3118220020955</v>
          </cell>
          <cell r="E1955" t="str">
            <v>M16 COLLIOURE 18/10 BOITE PREMIUM</v>
          </cell>
          <cell r="F1955">
            <v>6</v>
          </cell>
          <cell r="G1955">
            <v>6</v>
          </cell>
          <cell r="H1955">
            <v>30</v>
          </cell>
          <cell r="I1955">
            <v>27.5</v>
          </cell>
          <cell r="J1955">
            <v>30.5</v>
          </cell>
          <cell r="K1955">
            <v>8.0359999999999996</v>
          </cell>
          <cell r="L1955">
            <v>1.3393333333333333</v>
          </cell>
          <cell r="M1955">
            <v>2.5162500000000004E-2</v>
          </cell>
        </row>
        <row r="1956">
          <cell r="A1956">
            <v>21180002</v>
          </cell>
          <cell r="B1956">
            <v>3118220022768</v>
          </cell>
          <cell r="E1956" t="str">
            <v>COUTEAU COLLIOURE + GENCOD</v>
          </cell>
          <cell r="F1956">
            <v>120</v>
          </cell>
          <cell r="G1956">
            <v>6</v>
          </cell>
          <cell r="H1956">
            <v>47</v>
          </cell>
          <cell r="I1956">
            <v>14.5</v>
          </cell>
          <cell r="J1956">
            <v>11</v>
          </cell>
          <cell r="K1956">
            <v>11.59</v>
          </cell>
          <cell r="L1956">
            <v>9.6583333333333327E-2</v>
          </cell>
          <cell r="M1956">
            <v>7.4964999999999997E-3</v>
          </cell>
        </row>
        <row r="1957">
          <cell r="A1957">
            <v>21180003</v>
          </cell>
          <cell r="B1957">
            <v>3118220022775</v>
          </cell>
          <cell r="E1957" t="str">
            <v>FOURCHETTE COLLIOURE 18/10 + GENCOD</v>
          </cell>
          <cell r="F1957">
            <v>120</v>
          </cell>
          <cell r="G1957">
            <v>6</v>
          </cell>
          <cell r="H1957">
            <v>40</v>
          </cell>
          <cell r="I1957">
            <v>14.5</v>
          </cell>
          <cell r="J1957">
            <v>8.5</v>
          </cell>
          <cell r="K1957">
            <v>7.56</v>
          </cell>
          <cell r="L1957">
            <v>6.3E-2</v>
          </cell>
          <cell r="M1957">
            <v>4.9300000000000012E-3</v>
          </cell>
        </row>
        <row r="1958">
          <cell r="A1958">
            <v>21180004</v>
          </cell>
          <cell r="B1958">
            <v>3118220022782</v>
          </cell>
          <cell r="E1958" t="str">
            <v>CUILLERE COLLIOURE 18/10 + GENCOD</v>
          </cell>
          <cell r="F1958">
            <v>120</v>
          </cell>
          <cell r="G1958">
            <v>6</v>
          </cell>
          <cell r="H1958">
            <v>47</v>
          </cell>
          <cell r="I1958">
            <v>14.5</v>
          </cell>
          <cell r="J1958">
            <v>11</v>
          </cell>
          <cell r="K1958">
            <v>9.27</v>
          </cell>
          <cell r="L1958">
            <v>7.7249999999999999E-2</v>
          </cell>
          <cell r="M1958">
            <v>7.4964999999999997E-3</v>
          </cell>
        </row>
        <row r="1959">
          <cell r="A1959">
            <v>21180005</v>
          </cell>
          <cell r="B1959">
            <v>3118220022799</v>
          </cell>
          <cell r="E1959" t="str">
            <v>CAFE COLLIOURE 18/10 + GENCOD</v>
          </cell>
          <cell r="F1959">
            <v>120</v>
          </cell>
          <cell r="G1959">
            <v>6</v>
          </cell>
          <cell r="H1959">
            <v>40</v>
          </cell>
          <cell r="I1959">
            <v>12.5</v>
          </cell>
          <cell r="J1959">
            <v>8.5</v>
          </cell>
          <cell r="K1959">
            <v>3.86</v>
          </cell>
          <cell r="L1959">
            <v>3.2166666666666663E-2</v>
          </cell>
          <cell r="M1959">
            <v>4.2500000000000003E-3</v>
          </cell>
        </row>
        <row r="1960">
          <cell r="A1960">
            <v>21180006</v>
          </cell>
          <cell r="B1960">
            <v>3118220024045</v>
          </cell>
          <cell r="E1960" t="str">
            <v>COUTEAU COLLIOURE SUR CARTE PEGB GENCOD</v>
          </cell>
          <cell r="F1960">
            <v>120</v>
          </cell>
          <cell r="G1960">
            <v>6</v>
          </cell>
          <cell r="H1960">
            <v>35</v>
          </cell>
          <cell r="I1960">
            <v>33.5</v>
          </cell>
          <cell r="J1960">
            <v>33</v>
          </cell>
          <cell r="K1960">
            <v>17.651</v>
          </cell>
          <cell r="L1960">
            <v>0.14709166666666668</v>
          </cell>
          <cell r="M1960">
            <v>3.8692499999999998E-2</v>
          </cell>
        </row>
        <row r="1961">
          <cell r="A1961">
            <v>21180007</v>
          </cell>
          <cell r="B1961">
            <v>3118220024052</v>
          </cell>
          <cell r="E1961" t="str">
            <v>FOURCHETTE COLLIOURE 18/10 SUR CARTE PEGB GENCOD</v>
          </cell>
          <cell r="F1961">
            <v>120</v>
          </cell>
          <cell r="G1961">
            <v>6</v>
          </cell>
          <cell r="H1961">
            <v>54.5</v>
          </cell>
          <cell r="I1961">
            <v>35.5</v>
          </cell>
          <cell r="J1961">
            <v>33.5</v>
          </cell>
          <cell r="K1961">
            <v>13.603</v>
          </cell>
          <cell r="L1961">
            <v>0.11335833333333332</v>
          </cell>
          <cell r="M1961">
            <v>6.4814125E-2</v>
          </cell>
        </row>
        <row r="1962">
          <cell r="A1962">
            <v>21180008</v>
          </cell>
          <cell r="B1962">
            <v>3118220024069</v>
          </cell>
          <cell r="E1962" t="str">
            <v>CUILLERE COLLIOURE 18/10 SUR CARTE PEGB GENCOD</v>
          </cell>
          <cell r="F1962">
            <v>120</v>
          </cell>
          <cell r="G1962">
            <v>6</v>
          </cell>
          <cell r="H1962">
            <v>54</v>
          </cell>
          <cell r="I1962">
            <v>35.5</v>
          </cell>
          <cell r="J1962">
            <v>34</v>
          </cell>
          <cell r="K1962">
            <v>15.324</v>
          </cell>
          <cell r="L1962">
            <v>0.12770000000000001</v>
          </cell>
          <cell r="M1962">
            <v>6.5178E-2</v>
          </cell>
        </row>
        <row r="1963">
          <cell r="A1963">
            <v>21180009</v>
          </cell>
          <cell r="B1963">
            <v>3118220024076</v>
          </cell>
          <cell r="E1963" t="str">
            <v>CAFE COLLIOURE 18/10 SUR CARTE PEGB GENCOD</v>
          </cell>
          <cell r="F1963">
            <v>240</v>
          </cell>
          <cell r="G1963">
            <v>6</v>
          </cell>
          <cell r="H1963">
            <v>52.5</v>
          </cell>
          <cell r="I1963">
            <v>41.5</v>
          </cell>
          <cell r="J1963">
            <v>33.5</v>
          </cell>
          <cell r="K1963">
            <v>16.169</v>
          </cell>
          <cell r="L1963">
            <v>6.7370833333333338E-2</v>
          </cell>
          <cell r="M1963">
            <v>7.2988125000000001E-2</v>
          </cell>
        </row>
        <row r="1964">
          <cell r="A1964">
            <v>21190001</v>
          </cell>
          <cell r="B1964">
            <v>3118220020962</v>
          </cell>
          <cell r="C1964" t="str">
            <v>13118220020969</v>
          </cell>
          <cell r="D1964" t="str">
            <v>23118220020966</v>
          </cell>
          <cell r="E1964" t="str">
            <v>M16 PAIMPOL 18/10 BOITE PREMIUM</v>
          </cell>
          <cell r="F1964">
            <v>6</v>
          </cell>
          <cell r="G1964">
            <v>6</v>
          </cell>
          <cell r="H1964">
            <v>30</v>
          </cell>
          <cell r="I1964">
            <v>27.5</v>
          </cell>
          <cell r="J1964">
            <v>30.5</v>
          </cell>
          <cell r="K1964">
            <v>8.3219999999999992</v>
          </cell>
          <cell r="L1964">
            <v>1.3869999999999998</v>
          </cell>
          <cell r="M1964">
            <v>2.5162500000000004E-2</v>
          </cell>
        </row>
        <row r="1965">
          <cell r="A1965">
            <v>21190002</v>
          </cell>
          <cell r="B1965">
            <v>3118220022805</v>
          </cell>
          <cell r="C1965" t="str">
            <v>13118220022802</v>
          </cell>
          <cell r="D1965" t="str">
            <v>23118220022809</v>
          </cell>
          <cell r="E1965" t="str">
            <v>COUTEAU PAIMPOL + GENCOD</v>
          </cell>
          <cell r="F1965">
            <v>120</v>
          </cell>
          <cell r="G1965">
            <v>6</v>
          </cell>
          <cell r="H1965">
            <v>47</v>
          </cell>
          <cell r="I1965">
            <v>14.5</v>
          </cell>
          <cell r="J1965">
            <v>11</v>
          </cell>
          <cell r="K1965">
            <v>11.84</v>
          </cell>
          <cell r="L1965">
            <v>9.8666666666666666E-2</v>
          </cell>
          <cell r="M1965">
            <v>7.4964999999999997E-3</v>
          </cell>
        </row>
        <row r="1966">
          <cell r="A1966">
            <v>20110061</v>
          </cell>
          <cell r="B1966" t="str">
            <v>3118220056909</v>
          </cell>
          <cell r="C1966" t="str">
            <v>13118220056906</v>
          </cell>
          <cell r="D1966" t="str">
            <v>23118220056903</v>
          </cell>
          <cell r="E1966" t="str">
            <v>M16 LAGUIOLE HERITAGE PVD NOIR EN BOITE LAGUIOLE</v>
          </cell>
          <cell r="F1966">
            <v>6</v>
          </cell>
          <cell r="G1966">
            <v>6</v>
          </cell>
          <cell r="H1966">
            <v>30</v>
          </cell>
          <cell r="I1966">
            <v>27.5</v>
          </cell>
          <cell r="J1966">
            <v>30.5</v>
          </cell>
          <cell r="K1966">
            <v>8.5619999999999994</v>
          </cell>
          <cell r="L1966">
            <v>1.4269999999999998</v>
          </cell>
          <cell r="M1966">
            <v>2.5162500000000004E-2</v>
          </cell>
        </row>
        <row r="1967">
          <cell r="A1967">
            <v>21190004</v>
          </cell>
          <cell r="B1967">
            <v>3118220022829</v>
          </cell>
          <cell r="C1967" t="str">
            <v>13118220022826</v>
          </cell>
          <cell r="D1967" t="str">
            <v>23118220022823</v>
          </cell>
          <cell r="E1967" t="str">
            <v>CUILLERE PAIMPOL 18/10 + GENCOD</v>
          </cell>
          <cell r="F1967">
            <v>120</v>
          </cell>
          <cell r="G1967">
            <v>6</v>
          </cell>
          <cell r="H1967">
            <v>47</v>
          </cell>
          <cell r="I1967">
            <v>14.5</v>
          </cell>
          <cell r="J1967">
            <v>11</v>
          </cell>
          <cell r="K1967">
            <v>10.55</v>
          </cell>
          <cell r="L1967">
            <v>8.7916666666666671E-2</v>
          </cell>
          <cell r="M1967">
            <v>7.4964999999999997E-3</v>
          </cell>
        </row>
        <row r="1968">
          <cell r="A1968">
            <v>21190005</v>
          </cell>
          <cell r="B1968">
            <v>3118220022836</v>
          </cell>
          <cell r="C1968" t="str">
            <v>13118220022833</v>
          </cell>
          <cell r="D1968" t="str">
            <v>23118220022830</v>
          </cell>
          <cell r="E1968" t="str">
            <v>CAFE PAIMPOL 18/10 + GENCOD</v>
          </cell>
          <cell r="F1968">
            <v>120</v>
          </cell>
          <cell r="G1968">
            <v>6</v>
          </cell>
          <cell r="H1968">
            <v>40</v>
          </cell>
          <cell r="I1968">
            <v>12.5</v>
          </cell>
          <cell r="J1968">
            <v>8.5</v>
          </cell>
          <cell r="K1968">
            <v>4.43</v>
          </cell>
          <cell r="L1968">
            <v>3.6916666666666667E-2</v>
          </cell>
          <cell r="M1968">
            <v>4.2500000000000003E-3</v>
          </cell>
        </row>
        <row r="1969">
          <cell r="A1969">
            <v>21190006</v>
          </cell>
          <cell r="B1969">
            <v>3118220024007</v>
          </cell>
          <cell r="C1969" t="str">
            <v>13118220024004</v>
          </cell>
          <cell r="D1969" t="str">
            <v>23118220024001</v>
          </cell>
          <cell r="E1969" t="str">
            <v>COUTEAU PAIMPOL SUR CARTE PEGB GENCOD</v>
          </cell>
          <cell r="F1969">
            <v>120</v>
          </cell>
          <cell r="G1969">
            <v>6</v>
          </cell>
          <cell r="H1969">
            <v>35</v>
          </cell>
          <cell r="I1969">
            <v>33.5</v>
          </cell>
          <cell r="J1969">
            <v>33</v>
          </cell>
          <cell r="K1969">
            <v>17.323</v>
          </cell>
          <cell r="L1969">
            <v>0.14435833333333334</v>
          </cell>
          <cell r="M1969">
            <v>3.8692499999999998E-2</v>
          </cell>
        </row>
        <row r="1970">
          <cell r="A1970">
            <v>21190007</v>
          </cell>
          <cell r="B1970">
            <v>3118220024014</v>
          </cell>
          <cell r="C1970" t="str">
            <v>13118220024011</v>
          </cell>
          <cell r="D1970" t="str">
            <v>23118220024018</v>
          </cell>
          <cell r="E1970" t="str">
            <v>FOURCHETTE PAIMPOL 18/10 SUR CARTE PEGB GENCOD</v>
          </cell>
          <cell r="F1970">
            <v>120</v>
          </cell>
          <cell r="G1970">
            <v>6</v>
          </cell>
          <cell r="H1970">
            <v>54.5</v>
          </cell>
          <cell r="I1970">
            <v>35</v>
          </cell>
          <cell r="J1970">
            <v>33</v>
          </cell>
          <cell r="K1970">
            <v>14.16</v>
          </cell>
          <cell r="L1970">
            <v>0.11800000000000001</v>
          </cell>
          <cell r="M1970">
            <v>6.2947500000000017E-2</v>
          </cell>
        </row>
        <row r="1971">
          <cell r="A1971">
            <v>21190008</v>
          </cell>
          <cell r="B1971">
            <v>3118220024021</v>
          </cell>
          <cell r="C1971" t="str">
            <v>13118220024028</v>
          </cell>
          <cell r="D1971" t="str">
            <v>23118220024025</v>
          </cell>
          <cell r="E1971" t="str">
            <v>CUILLERE PAIMPOL 18/10 SUR CARTE PEGB GENCOD</v>
          </cell>
          <cell r="F1971">
            <v>120</v>
          </cell>
          <cell r="G1971">
            <v>6</v>
          </cell>
          <cell r="H1971">
            <v>54.5</v>
          </cell>
          <cell r="I1971">
            <v>35.5</v>
          </cell>
          <cell r="J1971">
            <v>34.5</v>
          </cell>
          <cell r="K1971">
            <v>12.84</v>
          </cell>
          <cell r="L1971">
            <v>0.107</v>
          </cell>
          <cell r="M1971">
            <v>6.6748874999999999E-2</v>
          </cell>
        </row>
        <row r="1972">
          <cell r="A1972">
            <v>21190009</v>
          </cell>
          <cell r="B1972">
            <v>3118220024038</v>
          </cell>
          <cell r="C1972" t="str">
            <v>13118220024035</v>
          </cell>
          <cell r="D1972" t="str">
            <v>23118220024032</v>
          </cell>
          <cell r="E1972" t="str">
            <v>CAFE PAIMPOL 18/10 SUR CARTE PEGB GENCOD</v>
          </cell>
          <cell r="F1972">
            <v>240</v>
          </cell>
          <cell r="G1972">
            <v>6</v>
          </cell>
          <cell r="H1972">
            <v>52.5</v>
          </cell>
          <cell r="I1972">
            <v>41.5</v>
          </cell>
          <cell r="J1972">
            <v>33.5</v>
          </cell>
          <cell r="K1972">
            <v>12.48</v>
          </cell>
          <cell r="L1972">
            <v>5.2000000000000005E-2</v>
          </cell>
          <cell r="M1972">
            <v>7.2988125000000001E-2</v>
          </cell>
        </row>
        <row r="1973">
          <cell r="A1973">
            <v>21200001</v>
          </cell>
          <cell r="B1973">
            <v>3118220020979</v>
          </cell>
          <cell r="C1973" t="str">
            <v>13118220020983</v>
          </cell>
          <cell r="D1973" t="str">
            <v>23118220020980</v>
          </cell>
          <cell r="E1973" t="str">
            <v>M16 PORQUEROLLES 18/10 BOITE PREMIUM</v>
          </cell>
          <cell r="F1973">
            <v>6</v>
          </cell>
          <cell r="G1973">
            <v>6</v>
          </cell>
          <cell r="H1973">
            <v>30</v>
          </cell>
          <cell r="I1973">
            <v>27.5</v>
          </cell>
          <cell r="J1973">
            <v>30.5</v>
          </cell>
          <cell r="K1973">
            <v>6.726</v>
          </cell>
          <cell r="L1973">
            <v>1.121</v>
          </cell>
          <cell r="M1973">
            <v>2.5162500000000004E-2</v>
          </cell>
        </row>
        <row r="1974">
          <cell r="A1974">
            <v>21200002</v>
          </cell>
          <cell r="B1974">
            <v>3118220022843</v>
          </cell>
          <cell r="E1974" t="str">
            <v>COUTEAU PORQUEROLLES + GENCOD</v>
          </cell>
          <cell r="F1974">
            <v>120</v>
          </cell>
          <cell r="G1974">
            <v>6</v>
          </cell>
          <cell r="H1974">
            <v>35</v>
          </cell>
          <cell r="I1974">
            <v>30</v>
          </cell>
          <cell r="J1974">
            <v>22</v>
          </cell>
          <cell r="K1974">
            <v>11.215</v>
          </cell>
          <cell r="L1974">
            <v>9.3458333333333338E-2</v>
          </cell>
          <cell r="M1974">
            <v>2.3099999999999999E-2</v>
          </cell>
        </row>
        <row r="1975">
          <cell r="A1975">
            <v>21200003</v>
          </cell>
          <cell r="B1975">
            <v>3118220022850</v>
          </cell>
          <cell r="E1975" t="str">
            <v>FOURCHETTE PORQUEROLLES 18/10 + GENCOD</v>
          </cell>
          <cell r="F1975">
            <v>120</v>
          </cell>
          <cell r="G1975">
            <v>6</v>
          </cell>
          <cell r="H1975">
            <v>34.5</v>
          </cell>
          <cell r="I1975">
            <v>28</v>
          </cell>
          <cell r="J1975">
            <v>20</v>
          </cell>
          <cell r="K1975">
            <v>7.3639999999999999</v>
          </cell>
          <cell r="L1975">
            <v>6.1366666666666667E-2</v>
          </cell>
          <cell r="M1975">
            <v>1.932E-2</v>
          </cell>
        </row>
        <row r="1976">
          <cell r="A1976">
            <v>21200004</v>
          </cell>
          <cell r="B1976">
            <v>3118220022867</v>
          </cell>
          <cell r="E1976" t="str">
            <v>CUILLERE PORQUEROLLES 18/10 + GENCOD</v>
          </cell>
          <cell r="F1976">
            <v>120</v>
          </cell>
          <cell r="G1976">
            <v>6</v>
          </cell>
          <cell r="H1976">
            <v>35</v>
          </cell>
          <cell r="I1976">
            <v>28</v>
          </cell>
          <cell r="J1976">
            <v>20</v>
          </cell>
          <cell r="K1976">
            <v>7.97</v>
          </cell>
          <cell r="L1976">
            <v>6.6416666666666666E-2</v>
          </cell>
          <cell r="M1976">
            <v>1.9599999999999996E-2</v>
          </cell>
        </row>
        <row r="1977">
          <cell r="A1977">
            <v>21200005</v>
          </cell>
          <cell r="B1977">
            <v>3118220022874</v>
          </cell>
          <cell r="E1977" t="str">
            <v>CAFE PORQUEROLLES 18/10 + GENCOD</v>
          </cell>
          <cell r="F1977">
            <v>120</v>
          </cell>
          <cell r="G1977">
            <v>6</v>
          </cell>
          <cell r="H1977">
            <v>30</v>
          </cell>
          <cell r="I1977">
            <v>23</v>
          </cell>
          <cell r="J1977">
            <v>21.5</v>
          </cell>
          <cell r="K1977">
            <v>3.915</v>
          </cell>
          <cell r="L1977">
            <v>3.2625000000000001E-2</v>
          </cell>
          <cell r="M1977">
            <v>1.4834999999999997E-2</v>
          </cell>
        </row>
        <row r="1978">
          <cell r="A1978">
            <v>21200006</v>
          </cell>
          <cell r="B1978">
            <v>3118220024083</v>
          </cell>
          <cell r="E1978" t="str">
            <v>COUTEAU PORQUEROLLES SUR CARTE PEGB GENCOD</v>
          </cell>
          <cell r="F1978">
            <v>120</v>
          </cell>
          <cell r="G1978">
            <v>6</v>
          </cell>
          <cell r="H1978">
            <v>35</v>
          </cell>
          <cell r="I1978">
            <v>33.5</v>
          </cell>
          <cell r="J1978">
            <v>33</v>
          </cell>
          <cell r="K1978">
            <v>14.48</v>
          </cell>
          <cell r="L1978">
            <v>0.12066666666666667</v>
          </cell>
          <cell r="M1978">
            <v>3.8692499999999998E-2</v>
          </cell>
        </row>
        <row r="1979">
          <cell r="A1979">
            <v>21200007</v>
          </cell>
          <cell r="B1979">
            <v>3118220024090</v>
          </cell>
          <cell r="E1979" t="str">
            <v>FOURCHETTE PORQUEROLLES 18/10 SUR CARTE PEGB GENCOD</v>
          </cell>
          <cell r="F1979">
            <v>120</v>
          </cell>
          <cell r="G1979">
            <v>6</v>
          </cell>
          <cell r="H1979">
            <v>54.5</v>
          </cell>
          <cell r="I1979">
            <v>35</v>
          </cell>
          <cell r="J1979">
            <v>33</v>
          </cell>
          <cell r="K1979">
            <v>12.430999999999999</v>
          </cell>
          <cell r="L1979">
            <v>0.10359166666666667</v>
          </cell>
          <cell r="M1979">
            <v>6.2947500000000017E-2</v>
          </cell>
        </row>
        <row r="1980">
          <cell r="A1980">
            <v>21200008</v>
          </cell>
          <cell r="B1980">
            <v>3118220024106</v>
          </cell>
          <cell r="E1980" t="str">
            <v>CUILLERE PORQUEROLLES 18/10 SUR CARTE PEGB GENCOD</v>
          </cell>
          <cell r="F1980">
            <v>120</v>
          </cell>
          <cell r="G1980">
            <v>6</v>
          </cell>
          <cell r="H1980">
            <v>54.5</v>
          </cell>
          <cell r="I1980">
            <v>35.5</v>
          </cell>
          <cell r="J1980">
            <v>34.5</v>
          </cell>
          <cell r="K1980">
            <v>13.739000000000001</v>
          </cell>
          <cell r="L1980">
            <v>0.11449166666666667</v>
          </cell>
          <cell r="M1980">
            <v>6.6748874999999999E-2</v>
          </cell>
        </row>
        <row r="1981">
          <cell r="A1981">
            <v>21200009</v>
          </cell>
          <cell r="B1981">
            <v>3118220024113</v>
          </cell>
          <cell r="E1981" t="str">
            <v>CAFE PORQUEROLLES 18/10 SUR CARTE PEGB GENCOD</v>
          </cell>
          <cell r="F1981">
            <v>240</v>
          </cell>
          <cell r="G1981">
            <v>6</v>
          </cell>
          <cell r="H1981">
            <v>52.5</v>
          </cell>
          <cell r="I1981">
            <v>41.5</v>
          </cell>
          <cell r="J1981">
            <v>33.5</v>
          </cell>
          <cell r="K1981">
            <v>14.12</v>
          </cell>
          <cell r="L1981">
            <v>5.8833333333333328E-2</v>
          </cell>
          <cell r="M1981">
            <v>7.2988125000000001E-2</v>
          </cell>
        </row>
        <row r="1982">
          <cell r="A1982">
            <v>21200010</v>
          </cell>
          <cell r="B1982">
            <v>3605756612490</v>
          </cell>
          <cell r="E1982" t="str">
            <v>M16 PORQUEROLLES BOITE ALINEA</v>
          </cell>
          <cell r="F1982">
            <v>6</v>
          </cell>
          <cell r="G1982">
            <v>6</v>
          </cell>
          <cell r="H1982">
            <v>27.5</v>
          </cell>
          <cell r="I1982">
            <v>28</v>
          </cell>
          <cell r="J1982">
            <v>24.5</v>
          </cell>
          <cell r="K1982">
            <v>7.08</v>
          </cell>
          <cell r="L1982">
            <v>1.18</v>
          </cell>
          <cell r="M1982">
            <v>1.8865000000000003E-2</v>
          </cell>
        </row>
        <row r="1983">
          <cell r="A1983">
            <v>21210001</v>
          </cell>
          <cell r="B1983">
            <v>3118220020986</v>
          </cell>
          <cell r="E1983" t="str">
            <v>M16 CABOURG 18/10 BOITE PREMIUM</v>
          </cell>
          <cell r="F1983">
            <v>6</v>
          </cell>
          <cell r="G1983">
            <v>6</v>
          </cell>
          <cell r="H1983">
            <v>30</v>
          </cell>
          <cell r="I1983">
            <v>27.5</v>
          </cell>
          <cell r="J1983">
            <v>30.5</v>
          </cell>
          <cell r="K1983">
            <v>8.7949999999999999</v>
          </cell>
          <cell r="L1983">
            <v>1.4658333333333333</v>
          </cell>
          <cell r="M1983">
            <v>2.5162500000000004E-2</v>
          </cell>
        </row>
        <row r="1984">
          <cell r="A1984">
            <v>21210002</v>
          </cell>
          <cell r="B1984">
            <v>3118220022508</v>
          </cell>
          <cell r="E1984" t="str">
            <v>COUTEAU CABOURG + GENCOD</v>
          </cell>
          <cell r="F1984">
            <v>120</v>
          </cell>
          <cell r="G1984">
            <v>6</v>
          </cell>
          <cell r="H1984">
            <v>36</v>
          </cell>
          <cell r="I1984">
            <v>30</v>
          </cell>
          <cell r="J1984">
            <v>20.5</v>
          </cell>
          <cell r="K1984">
            <v>13.68</v>
          </cell>
          <cell r="L1984">
            <v>0.114</v>
          </cell>
          <cell r="M1984">
            <v>2.2139999999999996E-2</v>
          </cell>
        </row>
        <row r="1985">
          <cell r="A1985">
            <v>21210003</v>
          </cell>
          <cell r="B1985">
            <v>3118220022515</v>
          </cell>
          <cell r="E1985" t="str">
            <v>FOURCHETTE CABOURG 18/10 + GENCOD</v>
          </cell>
          <cell r="F1985">
            <v>120</v>
          </cell>
          <cell r="G1985">
            <v>6</v>
          </cell>
          <cell r="H1985">
            <v>28</v>
          </cell>
          <cell r="I1985">
            <v>26.5</v>
          </cell>
          <cell r="J1985">
            <v>22</v>
          </cell>
          <cell r="K1985">
            <v>8.86</v>
          </cell>
          <cell r="L1985">
            <v>7.3833333333333334E-2</v>
          </cell>
          <cell r="M1985">
            <v>1.6324000000000002E-2</v>
          </cell>
        </row>
        <row r="1986">
          <cell r="A1986">
            <v>21210004</v>
          </cell>
          <cell r="B1986">
            <v>3118220022522</v>
          </cell>
          <cell r="E1986" t="str">
            <v>CUILLERE CABOURG 18/10 + GENCOD</v>
          </cell>
          <cell r="F1986">
            <v>120</v>
          </cell>
          <cell r="G1986">
            <v>6</v>
          </cell>
          <cell r="H1986">
            <v>28</v>
          </cell>
          <cell r="I1986">
            <v>26.5</v>
          </cell>
          <cell r="J1986">
            <v>21</v>
          </cell>
          <cell r="K1986">
            <v>9.36</v>
          </cell>
          <cell r="L1986">
            <v>7.8E-2</v>
          </cell>
          <cell r="M1986">
            <v>1.5582E-2</v>
          </cell>
        </row>
        <row r="1987">
          <cell r="A1987">
            <v>21210005</v>
          </cell>
          <cell r="B1987">
            <v>3118220022539</v>
          </cell>
          <cell r="E1987" t="str">
            <v>CAFE CABOURG 18/10 + GENCOD</v>
          </cell>
          <cell r="F1987">
            <v>120</v>
          </cell>
          <cell r="G1987">
            <v>6</v>
          </cell>
          <cell r="H1987">
            <v>30</v>
          </cell>
          <cell r="I1987">
            <v>20.5</v>
          </cell>
          <cell r="J1987">
            <v>18.5</v>
          </cell>
          <cell r="K1987">
            <v>5.08</v>
          </cell>
          <cell r="L1987">
            <v>4.2333333333333334E-2</v>
          </cell>
          <cell r="M1987">
            <v>1.1377499999999999E-2</v>
          </cell>
        </row>
        <row r="1988">
          <cell r="A1988">
            <v>21210006</v>
          </cell>
          <cell r="B1988">
            <v>3118220024120</v>
          </cell>
          <cell r="E1988" t="str">
            <v>COUTEAU CABOURG SUR CARTE PEGB GENCOD</v>
          </cell>
          <cell r="F1988">
            <v>120</v>
          </cell>
          <cell r="G1988">
            <v>6</v>
          </cell>
          <cell r="H1988">
            <v>35</v>
          </cell>
          <cell r="I1988">
            <v>33</v>
          </cell>
          <cell r="J1988">
            <v>33.299999999999997</v>
          </cell>
          <cell r="K1988">
            <v>18.559999999999999</v>
          </cell>
          <cell r="L1988">
            <v>0.15466666666666665</v>
          </cell>
          <cell r="M1988">
            <v>3.8461499999999996E-2</v>
          </cell>
        </row>
        <row r="1989">
          <cell r="A1989">
            <v>21210007</v>
          </cell>
          <cell r="B1989">
            <v>3118220024137</v>
          </cell>
          <cell r="E1989" t="str">
            <v>FOURCHETTE CABOURG 18/10 SUR CARTE PEGB GENCOD</v>
          </cell>
          <cell r="F1989">
            <v>120</v>
          </cell>
          <cell r="G1989">
            <v>6</v>
          </cell>
          <cell r="H1989">
            <v>54.5</v>
          </cell>
          <cell r="I1989">
            <v>35</v>
          </cell>
          <cell r="J1989">
            <v>33</v>
          </cell>
          <cell r="K1989">
            <v>13.946999999999999</v>
          </cell>
          <cell r="L1989">
            <v>0.11622499999999999</v>
          </cell>
          <cell r="M1989">
            <v>6.2947500000000017E-2</v>
          </cell>
        </row>
        <row r="1990">
          <cell r="A1990">
            <v>21210008</v>
          </cell>
          <cell r="B1990">
            <v>3118220024144</v>
          </cell>
          <cell r="E1990" t="str">
            <v>CUILLERE CABOURG 18/10 SUR CARTE PEGB GENCOD</v>
          </cell>
          <cell r="F1990">
            <v>120</v>
          </cell>
          <cell r="G1990">
            <v>6</v>
          </cell>
          <cell r="H1990">
            <v>54.5</v>
          </cell>
          <cell r="I1990">
            <v>35.5</v>
          </cell>
          <cell r="J1990">
            <v>34.5</v>
          </cell>
          <cell r="K1990">
            <v>14.66</v>
          </cell>
          <cell r="L1990">
            <v>0.12216666666666667</v>
          </cell>
          <cell r="M1990">
            <v>6.6748874999999999E-2</v>
          </cell>
        </row>
        <row r="1991">
          <cell r="A1991">
            <v>21210009</v>
          </cell>
          <cell r="B1991">
            <v>3118220024151</v>
          </cell>
          <cell r="E1991" t="str">
            <v>CAFE CABOURG 18/10 SUR CARTE PEGB GENCOD</v>
          </cell>
          <cell r="F1991">
            <v>240</v>
          </cell>
          <cell r="G1991">
            <v>6</v>
          </cell>
          <cell r="H1991">
            <v>52.5</v>
          </cell>
          <cell r="I1991">
            <v>41.5</v>
          </cell>
          <cell r="J1991">
            <v>33.5</v>
          </cell>
          <cell r="K1991">
            <v>16.823</v>
          </cell>
          <cell r="L1991">
            <v>7.0095833333333329E-2</v>
          </cell>
          <cell r="M1991">
            <v>7.2988125000000001E-2</v>
          </cell>
        </row>
        <row r="1992">
          <cell r="A1992">
            <v>21210010</v>
          </cell>
          <cell r="B1992">
            <v>3605756612513</v>
          </cell>
          <cell r="E1992" t="str">
            <v>M16 TAVAN (CABOURG) BOITE ALINEA</v>
          </cell>
          <cell r="F1992">
            <v>6</v>
          </cell>
          <cell r="G1992">
            <v>6</v>
          </cell>
          <cell r="H1992">
            <v>27.5</v>
          </cell>
          <cell r="I1992">
            <v>28</v>
          </cell>
          <cell r="J1992">
            <v>24.5</v>
          </cell>
          <cell r="K1992">
            <v>8.91</v>
          </cell>
          <cell r="L1992">
            <v>1.4850000000000001</v>
          </cell>
          <cell r="M1992">
            <v>1.8865000000000003E-2</v>
          </cell>
        </row>
        <row r="1993">
          <cell r="A1993">
            <v>21290001</v>
          </cell>
          <cell r="B1993">
            <v>3605756612476</v>
          </cell>
          <cell r="E1993" t="str">
            <v>M16 REVEL (MAZARIN) BLANC ET DORE BOITE ALINEA</v>
          </cell>
          <cell r="F1993">
            <v>6</v>
          </cell>
          <cell r="G1993">
            <v>6</v>
          </cell>
          <cell r="H1993">
            <v>28.5</v>
          </cell>
          <cell r="I1993">
            <v>28.5</v>
          </cell>
          <cell r="J1993">
            <v>24</v>
          </cell>
          <cell r="K1993">
            <v>7.7569999999999997</v>
          </cell>
          <cell r="L1993">
            <v>1.2928333333333333</v>
          </cell>
          <cell r="M1993">
            <v>1.9493999999999997E-2</v>
          </cell>
        </row>
        <row r="1994">
          <cell r="A1994">
            <v>21290003</v>
          </cell>
          <cell r="B1994">
            <v>3118220024809</v>
          </cell>
          <cell r="E1994" t="str">
            <v>M16 MAZARIN MANCHE BLANC TETE INOX BROSSE BOITE TB COLLECTIO</v>
          </cell>
          <cell r="F1994">
            <v>6</v>
          </cell>
          <cell r="G1994">
            <v>6</v>
          </cell>
          <cell r="H1994">
            <v>30.5</v>
          </cell>
          <cell r="I1994">
            <v>27</v>
          </cell>
          <cell r="J1994">
            <v>32</v>
          </cell>
          <cell r="K1994">
            <v>7.0430000000000001</v>
          </cell>
          <cell r="L1994">
            <v>1.1738333333333333</v>
          </cell>
          <cell r="M1994">
            <v>2.6351999999999997E-2</v>
          </cell>
        </row>
        <row r="1995">
          <cell r="A1995">
            <v>21290004</v>
          </cell>
          <cell r="B1995">
            <v>3118220024816</v>
          </cell>
          <cell r="E1995" t="str">
            <v>M16 MAZARIN MANCHE NOIR TETE INOX BROSSE BOITE TB COLLECTION</v>
          </cell>
          <cell r="F1995">
            <v>6</v>
          </cell>
          <cell r="G1995">
            <v>6</v>
          </cell>
          <cell r="H1995">
            <v>30</v>
          </cell>
          <cell r="I1995">
            <v>27</v>
          </cell>
          <cell r="J1995">
            <v>32.5</v>
          </cell>
          <cell r="K1995">
            <v>6.76</v>
          </cell>
          <cell r="L1995">
            <v>1.1266666666666667</v>
          </cell>
          <cell r="M1995">
            <v>2.6325000000000001E-2</v>
          </cell>
        </row>
        <row r="1996">
          <cell r="A1996">
            <v>21290005</v>
          </cell>
          <cell r="B1996">
            <v>3118220028418</v>
          </cell>
          <cell r="E1996" t="str">
            <v>COUTEAU MAZARIN MANCHE BLANC TETE INOX BROSSE + GENCOD</v>
          </cell>
          <cell r="F1996">
            <v>120</v>
          </cell>
          <cell r="G1996">
            <v>6</v>
          </cell>
          <cell r="H1996">
            <v>31.5</v>
          </cell>
          <cell r="I1996">
            <v>29.5</v>
          </cell>
          <cell r="J1996">
            <v>14</v>
          </cell>
          <cell r="K1996">
            <v>6.93</v>
          </cell>
          <cell r="L1996">
            <v>5.7749999999999996E-2</v>
          </cell>
          <cell r="M1996">
            <v>1.30095E-2</v>
          </cell>
        </row>
        <row r="1997">
          <cell r="A1997">
            <v>21190003</v>
          </cell>
          <cell r="B1997">
            <v>3118220022812</v>
          </cell>
          <cell r="C1997" t="str">
            <v>13118220022819</v>
          </cell>
          <cell r="D1997" t="str">
            <v>23118220022816</v>
          </cell>
          <cell r="E1997" t="str">
            <v>FOURCHETTE PAIMPOL 18/10 + GENCOD</v>
          </cell>
          <cell r="F1997">
            <v>120</v>
          </cell>
          <cell r="G1997">
            <v>6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</row>
        <row r="1998">
          <cell r="A1998">
            <v>21290007</v>
          </cell>
          <cell r="B1998">
            <v>3118220028432</v>
          </cell>
          <cell r="E1998" t="str">
            <v>CUILLERE MAZARIN MANCHE BLANC TETE INOX BROSSE + GENCOD</v>
          </cell>
          <cell r="F1998">
            <v>120</v>
          </cell>
          <cell r="G1998">
            <v>6</v>
          </cell>
          <cell r="H1998">
            <v>31.5</v>
          </cell>
          <cell r="I1998">
            <v>29.5</v>
          </cell>
          <cell r="J1998">
            <v>14</v>
          </cell>
          <cell r="K1998">
            <v>10.494999999999999</v>
          </cell>
          <cell r="L1998">
            <v>8.7458333333333332E-2</v>
          </cell>
          <cell r="M1998">
            <v>1.30095E-2</v>
          </cell>
        </row>
        <row r="1999">
          <cell r="A1999">
            <v>21290008</v>
          </cell>
          <cell r="B1999">
            <v>3118220028449</v>
          </cell>
          <cell r="E1999" t="str">
            <v>CAFE MAZARIN MANCHE BLANC TETE INOX BROSSE + GENCOD</v>
          </cell>
          <cell r="F1999">
            <v>240</v>
          </cell>
          <cell r="G1999">
            <v>6</v>
          </cell>
          <cell r="H1999">
            <v>40.5</v>
          </cell>
          <cell r="I1999">
            <v>13</v>
          </cell>
          <cell r="J1999">
            <v>9</v>
          </cell>
          <cell r="K1999">
            <v>6.41</v>
          </cell>
          <cell r="L1999">
            <v>2.6708333333333334E-2</v>
          </cell>
          <cell r="M1999">
            <v>4.7384999999999997E-3</v>
          </cell>
        </row>
        <row r="2000">
          <cell r="A2000">
            <v>21290009</v>
          </cell>
          <cell r="B2000">
            <v>3118220028456</v>
          </cell>
          <cell r="E2000" t="str">
            <v>COUTEAU MAZARIN MANCHE NOIR TETE INOX BROSSE + GENCOD</v>
          </cell>
          <cell r="F2000">
            <v>120</v>
          </cell>
          <cell r="G2000">
            <v>6</v>
          </cell>
          <cell r="H2000">
            <v>31.5</v>
          </cell>
          <cell r="I2000">
            <v>29.5</v>
          </cell>
          <cell r="J2000">
            <v>14</v>
          </cell>
          <cell r="K2000">
            <v>6.93</v>
          </cell>
          <cell r="L2000">
            <v>5.7749999999999996E-2</v>
          </cell>
          <cell r="M2000">
            <v>1.30095E-2</v>
          </cell>
        </row>
        <row r="2001">
          <cell r="A2001">
            <v>21290010</v>
          </cell>
          <cell r="B2001">
            <v>3118220028463</v>
          </cell>
          <cell r="E2001" t="str">
            <v>FOURCHETTE MAZARIN MANCHE NOIR TETE INOX BROSSE + GENCOD</v>
          </cell>
          <cell r="F2001">
            <v>120</v>
          </cell>
          <cell r="G2001">
            <v>6</v>
          </cell>
          <cell r="H2001">
            <v>31.5</v>
          </cell>
          <cell r="I2001">
            <v>29.5</v>
          </cell>
          <cell r="J2001">
            <v>14</v>
          </cell>
          <cell r="K2001">
            <v>8.2750000000000004</v>
          </cell>
          <cell r="L2001">
            <v>6.895833333333333E-2</v>
          </cell>
          <cell r="M2001">
            <v>1.30095E-2</v>
          </cell>
        </row>
        <row r="2002">
          <cell r="A2002">
            <v>21290006</v>
          </cell>
          <cell r="B2002">
            <v>3118220028425</v>
          </cell>
          <cell r="E2002" t="str">
            <v>FOURCHETTE MAZARIN MANCHE BLANC TETE INOX BROSSE + GENCOD</v>
          </cell>
          <cell r="F2002">
            <v>120</v>
          </cell>
          <cell r="G2002">
            <v>6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</row>
        <row r="2003">
          <cell r="A2003">
            <v>21290011</v>
          </cell>
          <cell r="B2003">
            <v>3118220028470</v>
          </cell>
          <cell r="E2003" t="str">
            <v>CUILLERE MAZARIN MANCHE NOIR TETE INOX BROSSE + GENCOD</v>
          </cell>
          <cell r="F2003">
            <v>120</v>
          </cell>
          <cell r="G2003">
            <v>6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</row>
        <row r="2004">
          <cell r="A2004">
            <v>21290014</v>
          </cell>
          <cell r="B2004">
            <v>3605757169337</v>
          </cell>
          <cell r="E2004" t="str">
            <v>M16 AGASSO (MAZARIN) NOIR BOITE ALINEA</v>
          </cell>
          <cell r="F2004">
            <v>6</v>
          </cell>
          <cell r="G2004">
            <v>6</v>
          </cell>
          <cell r="H2004">
            <v>30</v>
          </cell>
          <cell r="I2004">
            <v>27</v>
          </cell>
          <cell r="J2004">
            <v>31.5</v>
          </cell>
          <cell r="K2004">
            <v>6.3479999999999999</v>
          </cell>
          <cell r="L2004">
            <v>1.0580000000000001</v>
          </cell>
          <cell r="M2004">
            <v>2.5514999999999999E-2</v>
          </cell>
        </row>
        <row r="2005">
          <cell r="A2005">
            <v>21290015</v>
          </cell>
          <cell r="B2005">
            <v>3605757169351</v>
          </cell>
          <cell r="E2005" t="str">
            <v>M16 AGASSO (MAZARIN) BLANC TETE INOX BROSSE BOITE ALINEA</v>
          </cell>
          <cell r="F2005">
            <v>6</v>
          </cell>
          <cell r="G2005">
            <v>6</v>
          </cell>
          <cell r="H2005">
            <v>30</v>
          </cell>
          <cell r="I2005">
            <v>27</v>
          </cell>
          <cell r="J2005">
            <v>31.5</v>
          </cell>
          <cell r="K2005">
            <v>6.8109999999999999</v>
          </cell>
          <cell r="L2005">
            <v>1.1351666666666667</v>
          </cell>
          <cell r="M2005">
            <v>2.5514999999999999E-2</v>
          </cell>
        </row>
        <row r="2006">
          <cell r="A2006">
            <v>21290016</v>
          </cell>
          <cell r="B2006">
            <v>3118220038233</v>
          </cell>
          <cell r="E2006" t="str">
            <v>M16 MAZARIN SATIN TB COLLECTION</v>
          </cell>
          <cell r="F2006">
            <v>6</v>
          </cell>
          <cell r="G2006">
            <v>6</v>
          </cell>
          <cell r="H2006">
            <v>30</v>
          </cell>
          <cell r="I2006">
            <v>27</v>
          </cell>
          <cell r="J2006">
            <v>31</v>
          </cell>
          <cell r="K2006">
            <v>7.1070000000000002</v>
          </cell>
          <cell r="L2006">
            <v>1.1845000000000001</v>
          </cell>
          <cell r="M2006">
            <v>2.511E-2</v>
          </cell>
        </row>
        <row r="2007">
          <cell r="A2007">
            <v>21290017</v>
          </cell>
          <cell r="B2007">
            <v>3118220038257</v>
          </cell>
          <cell r="E2007" t="str">
            <v>COUTEAU MAZARIN SATIN VRAC + GENCOD</v>
          </cell>
          <cell r="F2007">
            <v>120</v>
          </cell>
          <cell r="G2007">
            <v>6</v>
          </cell>
          <cell r="H2007">
            <v>27.5</v>
          </cell>
          <cell r="I2007">
            <v>22.5</v>
          </cell>
          <cell r="J2007">
            <v>19</v>
          </cell>
          <cell r="K2007">
            <v>8.0830000000000002</v>
          </cell>
          <cell r="L2007">
            <v>6.7358333333333339E-2</v>
          </cell>
          <cell r="M2007">
            <v>1.1756250000000001E-2</v>
          </cell>
        </row>
        <row r="2008">
          <cell r="A2008">
            <v>21290018</v>
          </cell>
          <cell r="B2008">
            <v>3118220038264</v>
          </cell>
          <cell r="E2008" t="str">
            <v>FOURCHETTE MAZARIN SATIN VRAC + GENCOD</v>
          </cell>
          <cell r="F2008">
            <v>120</v>
          </cell>
          <cell r="G2008">
            <v>6</v>
          </cell>
          <cell r="H2008">
            <v>28</v>
          </cell>
          <cell r="I2008">
            <v>24.5</v>
          </cell>
          <cell r="J2008">
            <v>23</v>
          </cell>
          <cell r="K2008">
            <v>8.66</v>
          </cell>
          <cell r="L2008">
            <v>7.2166666666666671E-2</v>
          </cell>
          <cell r="M2008">
            <v>1.5778E-2</v>
          </cell>
        </row>
        <row r="2009">
          <cell r="A2009">
            <v>21290019</v>
          </cell>
          <cell r="B2009">
            <v>3118220038271</v>
          </cell>
          <cell r="E2009" t="str">
            <v>CUILLERE MAZARIN SATIN VRAC + GENCOD</v>
          </cell>
          <cell r="F2009">
            <v>120</v>
          </cell>
          <cell r="G2009">
            <v>6</v>
          </cell>
          <cell r="H2009">
            <v>28</v>
          </cell>
          <cell r="I2009">
            <v>24.5</v>
          </cell>
          <cell r="J2009">
            <v>23</v>
          </cell>
          <cell r="K2009">
            <v>10.882</v>
          </cell>
          <cell r="L2009">
            <v>9.0683333333333324E-2</v>
          </cell>
          <cell r="M2009">
            <v>1.5778E-2</v>
          </cell>
        </row>
        <row r="2010">
          <cell r="A2010">
            <v>21290020</v>
          </cell>
          <cell r="B2010">
            <v>3118220038288</v>
          </cell>
          <cell r="E2010" t="str">
            <v>CAFE MAZARIN SATIN VRAC + GENCOD</v>
          </cell>
          <cell r="F2010">
            <v>240</v>
          </cell>
          <cell r="G2010">
            <v>12</v>
          </cell>
          <cell r="H2010">
            <v>25</v>
          </cell>
          <cell r="I2010">
            <v>18.5</v>
          </cell>
          <cell r="J2010">
            <v>25</v>
          </cell>
          <cell r="K2010">
            <v>6.9470000000000001</v>
          </cell>
          <cell r="L2010">
            <v>2.8945833333333334E-2</v>
          </cell>
          <cell r="M2010">
            <v>1.15625E-2</v>
          </cell>
        </row>
        <row r="2011">
          <cell r="A2011">
            <v>21290021</v>
          </cell>
          <cell r="B2011">
            <v>3118220038295</v>
          </cell>
          <cell r="E2011" t="str">
            <v>CAFE MAZARIN MIROIR VRAC + GENCOD</v>
          </cell>
          <cell r="F2011">
            <v>240</v>
          </cell>
          <cell r="G2011">
            <v>12</v>
          </cell>
          <cell r="H2011">
            <v>25</v>
          </cell>
          <cell r="I2011">
            <v>18.5</v>
          </cell>
          <cell r="J2011">
            <v>25</v>
          </cell>
          <cell r="K2011">
            <v>6.9470000000000001</v>
          </cell>
          <cell r="L2011">
            <v>2.8945833333333334E-2</v>
          </cell>
          <cell r="M2011">
            <v>1.15625E-2</v>
          </cell>
        </row>
        <row r="2012">
          <cell r="A2012">
            <v>21290022</v>
          </cell>
          <cell r="B2012">
            <v>3118220038301</v>
          </cell>
          <cell r="E2012" t="str">
            <v>CUILLERE MAZARIN MIROIR VRAC + GENCOD</v>
          </cell>
          <cell r="F2012">
            <v>120</v>
          </cell>
          <cell r="G2012">
            <v>6</v>
          </cell>
          <cell r="H2012">
            <v>28</v>
          </cell>
          <cell r="I2012">
            <v>24.5</v>
          </cell>
          <cell r="J2012">
            <v>23</v>
          </cell>
          <cell r="K2012">
            <v>10.882</v>
          </cell>
          <cell r="L2012">
            <v>9.0683333333333324E-2</v>
          </cell>
          <cell r="M2012">
            <v>1.5778E-2</v>
          </cell>
        </row>
        <row r="2013">
          <cell r="A2013">
            <v>21290023</v>
          </cell>
          <cell r="B2013">
            <v>3118220038318</v>
          </cell>
          <cell r="E2013" t="str">
            <v>FOURCHETTE MAZARIN MIROIR VRAC + GENCOD</v>
          </cell>
          <cell r="F2013">
            <v>120</v>
          </cell>
          <cell r="G2013">
            <v>6</v>
          </cell>
          <cell r="H2013">
            <v>28</v>
          </cell>
          <cell r="I2013">
            <v>24.5</v>
          </cell>
          <cell r="J2013">
            <v>23</v>
          </cell>
          <cell r="K2013">
            <v>8.66</v>
          </cell>
          <cell r="L2013">
            <v>7.2166666666666671E-2</v>
          </cell>
          <cell r="M2013">
            <v>1.5778E-2</v>
          </cell>
        </row>
        <row r="2014">
          <cell r="A2014">
            <v>21290024</v>
          </cell>
          <cell r="B2014">
            <v>3118220038325</v>
          </cell>
          <cell r="E2014" t="str">
            <v>COUTEAU MAZARIN MIROIR VRAC + GENCOD</v>
          </cell>
          <cell r="F2014">
            <v>120</v>
          </cell>
          <cell r="G2014">
            <v>6</v>
          </cell>
          <cell r="H2014">
            <v>27.5</v>
          </cell>
          <cell r="I2014">
            <v>22.5</v>
          </cell>
          <cell r="J2014">
            <v>19</v>
          </cell>
          <cell r="K2014">
            <v>7.5830000000000002</v>
          </cell>
          <cell r="L2014">
            <v>6.3191666666666674E-2</v>
          </cell>
          <cell r="M2014">
            <v>1.1756250000000001E-2</v>
          </cell>
        </row>
        <row r="2015">
          <cell r="A2015">
            <v>21290025</v>
          </cell>
          <cell r="B2015">
            <v>3118220038240</v>
          </cell>
          <cell r="E2015" t="str">
            <v>M16 MAZARIN MIROIR TB COLLECTION</v>
          </cell>
          <cell r="F2015">
            <v>6</v>
          </cell>
          <cell r="G2015">
            <v>6</v>
          </cell>
          <cell r="H2015">
            <v>30</v>
          </cell>
          <cell r="I2015">
            <v>27</v>
          </cell>
          <cell r="J2015">
            <v>31</v>
          </cell>
          <cell r="K2015">
            <v>7.1070000000000002</v>
          </cell>
          <cell r="L2015">
            <v>1.1845000000000001</v>
          </cell>
          <cell r="M2015">
            <v>2.511E-2</v>
          </cell>
        </row>
        <row r="2016">
          <cell r="A2016">
            <v>21290026</v>
          </cell>
          <cell r="B2016">
            <v>3118220042278</v>
          </cell>
          <cell r="E2016" t="str">
            <v>COUTEAU MAZARIN MIROIR EN BOITE PEGBOARDABLE</v>
          </cell>
          <cell r="F2016">
            <v>72</v>
          </cell>
          <cell r="G2016">
            <v>12</v>
          </cell>
          <cell r="H2016">
            <v>31</v>
          </cell>
          <cell r="I2016">
            <v>24</v>
          </cell>
          <cell r="J2016">
            <v>20</v>
          </cell>
          <cell r="K2016">
            <v>4.8419999999999996</v>
          </cell>
          <cell r="L2016">
            <v>6.724999999999999E-2</v>
          </cell>
          <cell r="M2016">
            <v>1.4879999999999999E-2</v>
          </cell>
        </row>
        <row r="2017">
          <cell r="A2017">
            <v>21290027</v>
          </cell>
          <cell r="B2017">
            <v>3118220042285</v>
          </cell>
          <cell r="E2017" t="str">
            <v>FOURCHETTE MAZARIN MIROIR EN BOITE PEGBOARDABLE</v>
          </cell>
          <cell r="F2017">
            <v>72</v>
          </cell>
          <cell r="G2017">
            <v>12</v>
          </cell>
          <cell r="H2017">
            <v>31</v>
          </cell>
          <cell r="I2017">
            <v>23.5</v>
          </cell>
          <cell r="J2017">
            <v>20</v>
          </cell>
          <cell r="K2017">
            <v>5.2969999999999997</v>
          </cell>
          <cell r="L2017">
            <v>7.3569444444444437E-2</v>
          </cell>
          <cell r="M2017">
            <v>1.4569999999999998E-2</v>
          </cell>
        </row>
        <row r="2018">
          <cell r="A2018">
            <v>21290028</v>
          </cell>
          <cell r="B2018">
            <v>3118220042292</v>
          </cell>
          <cell r="E2018" t="str">
            <v>CUILLERE MAZARIN MIROIR EN BOITE PEGBOARDABLE</v>
          </cell>
          <cell r="F2018">
            <v>72</v>
          </cell>
          <cell r="G2018">
            <v>12</v>
          </cell>
          <cell r="H2018">
            <v>31</v>
          </cell>
          <cell r="I2018">
            <v>23.5</v>
          </cell>
          <cell r="J2018">
            <v>20</v>
          </cell>
          <cell r="K2018">
            <v>6.4160000000000004</v>
          </cell>
          <cell r="L2018">
            <v>8.9111111111111113E-2</v>
          </cell>
          <cell r="M2018">
            <v>1.4569999999999998E-2</v>
          </cell>
        </row>
        <row r="2019">
          <cell r="A2019">
            <v>21290029</v>
          </cell>
          <cell r="B2019">
            <v>3118220042308</v>
          </cell>
          <cell r="E2019" t="str">
            <v>CAFE MAZARIN MIROIR EN BOITE PEGBOARDABLE</v>
          </cell>
          <cell r="F2019">
            <v>72</v>
          </cell>
          <cell r="G2019">
            <v>12</v>
          </cell>
          <cell r="H2019">
            <v>22</v>
          </cell>
          <cell r="I2019">
            <v>19</v>
          </cell>
          <cell r="J2019">
            <v>15</v>
          </cell>
          <cell r="K2019">
            <v>2.1280000000000001</v>
          </cell>
          <cell r="L2019">
            <v>2.9555555555555557E-2</v>
          </cell>
          <cell r="M2019">
            <v>6.2700000000000004E-3</v>
          </cell>
        </row>
        <row r="2020">
          <cell r="A2020">
            <v>21300001</v>
          </cell>
          <cell r="B2020">
            <v>3118220025516</v>
          </cell>
          <cell r="C2020" t="str">
            <v>13118220025513</v>
          </cell>
          <cell r="D2020" t="str">
            <v>23118220025510</v>
          </cell>
          <cell r="E2020" t="str">
            <v>M24 EMPREINTE BOITE TB COLLECTION</v>
          </cell>
          <cell r="F2020">
            <v>6</v>
          </cell>
          <cell r="G2020">
            <v>6</v>
          </cell>
          <cell r="H2020">
            <v>30.5</v>
          </cell>
          <cell r="I2020">
            <v>27.5</v>
          </cell>
          <cell r="J2020">
            <v>31</v>
          </cell>
          <cell r="K2020">
            <v>9.7889999999999997</v>
          </cell>
          <cell r="L2020">
            <v>1.6315</v>
          </cell>
          <cell r="M2020">
            <v>2.6001249999999997E-2</v>
          </cell>
        </row>
        <row r="2021">
          <cell r="A2021">
            <v>21300002</v>
          </cell>
          <cell r="B2021">
            <v>3118220030176</v>
          </cell>
          <cell r="C2021" t="str">
            <v>13118220030173</v>
          </cell>
          <cell r="D2021" t="str">
            <v>23118220030170</v>
          </cell>
          <cell r="E2021" t="str">
            <v>COUTEAU EMPREINTE + GENCOD</v>
          </cell>
          <cell r="F2021">
            <v>120</v>
          </cell>
          <cell r="G2021">
            <v>6</v>
          </cell>
          <cell r="H2021">
            <v>27.5</v>
          </cell>
          <cell r="I2021">
            <v>25.5</v>
          </cell>
          <cell r="J2021">
            <v>21</v>
          </cell>
          <cell r="K2021">
            <v>11.76</v>
          </cell>
          <cell r="L2021">
            <v>9.8000000000000004E-2</v>
          </cell>
          <cell r="M2021">
            <v>1.4726250000000001E-2</v>
          </cell>
        </row>
        <row r="2022">
          <cell r="A2022">
            <v>21300003</v>
          </cell>
          <cell r="B2022">
            <v>3118220030183</v>
          </cell>
          <cell r="C2022" t="str">
            <v>13118220030180</v>
          </cell>
          <cell r="D2022" t="str">
            <v>23118220030187</v>
          </cell>
          <cell r="E2022" t="str">
            <v>FOURCHETTE EMPREINTE + GENCOD</v>
          </cell>
          <cell r="F2022">
            <v>120</v>
          </cell>
          <cell r="G2022">
            <v>6</v>
          </cell>
          <cell r="H2022">
            <v>28</v>
          </cell>
          <cell r="I2022">
            <v>25.5</v>
          </cell>
          <cell r="J2022">
            <v>21</v>
          </cell>
          <cell r="K2022">
            <v>6.24</v>
          </cell>
          <cell r="L2022">
            <v>5.2000000000000005E-2</v>
          </cell>
          <cell r="M2022">
            <v>1.4994E-2</v>
          </cell>
        </row>
        <row r="2023">
          <cell r="A2023">
            <v>21300004</v>
          </cell>
          <cell r="B2023">
            <v>3118220030190</v>
          </cell>
          <cell r="C2023" t="str">
            <v>13118220030197</v>
          </cell>
          <cell r="D2023" t="str">
            <v>23118220030194</v>
          </cell>
          <cell r="E2023" t="str">
            <v>CUILLERE EMPREINTE + GENCOD</v>
          </cell>
          <cell r="F2023">
            <v>120</v>
          </cell>
          <cell r="G2023">
            <v>6</v>
          </cell>
          <cell r="H2023">
            <v>27.5</v>
          </cell>
          <cell r="I2023">
            <v>25.5</v>
          </cell>
          <cell r="J2023">
            <v>21</v>
          </cell>
          <cell r="K2023">
            <v>7.3</v>
          </cell>
          <cell r="L2023">
            <v>6.083333333333333E-2</v>
          </cell>
          <cell r="M2023">
            <v>1.4726250000000001E-2</v>
          </cell>
        </row>
        <row r="2024">
          <cell r="A2024">
            <v>21300005</v>
          </cell>
          <cell r="B2024">
            <v>3118220030206</v>
          </cell>
          <cell r="C2024" t="str">
            <v>13118220030203</v>
          </cell>
          <cell r="D2024" t="str">
            <v>23118220030200</v>
          </cell>
          <cell r="E2024" t="str">
            <v>CAFE EMPREINTE + GENCOD</v>
          </cell>
          <cell r="F2024">
            <v>120</v>
          </cell>
          <cell r="G2024">
            <v>6</v>
          </cell>
          <cell r="H2024">
            <v>28.5</v>
          </cell>
          <cell r="I2024">
            <v>18</v>
          </cell>
          <cell r="J2024">
            <v>18.5</v>
          </cell>
          <cell r="K2024">
            <v>3.4</v>
          </cell>
          <cell r="L2024">
            <v>2.8333333333333332E-2</v>
          </cell>
          <cell r="M2024">
            <v>9.4904999999999989E-3</v>
          </cell>
        </row>
        <row r="2025">
          <cell r="A2025">
            <v>21300006</v>
          </cell>
          <cell r="B2025">
            <v>3605757169399</v>
          </cell>
          <cell r="E2025" t="str">
            <v>M16 PIELA (EMPREINTE) BOITE ALINEA</v>
          </cell>
          <cell r="F2025">
            <v>6</v>
          </cell>
          <cell r="G2025">
            <v>6</v>
          </cell>
          <cell r="H2025">
            <v>31</v>
          </cell>
          <cell r="I2025">
            <v>24.5</v>
          </cell>
          <cell r="J2025">
            <v>31</v>
          </cell>
          <cell r="K2025">
            <v>6.9580000000000002</v>
          </cell>
          <cell r="L2025">
            <v>1.1596666666666666</v>
          </cell>
          <cell r="M2025">
            <v>2.3544499999999999E-2</v>
          </cell>
        </row>
        <row r="2026">
          <cell r="A2026">
            <v>21300007</v>
          </cell>
          <cell r="B2026">
            <v>3118220038745</v>
          </cell>
          <cell r="E2026" t="str">
            <v>M16 EMPREINTE BOITE TB COLLECTION</v>
          </cell>
          <cell r="F2026">
            <v>6</v>
          </cell>
          <cell r="G2026">
            <v>6</v>
          </cell>
          <cell r="H2026">
            <v>31</v>
          </cell>
          <cell r="I2026">
            <v>27.5</v>
          </cell>
          <cell r="J2026">
            <v>31</v>
          </cell>
          <cell r="K2026">
            <v>6.99</v>
          </cell>
          <cell r="L2026">
            <v>1.165</v>
          </cell>
          <cell r="M2026">
            <v>2.6427500000000003E-2</v>
          </cell>
        </row>
        <row r="2027">
          <cell r="A2027">
            <v>21312131</v>
          </cell>
          <cell r="B2027">
            <v>3118220025523</v>
          </cell>
          <cell r="E2027" t="str">
            <v>M16 CHEVRON REVÊTEMENT PVD BOITE TB COLLECTION</v>
          </cell>
          <cell r="F2027">
            <v>6</v>
          </cell>
          <cell r="G2027">
            <v>6</v>
          </cell>
          <cell r="H2027">
            <v>30</v>
          </cell>
          <cell r="I2027">
            <v>27.5</v>
          </cell>
          <cell r="J2027">
            <v>31</v>
          </cell>
          <cell r="K2027">
            <v>6.7370000000000001</v>
          </cell>
          <cell r="L2027">
            <v>1.1228333333333333</v>
          </cell>
          <cell r="M2027">
            <v>2.5575000000000001E-2</v>
          </cell>
        </row>
        <row r="2028">
          <cell r="A2028">
            <v>21312132</v>
          </cell>
          <cell r="B2028">
            <v>3118220028678</v>
          </cell>
          <cell r="E2028" t="str">
            <v>COUTEAU CHEVRON REVÊTEMENT PVD + GENCOD</v>
          </cell>
          <cell r="F2028">
            <v>120</v>
          </cell>
          <cell r="G2028">
            <v>6</v>
          </cell>
          <cell r="H2028">
            <v>27.5</v>
          </cell>
          <cell r="I2028">
            <v>25.5</v>
          </cell>
          <cell r="J2028">
            <v>21</v>
          </cell>
          <cell r="K2028">
            <v>10.74</v>
          </cell>
          <cell r="L2028">
            <v>8.9499999999999996E-2</v>
          </cell>
          <cell r="M2028">
            <v>1.4726250000000001E-2</v>
          </cell>
        </row>
        <row r="2029">
          <cell r="A2029">
            <v>21312133</v>
          </cell>
          <cell r="B2029">
            <v>3118220028685</v>
          </cell>
          <cell r="E2029" t="str">
            <v>FOURCHETTE CHEVRON REVÊTEMENT PVD + GENCOD</v>
          </cell>
          <cell r="F2029">
            <v>120</v>
          </cell>
          <cell r="G2029">
            <v>6</v>
          </cell>
          <cell r="H2029">
            <v>28</v>
          </cell>
          <cell r="I2029">
            <v>25.5</v>
          </cell>
          <cell r="J2029">
            <v>21</v>
          </cell>
          <cell r="K2029">
            <v>6.33</v>
          </cell>
          <cell r="L2029">
            <v>5.2749999999999998E-2</v>
          </cell>
          <cell r="M2029">
            <v>1.4994E-2</v>
          </cell>
        </row>
        <row r="2030">
          <cell r="A2030">
            <v>21312134</v>
          </cell>
          <cell r="B2030">
            <v>3118220028692</v>
          </cell>
          <cell r="E2030" t="str">
            <v>CUILLERE CHEVRON REVÊTEMENT PVD + GENCOD</v>
          </cell>
          <cell r="F2030">
            <v>120</v>
          </cell>
          <cell r="G2030">
            <v>6</v>
          </cell>
          <cell r="H2030">
            <v>31</v>
          </cell>
          <cell r="I2030">
            <v>19.5</v>
          </cell>
          <cell r="J2030">
            <v>10</v>
          </cell>
          <cell r="K2030">
            <v>7.2</v>
          </cell>
          <cell r="L2030">
            <v>6.0000000000000005E-2</v>
          </cell>
          <cell r="M2030">
            <v>6.0449999999999992E-3</v>
          </cell>
        </row>
        <row r="2031">
          <cell r="A2031">
            <v>21312135</v>
          </cell>
          <cell r="B2031">
            <v>3118220028708</v>
          </cell>
          <cell r="E2031" t="str">
            <v>CAFE CHEVRON REVÊTEMENT PVD + GENCOD</v>
          </cell>
          <cell r="F2031">
            <v>120</v>
          </cell>
          <cell r="G2031">
            <v>6</v>
          </cell>
          <cell r="H2031">
            <v>27.5</v>
          </cell>
          <cell r="I2031">
            <v>18.5</v>
          </cell>
          <cell r="J2031">
            <v>18.5</v>
          </cell>
          <cell r="K2031">
            <v>3.52</v>
          </cell>
          <cell r="L2031">
            <v>2.9333333333333333E-2</v>
          </cell>
          <cell r="M2031">
            <v>9.4118750000000001E-3</v>
          </cell>
        </row>
        <row r="2032">
          <cell r="A2032">
            <v>21320001</v>
          </cell>
          <cell r="B2032">
            <v>3118220025530</v>
          </cell>
          <cell r="E2032" t="str">
            <v>M16 PRINTEMPS REVÊTEMENT PVD BOITE TB COLLECTION</v>
          </cell>
          <cell r="F2032">
            <v>6</v>
          </cell>
          <cell r="G2032">
            <v>6</v>
          </cell>
          <cell r="H2032">
            <v>30</v>
          </cell>
          <cell r="I2032">
            <v>27.5</v>
          </cell>
          <cell r="J2032">
            <v>31</v>
          </cell>
          <cell r="K2032">
            <v>6.5490000000000004</v>
          </cell>
          <cell r="L2032">
            <v>1.0915000000000001</v>
          </cell>
          <cell r="M2032">
            <v>2.5575000000000001E-2</v>
          </cell>
        </row>
        <row r="2033">
          <cell r="A2033">
            <v>21320002</v>
          </cell>
          <cell r="B2033">
            <v>3118220030107</v>
          </cell>
          <cell r="C2033" t="str">
            <v>13118220030104</v>
          </cell>
          <cell r="D2033" t="str">
            <v>23118220030101</v>
          </cell>
          <cell r="E2033" t="str">
            <v>M16 BAGATELLE REVÊTEMENT PVD MAT BOITE TB COLLECTION</v>
          </cell>
          <cell r="F2033">
            <v>6</v>
          </cell>
          <cell r="G2033">
            <v>6</v>
          </cell>
          <cell r="H2033">
            <v>30</v>
          </cell>
          <cell r="I2033">
            <v>27</v>
          </cell>
          <cell r="J2033">
            <v>32.5</v>
          </cell>
          <cell r="K2033">
            <v>6.63</v>
          </cell>
          <cell r="L2033">
            <v>1.105</v>
          </cell>
          <cell r="M2033">
            <v>2.6325000000000001E-2</v>
          </cell>
        </row>
        <row r="2034">
          <cell r="A2034">
            <v>21320003</v>
          </cell>
          <cell r="B2034">
            <v>3118220030114</v>
          </cell>
          <cell r="C2034" t="str">
            <v>13118220030111</v>
          </cell>
          <cell r="D2034" t="str">
            <v>23118220030118</v>
          </cell>
          <cell r="E2034" t="str">
            <v>M16 BAGATELLE REVÊTEMENT PVD NOIR BRILLANT BTE TB COLLECTION</v>
          </cell>
          <cell r="F2034">
            <v>6</v>
          </cell>
          <cell r="G2034">
            <v>6</v>
          </cell>
          <cell r="H2034">
            <v>30</v>
          </cell>
          <cell r="I2034">
            <v>27</v>
          </cell>
          <cell r="J2034">
            <v>32.5</v>
          </cell>
          <cell r="K2034">
            <v>7.1269999999999998</v>
          </cell>
          <cell r="L2034">
            <v>1.1878333333333333</v>
          </cell>
          <cell r="M2034">
            <v>2.6325000000000001E-2</v>
          </cell>
        </row>
        <row r="2035">
          <cell r="A2035">
            <v>21320004</v>
          </cell>
          <cell r="B2035">
            <v>3118220030121</v>
          </cell>
          <cell r="C2035" t="str">
            <v>13118220030128</v>
          </cell>
          <cell r="D2035" t="str">
            <v>23118220030125</v>
          </cell>
          <cell r="E2035" t="str">
            <v>M16 BAGATELLE FINITION POLI MIROIR BOITE TB COLLECTION</v>
          </cell>
          <cell r="F2035">
            <v>6</v>
          </cell>
          <cell r="G2035">
            <v>6</v>
          </cell>
          <cell r="H2035">
            <v>30</v>
          </cell>
          <cell r="I2035">
            <v>27</v>
          </cell>
          <cell r="J2035">
            <v>32.5</v>
          </cell>
          <cell r="K2035">
            <v>6.63</v>
          </cell>
          <cell r="L2035">
            <v>1.105</v>
          </cell>
          <cell r="M2035">
            <v>2.6325000000000001E-2</v>
          </cell>
        </row>
        <row r="2036">
          <cell r="A2036">
            <v>21320005</v>
          </cell>
          <cell r="B2036">
            <v>3118220032354</v>
          </cell>
          <cell r="E2036" t="str">
            <v>COUTEAU PRINTEMPS REVÊTEMENT PVD VRAC + GENCOD</v>
          </cell>
          <cell r="F2036">
            <v>120</v>
          </cell>
          <cell r="G2036">
            <v>6</v>
          </cell>
          <cell r="H2036">
            <v>28</v>
          </cell>
          <cell r="I2036">
            <v>28</v>
          </cell>
          <cell r="J2036">
            <v>19.5</v>
          </cell>
          <cell r="K2036">
            <v>13.522</v>
          </cell>
          <cell r="L2036">
            <v>0.11268333333333333</v>
          </cell>
          <cell r="M2036">
            <v>1.5288000000000001E-2</v>
          </cell>
        </row>
        <row r="2037">
          <cell r="A2037">
            <v>21320006</v>
          </cell>
          <cell r="B2037">
            <v>3118220032361</v>
          </cell>
          <cell r="E2037" t="str">
            <v>FOURCHETTE PRINTEMPS REVÊTEMENT PVD VRAC + GENCOD</v>
          </cell>
          <cell r="F2037">
            <v>240</v>
          </cell>
          <cell r="G2037">
            <v>6</v>
          </cell>
          <cell r="H2037">
            <v>44.5</v>
          </cell>
          <cell r="I2037">
            <v>25</v>
          </cell>
          <cell r="J2037">
            <v>25</v>
          </cell>
          <cell r="K2037">
            <v>12.96</v>
          </cell>
          <cell r="L2037">
            <v>5.4000000000000006E-2</v>
          </cell>
          <cell r="M2037">
            <v>2.78125E-2</v>
          </cell>
        </row>
        <row r="2038">
          <cell r="A2038">
            <v>21320007</v>
          </cell>
          <cell r="B2038">
            <v>3118220032378</v>
          </cell>
          <cell r="E2038" t="str">
            <v>CUILLERE PRINTEMPS REVÊTEMENT PVD VRAC + GENCOD</v>
          </cell>
          <cell r="F2038">
            <v>240</v>
          </cell>
          <cell r="G2038">
            <v>6</v>
          </cell>
          <cell r="H2038">
            <v>44.5</v>
          </cell>
          <cell r="I2038">
            <v>25.5</v>
          </cell>
          <cell r="J2038">
            <v>25</v>
          </cell>
          <cell r="K2038">
            <v>16.379000000000001</v>
          </cell>
          <cell r="L2038">
            <v>6.8245833333333339E-2</v>
          </cell>
          <cell r="M2038">
            <v>2.8368750000000002E-2</v>
          </cell>
        </row>
        <row r="2039">
          <cell r="A2039">
            <v>21320008</v>
          </cell>
          <cell r="B2039">
            <v>3118220032385</v>
          </cell>
          <cell r="E2039" t="str">
            <v>CAFE PRINTEMPS REVÊTEMENT PVD VRAC + GENCOD</v>
          </cell>
          <cell r="F2039">
            <v>240</v>
          </cell>
          <cell r="G2039">
            <v>6</v>
          </cell>
          <cell r="H2039">
            <v>45</v>
          </cell>
          <cell r="I2039">
            <v>18</v>
          </cell>
          <cell r="J2039">
            <v>22</v>
          </cell>
          <cell r="K2039">
            <v>8.2189999999999994</v>
          </cell>
          <cell r="L2039">
            <v>3.424583333333333E-2</v>
          </cell>
          <cell r="M2039">
            <v>1.7819999999999999E-2</v>
          </cell>
        </row>
        <row r="2040">
          <cell r="A2040">
            <v>21330001</v>
          </cell>
          <cell r="B2040">
            <v>3118220025844</v>
          </cell>
          <cell r="C2040" t="str">
            <v>13118220025841</v>
          </cell>
          <cell r="D2040" t="str">
            <v>23118220025848</v>
          </cell>
          <cell r="E2040" t="str">
            <v>M16 GUERANDE FINITION MIROIR 18/10 BOITE PREMIUM</v>
          </cell>
          <cell r="F2040">
            <v>6</v>
          </cell>
          <cell r="G2040">
            <v>6</v>
          </cell>
          <cell r="H2040">
            <v>30.5</v>
          </cell>
          <cell r="I2040">
            <v>28</v>
          </cell>
          <cell r="J2040">
            <v>30.5</v>
          </cell>
          <cell r="K2040">
            <v>9.1020000000000003</v>
          </cell>
          <cell r="L2040">
            <v>1.5170000000000001</v>
          </cell>
          <cell r="M2040">
            <v>2.6046999999999997E-2</v>
          </cell>
        </row>
        <row r="2041">
          <cell r="A2041">
            <v>21330002</v>
          </cell>
          <cell r="B2041">
            <v>3118220028173</v>
          </cell>
          <cell r="C2041" t="str">
            <v>13118220028170</v>
          </cell>
          <cell r="D2041" t="str">
            <v>23118220028177</v>
          </cell>
          <cell r="E2041" t="str">
            <v>M16 GUERANDE FINITION SABLEE 18/0 BOITE PREMIUM</v>
          </cell>
          <cell r="F2041">
            <v>6</v>
          </cell>
          <cell r="G2041">
            <v>6</v>
          </cell>
          <cell r="H2041">
            <v>30.5</v>
          </cell>
          <cell r="I2041">
            <v>28</v>
          </cell>
          <cell r="J2041">
            <v>31</v>
          </cell>
          <cell r="K2041">
            <v>9.3719999999999999</v>
          </cell>
          <cell r="L2041">
            <v>1.5620000000000001</v>
          </cell>
          <cell r="M2041">
            <v>2.6473999999999998E-2</v>
          </cell>
        </row>
        <row r="2042">
          <cell r="A2042">
            <v>21330003</v>
          </cell>
          <cell r="B2042">
            <v>3118220028180</v>
          </cell>
          <cell r="C2042" t="str">
            <v>13118220028187</v>
          </cell>
          <cell r="D2042" t="str">
            <v>23118220028184</v>
          </cell>
          <cell r="E2042" t="str">
            <v>COUTEAU GUERANDE FINITION SABLEE CARTE PEGBORDABLE</v>
          </cell>
          <cell r="F2042">
            <v>120</v>
          </cell>
          <cell r="G2042">
            <v>6</v>
          </cell>
          <cell r="H2042">
            <v>35</v>
          </cell>
          <cell r="I2042">
            <v>33</v>
          </cell>
          <cell r="J2042">
            <v>33</v>
          </cell>
          <cell r="K2042">
            <v>18.216999999999999</v>
          </cell>
          <cell r="L2042">
            <v>0.15180833333333332</v>
          </cell>
          <cell r="M2042">
            <v>3.8114999999999996E-2</v>
          </cell>
        </row>
        <row r="2043">
          <cell r="A2043">
            <v>21330004</v>
          </cell>
          <cell r="B2043">
            <v>3118220028197</v>
          </cell>
          <cell r="C2043" t="str">
            <v>13118220028194</v>
          </cell>
          <cell r="D2043" t="str">
            <v>23118220028191</v>
          </cell>
          <cell r="E2043" t="str">
            <v>FOURCHETTE GUERANDE FINITION SABLEE 18/0 CARTE PEGBORDABLE</v>
          </cell>
          <cell r="F2043">
            <v>120</v>
          </cell>
          <cell r="G2043">
            <v>6</v>
          </cell>
          <cell r="H2043">
            <v>54.5</v>
          </cell>
          <cell r="I2043">
            <v>35.5</v>
          </cell>
          <cell r="J2043">
            <v>33</v>
          </cell>
          <cell r="K2043">
            <v>12.957000000000001</v>
          </cell>
          <cell r="L2043">
            <v>0.107975</v>
          </cell>
          <cell r="M2043">
            <v>6.3846750000000008E-2</v>
          </cell>
        </row>
        <row r="2044">
          <cell r="A2044">
            <v>21330005</v>
          </cell>
          <cell r="B2044">
            <v>3118220028203</v>
          </cell>
          <cell r="C2044" t="str">
            <v>13118220028200</v>
          </cell>
          <cell r="D2044" t="str">
            <v>23118220028207</v>
          </cell>
          <cell r="E2044" t="str">
            <v>CUILLERE GUERANDE FINITION SABLEE 18/0 CARTE PEGBORDABLE</v>
          </cell>
          <cell r="F2044">
            <v>120</v>
          </cell>
          <cell r="G2044">
            <v>6</v>
          </cell>
          <cell r="H2044">
            <v>54.5</v>
          </cell>
          <cell r="I2044">
            <v>35.5</v>
          </cell>
          <cell r="J2044">
            <v>33</v>
          </cell>
          <cell r="K2044">
            <v>10.8</v>
          </cell>
          <cell r="L2044">
            <v>9.0000000000000011E-2</v>
          </cell>
          <cell r="M2044">
            <v>6.3846750000000008E-2</v>
          </cell>
        </row>
        <row r="2045">
          <cell r="A2045">
            <v>21330006</v>
          </cell>
          <cell r="B2045">
            <v>3118220028210</v>
          </cell>
          <cell r="C2045" t="str">
            <v>13118220028217</v>
          </cell>
          <cell r="D2045" t="str">
            <v>23118220028214</v>
          </cell>
          <cell r="E2045" t="str">
            <v>CAFE GUERANDE FINITION SABLEE 18/0 CARTE PEGBORDABLE</v>
          </cell>
          <cell r="F2045">
            <v>120</v>
          </cell>
          <cell r="G2045">
            <v>6</v>
          </cell>
          <cell r="H2045">
            <v>40.5</v>
          </cell>
          <cell r="I2045">
            <v>27</v>
          </cell>
          <cell r="J2045">
            <v>33.5</v>
          </cell>
          <cell r="K2045">
            <v>6.12</v>
          </cell>
          <cell r="L2045">
            <v>5.1000000000000004E-2</v>
          </cell>
          <cell r="M2045">
            <v>3.6632250000000005E-2</v>
          </cell>
        </row>
        <row r="2046">
          <cell r="A2046">
            <v>21350001</v>
          </cell>
          <cell r="B2046">
            <v>3118220025998</v>
          </cell>
          <cell r="C2046" t="str">
            <v>13118220025995</v>
          </cell>
          <cell r="D2046" t="str">
            <v>23118220025992</v>
          </cell>
          <cell r="E2046" t="str">
            <v>M16 CAP FERRET FINITION MIROIR 18/10 BOITE PREMIUM</v>
          </cell>
          <cell r="F2046">
            <v>6</v>
          </cell>
          <cell r="G2046">
            <v>6</v>
          </cell>
          <cell r="H2046">
            <v>30.5</v>
          </cell>
          <cell r="I2046">
            <v>28</v>
          </cell>
          <cell r="J2046">
            <v>30.5</v>
          </cell>
          <cell r="K2046">
            <v>9.19</v>
          </cell>
          <cell r="L2046">
            <v>1.5316666666666665</v>
          </cell>
          <cell r="M2046">
            <v>2.6046999999999997E-2</v>
          </cell>
        </row>
        <row r="2047">
          <cell r="A2047">
            <v>21350002</v>
          </cell>
          <cell r="B2047">
            <v>3118220028128</v>
          </cell>
          <cell r="C2047" t="str">
            <v>13118220028125</v>
          </cell>
          <cell r="D2047" t="str">
            <v>23118220028122</v>
          </cell>
          <cell r="E2047" t="str">
            <v>M16 CAP FERRET FINITION SABLEE 18/10 BOITE PREMIUM</v>
          </cell>
          <cell r="F2047">
            <v>6</v>
          </cell>
          <cell r="G2047">
            <v>6</v>
          </cell>
          <cell r="H2047">
            <v>30</v>
          </cell>
          <cell r="I2047">
            <v>28</v>
          </cell>
          <cell r="J2047">
            <v>31.5</v>
          </cell>
          <cell r="K2047">
            <v>8.6999999999999993</v>
          </cell>
          <cell r="L2047">
            <v>1.45</v>
          </cell>
          <cell r="M2047">
            <v>2.6460000000000004E-2</v>
          </cell>
        </row>
        <row r="2048">
          <cell r="A2048">
            <v>21350003</v>
          </cell>
          <cell r="B2048">
            <v>3118220028135</v>
          </cell>
          <cell r="C2048" t="str">
            <v>13118220028132</v>
          </cell>
          <cell r="D2048" t="str">
            <v>23118220028139</v>
          </cell>
          <cell r="E2048" t="str">
            <v>COUTEAU CAP FERRET FINITION SABLEE CARTE PEGBORDABLE</v>
          </cell>
          <cell r="F2048">
            <v>120</v>
          </cell>
          <cell r="G2048">
            <v>6</v>
          </cell>
          <cell r="H2048">
            <v>35</v>
          </cell>
          <cell r="I2048">
            <v>33</v>
          </cell>
          <cell r="J2048">
            <v>33</v>
          </cell>
          <cell r="K2048">
            <v>16.936</v>
          </cell>
          <cell r="L2048">
            <v>0.14113333333333333</v>
          </cell>
          <cell r="M2048">
            <v>3.8114999999999996E-2</v>
          </cell>
        </row>
        <row r="2049">
          <cell r="A2049">
            <v>21350004</v>
          </cell>
          <cell r="B2049">
            <v>3118220028142</v>
          </cell>
          <cell r="C2049" t="str">
            <v>13118220028149</v>
          </cell>
          <cell r="D2049" t="str">
            <v>23118220028146</v>
          </cell>
          <cell r="E2049" t="str">
            <v>FOURCHETTE CAP FERRET FINITION SABLEE 18/0 CARTE PEGBORDABLE</v>
          </cell>
          <cell r="F2049">
            <v>120</v>
          </cell>
          <cell r="G2049">
            <v>6</v>
          </cell>
          <cell r="H2049">
            <v>54.5</v>
          </cell>
          <cell r="I2049">
            <v>35.5</v>
          </cell>
          <cell r="J2049">
            <v>33</v>
          </cell>
          <cell r="K2049">
            <v>13.186999999999999</v>
          </cell>
          <cell r="L2049">
            <v>0.10989166666666667</v>
          </cell>
          <cell r="M2049">
            <v>6.3846750000000008E-2</v>
          </cell>
        </row>
        <row r="2050">
          <cell r="A2050">
            <v>21350005</v>
          </cell>
          <cell r="B2050">
            <v>3118220028159</v>
          </cell>
          <cell r="C2050" t="str">
            <v>13118220028156</v>
          </cell>
          <cell r="D2050" t="str">
            <v>23118220028153</v>
          </cell>
          <cell r="E2050" t="str">
            <v>CUILLERE CAP FERRET FINITION SABLEE 18/0 CARTE PEGBORDABLE</v>
          </cell>
          <cell r="F2050">
            <v>120</v>
          </cell>
          <cell r="G2050">
            <v>6</v>
          </cell>
          <cell r="H2050">
            <v>54.5</v>
          </cell>
          <cell r="I2050">
            <v>35.5</v>
          </cell>
          <cell r="J2050">
            <v>33</v>
          </cell>
          <cell r="K2050">
            <v>14.667</v>
          </cell>
          <cell r="L2050">
            <v>0.122225</v>
          </cell>
          <cell r="M2050">
            <v>6.3846750000000008E-2</v>
          </cell>
        </row>
        <row r="2051">
          <cell r="A2051">
            <v>21350006</v>
          </cell>
          <cell r="B2051">
            <v>3118220028166</v>
          </cell>
          <cell r="C2051" t="str">
            <v>13118220028163</v>
          </cell>
          <cell r="D2051" t="str">
            <v>23118220028160</v>
          </cell>
          <cell r="E2051" t="str">
            <v>CAFE CAP FERRET FINITION SABLEE 18/0 CARTE PEGBORDABLE</v>
          </cell>
          <cell r="F2051">
            <v>120</v>
          </cell>
          <cell r="G2051">
            <v>6</v>
          </cell>
          <cell r="H2051">
            <v>40.5</v>
          </cell>
          <cell r="I2051">
            <v>27.5</v>
          </cell>
          <cell r="J2051">
            <v>33.5</v>
          </cell>
          <cell r="K2051">
            <v>7.5590000000000002</v>
          </cell>
          <cell r="L2051">
            <v>6.2991666666666668E-2</v>
          </cell>
          <cell r="M2051">
            <v>3.7310625000000007E-2</v>
          </cell>
        </row>
        <row r="2052">
          <cell r="A2052">
            <v>21360001</v>
          </cell>
          <cell r="B2052">
            <v>3118220026001</v>
          </cell>
          <cell r="C2052" t="str">
            <v>13118220026008</v>
          </cell>
          <cell r="D2052" t="str">
            <v>23118220026005</v>
          </cell>
          <cell r="E2052" t="str">
            <v>M16 ETRETAT 18/10 BOITE PREMIUM</v>
          </cell>
          <cell r="F2052">
            <v>6</v>
          </cell>
          <cell r="G2052">
            <v>6</v>
          </cell>
          <cell r="H2052">
            <v>30.5</v>
          </cell>
          <cell r="I2052">
            <v>28</v>
          </cell>
          <cell r="J2052">
            <v>30.5</v>
          </cell>
          <cell r="K2052">
            <v>10.186999999999999</v>
          </cell>
          <cell r="L2052">
            <v>1.6978333333333333</v>
          </cell>
          <cell r="M2052">
            <v>2.6046999999999997E-2</v>
          </cell>
        </row>
        <row r="2053">
          <cell r="A2053">
            <v>21370001</v>
          </cell>
          <cell r="B2053">
            <v>3118220026018</v>
          </cell>
          <cell r="C2053" t="str">
            <v>13118220026015</v>
          </cell>
          <cell r="D2053" t="str">
            <v>23118220026012</v>
          </cell>
          <cell r="E2053" t="str">
            <v>M16 BREGANÇON FINITION MIROIR 18/10 BOITE PREMIUM</v>
          </cell>
          <cell r="F2053">
            <v>6</v>
          </cell>
          <cell r="G2053">
            <v>6</v>
          </cell>
          <cell r="H2053">
            <v>30.5</v>
          </cell>
          <cell r="I2053">
            <v>28</v>
          </cell>
          <cell r="J2053">
            <v>30.5</v>
          </cell>
          <cell r="K2053">
            <v>10.37</v>
          </cell>
          <cell r="L2053">
            <v>1.7283333333333333</v>
          </cell>
          <cell r="M2053">
            <v>2.6046999999999997E-2</v>
          </cell>
        </row>
        <row r="2054">
          <cell r="A2054">
            <v>21370002</v>
          </cell>
          <cell r="B2054">
            <v>3118220028227</v>
          </cell>
          <cell r="E2054" t="str">
            <v>M16 BREGANÇON FINITION SABLEE 18/0 BOITE PREMIUM</v>
          </cell>
          <cell r="F2054">
            <v>6</v>
          </cell>
          <cell r="G2054">
            <v>6</v>
          </cell>
          <cell r="H2054">
            <v>30</v>
          </cell>
          <cell r="I2054">
            <v>27.5</v>
          </cell>
          <cell r="J2054">
            <v>31</v>
          </cell>
          <cell r="K2054">
            <v>8.7720000000000002</v>
          </cell>
          <cell r="L2054">
            <v>1.462</v>
          </cell>
          <cell r="M2054">
            <v>2.5575000000000001E-2</v>
          </cell>
        </row>
        <row r="2055">
          <cell r="A2055">
            <v>21370003</v>
          </cell>
          <cell r="B2055">
            <v>3118220028234</v>
          </cell>
          <cell r="E2055" t="str">
            <v>COUTEAU BREGANÇON FINITION SABLEE CARTE PEGBORDABLE</v>
          </cell>
          <cell r="F2055">
            <v>120</v>
          </cell>
          <cell r="G2055">
            <v>6</v>
          </cell>
          <cell r="H2055">
            <v>34.5</v>
          </cell>
          <cell r="I2055">
            <v>33</v>
          </cell>
          <cell r="J2055">
            <v>33</v>
          </cell>
          <cell r="K2055">
            <v>20.463000000000001</v>
          </cell>
          <cell r="L2055">
            <v>0.17052500000000001</v>
          </cell>
          <cell r="M2055">
            <v>3.7570499999999993E-2</v>
          </cell>
        </row>
        <row r="2056">
          <cell r="A2056">
            <v>21370004</v>
          </cell>
          <cell r="B2056">
            <v>3118220028241</v>
          </cell>
          <cell r="E2056" t="str">
            <v>FOURCHETTE BREGANÇON FINITION SABLEE 18/0 CARTE PEGBORDABLE</v>
          </cell>
          <cell r="F2056">
            <v>120</v>
          </cell>
          <cell r="G2056">
            <v>6</v>
          </cell>
          <cell r="H2056">
            <v>54</v>
          </cell>
          <cell r="I2056">
            <v>35.5</v>
          </cell>
          <cell r="J2056">
            <v>33</v>
          </cell>
          <cell r="K2056">
            <v>13.954000000000001</v>
          </cell>
          <cell r="L2056">
            <v>0.11628333333333334</v>
          </cell>
          <cell r="M2056">
            <v>6.3260999999999998E-2</v>
          </cell>
        </row>
        <row r="2057">
          <cell r="A2057">
            <v>21370005</v>
          </cell>
          <cell r="B2057">
            <v>3118220028258</v>
          </cell>
          <cell r="E2057" t="str">
            <v>CUILLERE BREGANÇON FINITION SABLEE 18/0 CARTE PEGBORDABLE</v>
          </cell>
          <cell r="F2057">
            <v>120</v>
          </cell>
          <cell r="G2057">
            <v>6</v>
          </cell>
          <cell r="H2057">
            <v>54</v>
          </cell>
          <cell r="I2057">
            <v>35.5</v>
          </cell>
          <cell r="J2057">
            <v>33</v>
          </cell>
          <cell r="K2057">
            <v>15.724</v>
          </cell>
          <cell r="L2057">
            <v>0.13103333333333333</v>
          </cell>
          <cell r="M2057">
            <v>6.3260999999999998E-2</v>
          </cell>
        </row>
        <row r="2058">
          <cell r="A2058">
            <v>21370006</v>
          </cell>
          <cell r="B2058">
            <v>3118220028265</v>
          </cell>
          <cell r="E2058" t="str">
            <v>CAFE BREGANÇON FINITION SABLEE 18/0 CARTE PEGBORDABLE</v>
          </cell>
          <cell r="F2058">
            <v>120</v>
          </cell>
          <cell r="G2058">
            <v>6</v>
          </cell>
          <cell r="H2058">
            <v>39.5</v>
          </cell>
          <cell r="I2058">
            <v>27</v>
          </cell>
          <cell r="J2058">
            <v>33</v>
          </cell>
          <cell r="K2058">
            <v>7.694</v>
          </cell>
          <cell r="L2058">
            <v>6.4116666666666669E-2</v>
          </cell>
          <cell r="M2058">
            <v>3.5194500000000004E-2</v>
          </cell>
        </row>
        <row r="2059">
          <cell r="A2059">
            <v>21370007</v>
          </cell>
          <cell r="B2059">
            <v>3605757169375</v>
          </cell>
          <cell r="E2059" t="str">
            <v>M16 APO (BREGANCON) FINITION SABLEE BOITE ALINEA</v>
          </cell>
          <cell r="F2059">
            <v>6</v>
          </cell>
          <cell r="G2059">
            <v>6</v>
          </cell>
          <cell r="H2059">
            <v>30</v>
          </cell>
          <cell r="I2059">
            <v>27</v>
          </cell>
          <cell r="J2059">
            <v>30.5</v>
          </cell>
          <cell r="K2059">
            <v>9.2279999999999998</v>
          </cell>
          <cell r="L2059">
            <v>1.538</v>
          </cell>
          <cell r="M2059">
            <v>2.4704999999999998E-2</v>
          </cell>
        </row>
        <row r="2060">
          <cell r="A2060">
            <v>21370008</v>
          </cell>
          <cell r="B2060">
            <v>3118220032439</v>
          </cell>
          <cell r="E2060" t="str">
            <v>COUTEAU BREGANÇON FINITION SABLEE VRAC + GENCOD</v>
          </cell>
          <cell r="F2060">
            <v>120</v>
          </cell>
          <cell r="G2060">
            <v>6</v>
          </cell>
          <cell r="H2060">
            <v>27.5</v>
          </cell>
          <cell r="I2060">
            <v>26</v>
          </cell>
          <cell r="J2060">
            <v>20.5</v>
          </cell>
          <cell r="K2060">
            <v>16.152999999999999</v>
          </cell>
          <cell r="L2060">
            <v>0.13460833333333333</v>
          </cell>
          <cell r="M2060">
            <v>1.46575E-2</v>
          </cell>
        </row>
        <row r="2061">
          <cell r="A2061">
            <v>21370009</v>
          </cell>
          <cell r="B2061">
            <v>3118220032446</v>
          </cell>
          <cell r="E2061" t="str">
            <v>FOURCHETTE BREGANÇON FINITION SABLEE VRAC + GENCOD</v>
          </cell>
          <cell r="F2061">
            <v>120</v>
          </cell>
          <cell r="G2061">
            <v>6</v>
          </cell>
          <cell r="H2061">
            <v>33</v>
          </cell>
          <cell r="I2061">
            <v>24.5</v>
          </cell>
          <cell r="J2061">
            <v>21</v>
          </cell>
          <cell r="K2061">
            <v>9.8510000000000009</v>
          </cell>
          <cell r="L2061">
            <v>8.2091666666666674E-2</v>
          </cell>
          <cell r="M2061">
            <v>1.6978500000000001E-2</v>
          </cell>
        </row>
        <row r="2062">
          <cell r="A2062">
            <v>21370010</v>
          </cell>
          <cell r="B2062">
            <v>3118220032453</v>
          </cell>
          <cell r="E2062" t="str">
            <v>CUILLERE BREGANÇON FINITION SABLEE VRAC + GENCOD</v>
          </cell>
          <cell r="F2062">
            <v>120</v>
          </cell>
          <cell r="G2062">
            <v>6</v>
          </cell>
          <cell r="H2062">
            <v>32.5</v>
          </cell>
          <cell r="I2062">
            <v>24.5</v>
          </cell>
          <cell r="J2062">
            <v>21</v>
          </cell>
          <cell r="K2062">
            <v>11.58</v>
          </cell>
          <cell r="L2062">
            <v>9.6500000000000002E-2</v>
          </cell>
          <cell r="M2062">
            <v>1.672125E-2</v>
          </cell>
        </row>
        <row r="2063">
          <cell r="A2063">
            <v>21370011</v>
          </cell>
          <cell r="B2063">
            <v>3118220032460</v>
          </cell>
          <cell r="E2063" t="str">
            <v>CAFE BREGANÇON FINITION SABLEE VRAC + GENCOD</v>
          </cell>
          <cell r="F2063">
            <v>120</v>
          </cell>
          <cell r="G2063">
            <v>6</v>
          </cell>
          <cell r="H2063">
            <v>30</v>
          </cell>
          <cell r="I2063">
            <v>20</v>
          </cell>
          <cell r="J2063">
            <v>17.5</v>
          </cell>
          <cell r="K2063">
            <v>5.0490000000000004</v>
          </cell>
          <cell r="L2063">
            <v>4.2075000000000001E-2</v>
          </cell>
          <cell r="M2063">
            <v>1.0500000000000001E-2</v>
          </cell>
        </row>
        <row r="2064">
          <cell r="A2064">
            <v>21380001</v>
          </cell>
          <cell r="B2064">
            <v>3118220026025</v>
          </cell>
          <cell r="C2064" t="str">
            <v>13118220026022</v>
          </cell>
          <cell r="D2064" t="str">
            <v>23118220026029</v>
          </cell>
          <cell r="E2064" t="str">
            <v>M16 NOIRMOUTIER  FINITION MIROIR 18/10 BOITE PREMIUM</v>
          </cell>
          <cell r="F2064">
            <v>6</v>
          </cell>
          <cell r="G2064">
            <v>6</v>
          </cell>
          <cell r="H2064">
            <v>30.5</v>
          </cell>
          <cell r="I2064">
            <v>28</v>
          </cell>
          <cell r="J2064">
            <v>30.5</v>
          </cell>
          <cell r="K2064">
            <v>10.768000000000001</v>
          </cell>
          <cell r="L2064">
            <v>1.7946666666666669</v>
          </cell>
          <cell r="M2064">
            <v>2.6046999999999997E-2</v>
          </cell>
        </row>
        <row r="2065">
          <cell r="A2065">
            <v>21390001</v>
          </cell>
          <cell r="B2065">
            <v>3118220026445</v>
          </cell>
          <cell r="C2065" t="str">
            <v>13118220026442</v>
          </cell>
          <cell r="D2065" t="str">
            <v>23118220026449</v>
          </cell>
          <cell r="E2065" t="str">
            <v>M16 BAMBOU EN BOITE TB COLLECTION</v>
          </cell>
          <cell r="F2065">
            <v>6</v>
          </cell>
          <cell r="G2065">
            <v>6</v>
          </cell>
          <cell r="H2065">
            <v>30</v>
          </cell>
          <cell r="I2065">
            <v>27</v>
          </cell>
          <cell r="J2065">
            <v>32</v>
          </cell>
          <cell r="K2065">
            <v>6.7880000000000003</v>
          </cell>
          <cell r="L2065">
            <v>1.1313333333333333</v>
          </cell>
          <cell r="M2065">
            <v>2.5920000000000002E-2</v>
          </cell>
        </row>
        <row r="2066">
          <cell r="A2066">
            <v>21390002</v>
          </cell>
          <cell r="B2066">
            <v>3118220026452</v>
          </cell>
          <cell r="C2066" t="str">
            <v>13118220026459</v>
          </cell>
          <cell r="D2066" t="str">
            <v>23118220026456</v>
          </cell>
          <cell r="E2066" t="str">
            <v>COUTEAU BAMBOU + GENCOD</v>
          </cell>
          <cell r="F2066">
            <v>120</v>
          </cell>
          <cell r="G2066">
            <v>6</v>
          </cell>
          <cell r="H2066">
            <v>27</v>
          </cell>
          <cell r="I2066">
            <v>26</v>
          </cell>
          <cell r="J2066">
            <v>19.5</v>
          </cell>
          <cell r="K2066">
            <v>8.98</v>
          </cell>
          <cell r="L2066">
            <v>7.4833333333333335E-2</v>
          </cell>
          <cell r="M2066">
            <v>1.3689E-2</v>
          </cell>
        </row>
        <row r="2067">
          <cell r="A2067">
            <v>21390003</v>
          </cell>
          <cell r="B2067">
            <v>3118220026469</v>
          </cell>
          <cell r="C2067" t="str">
            <v>13118220026466</v>
          </cell>
          <cell r="D2067" t="str">
            <v>23118220026463</v>
          </cell>
          <cell r="E2067" t="str">
            <v>FOURCHETTE BAMBOU + GENCOD</v>
          </cell>
          <cell r="F2067">
            <v>120</v>
          </cell>
          <cell r="G2067">
            <v>6</v>
          </cell>
          <cell r="H2067">
            <v>27.5</v>
          </cell>
          <cell r="I2067">
            <v>25.5</v>
          </cell>
          <cell r="J2067">
            <v>21.5</v>
          </cell>
          <cell r="K2067">
            <v>6.72</v>
          </cell>
          <cell r="L2067">
            <v>5.6000000000000001E-2</v>
          </cell>
          <cell r="M2067">
            <v>1.5076875E-2</v>
          </cell>
        </row>
        <row r="2068">
          <cell r="A2068">
            <v>21390004</v>
          </cell>
          <cell r="B2068">
            <v>3118220026476</v>
          </cell>
          <cell r="C2068" t="str">
            <v>13118220026473</v>
          </cell>
          <cell r="D2068" t="str">
            <v>23118220026470</v>
          </cell>
          <cell r="E2068" t="str">
            <v>CUILLERE BAMBOU + GENCOD</v>
          </cell>
          <cell r="F2068">
            <v>120</v>
          </cell>
          <cell r="G2068">
            <v>6</v>
          </cell>
          <cell r="H2068">
            <v>27</v>
          </cell>
          <cell r="I2068">
            <v>25.5</v>
          </cell>
          <cell r="J2068">
            <v>21.5</v>
          </cell>
          <cell r="K2068">
            <v>8.44</v>
          </cell>
          <cell r="L2068">
            <v>7.0333333333333331E-2</v>
          </cell>
          <cell r="M2068">
            <v>1.4802750000000002E-2</v>
          </cell>
        </row>
        <row r="2069">
          <cell r="A2069">
            <v>21390005</v>
          </cell>
          <cell r="B2069">
            <v>3118220026483</v>
          </cell>
          <cell r="C2069" t="str">
            <v>13118220026480</v>
          </cell>
          <cell r="D2069" t="str">
            <v>23118220026487</v>
          </cell>
          <cell r="E2069" t="str">
            <v>CAFE BAMBOU + GENCOD</v>
          </cell>
          <cell r="F2069">
            <v>120</v>
          </cell>
          <cell r="G2069">
            <v>6</v>
          </cell>
          <cell r="H2069">
            <v>28</v>
          </cell>
          <cell r="I2069">
            <v>18.5</v>
          </cell>
          <cell r="J2069">
            <v>18</v>
          </cell>
          <cell r="K2069">
            <v>4.2</v>
          </cell>
          <cell r="L2069">
            <v>3.5000000000000003E-2</v>
          </cell>
          <cell r="M2069">
            <v>9.3240000000000007E-3</v>
          </cell>
        </row>
        <row r="2070">
          <cell r="A2070">
            <v>21420001</v>
          </cell>
          <cell r="B2070">
            <v>3118220026711</v>
          </cell>
          <cell r="E2070" t="str">
            <v>COUTEAU PALACE 18/10 PROMOCASH</v>
          </cell>
          <cell r="F2070">
            <v>72</v>
          </cell>
          <cell r="G2070">
            <v>12</v>
          </cell>
          <cell r="H2070">
            <v>30</v>
          </cell>
          <cell r="I2070">
            <v>22</v>
          </cell>
          <cell r="J2070">
            <v>18</v>
          </cell>
          <cell r="K2070">
            <v>6.048</v>
          </cell>
          <cell r="L2070">
            <v>8.4000000000000005E-2</v>
          </cell>
          <cell r="M2070">
            <v>1.1880000000000002E-2</v>
          </cell>
        </row>
        <row r="2071">
          <cell r="A2071">
            <v>21420003</v>
          </cell>
          <cell r="B2071">
            <v>3118220026735</v>
          </cell>
          <cell r="E2071" t="str">
            <v>CUILLERE PALACE 18/10 PROMOCASH</v>
          </cell>
          <cell r="F2071">
            <v>72</v>
          </cell>
          <cell r="G2071">
            <v>12</v>
          </cell>
          <cell r="H2071">
            <v>36.5</v>
          </cell>
          <cell r="I2071">
            <v>21</v>
          </cell>
          <cell r="J2071">
            <v>18</v>
          </cell>
          <cell r="K2071">
            <v>6.85</v>
          </cell>
          <cell r="L2071">
            <v>9.5138888888888884E-2</v>
          </cell>
          <cell r="M2071">
            <v>1.3796999999999999E-2</v>
          </cell>
        </row>
        <row r="2072">
          <cell r="A2072">
            <v>21420004</v>
          </cell>
          <cell r="B2072">
            <v>3118220026742</v>
          </cell>
          <cell r="E2072" t="str">
            <v>CAFE PALACE 18/10 PROMOCASH</v>
          </cell>
          <cell r="F2072">
            <v>72</v>
          </cell>
          <cell r="G2072">
            <v>12</v>
          </cell>
          <cell r="H2072">
            <v>30</v>
          </cell>
          <cell r="I2072">
            <v>22.5</v>
          </cell>
          <cell r="J2072">
            <v>12.5</v>
          </cell>
          <cell r="K2072">
            <v>2.0880000000000001</v>
          </cell>
          <cell r="L2072">
            <v>2.9000000000000001E-2</v>
          </cell>
          <cell r="M2072">
            <v>8.4375000000000006E-3</v>
          </cell>
        </row>
        <row r="2073">
          <cell r="A2073">
            <v>21420005</v>
          </cell>
          <cell r="B2073">
            <v>3118220045972</v>
          </cell>
          <cell r="E2073" t="str">
            <v>M24 PALACE 18/10</v>
          </cell>
          <cell r="F2073">
            <v>6</v>
          </cell>
          <cell r="G2073">
            <v>6</v>
          </cell>
          <cell r="H2073">
            <v>40</v>
          </cell>
          <cell r="I2073">
            <v>31</v>
          </cell>
          <cell r="J2073">
            <v>27</v>
          </cell>
          <cell r="K2073">
            <v>10.7</v>
          </cell>
          <cell r="L2073">
            <v>1.7833333333333332</v>
          </cell>
          <cell r="M2073">
            <v>3.3479999999999996E-2</v>
          </cell>
        </row>
        <row r="2074">
          <cell r="A2074">
            <v>21430001</v>
          </cell>
          <cell r="B2074">
            <v>3118220026759</v>
          </cell>
          <cell r="C2074" t="str">
            <v>13118220026756</v>
          </cell>
          <cell r="D2074" t="str">
            <v>23118220026753</v>
          </cell>
          <cell r="E2074" t="str">
            <v>COUTEAU CAPITOL EN BOITE PEGBOARDABLE</v>
          </cell>
          <cell r="F2074">
            <v>72</v>
          </cell>
          <cell r="G2074">
            <v>12</v>
          </cell>
          <cell r="H2074">
            <v>30</v>
          </cell>
          <cell r="I2074">
            <v>22</v>
          </cell>
          <cell r="J2074">
            <v>16.5</v>
          </cell>
          <cell r="K2074">
            <v>7.4160000000000004</v>
          </cell>
          <cell r="L2074">
            <v>0.10300000000000001</v>
          </cell>
          <cell r="M2074">
            <v>1.089E-2</v>
          </cell>
        </row>
        <row r="2075">
          <cell r="A2075">
            <v>21430002</v>
          </cell>
          <cell r="B2075">
            <v>3118220026766</v>
          </cell>
          <cell r="C2075" t="str">
            <v>13118220026763</v>
          </cell>
          <cell r="D2075" t="str">
            <v>23118220026760</v>
          </cell>
          <cell r="E2075" t="str">
            <v>FOURCHETTE CAPITOL 18/0 EN BOITE PEGBOARDABLE</v>
          </cell>
          <cell r="F2075">
            <v>72</v>
          </cell>
          <cell r="G2075">
            <v>12</v>
          </cell>
          <cell r="H2075">
            <v>30</v>
          </cell>
          <cell r="I2075">
            <v>22</v>
          </cell>
          <cell r="J2075">
            <v>17</v>
          </cell>
          <cell r="K2075">
            <v>4.2480000000000002</v>
          </cell>
          <cell r="L2075">
            <v>5.9000000000000004E-2</v>
          </cell>
          <cell r="M2075">
            <v>1.1220000000000001E-2</v>
          </cell>
        </row>
        <row r="2076">
          <cell r="A2076">
            <v>21430003</v>
          </cell>
          <cell r="B2076">
            <v>3118220026773</v>
          </cell>
          <cell r="C2076" t="str">
            <v>13118220026770</v>
          </cell>
          <cell r="D2076" t="str">
            <v>23118220026777</v>
          </cell>
          <cell r="E2076" t="str">
            <v>CUILLERE CAPITOL 18/0 EN BOITE PEGBOARDABLE</v>
          </cell>
          <cell r="F2076">
            <v>72</v>
          </cell>
          <cell r="G2076">
            <v>12</v>
          </cell>
          <cell r="H2076">
            <v>30</v>
          </cell>
          <cell r="I2076">
            <v>22</v>
          </cell>
          <cell r="J2076">
            <v>17</v>
          </cell>
          <cell r="K2076">
            <v>5.4720000000000004</v>
          </cell>
          <cell r="L2076">
            <v>7.6000000000000012E-2</v>
          </cell>
          <cell r="M2076">
            <v>1.1220000000000001E-2</v>
          </cell>
        </row>
        <row r="2077">
          <cell r="A2077">
            <v>21430004</v>
          </cell>
          <cell r="B2077">
            <v>3118220026780</v>
          </cell>
          <cell r="C2077" t="str">
            <v>13118220026787</v>
          </cell>
          <cell r="D2077" t="str">
            <v>23118220026784</v>
          </cell>
          <cell r="E2077" t="str">
            <v>CAFE CAPITOL 18/0 EN BOITE PEGBOARDABLE</v>
          </cell>
          <cell r="F2077">
            <v>72</v>
          </cell>
          <cell r="G2077">
            <v>12</v>
          </cell>
          <cell r="H2077">
            <v>30</v>
          </cell>
          <cell r="I2077">
            <v>22</v>
          </cell>
          <cell r="J2077">
            <v>12.5</v>
          </cell>
          <cell r="K2077">
            <v>2.3759999999999999</v>
          </cell>
          <cell r="L2077">
            <v>3.3000000000000002E-2</v>
          </cell>
          <cell r="M2077">
            <v>8.2500000000000004E-3</v>
          </cell>
        </row>
        <row r="2078">
          <cell r="A2078">
            <v>21430005</v>
          </cell>
          <cell r="B2078">
            <v>3118220026797</v>
          </cell>
          <cell r="C2078" t="str">
            <v>13118220026794</v>
          </cell>
          <cell r="D2078" t="str">
            <v>23118220026791</v>
          </cell>
          <cell r="E2078" t="str">
            <v>COUTEAU STEAK CAPITOL 18/0 EN BOITE PEGBOARDABLE</v>
          </cell>
          <cell r="F2078">
            <v>72</v>
          </cell>
          <cell r="G2078">
            <v>12</v>
          </cell>
          <cell r="H2078">
            <v>30</v>
          </cell>
          <cell r="I2078">
            <v>22</v>
          </cell>
          <cell r="J2078">
            <v>16.5</v>
          </cell>
          <cell r="K2078">
            <v>7.2</v>
          </cell>
          <cell r="L2078">
            <v>0.1</v>
          </cell>
          <cell r="M2078">
            <v>1.089E-2</v>
          </cell>
        </row>
        <row r="2079">
          <cell r="A2079">
            <v>21430006</v>
          </cell>
          <cell r="B2079">
            <v>3118220026803</v>
          </cell>
          <cell r="C2079" t="str">
            <v>13118220026800</v>
          </cell>
          <cell r="D2079" t="str">
            <v>23118220026807</v>
          </cell>
          <cell r="E2079" t="str">
            <v>COUTEAU DESSERT CAPITOL 18/0 EN BOITE PEGBOARDABLE</v>
          </cell>
          <cell r="F2079">
            <v>72</v>
          </cell>
          <cell r="G2079">
            <v>12</v>
          </cell>
          <cell r="H2079">
            <v>30</v>
          </cell>
          <cell r="I2079">
            <v>22</v>
          </cell>
          <cell r="J2079">
            <v>18</v>
          </cell>
          <cell r="K2079">
            <v>5.04</v>
          </cell>
          <cell r="L2079">
            <v>7.0000000000000007E-2</v>
          </cell>
          <cell r="M2079">
            <v>1.1880000000000002E-2</v>
          </cell>
        </row>
        <row r="2080">
          <cell r="A2080">
            <v>21430007</v>
          </cell>
          <cell r="B2080">
            <v>3118220026810</v>
          </cell>
          <cell r="C2080" t="str">
            <v>13118220026817</v>
          </cell>
          <cell r="D2080" t="str">
            <v>23118220026814</v>
          </cell>
          <cell r="E2080" t="str">
            <v>FOURCHETTE DESSERT CAPITOL 18/0 EN BOITE PEGBOARDABLE</v>
          </cell>
          <cell r="F2080">
            <v>72</v>
          </cell>
          <cell r="G2080">
            <v>12</v>
          </cell>
          <cell r="H2080">
            <v>30</v>
          </cell>
          <cell r="I2080">
            <v>22</v>
          </cell>
          <cell r="J2080">
            <v>17</v>
          </cell>
          <cell r="K2080">
            <v>3.528</v>
          </cell>
          <cell r="L2080">
            <v>4.9000000000000002E-2</v>
          </cell>
          <cell r="M2080">
            <v>1.1220000000000001E-2</v>
          </cell>
        </row>
        <row r="2081">
          <cell r="A2081">
            <v>21430008</v>
          </cell>
          <cell r="B2081">
            <v>3118220026827</v>
          </cell>
          <cell r="C2081" t="str">
            <v>13118220026824</v>
          </cell>
          <cell r="D2081" t="str">
            <v>23118220026821</v>
          </cell>
          <cell r="E2081" t="str">
            <v>CUILLERE DESSERT CAPITOL 18/0 EN BOITE PEGBOARDABLE</v>
          </cell>
          <cell r="F2081">
            <v>72</v>
          </cell>
          <cell r="G2081">
            <v>12</v>
          </cell>
          <cell r="H2081">
            <v>30</v>
          </cell>
          <cell r="I2081">
            <v>22</v>
          </cell>
          <cell r="J2081">
            <v>17.5</v>
          </cell>
          <cell r="K2081">
            <v>4.4640000000000004</v>
          </cell>
          <cell r="L2081">
            <v>6.2000000000000006E-2</v>
          </cell>
          <cell r="M2081">
            <v>1.155E-2</v>
          </cell>
        </row>
        <row r="2082">
          <cell r="A2082">
            <v>21430009</v>
          </cell>
          <cell r="B2082">
            <v>3118220026834</v>
          </cell>
          <cell r="C2082" t="str">
            <v>13118220026831</v>
          </cell>
          <cell r="D2082" t="str">
            <v>23118220026838</v>
          </cell>
          <cell r="E2082" t="str">
            <v>COUTEAU POISSON CAPITOL 18/0 EN BOITE PEGBOARDABLE</v>
          </cell>
          <cell r="F2082">
            <v>72</v>
          </cell>
          <cell r="G2082">
            <v>12</v>
          </cell>
          <cell r="H2082">
            <v>30</v>
          </cell>
          <cell r="I2082">
            <v>22</v>
          </cell>
          <cell r="J2082">
            <v>18.5</v>
          </cell>
          <cell r="K2082">
            <v>3.7440000000000002</v>
          </cell>
          <cell r="L2082">
            <v>5.2000000000000005E-2</v>
          </cell>
          <cell r="M2082">
            <v>1.221E-2</v>
          </cell>
        </row>
        <row r="2083">
          <cell r="A2083">
            <v>21430010</v>
          </cell>
          <cell r="B2083">
            <v>3118220026841</v>
          </cell>
          <cell r="C2083" t="str">
            <v>13118220026848</v>
          </cell>
          <cell r="D2083" t="str">
            <v>23118220026845</v>
          </cell>
          <cell r="E2083" t="str">
            <v>FOURCHETTE POISSON CAPITOL 18/0 EN BOITE PEGBOARDABLE</v>
          </cell>
          <cell r="F2083">
            <v>72</v>
          </cell>
          <cell r="G2083">
            <v>12</v>
          </cell>
          <cell r="H2083">
            <v>30</v>
          </cell>
          <cell r="I2083">
            <v>22</v>
          </cell>
          <cell r="J2083">
            <v>17.5</v>
          </cell>
          <cell r="K2083">
            <v>3.456</v>
          </cell>
          <cell r="L2083">
            <v>4.8000000000000001E-2</v>
          </cell>
          <cell r="M2083">
            <v>1.155E-2</v>
          </cell>
        </row>
        <row r="2084">
          <cell r="A2084">
            <v>21430011</v>
          </cell>
          <cell r="B2084">
            <v>3118220026858</v>
          </cell>
          <cell r="C2084" t="str">
            <v>13118220026855</v>
          </cell>
          <cell r="D2084" t="str">
            <v>23118220026852</v>
          </cell>
          <cell r="E2084" t="str">
            <v>FOURCHETTE HUITRE CAPITOL 18/0 EN BOITE PEGBOARDABLE</v>
          </cell>
          <cell r="F2084">
            <v>72</v>
          </cell>
          <cell r="G2084">
            <v>12</v>
          </cell>
          <cell r="H2084">
            <v>30.5</v>
          </cell>
          <cell r="I2084">
            <v>22</v>
          </cell>
          <cell r="J2084">
            <v>13</v>
          </cell>
          <cell r="K2084">
            <v>1.8</v>
          </cell>
          <cell r="L2084">
            <v>2.5000000000000001E-2</v>
          </cell>
          <cell r="M2084">
            <v>8.7229999999999981E-3</v>
          </cell>
        </row>
        <row r="2085">
          <cell r="A2085">
            <v>21440001</v>
          </cell>
          <cell r="B2085">
            <v>3118220026902</v>
          </cell>
          <cell r="C2085" t="str">
            <v>13118220026909</v>
          </cell>
          <cell r="D2085" t="str">
            <v>23118220026906</v>
          </cell>
          <cell r="E2085" t="str">
            <v>COUTEAU GUINGUETTE EN BOITE PEGB TB COLLECTION</v>
          </cell>
          <cell r="F2085">
            <v>72</v>
          </cell>
          <cell r="G2085">
            <v>12</v>
          </cell>
          <cell r="H2085">
            <v>36.5</v>
          </cell>
          <cell r="I2085">
            <v>21.5</v>
          </cell>
          <cell r="J2085">
            <v>15</v>
          </cell>
          <cell r="K2085">
            <v>7.3440000000000003</v>
          </cell>
          <cell r="L2085">
            <v>0.10200000000000001</v>
          </cell>
          <cell r="M2085">
            <v>1.177125E-2</v>
          </cell>
        </row>
        <row r="2086">
          <cell r="A2086">
            <v>21440002</v>
          </cell>
          <cell r="B2086">
            <v>3118220026919</v>
          </cell>
          <cell r="C2086" t="str">
            <v>13118220026916</v>
          </cell>
          <cell r="D2086" t="str">
            <v>23118220026913</v>
          </cell>
          <cell r="E2086" t="str">
            <v>FOURCHETTE  GUINGUETTE EN BOITE PEGB TB COLLECTION</v>
          </cell>
          <cell r="F2086">
            <v>72</v>
          </cell>
          <cell r="G2086">
            <v>12</v>
          </cell>
          <cell r="H2086">
            <v>30</v>
          </cell>
          <cell r="I2086">
            <v>22</v>
          </cell>
          <cell r="J2086">
            <v>18</v>
          </cell>
          <cell r="K2086">
            <v>3.7440000000000002</v>
          </cell>
          <cell r="L2086">
            <v>5.2000000000000005E-2</v>
          </cell>
          <cell r="M2086">
            <v>1.1880000000000002E-2</v>
          </cell>
        </row>
        <row r="2087">
          <cell r="A2087">
            <v>21440003</v>
          </cell>
          <cell r="B2087">
            <v>3118220026926</v>
          </cell>
          <cell r="C2087" t="str">
            <v>13118220026923</v>
          </cell>
          <cell r="D2087" t="str">
            <v>23118220026920</v>
          </cell>
          <cell r="E2087" t="str">
            <v>CUILLERE  GUINGUETTE EN BOITE PEGB TB COLLECTION</v>
          </cell>
          <cell r="F2087">
            <v>72</v>
          </cell>
          <cell r="G2087">
            <v>12</v>
          </cell>
          <cell r="H2087">
            <v>30.5</v>
          </cell>
          <cell r="I2087">
            <v>22</v>
          </cell>
          <cell r="J2087">
            <v>18.5</v>
          </cell>
          <cell r="K2087">
            <v>5.1840000000000002</v>
          </cell>
          <cell r="L2087">
            <v>7.2000000000000008E-2</v>
          </cell>
          <cell r="M2087">
            <v>1.2413499999999999E-2</v>
          </cell>
        </row>
        <row r="2088">
          <cell r="A2088">
            <v>21440004</v>
          </cell>
          <cell r="B2088">
            <v>3118220026933</v>
          </cell>
          <cell r="C2088" t="str">
            <v>13118220026930</v>
          </cell>
          <cell r="D2088" t="str">
            <v>23118220026937</v>
          </cell>
          <cell r="E2088" t="str">
            <v>CAFE GUINGUETTE EN BOITE PEGB TB COLLECTION</v>
          </cell>
          <cell r="F2088">
            <v>72</v>
          </cell>
          <cell r="G2088">
            <v>12</v>
          </cell>
          <cell r="H2088">
            <v>30</v>
          </cell>
          <cell r="I2088">
            <v>22</v>
          </cell>
          <cell r="J2088">
            <v>12.5</v>
          </cell>
          <cell r="K2088">
            <v>1.944</v>
          </cell>
          <cell r="L2088">
            <v>2.7E-2</v>
          </cell>
          <cell r="M2088">
            <v>8.2500000000000004E-3</v>
          </cell>
        </row>
        <row r="2089">
          <cell r="A2089">
            <v>21450001</v>
          </cell>
          <cell r="B2089">
            <v>3118220026940</v>
          </cell>
          <cell r="C2089" t="str">
            <v>13118220026947</v>
          </cell>
          <cell r="D2089" t="str">
            <v>23118220026944</v>
          </cell>
          <cell r="E2089" t="str">
            <v>COUTEAU RIVAGE EN BOITE PEGBOARDABLE</v>
          </cell>
          <cell r="F2089">
            <v>72</v>
          </cell>
          <cell r="G2089">
            <v>12</v>
          </cell>
          <cell r="H2089">
            <v>30.5</v>
          </cell>
          <cell r="I2089">
            <v>22</v>
          </cell>
          <cell r="J2089">
            <v>16.5</v>
          </cell>
          <cell r="K2089">
            <v>5.85</v>
          </cell>
          <cell r="L2089">
            <v>8.1249999999999989E-2</v>
          </cell>
          <cell r="M2089">
            <v>1.1071499999999998E-2</v>
          </cell>
        </row>
        <row r="2090">
          <cell r="A2090">
            <v>21450002</v>
          </cell>
          <cell r="B2090">
            <v>3118220026957</v>
          </cell>
          <cell r="C2090" t="str">
            <v>13118220026954</v>
          </cell>
          <cell r="D2090" t="str">
            <v>23118220026951</v>
          </cell>
          <cell r="E2090" t="str">
            <v>FOURCHETTE RIVAGE EN BOITE PEGBOARDABLE</v>
          </cell>
          <cell r="F2090">
            <v>72</v>
          </cell>
          <cell r="G2090">
            <v>12</v>
          </cell>
          <cell r="H2090">
            <v>30</v>
          </cell>
          <cell r="I2090">
            <v>22</v>
          </cell>
          <cell r="J2090">
            <v>17</v>
          </cell>
          <cell r="K2090">
            <v>3.7440000000000002</v>
          </cell>
          <cell r="L2090">
            <v>5.2000000000000005E-2</v>
          </cell>
          <cell r="M2090">
            <v>1.1220000000000001E-2</v>
          </cell>
        </row>
        <row r="2091">
          <cell r="A2091">
            <v>21450003</v>
          </cell>
          <cell r="B2091">
            <v>3118220026964</v>
          </cell>
          <cell r="C2091" t="str">
            <v>13118220026961</v>
          </cell>
          <cell r="D2091" t="str">
            <v>23118220026968</v>
          </cell>
          <cell r="E2091" t="str">
            <v>CUILLERE RIVAGE EN BOITE PEGBOARDABLE</v>
          </cell>
          <cell r="F2091">
            <v>72</v>
          </cell>
          <cell r="G2091">
            <v>12</v>
          </cell>
          <cell r="H2091">
            <v>36</v>
          </cell>
          <cell r="I2091">
            <v>22</v>
          </cell>
          <cell r="J2091">
            <v>18</v>
          </cell>
          <cell r="K2091">
            <v>4.1040000000000001</v>
          </cell>
          <cell r="L2091">
            <v>5.7000000000000002E-2</v>
          </cell>
          <cell r="M2091">
            <v>1.4255999999999998E-2</v>
          </cell>
        </row>
        <row r="2092">
          <cell r="A2092">
            <v>21450004</v>
          </cell>
          <cell r="B2092">
            <v>3118220026971</v>
          </cell>
          <cell r="C2092" t="str">
            <v>13118220026978</v>
          </cell>
          <cell r="D2092" t="str">
            <v>23118220026975</v>
          </cell>
          <cell r="E2092" t="str">
            <v>CAFE RIVAGE EN BOITE PEGBOARDABLE</v>
          </cell>
          <cell r="F2092">
            <v>72</v>
          </cell>
          <cell r="G2092">
            <v>12</v>
          </cell>
          <cell r="H2092">
            <v>30.5</v>
          </cell>
          <cell r="I2092">
            <v>19</v>
          </cell>
          <cell r="J2092">
            <v>12</v>
          </cell>
          <cell r="K2092">
            <v>1.728</v>
          </cell>
          <cell r="L2092">
            <v>2.4E-2</v>
          </cell>
          <cell r="M2092">
            <v>6.9540000000000001E-3</v>
          </cell>
        </row>
        <row r="2093">
          <cell r="A2093">
            <v>21450005</v>
          </cell>
          <cell r="B2093">
            <v>3118220026988</v>
          </cell>
          <cell r="C2093" t="str">
            <v>13118220026985</v>
          </cell>
          <cell r="D2093" t="str">
            <v>23118220026982</v>
          </cell>
          <cell r="E2093" t="str">
            <v>COUTEAU STEAK RIVAGE EN BOITE PEGBOARDABLE</v>
          </cell>
          <cell r="F2093">
            <v>72</v>
          </cell>
          <cell r="G2093">
            <v>12</v>
          </cell>
          <cell r="H2093">
            <v>30.5</v>
          </cell>
          <cell r="I2093">
            <v>22</v>
          </cell>
          <cell r="J2093">
            <v>16.5</v>
          </cell>
          <cell r="K2093">
            <v>6.12</v>
          </cell>
          <cell r="L2093">
            <v>8.5000000000000006E-2</v>
          </cell>
          <cell r="M2093">
            <v>1.1071499999999998E-2</v>
          </cell>
        </row>
        <row r="2094">
          <cell r="A2094">
            <v>21450006</v>
          </cell>
          <cell r="B2094">
            <v>3118220026995</v>
          </cell>
          <cell r="C2094" t="str">
            <v>13118220026992</v>
          </cell>
          <cell r="D2094" t="str">
            <v>23118220026999</v>
          </cell>
          <cell r="E2094" t="str">
            <v>COUTEAU DESSERT RIVAGE EN BOITE PEGBOARDABLE</v>
          </cell>
          <cell r="F2094">
            <v>72</v>
          </cell>
          <cell r="G2094">
            <v>12</v>
          </cell>
          <cell r="H2094">
            <v>36.5</v>
          </cell>
          <cell r="I2094">
            <v>21.5</v>
          </cell>
          <cell r="J2094">
            <v>15</v>
          </cell>
          <cell r="K2094">
            <v>3.6</v>
          </cell>
          <cell r="L2094">
            <v>0.05</v>
          </cell>
          <cell r="M2094">
            <v>1.177125E-2</v>
          </cell>
        </row>
        <row r="2095">
          <cell r="A2095">
            <v>21450007</v>
          </cell>
          <cell r="B2095">
            <v>3118220027008</v>
          </cell>
          <cell r="C2095" t="str">
            <v>13118220027005</v>
          </cell>
          <cell r="D2095" t="str">
            <v>23118220027002</v>
          </cell>
          <cell r="E2095" t="str">
            <v>FOURCHETTE DESSERT RIVAGE EN BOITE PEGBOARDABLE</v>
          </cell>
          <cell r="F2095">
            <v>72</v>
          </cell>
          <cell r="G2095">
            <v>12</v>
          </cell>
          <cell r="H2095">
            <v>36</v>
          </cell>
          <cell r="I2095">
            <v>22</v>
          </cell>
          <cell r="J2095">
            <v>18</v>
          </cell>
          <cell r="K2095">
            <v>2.8079999999999998</v>
          </cell>
          <cell r="L2095">
            <v>3.9E-2</v>
          </cell>
          <cell r="M2095">
            <v>1.4255999999999998E-2</v>
          </cell>
        </row>
        <row r="2096">
          <cell r="A2096">
            <v>21450008</v>
          </cell>
          <cell r="B2096">
            <v>3118220027015</v>
          </cell>
          <cell r="C2096" t="str">
            <v>13118220027012</v>
          </cell>
          <cell r="D2096" t="str">
            <v>23118220027019</v>
          </cell>
          <cell r="E2096" t="str">
            <v>CUILLERE DESSERT RIVAGE EN BOITE PEGBOARDABLE</v>
          </cell>
          <cell r="F2096">
            <v>72</v>
          </cell>
          <cell r="G2096">
            <v>12</v>
          </cell>
          <cell r="H2096">
            <v>30.5</v>
          </cell>
          <cell r="I2096">
            <v>22</v>
          </cell>
          <cell r="J2096">
            <v>18.5</v>
          </cell>
          <cell r="K2096">
            <v>2.8079999999999998</v>
          </cell>
          <cell r="L2096">
            <v>3.9E-2</v>
          </cell>
          <cell r="M2096">
            <v>1.2413499999999999E-2</v>
          </cell>
        </row>
        <row r="2097">
          <cell r="A2097">
            <v>21450009</v>
          </cell>
          <cell r="B2097">
            <v>3118220031692</v>
          </cell>
          <cell r="E2097" t="str">
            <v>COUTEAU RIVAGE BOITE DE 12</v>
          </cell>
          <cell r="F2097">
            <v>72</v>
          </cell>
          <cell r="G2097">
            <v>12</v>
          </cell>
          <cell r="H2097">
            <v>27</v>
          </cell>
          <cell r="I2097">
            <v>12</v>
          </cell>
          <cell r="J2097">
            <v>6.5</v>
          </cell>
          <cell r="K2097">
            <v>5.04</v>
          </cell>
          <cell r="L2097">
            <v>7.0000000000000007E-2</v>
          </cell>
          <cell r="M2097">
            <v>2.1060000000000002E-3</v>
          </cell>
        </row>
        <row r="2098">
          <cell r="A2098">
            <v>21460001</v>
          </cell>
          <cell r="B2098">
            <v>3118220027022</v>
          </cell>
          <cell r="C2098" t="str">
            <v>13118220027029</v>
          </cell>
          <cell r="D2098" t="str">
            <v>23118220027026</v>
          </cell>
          <cell r="E2098" t="str">
            <v>COUTEAU FUSEAU EN BOITE PEGBOARDABLE</v>
          </cell>
          <cell r="F2098">
            <v>72</v>
          </cell>
          <cell r="G2098">
            <v>12</v>
          </cell>
          <cell r="H2098">
            <v>36</v>
          </cell>
          <cell r="I2098">
            <v>22</v>
          </cell>
          <cell r="J2098">
            <v>15.5</v>
          </cell>
          <cell r="K2098">
            <v>6.16</v>
          </cell>
          <cell r="L2098">
            <v>8.5555555555555551E-2</v>
          </cell>
          <cell r="M2098">
            <v>1.2275999999999999E-2</v>
          </cell>
        </row>
        <row r="2099">
          <cell r="A2099">
            <v>21460002</v>
          </cell>
          <cell r="B2099">
            <v>3118220027039</v>
          </cell>
          <cell r="C2099" t="str">
            <v>13118220027036</v>
          </cell>
          <cell r="D2099" t="str">
            <v>23118220027033</v>
          </cell>
          <cell r="E2099" t="str">
            <v>FOURCHETTE FUSEAU EN BOITE PEGBOARDABLE</v>
          </cell>
          <cell r="F2099">
            <v>72</v>
          </cell>
          <cell r="G2099">
            <v>12</v>
          </cell>
          <cell r="H2099">
            <v>30</v>
          </cell>
          <cell r="I2099">
            <v>22</v>
          </cell>
          <cell r="J2099">
            <v>19</v>
          </cell>
          <cell r="K2099">
            <v>3.3839999999999999</v>
          </cell>
          <cell r="L2099">
            <v>4.7E-2</v>
          </cell>
          <cell r="M2099">
            <v>1.2540000000000001E-2</v>
          </cell>
        </row>
        <row r="2100">
          <cell r="A2100">
            <v>21460003</v>
          </cell>
          <cell r="B2100">
            <v>3118220027046</v>
          </cell>
          <cell r="C2100" t="str">
            <v>13118220027043</v>
          </cell>
          <cell r="D2100" t="str">
            <v>23118220027040</v>
          </cell>
          <cell r="E2100" t="str">
            <v>CUILLERE FUSEAU EN BOITE PEGBOARDABLE</v>
          </cell>
          <cell r="F2100">
            <v>72</v>
          </cell>
          <cell r="G2100">
            <v>12</v>
          </cell>
          <cell r="H2100">
            <v>36.5</v>
          </cell>
          <cell r="I2100">
            <v>21.5</v>
          </cell>
          <cell r="J2100">
            <v>18</v>
          </cell>
          <cell r="K2100">
            <v>3.8159999999999998</v>
          </cell>
          <cell r="L2100">
            <v>5.2999999999999999E-2</v>
          </cell>
          <cell r="M2100">
            <v>1.4125499999999999E-2</v>
          </cell>
        </row>
        <row r="2101">
          <cell r="A2101">
            <v>21460004</v>
          </cell>
          <cell r="B2101">
            <v>3118220027053</v>
          </cell>
          <cell r="C2101" t="str">
            <v>13118220027050</v>
          </cell>
          <cell r="D2101" t="str">
            <v>23118220027057</v>
          </cell>
          <cell r="E2101" t="str">
            <v>CAFE FUSEAU EN BOITE PEGBOARDABLE</v>
          </cell>
          <cell r="F2101">
            <v>72</v>
          </cell>
          <cell r="G2101">
            <v>12</v>
          </cell>
          <cell r="H2101">
            <v>30</v>
          </cell>
          <cell r="I2101">
            <v>21</v>
          </cell>
          <cell r="J2101">
            <v>15</v>
          </cell>
          <cell r="K2101">
            <v>1.44</v>
          </cell>
          <cell r="L2101">
            <v>0.02</v>
          </cell>
          <cell r="M2101">
            <v>9.4500000000000001E-3</v>
          </cell>
        </row>
        <row r="2102">
          <cell r="A2102">
            <v>21460005</v>
          </cell>
          <cell r="B2102">
            <v>3118220027060</v>
          </cell>
          <cell r="C2102" t="str">
            <v>13118220027067</v>
          </cell>
          <cell r="D2102" t="str">
            <v>23118220027064</v>
          </cell>
          <cell r="E2102" t="str">
            <v>COUTEAU DESSERT FUSEAU EN BOITE PEGBOARDABLE</v>
          </cell>
          <cell r="F2102">
            <v>72</v>
          </cell>
          <cell r="G2102">
            <v>12</v>
          </cell>
          <cell r="H2102">
            <v>30</v>
          </cell>
          <cell r="I2102">
            <v>22</v>
          </cell>
          <cell r="J2102">
            <v>18</v>
          </cell>
          <cell r="K2102">
            <v>4.5860000000000003</v>
          </cell>
          <cell r="L2102">
            <v>6.3694444444444442E-2</v>
          </cell>
          <cell r="M2102">
            <v>1.1880000000000002E-2</v>
          </cell>
        </row>
        <row r="2103">
          <cell r="A2103">
            <v>21460006</v>
          </cell>
          <cell r="B2103">
            <v>3118220027077</v>
          </cell>
          <cell r="C2103" t="str">
            <v>13118220027074</v>
          </cell>
          <cell r="D2103" t="str">
            <v>23118220027071</v>
          </cell>
          <cell r="E2103" t="str">
            <v>FOURCHETTE DESSERT FUSEAU EN BOITE PEGBOARDABLE</v>
          </cell>
          <cell r="F2103">
            <v>72</v>
          </cell>
          <cell r="G2103">
            <v>12</v>
          </cell>
          <cell r="H2103">
            <v>36.5</v>
          </cell>
          <cell r="I2103">
            <v>21.5</v>
          </cell>
          <cell r="J2103">
            <v>18</v>
          </cell>
          <cell r="K2103">
            <v>2.3759999999999999</v>
          </cell>
          <cell r="L2103">
            <v>3.3000000000000002E-2</v>
          </cell>
          <cell r="M2103">
            <v>1.4125499999999999E-2</v>
          </cell>
        </row>
        <row r="2104">
          <cell r="A2104">
            <v>21460007</v>
          </cell>
          <cell r="B2104">
            <v>3118220027084</v>
          </cell>
          <cell r="C2104" t="str">
            <v>13118220027081</v>
          </cell>
          <cell r="D2104" t="str">
            <v>23118220027088</v>
          </cell>
          <cell r="E2104" t="str">
            <v>CUILLERE DESSERT FUSEAU EN BOITE PEGBOARDABLE</v>
          </cell>
          <cell r="F2104">
            <v>72</v>
          </cell>
          <cell r="G2104">
            <v>12</v>
          </cell>
          <cell r="H2104">
            <v>31</v>
          </cell>
          <cell r="I2104">
            <v>21.5</v>
          </cell>
          <cell r="J2104">
            <v>17.5</v>
          </cell>
          <cell r="K2104">
            <v>2.8079999999999998</v>
          </cell>
          <cell r="L2104">
            <v>3.9E-2</v>
          </cell>
          <cell r="M2104">
            <v>1.1663749999999999E-2</v>
          </cell>
        </row>
        <row r="2105">
          <cell r="A2105">
            <v>21460008</v>
          </cell>
          <cell r="B2105">
            <v>3118220027091</v>
          </cell>
          <cell r="C2105" t="str">
            <v>13118220027098</v>
          </cell>
          <cell r="D2105" t="str">
            <v>23118220027095</v>
          </cell>
          <cell r="E2105" t="str">
            <v>FOURCHETTE TAPAS FUSEAU EN BOITE PEGBOARDABLE</v>
          </cell>
          <cell r="F2105">
            <v>72</v>
          </cell>
          <cell r="G2105">
            <v>12</v>
          </cell>
          <cell r="H2105">
            <v>30</v>
          </cell>
          <cell r="I2105">
            <v>22</v>
          </cell>
          <cell r="J2105">
            <v>13</v>
          </cell>
          <cell r="K2105">
            <v>1.3320000000000001</v>
          </cell>
          <cell r="L2105">
            <v>1.8500000000000003E-2</v>
          </cell>
          <cell r="M2105">
            <v>8.5800000000000008E-3</v>
          </cell>
        </row>
        <row r="2106">
          <cell r="A2106">
            <v>21460009</v>
          </cell>
          <cell r="B2106">
            <v>3118220027107</v>
          </cell>
          <cell r="C2106" t="str">
            <v>13118220027104</v>
          </cell>
          <cell r="D2106" t="str">
            <v>23118220027101</v>
          </cell>
          <cell r="E2106" t="str">
            <v>CUILLERE TAPAS FUSEAU EN BOITE PEGBOARDABLE</v>
          </cell>
          <cell r="F2106">
            <v>72</v>
          </cell>
          <cell r="G2106">
            <v>12</v>
          </cell>
          <cell r="H2106">
            <v>30</v>
          </cell>
          <cell r="I2106">
            <v>22.5</v>
          </cell>
          <cell r="J2106">
            <v>13</v>
          </cell>
          <cell r="K2106">
            <v>0.93600000000000005</v>
          </cell>
          <cell r="L2106">
            <v>1.3000000000000001E-2</v>
          </cell>
          <cell r="M2106">
            <v>8.7749999999999998E-3</v>
          </cell>
        </row>
        <row r="2107">
          <cell r="A2107">
            <v>21460010</v>
          </cell>
          <cell r="B2107">
            <v>3118220030381</v>
          </cell>
          <cell r="C2107" t="str">
            <v>13118220030388</v>
          </cell>
          <cell r="D2107" t="str">
            <v>23118220030385</v>
          </cell>
          <cell r="E2107" t="str">
            <v>COUTEAU FUSEAU + GENCOD</v>
          </cell>
          <cell r="F2107">
            <v>144</v>
          </cell>
          <cell r="G2107">
            <v>12</v>
          </cell>
          <cell r="H2107">
            <v>27</v>
          </cell>
          <cell r="I2107">
            <v>20</v>
          </cell>
          <cell r="J2107">
            <v>21.5</v>
          </cell>
          <cell r="K2107">
            <v>11.375999999999999</v>
          </cell>
          <cell r="L2107">
            <v>7.9000000000000001E-2</v>
          </cell>
          <cell r="M2107">
            <v>1.1610000000000001E-2</v>
          </cell>
        </row>
        <row r="2108">
          <cell r="A2108">
            <v>21460011</v>
          </cell>
          <cell r="B2108">
            <v>3118220030398</v>
          </cell>
          <cell r="C2108" t="str">
            <v>13118220030395</v>
          </cell>
          <cell r="D2108" t="str">
            <v>23118220030392</v>
          </cell>
          <cell r="E2108" t="str">
            <v>FOURCHETTE FUSEAU + GENCOD</v>
          </cell>
          <cell r="F2108">
            <v>144</v>
          </cell>
          <cell r="G2108">
            <v>12</v>
          </cell>
          <cell r="H2108">
            <v>25</v>
          </cell>
          <cell r="I2108">
            <v>23.5</v>
          </cell>
          <cell r="J2108">
            <v>16.5</v>
          </cell>
          <cell r="K2108">
            <v>6.6909999999999998</v>
          </cell>
          <cell r="L2108">
            <v>4.6465277777777779E-2</v>
          </cell>
          <cell r="M2108">
            <v>9.6937499999999992E-3</v>
          </cell>
        </row>
        <row r="2109">
          <cell r="A2109">
            <v>21460012</v>
          </cell>
          <cell r="B2109">
            <v>3118220030404</v>
          </cell>
          <cell r="C2109" t="str">
            <v>13118220030401</v>
          </cell>
          <cell r="D2109" t="str">
            <v>23118220030408</v>
          </cell>
          <cell r="E2109" t="str">
            <v>CUILLERE FUSEAU + GENCOD</v>
          </cell>
          <cell r="F2109">
            <v>144</v>
          </cell>
          <cell r="G2109">
            <v>12</v>
          </cell>
          <cell r="H2109">
            <v>25</v>
          </cell>
          <cell r="I2109">
            <v>23.5</v>
          </cell>
          <cell r="J2109">
            <v>16.5</v>
          </cell>
          <cell r="K2109">
            <v>7.4880000000000004</v>
          </cell>
          <cell r="L2109">
            <v>5.2000000000000005E-2</v>
          </cell>
          <cell r="M2109">
            <v>9.6937499999999992E-3</v>
          </cell>
        </row>
        <row r="2110">
          <cell r="A2110">
            <v>21460013</v>
          </cell>
          <cell r="B2110">
            <v>3118220030411</v>
          </cell>
          <cell r="C2110" t="str">
            <v>13118220030418</v>
          </cell>
          <cell r="D2110" t="str">
            <v>23118220030415</v>
          </cell>
          <cell r="E2110" t="str">
            <v>CAFE FUSEAU + GENCOD</v>
          </cell>
          <cell r="F2110">
            <v>144</v>
          </cell>
          <cell r="G2110">
            <v>12</v>
          </cell>
          <cell r="H2110">
            <v>22</v>
          </cell>
          <cell r="I2110">
            <v>18</v>
          </cell>
          <cell r="J2110">
            <v>15</v>
          </cell>
          <cell r="K2110">
            <v>2.7759999999999998</v>
          </cell>
          <cell r="L2110">
            <v>1.9277777777777776E-2</v>
          </cell>
          <cell r="M2110">
            <v>5.94E-3</v>
          </cell>
        </row>
        <row r="2111">
          <cell r="A2111">
            <v>21460014</v>
          </cell>
          <cell r="B2111">
            <v>3118220030428</v>
          </cell>
          <cell r="C2111" t="str">
            <v>13118220030425</v>
          </cell>
          <cell r="D2111" t="str">
            <v>23118220030422</v>
          </cell>
          <cell r="E2111" t="str">
            <v>COUTEAU DESSERT FUSEAU + GENCOD</v>
          </cell>
          <cell r="F2111">
            <v>144</v>
          </cell>
          <cell r="G2111">
            <v>12</v>
          </cell>
          <cell r="H2111">
            <v>25</v>
          </cell>
          <cell r="I2111">
            <v>23.5</v>
          </cell>
          <cell r="J2111">
            <v>16.5</v>
          </cell>
          <cell r="K2111">
            <v>8.3520000000000003</v>
          </cell>
          <cell r="L2111">
            <v>5.8000000000000003E-2</v>
          </cell>
          <cell r="M2111">
            <v>9.6937499999999992E-3</v>
          </cell>
        </row>
        <row r="2112">
          <cell r="A2112">
            <v>21460015</v>
          </cell>
          <cell r="B2112">
            <v>3118220030435</v>
          </cell>
          <cell r="C2112" t="str">
            <v>13118220030432</v>
          </cell>
          <cell r="D2112" t="str">
            <v>23118220030439</v>
          </cell>
          <cell r="E2112" t="str">
            <v>FOURCHETTE DESSERT FUSEAU + GENCOD</v>
          </cell>
          <cell r="F2112">
            <v>144</v>
          </cell>
          <cell r="G2112">
            <v>12</v>
          </cell>
          <cell r="H2112">
            <v>25</v>
          </cell>
          <cell r="I2112">
            <v>23.5</v>
          </cell>
          <cell r="J2112">
            <v>16.5</v>
          </cell>
          <cell r="K2112">
            <v>4.6680000000000001</v>
          </cell>
          <cell r="L2112">
            <v>3.241666666666667E-2</v>
          </cell>
          <cell r="M2112">
            <v>9.6937499999999992E-3</v>
          </cell>
        </row>
        <row r="2113">
          <cell r="A2113">
            <v>21460016</v>
          </cell>
          <cell r="B2113">
            <v>3118220030442</v>
          </cell>
          <cell r="C2113" t="str">
            <v>13118220030449</v>
          </cell>
          <cell r="D2113" t="str">
            <v>23118220030446</v>
          </cell>
          <cell r="E2113" t="str">
            <v>CUILLERE DESSERT FUSEAU + GENCOD</v>
          </cell>
          <cell r="F2113">
            <v>144</v>
          </cell>
          <cell r="G2113">
            <v>12</v>
          </cell>
          <cell r="H2113">
            <v>25</v>
          </cell>
          <cell r="I2113">
            <v>23.5</v>
          </cell>
          <cell r="J2113">
            <v>16.5</v>
          </cell>
          <cell r="K2113">
            <v>5.3280000000000003</v>
          </cell>
          <cell r="L2113">
            <v>3.7000000000000005E-2</v>
          </cell>
          <cell r="M2113">
            <v>9.6937499999999992E-3</v>
          </cell>
        </row>
        <row r="2114">
          <cell r="A2114">
            <v>21460017</v>
          </cell>
          <cell r="B2114">
            <v>3118220030459</v>
          </cell>
          <cell r="C2114" t="str">
            <v>13118220030456</v>
          </cell>
          <cell r="D2114" t="str">
            <v>23118220030453</v>
          </cell>
          <cell r="E2114" t="str">
            <v>FOURCHETTE TAPAS FUSEAU + GENCOD</v>
          </cell>
          <cell r="F2114">
            <v>144</v>
          </cell>
          <cell r="G2114">
            <v>12</v>
          </cell>
          <cell r="H2114">
            <v>22</v>
          </cell>
          <cell r="I2114">
            <v>18</v>
          </cell>
          <cell r="J2114">
            <v>15</v>
          </cell>
          <cell r="K2114">
            <v>1.5840000000000001</v>
          </cell>
          <cell r="L2114">
            <v>1.1000000000000001E-2</v>
          </cell>
          <cell r="M2114">
            <v>5.94E-3</v>
          </cell>
        </row>
        <row r="2115">
          <cell r="A2115">
            <v>21460018</v>
          </cell>
          <cell r="B2115">
            <v>3118220030466</v>
          </cell>
          <cell r="C2115" t="str">
            <v>13118220030463</v>
          </cell>
          <cell r="D2115" t="str">
            <v>23118220030460</v>
          </cell>
          <cell r="E2115" t="str">
            <v>CUILLERE TAPAS FUSEAU + GENCOD</v>
          </cell>
          <cell r="F2115">
            <v>144</v>
          </cell>
          <cell r="G2115">
            <v>12</v>
          </cell>
          <cell r="H2115">
            <v>22</v>
          </cell>
          <cell r="I2115">
            <v>18</v>
          </cell>
          <cell r="J2115">
            <v>15</v>
          </cell>
          <cell r="K2115">
            <v>1.5840000000000001</v>
          </cell>
          <cell r="L2115">
            <v>1.1000000000000001E-2</v>
          </cell>
          <cell r="M2115">
            <v>5.94E-3</v>
          </cell>
        </row>
        <row r="2116">
          <cell r="A2116">
            <v>21460019</v>
          </cell>
          <cell r="B2116">
            <v>3118220030480</v>
          </cell>
          <cell r="E2116" t="str">
            <v>M24 FUSEAU BOITE TB COLLECTION</v>
          </cell>
          <cell r="F2116">
            <v>6</v>
          </cell>
          <cell r="G2116">
            <v>6</v>
          </cell>
          <cell r="H2116">
            <v>30</v>
          </cell>
          <cell r="I2116">
            <v>28</v>
          </cell>
          <cell r="J2116">
            <v>32</v>
          </cell>
          <cell r="K2116">
            <v>7.3319999999999999</v>
          </cell>
          <cell r="L2116">
            <v>1.222</v>
          </cell>
          <cell r="M2116">
            <v>2.6880000000000001E-2</v>
          </cell>
        </row>
        <row r="2117">
          <cell r="A2117">
            <v>21460020</v>
          </cell>
          <cell r="B2117">
            <v>3118220032965</v>
          </cell>
          <cell r="E2117" t="str">
            <v>M48 FUSEAU BOITE TB COLLECTION</v>
          </cell>
          <cell r="F2117">
            <v>3</v>
          </cell>
          <cell r="G2117">
            <v>3</v>
          </cell>
          <cell r="H2117">
            <v>30</v>
          </cell>
          <cell r="I2117">
            <v>26</v>
          </cell>
          <cell r="J2117">
            <v>31</v>
          </cell>
          <cell r="K2117">
            <v>5.4180000000000001</v>
          </cell>
          <cell r="L2117">
            <v>1.806</v>
          </cell>
          <cell r="M2117">
            <v>2.418E-2</v>
          </cell>
        </row>
        <row r="2118">
          <cell r="A2118">
            <v>21470001</v>
          </cell>
          <cell r="B2118">
            <v>3118220027305</v>
          </cell>
          <cell r="E2118" t="str">
            <v>COUTEAU PICNIC PROMOCASH</v>
          </cell>
          <cell r="F2118">
            <v>72</v>
          </cell>
          <cell r="G2118">
            <v>12</v>
          </cell>
          <cell r="H2118">
            <v>25.5</v>
          </cell>
          <cell r="I2118">
            <v>17.5</v>
          </cell>
          <cell r="J2118">
            <v>13</v>
          </cell>
          <cell r="K2118">
            <v>5.04</v>
          </cell>
          <cell r="L2118">
            <v>7.0000000000000007E-2</v>
          </cell>
          <cell r="M2118">
            <v>5.8012500000000009E-3</v>
          </cell>
        </row>
        <row r="2119">
          <cell r="A2119">
            <v>21470007</v>
          </cell>
          <cell r="B2119">
            <v>3118220030503</v>
          </cell>
          <cell r="E2119" t="str">
            <v>M24 PICNIC BOITE TB COLLECTION</v>
          </cell>
          <cell r="F2119">
            <v>6</v>
          </cell>
          <cell r="G2119">
            <v>6</v>
          </cell>
          <cell r="H2119">
            <v>30</v>
          </cell>
          <cell r="I2119">
            <v>28.5</v>
          </cell>
          <cell r="J2119">
            <v>31</v>
          </cell>
          <cell r="K2119">
            <v>6.4169999999999998</v>
          </cell>
          <cell r="L2119">
            <v>1.0694999999999999</v>
          </cell>
          <cell r="M2119">
            <v>2.6504999999999997E-2</v>
          </cell>
        </row>
        <row r="2120">
          <cell r="A2120">
            <v>21480001</v>
          </cell>
          <cell r="B2120">
            <v>3118220027374</v>
          </cell>
          <cell r="C2120" t="str">
            <v>13118220027371</v>
          </cell>
          <cell r="D2120" t="str">
            <v>23118220027378</v>
          </cell>
          <cell r="E2120" t="str">
            <v>COUTEAU BASIQUE</v>
          </cell>
          <cell r="F2120">
            <v>288</v>
          </cell>
          <cell r="G2120">
            <v>12</v>
          </cell>
          <cell r="H2120">
            <v>27</v>
          </cell>
          <cell r="I2120">
            <v>19.5</v>
          </cell>
          <cell r="J2120">
            <v>18</v>
          </cell>
          <cell r="K2120">
            <v>19.170000000000002</v>
          </cell>
          <cell r="L2120">
            <v>6.6562500000000011E-2</v>
          </cell>
          <cell r="M2120">
            <v>9.4769999999999993E-3</v>
          </cell>
        </row>
        <row r="2121">
          <cell r="A2121">
            <v>21480002</v>
          </cell>
          <cell r="B2121">
            <v>3118220027381</v>
          </cell>
          <cell r="C2121" t="str">
            <v>13118220027388</v>
          </cell>
          <cell r="D2121" t="str">
            <v>23118220027385</v>
          </cell>
          <cell r="E2121" t="str">
            <v>FOURCHETTE BASIQUE</v>
          </cell>
          <cell r="F2121">
            <v>288</v>
          </cell>
          <cell r="G2121">
            <v>12</v>
          </cell>
          <cell r="H2121">
            <v>23.5</v>
          </cell>
          <cell r="I2121">
            <v>19.5</v>
          </cell>
          <cell r="J2121">
            <v>19</v>
          </cell>
          <cell r="K2121">
            <v>12.62</v>
          </cell>
          <cell r="L2121">
            <v>4.3819444444444439E-2</v>
          </cell>
          <cell r="M2121">
            <v>8.7067499999999992E-3</v>
          </cell>
        </row>
        <row r="2122">
          <cell r="A2122">
            <v>21480003</v>
          </cell>
          <cell r="B2122">
            <v>3118220027398</v>
          </cell>
          <cell r="C2122" t="str">
            <v>13118220027395</v>
          </cell>
          <cell r="D2122" t="str">
            <v>23118220027392</v>
          </cell>
          <cell r="E2122" t="str">
            <v>CUILLERE BASIQUE</v>
          </cell>
          <cell r="F2122">
            <v>288</v>
          </cell>
          <cell r="G2122">
            <v>12</v>
          </cell>
          <cell r="H2122">
            <v>31</v>
          </cell>
          <cell r="I2122">
            <v>23</v>
          </cell>
          <cell r="J2122">
            <v>23</v>
          </cell>
          <cell r="K2122">
            <v>14.784000000000001</v>
          </cell>
          <cell r="L2122">
            <v>5.1333333333333335E-2</v>
          </cell>
          <cell r="M2122">
            <v>1.6399E-2</v>
          </cell>
        </row>
        <row r="2123">
          <cell r="A2123">
            <v>21480004</v>
          </cell>
          <cell r="B2123">
            <v>3118220027404</v>
          </cell>
          <cell r="C2123" t="str">
            <v>13118220027401</v>
          </cell>
          <cell r="D2123" t="str">
            <v>23118220027408</v>
          </cell>
          <cell r="E2123" t="str">
            <v>CAFE BASIQUE</v>
          </cell>
          <cell r="F2123">
            <v>288</v>
          </cell>
          <cell r="G2123">
            <v>12</v>
          </cell>
          <cell r="H2123">
            <v>26</v>
          </cell>
          <cell r="I2123">
            <v>16</v>
          </cell>
          <cell r="J2123">
            <v>17</v>
          </cell>
          <cell r="K2123">
            <v>4.7759999999999998</v>
          </cell>
          <cell r="L2123">
            <v>1.6583333333333332E-2</v>
          </cell>
          <cell r="M2123">
            <v>7.0719999999999993E-3</v>
          </cell>
        </row>
        <row r="2124">
          <cell r="A2124">
            <v>21480005</v>
          </cell>
          <cell r="B2124">
            <v>3118220030497</v>
          </cell>
          <cell r="E2124" t="str">
            <v>M24 ESSENTIEL BOITE TB COLLECTION</v>
          </cell>
          <cell r="F2124">
            <v>6</v>
          </cell>
          <cell r="G2124">
            <v>6</v>
          </cell>
          <cell r="H2124">
            <v>30</v>
          </cell>
          <cell r="I2124">
            <v>28</v>
          </cell>
          <cell r="J2124">
            <v>32</v>
          </cell>
          <cell r="K2124">
            <v>7.0810000000000004</v>
          </cell>
          <cell r="L2124">
            <v>1.1801666666666668</v>
          </cell>
          <cell r="M2124">
            <v>2.6880000000000001E-2</v>
          </cell>
        </row>
        <row r="2125">
          <cell r="A2125">
            <v>21520001</v>
          </cell>
          <cell r="B2125">
            <v>3118220029132</v>
          </cell>
          <cell r="C2125" t="str">
            <v>13118220029139</v>
          </cell>
          <cell r="D2125" t="str">
            <v>23118220029136</v>
          </cell>
          <cell r="E2125" t="str">
            <v>M16 LAGUIOLE INTUITION BRILLANT EN BOITE LAGUIOLE</v>
          </cell>
          <cell r="F2125">
            <v>6</v>
          </cell>
          <cell r="G2125">
            <v>6</v>
          </cell>
          <cell r="H2125">
            <v>30</v>
          </cell>
          <cell r="I2125">
            <v>25</v>
          </cell>
          <cell r="J2125">
            <v>31</v>
          </cell>
          <cell r="K2125">
            <v>6.6820000000000004</v>
          </cell>
          <cell r="L2125">
            <v>1.1136666666666668</v>
          </cell>
          <cell r="M2125">
            <v>2.3249999999999996E-2</v>
          </cell>
        </row>
        <row r="2126">
          <cell r="A2126">
            <v>21520002</v>
          </cell>
          <cell r="B2126">
            <v>3118220029149</v>
          </cell>
          <cell r="C2126" t="str">
            <v>13118220029146</v>
          </cell>
          <cell r="D2126" t="str">
            <v>23118220029143</v>
          </cell>
          <cell r="E2126" t="str">
            <v>M16 LAGUIOLE INTUITION SATINE EN BOITE LAGUIOLE</v>
          </cell>
          <cell r="F2126">
            <v>6</v>
          </cell>
          <cell r="G2126">
            <v>6</v>
          </cell>
          <cell r="H2126">
            <v>30</v>
          </cell>
          <cell r="I2126">
            <v>25</v>
          </cell>
          <cell r="J2126">
            <v>31</v>
          </cell>
          <cell r="K2126">
            <v>6.6719999999999997</v>
          </cell>
          <cell r="L2126">
            <v>1.1119999999999999</v>
          </cell>
          <cell r="M2126">
            <v>2.3249999999999996E-2</v>
          </cell>
        </row>
        <row r="2127">
          <cell r="A2127">
            <v>21520003</v>
          </cell>
          <cell r="B2127">
            <v>3118220029156</v>
          </cell>
          <cell r="C2127" t="str">
            <v>13118220029153</v>
          </cell>
          <cell r="D2127" t="str">
            <v>23118220029150</v>
          </cell>
          <cell r="E2127" t="str">
            <v>COUTEAU LAGUIOLE INTUITION BRILLANT + GENCOD</v>
          </cell>
          <cell r="F2127">
            <v>120</v>
          </cell>
          <cell r="G2127">
            <v>6</v>
          </cell>
          <cell r="H2127">
            <v>27</v>
          </cell>
          <cell r="I2127">
            <v>23</v>
          </cell>
          <cell r="J2127">
            <v>22</v>
          </cell>
          <cell r="K2127">
            <v>11.52</v>
          </cell>
          <cell r="L2127">
            <v>9.6000000000000002E-2</v>
          </cell>
          <cell r="M2127">
            <v>1.3662000000000002E-2</v>
          </cell>
        </row>
        <row r="2128">
          <cell r="A2128">
            <v>21520004</v>
          </cell>
          <cell r="B2128">
            <v>3118220029163</v>
          </cell>
          <cell r="C2128" t="str">
            <v>13118220029160</v>
          </cell>
          <cell r="D2128" t="str">
            <v>23118220029167</v>
          </cell>
          <cell r="E2128" t="str">
            <v>FOURCHETTE LAGUIOLE INTUITION BRILLANT + GENCOD</v>
          </cell>
          <cell r="F2128">
            <v>120</v>
          </cell>
          <cell r="G2128">
            <v>6</v>
          </cell>
          <cell r="H2128">
            <v>27</v>
          </cell>
          <cell r="I2128">
            <v>26</v>
          </cell>
          <cell r="J2128">
            <v>23</v>
          </cell>
          <cell r="K2128">
            <v>7.0609999999999999</v>
          </cell>
          <cell r="L2128">
            <v>5.8841666666666667E-2</v>
          </cell>
          <cell r="M2128">
            <v>1.6146000000000001E-2</v>
          </cell>
        </row>
        <row r="2129">
          <cell r="A2129">
            <v>21520005</v>
          </cell>
          <cell r="B2129">
            <v>3118220029170</v>
          </cell>
          <cell r="C2129" t="str">
            <v>13118220029177</v>
          </cell>
          <cell r="D2129" t="str">
            <v>23118220029174</v>
          </cell>
          <cell r="E2129" t="str">
            <v>CUILLERE LAGUIOLE INTUITION BRILLANT + GENCOD</v>
          </cell>
          <cell r="F2129">
            <v>120</v>
          </cell>
          <cell r="G2129">
            <v>6</v>
          </cell>
          <cell r="H2129">
            <v>27</v>
          </cell>
          <cell r="I2129">
            <v>26</v>
          </cell>
          <cell r="J2129">
            <v>23</v>
          </cell>
          <cell r="K2129">
            <v>8.3970000000000002</v>
          </cell>
          <cell r="L2129">
            <v>6.9974999999999996E-2</v>
          </cell>
          <cell r="M2129">
            <v>1.6146000000000001E-2</v>
          </cell>
        </row>
        <row r="2130">
          <cell r="A2130">
            <v>21520006</v>
          </cell>
          <cell r="B2130">
            <v>3118220029187</v>
          </cell>
          <cell r="C2130" t="str">
            <v>13118220029184</v>
          </cell>
          <cell r="D2130" t="str">
            <v>23118220029181</v>
          </cell>
          <cell r="E2130" t="str">
            <v>CAFE LAGUIOLE INTUITION BRILLANT + GENCOD</v>
          </cell>
          <cell r="F2130">
            <v>240</v>
          </cell>
          <cell r="G2130">
            <v>6</v>
          </cell>
          <cell r="H2130">
            <v>22</v>
          </cell>
          <cell r="I2130">
            <v>18.5</v>
          </cell>
          <cell r="J2130">
            <v>45</v>
          </cell>
          <cell r="K2130">
            <v>7.2670000000000003</v>
          </cell>
          <cell r="L2130">
            <v>3.027916666666667E-2</v>
          </cell>
          <cell r="M2130">
            <v>1.8314999999999998E-2</v>
          </cell>
        </row>
        <row r="2131">
          <cell r="A2131">
            <v>21520007</v>
          </cell>
          <cell r="B2131">
            <v>3118220029194</v>
          </cell>
          <cell r="C2131" t="str">
            <v>13118220029191</v>
          </cell>
          <cell r="D2131" t="str">
            <v>23118220029198</v>
          </cell>
          <cell r="E2131" t="str">
            <v>COUTEAU LAGUIOLE INTUITION SATINE + GENCOD</v>
          </cell>
          <cell r="F2131">
            <v>120</v>
          </cell>
          <cell r="G2131">
            <v>6</v>
          </cell>
          <cell r="H2131">
            <v>27</v>
          </cell>
          <cell r="I2131">
            <v>23</v>
          </cell>
          <cell r="J2131">
            <v>22</v>
          </cell>
          <cell r="K2131">
            <v>10.32</v>
          </cell>
          <cell r="L2131">
            <v>8.6000000000000007E-2</v>
          </cell>
          <cell r="M2131">
            <v>1.3662000000000002E-2</v>
          </cell>
        </row>
        <row r="2132">
          <cell r="A2132">
            <v>21520008</v>
          </cell>
          <cell r="B2132">
            <v>3118220029200</v>
          </cell>
          <cell r="C2132" t="str">
            <v>13118220029207</v>
          </cell>
          <cell r="D2132" t="str">
            <v>23118220029204</v>
          </cell>
          <cell r="E2132" t="str">
            <v>FOURCHETTE LAGUIOLE INTUITION SATINE + GENCOD</v>
          </cell>
          <cell r="F2132">
            <v>120</v>
          </cell>
          <cell r="G2132">
            <v>6</v>
          </cell>
          <cell r="H2132">
            <v>27</v>
          </cell>
          <cell r="I2132">
            <v>26</v>
          </cell>
          <cell r="J2132">
            <v>23</v>
          </cell>
          <cell r="K2132">
            <v>6</v>
          </cell>
          <cell r="L2132">
            <v>0.05</v>
          </cell>
          <cell r="M2132">
            <v>1.6146000000000001E-2</v>
          </cell>
        </row>
        <row r="2133">
          <cell r="A2133">
            <v>21520009</v>
          </cell>
          <cell r="B2133">
            <v>3118220029217</v>
          </cell>
          <cell r="C2133" t="str">
            <v>13118220029214</v>
          </cell>
          <cell r="D2133" t="str">
            <v>23118220029211</v>
          </cell>
          <cell r="E2133" t="str">
            <v>CUILLERE LAGUIOLE INTUITION SATINE + GENCOD</v>
          </cell>
          <cell r="F2133">
            <v>120</v>
          </cell>
          <cell r="G2133">
            <v>6</v>
          </cell>
          <cell r="H2133">
            <v>27</v>
          </cell>
          <cell r="I2133">
            <v>26</v>
          </cell>
          <cell r="J2133">
            <v>23</v>
          </cell>
          <cell r="K2133">
            <v>8.3970000000000002</v>
          </cell>
          <cell r="L2133">
            <v>6.9974999999999996E-2</v>
          </cell>
          <cell r="M2133">
            <v>1.6146000000000001E-2</v>
          </cell>
        </row>
        <row r="2134">
          <cell r="A2134">
            <v>21520010</v>
          </cell>
          <cell r="B2134">
            <v>3118220029224</v>
          </cell>
          <cell r="C2134" t="str">
            <v>13118220029221</v>
          </cell>
          <cell r="D2134" t="str">
            <v>23118220029228</v>
          </cell>
          <cell r="E2134" t="str">
            <v>CAFE LAGUIOLE INTUITION SATINE + GENCOD</v>
          </cell>
          <cell r="F2134">
            <v>240</v>
          </cell>
          <cell r="G2134">
            <v>6</v>
          </cell>
          <cell r="H2134">
            <v>22</v>
          </cell>
          <cell r="I2134">
            <v>18.5</v>
          </cell>
          <cell r="J2134">
            <v>45</v>
          </cell>
          <cell r="K2134">
            <v>6</v>
          </cell>
          <cell r="L2134">
            <v>2.5000000000000001E-2</v>
          </cell>
          <cell r="M2134">
            <v>1.8314999999999998E-2</v>
          </cell>
        </row>
        <row r="2135">
          <cell r="A2135">
            <v>21520011</v>
          </cell>
          <cell r="B2135">
            <v>3118220034082</v>
          </cell>
          <cell r="C2135" t="str">
            <v>13118220034089</v>
          </cell>
          <cell r="D2135" t="str">
            <v>23118220034086</v>
          </cell>
          <cell r="E2135" t="str">
            <v>M16 LAGUIOLE INTUITION METAL PVD NOIR MAT BOITE LAG BLEUE</v>
          </cell>
          <cell r="F2135">
            <v>6</v>
          </cell>
          <cell r="G2135">
            <v>6</v>
          </cell>
          <cell r="H2135">
            <v>30</v>
          </cell>
          <cell r="I2135">
            <v>26</v>
          </cell>
          <cell r="J2135">
            <v>31</v>
          </cell>
          <cell r="K2135">
            <v>6.234</v>
          </cell>
          <cell r="L2135">
            <v>1.0389999999999999</v>
          </cell>
          <cell r="M2135">
            <v>2.418E-2</v>
          </cell>
        </row>
        <row r="2136">
          <cell r="A2136">
            <v>21520012</v>
          </cell>
          <cell r="B2136">
            <v>3118220034099</v>
          </cell>
          <cell r="C2136" t="str">
            <v>13118220034096</v>
          </cell>
          <cell r="D2136" t="str">
            <v>23118220034093</v>
          </cell>
          <cell r="E2136" t="str">
            <v>M16 LAGUIOLE INTUITION METAL PVD OR MAT BOITE LAG BLEUE</v>
          </cell>
          <cell r="F2136">
            <v>6</v>
          </cell>
          <cell r="G2136">
            <v>6</v>
          </cell>
          <cell r="H2136">
            <v>30</v>
          </cell>
          <cell r="I2136">
            <v>26</v>
          </cell>
          <cell r="J2136">
            <v>31</v>
          </cell>
          <cell r="K2136">
            <v>6.234</v>
          </cell>
          <cell r="L2136">
            <v>1.0389999999999999</v>
          </cell>
          <cell r="M2136">
            <v>2.418E-2</v>
          </cell>
        </row>
        <row r="2137">
          <cell r="A2137">
            <v>21520013</v>
          </cell>
          <cell r="B2137">
            <v>3118220034105</v>
          </cell>
          <cell r="E2137" t="str">
            <v>M16 LAGUIOLE INTUITION SABLEE BOITE LAG BLEUE</v>
          </cell>
          <cell r="F2137">
            <v>6</v>
          </cell>
          <cell r="G2137">
            <v>6</v>
          </cell>
          <cell r="H2137">
            <v>30</v>
          </cell>
          <cell r="I2137">
            <v>26</v>
          </cell>
          <cell r="J2137">
            <v>31</v>
          </cell>
          <cell r="K2137">
            <v>6.234</v>
          </cell>
          <cell r="L2137">
            <v>1.0389999999999999</v>
          </cell>
          <cell r="M2137">
            <v>2.418E-2</v>
          </cell>
        </row>
        <row r="2138">
          <cell r="A2138">
            <v>21520014</v>
          </cell>
          <cell r="B2138">
            <v>3118220034112</v>
          </cell>
          <cell r="E2138" t="str">
            <v>M16 LAGUIOLE INTUITION MIXTE BOITE LAG BLEUE</v>
          </cell>
          <cell r="F2138">
            <v>6</v>
          </cell>
          <cell r="G2138">
            <v>6</v>
          </cell>
          <cell r="H2138">
            <v>30</v>
          </cell>
          <cell r="I2138">
            <v>26</v>
          </cell>
          <cell r="J2138">
            <v>31</v>
          </cell>
          <cell r="K2138">
            <v>6.5720000000000001</v>
          </cell>
          <cell r="L2138">
            <v>1.0953333333333333</v>
          </cell>
          <cell r="M2138">
            <v>2.418E-2</v>
          </cell>
        </row>
        <row r="2139">
          <cell r="A2139">
            <v>21520015</v>
          </cell>
          <cell r="B2139">
            <v>3118220034365</v>
          </cell>
          <cell r="C2139" t="str">
            <v>13118220034362</v>
          </cell>
          <cell r="D2139" t="str">
            <v>23118220034369</v>
          </cell>
          <cell r="E2139" t="str">
            <v>COUTEAU LAGUIOLE INTUITION METAL PVD NOIR MAT + GENCOD</v>
          </cell>
          <cell r="F2139">
            <v>240</v>
          </cell>
          <cell r="G2139">
            <v>6</v>
          </cell>
          <cell r="H2139">
            <v>34</v>
          </cell>
          <cell r="I2139">
            <v>27</v>
          </cell>
          <cell r="J2139">
            <v>27</v>
          </cell>
          <cell r="K2139">
            <v>20.399999999999999</v>
          </cell>
          <cell r="L2139">
            <v>8.4999999999999992E-2</v>
          </cell>
          <cell r="M2139">
            <v>2.4786000000000006E-2</v>
          </cell>
        </row>
        <row r="2140">
          <cell r="A2140">
            <v>21520016</v>
          </cell>
          <cell r="B2140">
            <v>3118220034372</v>
          </cell>
          <cell r="C2140" t="str">
            <v>13118220034379</v>
          </cell>
          <cell r="D2140" t="str">
            <v>23118220034376</v>
          </cell>
          <cell r="E2140" t="str">
            <v>FOURCHETTE LAGUIOLE INTUITION METAL PVD NOIR MAT + GENCOD</v>
          </cell>
          <cell r="F2140">
            <v>240</v>
          </cell>
          <cell r="G2140">
            <v>6</v>
          </cell>
          <cell r="H2140">
            <v>41.5</v>
          </cell>
          <cell r="I2140">
            <v>24.5</v>
          </cell>
          <cell r="J2140">
            <v>26.5</v>
          </cell>
          <cell r="K2140">
            <v>12.72</v>
          </cell>
          <cell r="L2140">
            <v>5.3000000000000005E-2</v>
          </cell>
          <cell r="M2140">
            <v>2.6943874999999996E-2</v>
          </cell>
        </row>
        <row r="2141">
          <cell r="A2141">
            <v>21520017</v>
          </cell>
          <cell r="B2141">
            <v>3118220034389</v>
          </cell>
          <cell r="C2141" t="str">
            <v>13118220034386</v>
          </cell>
          <cell r="D2141" t="str">
            <v>23118220034383</v>
          </cell>
          <cell r="E2141" t="str">
            <v>CUILLERE LAGUIOLE INTUITION METAL PVD NOIR MAT + GENCOD</v>
          </cell>
          <cell r="F2141">
            <v>240</v>
          </cell>
          <cell r="G2141">
            <v>6</v>
          </cell>
          <cell r="H2141">
            <v>41</v>
          </cell>
          <cell r="I2141">
            <v>24.5</v>
          </cell>
          <cell r="J2141">
            <v>27</v>
          </cell>
          <cell r="K2141">
            <v>16.96</v>
          </cell>
          <cell r="L2141">
            <v>7.0666666666666669E-2</v>
          </cell>
          <cell r="M2141">
            <v>2.71215E-2</v>
          </cell>
        </row>
        <row r="2142">
          <cell r="A2142">
            <v>21520018</v>
          </cell>
          <cell r="B2142">
            <v>3118220034396</v>
          </cell>
          <cell r="C2142" t="str">
            <v>13118220034393</v>
          </cell>
          <cell r="D2142" t="str">
            <v>23118220034390</v>
          </cell>
          <cell r="E2142" t="str">
            <v>CAFE LAGUIOLE INTUITION METAL PVD NOIR MAT + GENCOD</v>
          </cell>
          <cell r="F2142">
            <v>240</v>
          </cell>
          <cell r="G2142">
            <v>6</v>
          </cell>
          <cell r="H2142">
            <v>34.5</v>
          </cell>
          <cell r="I2142">
            <v>17.5</v>
          </cell>
          <cell r="J2142">
            <v>27</v>
          </cell>
          <cell r="K2142">
            <v>6.24</v>
          </cell>
          <cell r="L2142">
            <v>2.6000000000000002E-2</v>
          </cell>
          <cell r="M2142">
            <v>1.630125E-2</v>
          </cell>
        </row>
        <row r="2143">
          <cell r="A2143">
            <v>21520019</v>
          </cell>
          <cell r="B2143">
            <v>3118220034655</v>
          </cell>
          <cell r="E2143" t="str">
            <v>M32 PCS LAGUIOLE INTUITION MIROIR BOITE LAGUIOLE BLEUE</v>
          </cell>
          <cell r="F2143">
            <v>6</v>
          </cell>
          <cell r="G2143">
            <v>6</v>
          </cell>
          <cell r="H2143">
            <v>30</v>
          </cell>
          <cell r="I2143">
            <v>27</v>
          </cell>
          <cell r="J2143">
            <v>51</v>
          </cell>
          <cell r="K2143">
            <v>11.465</v>
          </cell>
          <cell r="L2143">
            <v>1.9108333333333334</v>
          </cell>
          <cell r="M2143">
            <v>4.1309999999999999E-2</v>
          </cell>
        </row>
        <row r="2144">
          <cell r="A2144">
            <v>21520020</v>
          </cell>
          <cell r="B2144">
            <v>3118220034709</v>
          </cell>
          <cell r="E2144" t="str">
            <v>M32 PCS LAGUIOLE INTUITION SATINE BOITE LAGUIOLE BLEUE</v>
          </cell>
          <cell r="F2144">
            <v>6</v>
          </cell>
          <cell r="G2144">
            <v>6</v>
          </cell>
          <cell r="H2144">
            <v>30</v>
          </cell>
          <cell r="I2144">
            <v>27</v>
          </cell>
          <cell r="J2144">
            <v>51</v>
          </cell>
          <cell r="K2144">
            <v>11.01</v>
          </cell>
          <cell r="L2144">
            <v>1.835</v>
          </cell>
          <cell r="M2144">
            <v>4.1309999999999999E-2</v>
          </cell>
        </row>
        <row r="2145">
          <cell r="A2145">
            <v>21520021</v>
          </cell>
          <cell r="B2145">
            <v>3118220038660</v>
          </cell>
          <cell r="C2145" t="str">
            <v>13118220038667</v>
          </cell>
          <cell r="D2145" t="str">
            <v>23118220038664</v>
          </cell>
          <cell r="E2145" t="str">
            <v>COUTEAU LAGUIOLE INTUITION PVD OR MAT + GENCOD</v>
          </cell>
          <cell r="F2145">
            <v>240</v>
          </cell>
          <cell r="G2145">
            <v>6</v>
          </cell>
          <cell r="H2145">
            <v>34.5</v>
          </cell>
          <cell r="I2145">
            <v>28</v>
          </cell>
          <cell r="J2145">
            <v>28</v>
          </cell>
          <cell r="K2145">
            <v>22.213000000000001</v>
          </cell>
          <cell r="L2145">
            <v>9.2554166666666673E-2</v>
          </cell>
          <cell r="M2145">
            <v>2.7048000000000003E-2</v>
          </cell>
        </row>
        <row r="2146">
          <cell r="A2146">
            <v>21520022</v>
          </cell>
          <cell r="B2146">
            <v>3118220038677</v>
          </cell>
          <cell r="C2146" t="str">
            <v>13118220038674</v>
          </cell>
          <cell r="D2146" t="str">
            <v>23118220038671</v>
          </cell>
          <cell r="E2146" t="str">
            <v>FOURCHETTE LAGUIOLE INTUITION PVD OR MAT + GENCOD</v>
          </cell>
          <cell r="F2146">
            <v>240</v>
          </cell>
          <cell r="G2146">
            <v>6</v>
          </cell>
          <cell r="H2146">
            <v>42</v>
          </cell>
          <cell r="I2146">
            <v>25</v>
          </cell>
          <cell r="J2146">
            <v>27</v>
          </cell>
          <cell r="K2146">
            <v>13.958</v>
          </cell>
          <cell r="L2146">
            <v>5.8158333333333333E-2</v>
          </cell>
          <cell r="M2146">
            <v>2.835E-2</v>
          </cell>
        </row>
        <row r="2147">
          <cell r="A2147">
            <v>21520023</v>
          </cell>
          <cell r="B2147">
            <v>3118220038684</v>
          </cell>
          <cell r="C2147" t="str">
            <v>13118220038681</v>
          </cell>
          <cell r="D2147" t="str">
            <v>23118220038688</v>
          </cell>
          <cell r="E2147" t="str">
            <v>CUILLERE LAGUIOLE INTUITION PVD OR MAT + GENCOD</v>
          </cell>
          <cell r="F2147">
            <v>240</v>
          </cell>
          <cell r="G2147">
            <v>6</v>
          </cell>
          <cell r="H2147">
            <v>43</v>
          </cell>
          <cell r="I2147">
            <v>25</v>
          </cell>
          <cell r="J2147">
            <v>27</v>
          </cell>
          <cell r="K2147">
            <v>16.553999999999998</v>
          </cell>
          <cell r="L2147">
            <v>6.8974999999999995E-2</v>
          </cell>
          <cell r="M2147">
            <v>2.9024999999999999E-2</v>
          </cell>
        </row>
        <row r="2148">
          <cell r="A2148">
            <v>21520024</v>
          </cell>
          <cell r="B2148">
            <v>3118220038691</v>
          </cell>
          <cell r="C2148" t="str">
            <v>13118220038698</v>
          </cell>
          <cell r="D2148" t="str">
            <v>23118220038695</v>
          </cell>
          <cell r="E2148" t="str">
            <v>CAFE LAGUIOLE INTUITION PVD OR MAT + GENCOD</v>
          </cell>
          <cell r="F2148">
            <v>240</v>
          </cell>
          <cell r="G2148">
            <v>6</v>
          </cell>
          <cell r="H2148">
            <v>35</v>
          </cell>
          <cell r="I2148">
            <v>18</v>
          </cell>
          <cell r="J2148">
            <v>27</v>
          </cell>
          <cell r="K2148">
            <v>7.2320000000000002</v>
          </cell>
          <cell r="L2148">
            <v>3.0133333333333335E-2</v>
          </cell>
          <cell r="M2148">
            <v>1.7010000000000001E-2</v>
          </cell>
        </row>
        <row r="2149">
          <cell r="A2149">
            <v>21520025</v>
          </cell>
          <cell r="B2149">
            <v>3118220042391</v>
          </cell>
          <cell r="E2149" t="str">
            <v>COUTEAU LAGUIOLE INTUITION SATINE EN BOITE PEGBOARDABLE</v>
          </cell>
          <cell r="F2149">
            <v>72</v>
          </cell>
          <cell r="G2149">
            <v>12</v>
          </cell>
          <cell r="H2149">
            <v>19</v>
          </cell>
          <cell r="I2149">
            <v>13.5</v>
          </cell>
          <cell r="J2149">
            <v>30</v>
          </cell>
          <cell r="K2149">
            <v>6.87</v>
          </cell>
          <cell r="L2149">
            <v>9.5416666666666664E-2</v>
          </cell>
          <cell r="M2149">
            <v>7.6949999999999996E-3</v>
          </cell>
        </row>
        <row r="2150">
          <cell r="A2150">
            <v>21520026</v>
          </cell>
          <cell r="B2150">
            <v>3118220042407</v>
          </cell>
          <cell r="E2150" t="str">
            <v>FOURCHETTE LAGUIOLE INTUITION SATINE EN BOITE PEGBOARDABLE</v>
          </cell>
          <cell r="F2150">
            <v>72</v>
          </cell>
          <cell r="G2150">
            <v>12</v>
          </cell>
          <cell r="H2150">
            <v>19</v>
          </cell>
          <cell r="I2150">
            <v>16</v>
          </cell>
          <cell r="J2150">
            <v>28</v>
          </cell>
          <cell r="K2150">
            <v>4.274</v>
          </cell>
          <cell r="L2150">
            <v>5.9361111111111114E-2</v>
          </cell>
          <cell r="M2150">
            <v>8.5119999999999987E-3</v>
          </cell>
        </row>
        <row r="2151">
          <cell r="A2151">
            <v>21520027</v>
          </cell>
          <cell r="B2151">
            <v>3118220042414</v>
          </cell>
          <cell r="E2151" t="str">
            <v>CUILLERE LAGUIOLE INTUITION SATINE EN BOITE PEGBOARDABLE</v>
          </cell>
          <cell r="F2151">
            <v>72</v>
          </cell>
          <cell r="G2151">
            <v>12</v>
          </cell>
          <cell r="H2151">
            <v>25</v>
          </cell>
          <cell r="I2151">
            <v>17</v>
          </cell>
          <cell r="J2151">
            <v>29</v>
          </cell>
          <cell r="K2151">
            <v>5.2770000000000001</v>
          </cell>
          <cell r="L2151">
            <v>7.3291666666666672E-2</v>
          </cell>
          <cell r="M2151">
            <v>1.2325000000000001E-2</v>
          </cell>
        </row>
        <row r="2152">
          <cell r="A2152">
            <v>21520028</v>
          </cell>
          <cell r="B2152">
            <v>3118220042421</v>
          </cell>
          <cell r="E2152" t="str">
            <v>CAFE LAGUIOLE INTUITION SATINE EN BOITE PEGBOARDABLE</v>
          </cell>
          <cell r="F2152">
            <v>72</v>
          </cell>
          <cell r="G2152">
            <v>12</v>
          </cell>
          <cell r="H2152">
            <v>20</v>
          </cell>
          <cell r="I2152">
            <v>13</v>
          </cell>
          <cell r="J2152">
            <v>22.5</v>
          </cell>
          <cell r="K2152">
            <v>2.3239999999999998</v>
          </cell>
          <cell r="L2152">
            <v>3.2277777777777773E-2</v>
          </cell>
          <cell r="M2152">
            <v>5.850000000000001E-3</v>
          </cell>
        </row>
        <row r="2153">
          <cell r="A2153">
            <v>21520029</v>
          </cell>
          <cell r="B2153">
            <v>3118220042438</v>
          </cell>
          <cell r="E2153" t="str">
            <v>COUTEAU DESSERT LAGUIOLE INTUITION SATINE EN BOITE PEGB</v>
          </cell>
          <cell r="F2153">
            <v>72</v>
          </cell>
          <cell r="G2153">
            <v>12</v>
          </cell>
          <cell r="H2153">
            <v>19</v>
          </cell>
          <cell r="I2153">
            <v>16</v>
          </cell>
          <cell r="J2153">
            <v>27</v>
          </cell>
          <cell r="K2153">
            <v>3.7170000000000001</v>
          </cell>
          <cell r="L2153">
            <v>5.1625000000000004E-2</v>
          </cell>
          <cell r="M2153">
            <v>8.208E-3</v>
          </cell>
        </row>
        <row r="2154">
          <cell r="A2154">
            <v>21520030</v>
          </cell>
          <cell r="B2154">
            <v>3118220042445</v>
          </cell>
          <cell r="E2154" t="str">
            <v>FOURCHETTE DESSERT LAGUIOLE INTUITION SATINE EN BOITE PEGB</v>
          </cell>
          <cell r="F2154">
            <v>72</v>
          </cell>
          <cell r="G2154">
            <v>12</v>
          </cell>
          <cell r="H2154">
            <v>18</v>
          </cell>
          <cell r="I2154">
            <v>13</v>
          </cell>
          <cell r="J2154">
            <v>23</v>
          </cell>
          <cell r="K2154">
            <v>2.1960000000000002</v>
          </cell>
          <cell r="L2154">
            <v>3.0500000000000003E-2</v>
          </cell>
          <cell r="M2154">
            <v>5.3819999999999988E-3</v>
          </cell>
        </row>
        <row r="2155">
          <cell r="A2155">
            <v>21520032</v>
          </cell>
          <cell r="B2155">
            <v>3118220042469</v>
          </cell>
          <cell r="C2155" t="str">
            <v>13118220042466</v>
          </cell>
          <cell r="D2155" t="str">
            <v>23118220042463</v>
          </cell>
          <cell r="E2155" t="str">
            <v>COUTEAU POISSON LAGUIOLE INTUITION SATINE EN BOITE PEGB</v>
          </cell>
          <cell r="F2155">
            <v>72</v>
          </cell>
          <cell r="G2155">
            <v>12</v>
          </cell>
          <cell r="H2155">
            <v>18</v>
          </cell>
          <cell r="I2155">
            <v>16</v>
          </cell>
          <cell r="J2155">
            <v>27</v>
          </cell>
          <cell r="K2155">
            <v>3.8319999999999999</v>
          </cell>
          <cell r="L2155">
            <v>5.3222222222222219E-2</v>
          </cell>
          <cell r="M2155">
            <v>7.7759999999999999E-3</v>
          </cell>
        </row>
        <row r="2156">
          <cell r="A2156">
            <v>21520033</v>
          </cell>
          <cell r="B2156">
            <v>3118220042476</v>
          </cell>
          <cell r="E2156" t="str">
            <v>FOURCHETTE POISSON LAGUIOLE INTUITION SATINE EN BOITE PEGB</v>
          </cell>
          <cell r="F2156">
            <v>72</v>
          </cell>
          <cell r="G2156">
            <v>12</v>
          </cell>
          <cell r="H2156">
            <v>18</v>
          </cell>
          <cell r="I2156">
            <v>16</v>
          </cell>
          <cell r="J2156">
            <v>27</v>
          </cell>
          <cell r="K2156">
            <v>3.589</v>
          </cell>
          <cell r="L2156">
            <v>4.9847222222222223E-2</v>
          </cell>
          <cell r="M2156">
            <v>7.7759999999999999E-3</v>
          </cell>
        </row>
        <row r="2157">
          <cell r="A2157">
            <v>21520034</v>
          </cell>
          <cell r="B2157">
            <v>3118220042483</v>
          </cell>
          <cell r="E2157" t="str">
            <v>CUILLERE MAZAGRAN LAGUIOLE INTUITION SATINE EN BOITE PEGB</v>
          </cell>
          <cell r="F2157">
            <v>72</v>
          </cell>
          <cell r="G2157">
            <v>12</v>
          </cell>
          <cell r="H2157">
            <v>19</v>
          </cell>
          <cell r="I2157">
            <v>17</v>
          </cell>
          <cell r="J2157">
            <v>27</v>
          </cell>
          <cell r="K2157">
            <v>2.65</v>
          </cell>
          <cell r="L2157">
            <v>3.6805555555555557E-2</v>
          </cell>
          <cell r="M2157">
            <v>8.7210000000000013E-3</v>
          </cell>
        </row>
        <row r="2158">
          <cell r="A2158">
            <v>21520035</v>
          </cell>
          <cell r="B2158">
            <v>3118220042490</v>
          </cell>
          <cell r="E2158" t="str">
            <v>CUILLERE MOKA LAGUIOLE INTUITION SATINE EN BOITE PEGB</v>
          </cell>
          <cell r="F2158">
            <v>72</v>
          </cell>
          <cell r="G2158">
            <v>12</v>
          </cell>
          <cell r="H2158">
            <v>20</v>
          </cell>
          <cell r="I2158">
            <v>13</v>
          </cell>
          <cell r="J2158">
            <v>23</v>
          </cell>
          <cell r="K2158">
            <v>1.4610000000000001</v>
          </cell>
          <cell r="L2158">
            <v>2.0291666666666666E-2</v>
          </cell>
          <cell r="M2158">
            <v>5.9800000000000009E-3</v>
          </cell>
        </row>
        <row r="2159">
          <cell r="A2159">
            <v>21520037</v>
          </cell>
          <cell r="B2159">
            <v>3118220043442</v>
          </cell>
          <cell r="C2159" t="str">
            <v>13118220043449</v>
          </cell>
          <cell r="D2159" t="str">
            <v>23118220043446</v>
          </cell>
          <cell r="E2159" t="str">
            <v>M16 LAGUIOLE INTUITION BELLE SAISON EN BOITE LAGUIOLE</v>
          </cell>
          <cell r="F2159">
            <v>6</v>
          </cell>
          <cell r="G2159">
            <v>6</v>
          </cell>
          <cell r="H2159">
            <v>30</v>
          </cell>
          <cell r="I2159">
            <v>27</v>
          </cell>
          <cell r="J2159">
            <v>30</v>
          </cell>
          <cell r="K2159">
            <v>6.7249999999999996</v>
          </cell>
          <cell r="L2159">
            <v>1.1208333333333333</v>
          </cell>
          <cell r="M2159">
            <v>2.4300000000000002E-2</v>
          </cell>
        </row>
        <row r="2160">
          <cell r="A2160">
            <v>21520038</v>
          </cell>
          <cell r="B2160">
            <v>3118220043459</v>
          </cell>
          <cell r="C2160" t="str">
            <v>13118220043456</v>
          </cell>
          <cell r="D2160" t="str">
            <v>23118220043453</v>
          </cell>
          <cell r="E2160" t="str">
            <v>M16 LAGUIOLE INTUITION JUNGLE EN BOITE LAGUIOLE</v>
          </cell>
          <cell r="F2160">
            <v>6</v>
          </cell>
          <cell r="G2160">
            <v>6</v>
          </cell>
          <cell r="H2160">
            <v>30</v>
          </cell>
          <cell r="I2160">
            <v>27</v>
          </cell>
          <cell r="J2160">
            <v>30</v>
          </cell>
          <cell r="K2160">
            <v>6.7489999999999997</v>
          </cell>
          <cell r="L2160">
            <v>1.1248333333333334</v>
          </cell>
          <cell r="M2160">
            <v>2.4300000000000002E-2</v>
          </cell>
        </row>
        <row r="2161">
          <cell r="A2161">
            <v>21520039</v>
          </cell>
          <cell r="B2161">
            <v>3118220043541</v>
          </cell>
          <cell r="C2161" t="str">
            <v>13118220043548</v>
          </cell>
          <cell r="D2161" t="str">
            <v>23118220043545</v>
          </cell>
          <cell r="E2161" t="str">
            <v>M16 LAGUIOL INTUITION METAL PVD CHAMPAGNE MAT BOIT LAG BLEUE</v>
          </cell>
          <cell r="F2161">
            <v>6</v>
          </cell>
          <cell r="G2161">
            <v>6</v>
          </cell>
          <cell r="H2161">
            <v>30.5</v>
          </cell>
          <cell r="I2161">
            <v>26</v>
          </cell>
          <cell r="J2161">
            <v>30</v>
          </cell>
          <cell r="K2161">
            <v>6.7229999999999999</v>
          </cell>
          <cell r="L2161">
            <v>1.1205000000000001</v>
          </cell>
          <cell r="M2161">
            <v>2.3789999999999999E-2</v>
          </cell>
        </row>
        <row r="2162">
          <cell r="A2162">
            <v>21520040</v>
          </cell>
          <cell r="B2162">
            <v>3118220043558</v>
          </cell>
          <cell r="C2162" t="str">
            <v>13118220043555</v>
          </cell>
          <cell r="D2162" t="str">
            <v>23118220043552</v>
          </cell>
          <cell r="E2162" t="str">
            <v>COUTEAU LAGUIOLE INTUITION PVD CHAMPAGNE MAT + GENCOD</v>
          </cell>
          <cell r="F2162">
            <v>240</v>
          </cell>
          <cell r="G2162">
            <v>6</v>
          </cell>
          <cell r="H2162">
            <v>34</v>
          </cell>
          <cell r="I2162">
            <v>27.5</v>
          </cell>
          <cell r="J2162">
            <v>26</v>
          </cell>
          <cell r="K2162">
            <v>22.140999999999998</v>
          </cell>
          <cell r="L2162">
            <v>9.2254166666666665E-2</v>
          </cell>
          <cell r="M2162">
            <v>2.4310000000000005E-2</v>
          </cell>
        </row>
        <row r="2163">
          <cell r="A2163">
            <v>21520041</v>
          </cell>
          <cell r="B2163">
            <v>3118220043565</v>
          </cell>
          <cell r="C2163" t="str">
            <v>13118220043562</v>
          </cell>
          <cell r="D2163" t="str">
            <v>23118220043569</v>
          </cell>
          <cell r="E2163" t="str">
            <v>FOURCHETTE LAGUIOLE INTUITION PVD CHAMPAGNE MAT + GENCOD</v>
          </cell>
          <cell r="F2163">
            <v>240</v>
          </cell>
          <cell r="G2163">
            <v>6</v>
          </cell>
          <cell r="H2163">
            <v>41.5</v>
          </cell>
          <cell r="I2163">
            <v>24.5</v>
          </cell>
          <cell r="J2163">
            <v>26.5</v>
          </cell>
          <cell r="K2163">
            <v>13.813000000000001</v>
          </cell>
          <cell r="L2163">
            <v>5.755416666666667E-2</v>
          </cell>
          <cell r="M2163">
            <v>2.6943874999999996E-2</v>
          </cell>
        </row>
        <row r="2164">
          <cell r="A2164">
            <v>21520042</v>
          </cell>
          <cell r="B2164">
            <v>3118220043572</v>
          </cell>
          <cell r="C2164" t="str">
            <v>13118220043579</v>
          </cell>
          <cell r="D2164" t="str">
            <v>23118220043576</v>
          </cell>
          <cell r="E2164" t="str">
            <v>CUILLERE LAGUIOLE INTUITION PVD CHAMPAGNE MAT + GENCOD</v>
          </cell>
          <cell r="F2164">
            <v>240</v>
          </cell>
          <cell r="G2164">
            <v>6</v>
          </cell>
          <cell r="H2164">
            <v>42.5</v>
          </cell>
          <cell r="I2164">
            <v>25</v>
          </cell>
          <cell r="J2164">
            <v>27</v>
          </cell>
          <cell r="K2164">
            <v>16.606000000000002</v>
          </cell>
          <cell r="L2164">
            <v>6.9191666666666679E-2</v>
          </cell>
          <cell r="M2164">
            <v>2.8687499999999998E-2</v>
          </cell>
        </row>
        <row r="2165">
          <cell r="A2165">
            <v>21520043</v>
          </cell>
          <cell r="B2165">
            <v>3118220043589</v>
          </cell>
          <cell r="C2165" t="str">
            <v>13118220043586</v>
          </cell>
          <cell r="D2165" t="str">
            <v>23118220043583</v>
          </cell>
          <cell r="E2165" t="str">
            <v>CAFE LAGUIOLE INTUITION PVD CHAMPAGNE MAT + GENCOD</v>
          </cell>
          <cell r="F2165">
            <v>240</v>
          </cell>
          <cell r="G2165">
            <v>6</v>
          </cell>
          <cell r="H2165">
            <v>34.5</v>
          </cell>
          <cell r="I2165">
            <v>18</v>
          </cell>
          <cell r="J2165">
            <v>27</v>
          </cell>
          <cell r="K2165">
            <v>7.1390000000000002</v>
          </cell>
          <cell r="L2165">
            <v>2.9745833333333336E-2</v>
          </cell>
          <cell r="M2165">
            <v>1.6766999999999997E-2</v>
          </cell>
        </row>
        <row r="2166">
          <cell r="A2166">
            <v>21520044</v>
          </cell>
          <cell r="B2166">
            <v>3118220043596</v>
          </cell>
          <cell r="E2166" t="str">
            <v>M16 LAGUIOLE INTUITION METAL PVD BRONZE MAT BOITE LAG BLEUE</v>
          </cell>
          <cell r="F2166">
            <v>6</v>
          </cell>
          <cell r="G2166">
            <v>6</v>
          </cell>
          <cell r="H2166">
            <v>30.5</v>
          </cell>
          <cell r="I2166">
            <v>26.5</v>
          </cell>
          <cell r="J2166">
            <v>30</v>
          </cell>
          <cell r="K2166">
            <v>6.6870000000000003</v>
          </cell>
          <cell r="L2166">
            <v>1.1145</v>
          </cell>
          <cell r="M2166">
            <v>2.4247499999999998E-2</v>
          </cell>
        </row>
        <row r="2167">
          <cell r="A2167">
            <v>21520045</v>
          </cell>
          <cell r="B2167">
            <v>3118220043602</v>
          </cell>
          <cell r="E2167" t="str">
            <v>COUTEAU LAGUIOLE INTUITION PVD BRONZE MAT + GENCOD</v>
          </cell>
          <cell r="F2167">
            <v>240</v>
          </cell>
          <cell r="G2167">
            <v>6</v>
          </cell>
          <cell r="H2167">
            <v>34</v>
          </cell>
          <cell r="I2167">
            <v>28</v>
          </cell>
          <cell r="J2167">
            <v>26</v>
          </cell>
          <cell r="K2167">
            <v>22.122</v>
          </cell>
          <cell r="L2167">
            <v>9.2174999999999993E-2</v>
          </cell>
          <cell r="M2167">
            <v>2.4752E-2</v>
          </cell>
        </row>
        <row r="2168">
          <cell r="A2168">
            <v>21520046</v>
          </cell>
          <cell r="B2168">
            <v>3118220043619</v>
          </cell>
          <cell r="E2168" t="str">
            <v>FOURCHETTE LAGUIOLE INTUITION PVD BRONZE MAT + GENCOD</v>
          </cell>
          <cell r="F2168">
            <v>240</v>
          </cell>
          <cell r="G2168">
            <v>6</v>
          </cell>
          <cell r="H2168">
            <v>43</v>
          </cell>
          <cell r="I2168">
            <v>25.5</v>
          </cell>
          <cell r="J2168">
            <v>26</v>
          </cell>
          <cell r="K2168">
            <v>14.145</v>
          </cell>
          <cell r="L2168">
            <v>5.8937499999999997E-2</v>
          </cell>
          <cell r="M2168">
            <v>2.8508999999999996E-2</v>
          </cell>
        </row>
        <row r="2169">
          <cell r="A2169">
            <v>21520047</v>
          </cell>
          <cell r="B2169">
            <v>3118220043626</v>
          </cell>
          <cell r="E2169" t="str">
            <v>CUILLERE LAGUIOLE INTUITION PVD BRONZE MAT + GENCOD</v>
          </cell>
          <cell r="F2169">
            <v>240</v>
          </cell>
          <cell r="G2169">
            <v>6</v>
          </cell>
          <cell r="H2169">
            <v>42</v>
          </cell>
          <cell r="I2169">
            <v>25.5</v>
          </cell>
          <cell r="J2169">
            <v>27</v>
          </cell>
          <cell r="K2169">
            <v>17.129000000000001</v>
          </cell>
          <cell r="L2169">
            <v>7.1370833333333342E-2</v>
          </cell>
          <cell r="M2169">
            <v>2.8916999999999998E-2</v>
          </cell>
        </row>
        <row r="2170">
          <cell r="A2170">
            <v>21520048</v>
          </cell>
          <cell r="B2170">
            <v>3118220043633</v>
          </cell>
          <cell r="E2170" t="str">
            <v>CAFE LAGUIOLE INTUITION PVD BRONZE MAT + GENCOD</v>
          </cell>
          <cell r="F2170">
            <v>240</v>
          </cell>
          <cell r="G2170">
            <v>6</v>
          </cell>
          <cell r="H2170">
            <v>34.5</v>
          </cell>
          <cell r="I2170">
            <v>18</v>
          </cell>
          <cell r="J2170">
            <v>27</v>
          </cell>
          <cell r="K2170">
            <v>6.9720000000000004</v>
          </cell>
          <cell r="L2170">
            <v>2.9050000000000003E-2</v>
          </cell>
          <cell r="M2170">
            <v>1.6766999999999997E-2</v>
          </cell>
        </row>
        <row r="2171">
          <cell r="A2171">
            <v>21520049</v>
          </cell>
          <cell r="B2171">
            <v>3118220043893</v>
          </cell>
          <cell r="E2171" t="str">
            <v>M16 LAGUIOLE INTUITION BRILLANT EN BOITE LAGUIOLE</v>
          </cell>
          <cell r="F2171">
            <v>12</v>
          </cell>
          <cell r="G2171">
            <v>12</v>
          </cell>
          <cell r="H2171">
            <v>45</v>
          </cell>
          <cell r="I2171">
            <v>34</v>
          </cell>
          <cell r="J2171">
            <v>31</v>
          </cell>
          <cell r="K2171">
            <v>13.352</v>
          </cell>
          <cell r="L2171">
            <v>1.1126666666666667</v>
          </cell>
          <cell r="M2171">
            <v>4.743E-2</v>
          </cell>
        </row>
        <row r="2172">
          <cell r="A2172">
            <v>21520050</v>
          </cell>
          <cell r="B2172">
            <v>3118220043909</v>
          </cell>
          <cell r="E2172" t="str">
            <v>M16 LAGUIOLE INTUITION SATINE EN BOITE LAGUIOLE</v>
          </cell>
          <cell r="F2172">
            <v>12</v>
          </cell>
          <cell r="G2172">
            <v>12</v>
          </cell>
          <cell r="H2172">
            <v>45</v>
          </cell>
          <cell r="I2172">
            <v>34</v>
          </cell>
          <cell r="J2172">
            <v>31</v>
          </cell>
          <cell r="K2172">
            <v>13.352</v>
          </cell>
          <cell r="L2172">
            <v>1.1126666666666667</v>
          </cell>
          <cell r="M2172">
            <v>4.743E-2</v>
          </cell>
        </row>
        <row r="2173">
          <cell r="A2173">
            <v>21290012</v>
          </cell>
          <cell r="B2173">
            <v>3118220028487</v>
          </cell>
          <cell r="E2173" t="str">
            <v>CAFE MAZARIN MANCHE NOIR TETE INOX BROSSE + GENCOD</v>
          </cell>
          <cell r="F2173">
            <v>240</v>
          </cell>
          <cell r="G2173">
            <v>6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</row>
        <row r="2174">
          <cell r="A2174">
            <v>21549902</v>
          </cell>
          <cell r="B2174">
            <v>3118220030343</v>
          </cell>
          <cell r="E2174" t="str">
            <v>M16 BAGATELLE REVÊTEMENT PVD GOLD MAT BOITE TB COLLECTION</v>
          </cell>
          <cell r="F2174">
            <v>6</v>
          </cell>
          <cell r="G2174">
            <v>6</v>
          </cell>
          <cell r="H2174">
            <v>30</v>
          </cell>
          <cell r="I2174">
            <v>27</v>
          </cell>
          <cell r="J2174">
            <v>31</v>
          </cell>
          <cell r="K2174">
            <v>6.5819999999999999</v>
          </cell>
          <cell r="L2174">
            <v>1.097</v>
          </cell>
          <cell r="M2174">
            <v>2.511E-2</v>
          </cell>
        </row>
        <row r="2175">
          <cell r="A2175">
            <v>21549904</v>
          </cell>
          <cell r="B2175">
            <v>3605757169276</v>
          </cell>
          <cell r="E2175" t="str">
            <v>M16 MASA ( BAGATELLE) MAT BOITE ALINEA (27169285)</v>
          </cell>
          <cell r="F2175">
            <v>6</v>
          </cell>
          <cell r="G2175">
            <v>6</v>
          </cell>
          <cell r="H2175">
            <v>30</v>
          </cell>
          <cell r="I2175">
            <v>26.5</v>
          </cell>
          <cell r="J2175">
            <v>31</v>
          </cell>
          <cell r="K2175">
            <v>6.8280000000000003</v>
          </cell>
          <cell r="L2175">
            <v>1.1380000000000001</v>
          </cell>
          <cell r="M2175">
            <v>2.4644999999999997E-2</v>
          </cell>
        </row>
        <row r="2176">
          <cell r="A2176">
            <v>21549905</v>
          </cell>
          <cell r="B2176">
            <v>3118220032279</v>
          </cell>
          <cell r="C2176" t="str">
            <v>13118220032276</v>
          </cell>
          <cell r="D2176" t="str">
            <v>23118220032273</v>
          </cell>
          <cell r="E2176" t="str">
            <v>COUTEAU BAGATELLE REVÊTEMENT PVD MAT VRAC + GENCOD</v>
          </cell>
          <cell r="F2176">
            <v>120</v>
          </cell>
          <cell r="G2176">
            <v>6</v>
          </cell>
          <cell r="H2176">
            <v>29</v>
          </cell>
          <cell r="I2176">
            <v>28</v>
          </cell>
          <cell r="J2176">
            <v>21</v>
          </cell>
          <cell r="K2176">
            <v>14.76</v>
          </cell>
          <cell r="L2176">
            <v>0.123</v>
          </cell>
          <cell r="M2176">
            <v>1.7051999999999998E-2</v>
          </cell>
        </row>
        <row r="2177">
          <cell r="A2177">
            <v>21549906</v>
          </cell>
          <cell r="B2177">
            <v>3118220032286</v>
          </cell>
          <cell r="C2177" t="str">
            <v>13118220032283</v>
          </cell>
          <cell r="D2177" t="str">
            <v>23118220032280</v>
          </cell>
          <cell r="E2177" t="str">
            <v>FOURCHETTE BAGATELLE REVÊTEMENT PVD MAT VRAC + GENCOD</v>
          </cell>
          <cell r="F2177">
            <v>240</v>
          </cell>
          <cell r="G2177">
            <v>6</v>
          </cell>
          <cell r="H2177">
            <v>45</v>
          </cell>
          <cell r="I2177">
            <v>26</v>
          </cell>
          <cell r="J2177">
            <v>25</v>
          </cell>
          <cell r="K2177">
            <v>12.48</v>
          </cell>
          <cell r="L2177">
            <v>5.2000000000000005E-2</v>
          </cell>
          <cell r="M2177">
            <v>2.9250000000000002E-2</v>
          </cell>
        </row>
        <row r="2178">
          <cell r="A2178">
            <v>21549907</v>
          </cell>
          <cell r="B2178">
            <v>3118220032293</v>
          </cell>
          <cell r="C2178" t="str">
            <v>13118220032290</v>
          </cell>
          <cell r="D2178" t="str">
            <v>23118220032297</v>
          </cell>
          <cell r="E2178" t="str">
            <v>CUILLERE BAGATELLE REVÊTEMENT PVD MAT VRAC + GENCOD</v>
          </cell>
          <cell r="F2178">
            <v>240</v>
          </cell>
          <cell r="G2178">
            <v>6</v>
          </cell>
          <cell r="H2178">
            <v>45</v>
          </cell>
          <cell r="I2178">
            <v>26</v>
          </cell>
          <cell r="J2178">
            <v>25</v>
          </cell>
          <cell r="K2178">
            <v>14.88</v>
          </cell>
          <cell r="L2178">
            <v>6.2000000000000006E-2</v>
          </cell>
          <cell r="M2178">
            <v>2.9250000000000002E-2</v>
          </cell>
        </row>
        <row r="2179">
          <cell r="A2179">
            <v>21549908</v>
          </cell>
          <cell r="B2179">
            <v>3118220032309</v>
          </cell>
          <cell r="C2179" t="str">
            <v>13118220032306</v>
          </cell>
          <cell r="D2179" t="str">
            <v>23118220032303</v>
          </cell>
          <cell r="E2179" t="str">
            <v>CAFE BAGATELLE REVÊTEMENT PVD MAT VRAC + GENCOD</v>
          </cell>
          <cell r="F2179">
            <v>240</v>
          </cell>
          <cell r="G2179">
            <v>6</v>
          </cell>
          <cell r="H2179">
            <v>45.5</v>
          </cell>
          <cell r="I2179">
            <v>18</v>
          </cell>
          <cell r="J2179">
            <v>22</v>
          </cell>
          <cell r="K2179">
            <v>7.9809999999999999</v>
          </cell>
          <cell r="L2179">
            <v>3.3254166666666668E-2</v>
          </cell>
          <cell r="M2179">
            <v>1.8017999999999999E-2</v>
          </cell>
        </row>
        <row r="2180">
          <cell r="A2180">
            <v>21549909</v>
          </cell>
          <cell r="B2180">
            <v>3118220032316</v>
          </cell>
          <cell r="C2180" t="str">
            <v>13118220032313</v>
          </cell>
          <cell r="D2180" t="str">
            <v>23118220032310</v>
          </cell>
          <cell r="E2180" t="str">
            <v>COUTEAU  BAGATELLE FINITION POLI MIROIR VRAC + GENCOD</v>
          </cell>
          <cell r="F2180">
            <v>120</v>
          </cell>
          <cell r="G2180">
            <v>6</v>
          </cell>
          <cell r="H2180">
            <v>29</v>
          </cell>
          <cell r="I2180">
            <v>27.5</v>
          </cell>
          <cell r="J2180">
            <v>20.5</v>
          </cell>
          <cell r="K2180">
            <v>12.6</v>
          </cell>
          <cell r="L2180">
            <v>0.105</v>
          </cell>
          <cell r="M2180">
            <v>1.6348750000000002E-2</v>
          </cell>
        </row>
        <row r="2181">
          <cell r="A2181">
            <v>21549910</v>
          </cell>
          <cell r="B2181">
            <v>3118220032323</v>
          </cell>
          <cell r="C2181" t="str">
            <v>13118220032320</v>
          </cell>
          <cell r="D2181" t="str">
            <v>23118220032327</v>
          </cell>
          <cell r="E2181" t="str">
            <v>FOURCHETTE BAGATELLE FINITION POLI MIROIR VRAC + GENCOD</v>
          </cell>
          <cell r="F2181">
            <v>240</v>
          </cell>
          <cell r="G2181">
            <v>6</v>
          </cell>
          <cell r="H2181">
            <v>45</v>
          </cell>
          <cell r="I2181">
            <v>25</v>
          </cell>
          <cell r="J2181">
            <v>25</v>
          </cell>
          <cell r="K2181">
            <v>12.64</v>
          </cell>
          <cell r="L2181">
            <v>5.2666666666666667E-2</v>
          </cell>
          <cell r="M2181">
            <v>2.8125000000000001E-2</v>
          </cell>
        </row>
        <row r="2182">
          <cell r="A2182">
            <v>21549911</v>
          </cell>
          <cell r="B2182">
            <v>3118220032330</v>
          </cell>
          <cell r="C2182" t="str">
            <v>13118220032337</v>
          </cell>
          <cell r="D2182" t="str">
            <v>23118220032334</v>
          </cell>
          <cell r="E2182" t="str">
            <v>CUILLERE BAGATELLE FINITION POLI MIROIR VRAC + GENCOD</v>
          </cell>
          <cell r="F2182">
            <v>240</v>
          </cell>
          <cell r="G2182">
            <v>6</v>
          </cell>
          <cell r="H2182">
            <v>44.5</v>
          </cell>
          <cell r="I2182">
            <v>25</v>
          </cell>
          <cell r="J2182">
            <v>26</v>
          </cell>
          <cell r="K2182">
            <v>15.92</v>
          </cell>
          <cell r="L2182">
            <v>6.6333333333333327E-2</v>
          </cell>
          <cell r="M2182">
            <v>2.8924999999999999E-2</v>
          </cell>
        </row>
        <row r="2183">
          <cell r="A2183">
            <v>21549912</v>
          </cell>
          <cell r="B2183">
            <v>3118220032347</v>
          </cell>
          <cell r="C2183" t="str">
            <v>13118220032344</v>
          </cell>
          <cell r="D2183" t="str">
            <v>23118220032341</v>
          </cell>
          <cell r="E2183" t="str">
            <v>CAFE BAGATELLE FINITION POLI MIROIR VRAC + GENCOD</v>
          </cell>
          <cell r="F2183">
            <v>240</v>
          </cell>
          <cell r="G2183">
            <v>6</v>
          </cell>
          <cell r="H2183">
            <v>15</v>
          </cell>
          <cell r="I2183">
            <v>17.5</v>
          </cell>
          <cell r="J2183">
            <v>21.5</v>
          </cell>
          <cell r="K2183">
            <v>7.72</v>
          </cell>
          <cell r="L2183">
            <v>3.2166666666666663E-2</v>
          </cell>
          <cell r="M2183">
            <v>5.6437499999999995E-3</v>
          </cell>
        </row>
        <row r="2184">
          <cell r="A2184">
            <v>21549915</v>
          </cell>
          <cell r="B2184">
            <v>3118220035188</v>
          </cell>
          <cell r="E2184" t="str">
            <v>COUTEAU BAGATELLE FINITION OR VRAC + GENCOD</v>
          </cell>
          <cell r="F2184">
            <v>120</v>
          </cell>
          <cell r="G2184">
            <v>6</v>
          </cell>
          <cell r="H2184">
            <v>29</v>
          </cell>
          <cell r="I2184">
            <v>28</v>
          </cell>
          <cell r="J2184">
            <v>21</v>
          </cell>
          <cell r="K2184">
            <v>12.48</v>
          </cell>
          <cell r="L2184">
            <v>0.10400000000000001</v>
          </cell>
          <cell r="M2184">
            <v>1.7051999999999998E-2</v>
          </cell>
        </row>
        <row r="2185">
          <cell r="A2185">
            <v>21549916</v>
          </cell>
          <cell r="B2185">
            <v>3118220035195</v>
          </cell>
          <cell r="E2185" t="str">
            <v>FOURCHETTE BAGATELLE FINITION OR VRAC + GENCOD</v>
          </cell>
          <cell r="F2185">
            <v>240</v>
          </cell>
          <cell r="G2185">
            <v>6</v>
          </cell>
          <cell r="H2185">
            <v>45</v>
          </cell>
          <cell r="I2185">
            <v>26</v>
          </cell>
          <cell r="J2185">
            <v>25</v>
          </cell>
          <cell r="K2185">
            <v>12.72</v>
          </cell>
          <cell r="L2185">
            <v>5.3000000000000005E-2</v>
          </cell>
          <cell r="M2185">
            <v>2.9250000000000002E-2</v>
          </cell>
        </row>
        <row r="2186">
          <cell r="A2186">
            <v>21549917</v>
          </cell>
          <cell r="B2186">
            <v>3118220035201</v>
          </cell>
          <cell r="E2186" t="str">
            <v>CUILLERE BAGATELLE FINITION OR VRAC + GENCOD</v>
          </cell>
          <cell r="F2186">
            <v>240</v>
          </cell>
          <cell r="G2186">
            <v>6</v>
          </cell>
          <cell r="H2186">
            <v>45</v>
          </cell>
          <cell r="I2186">
            <v>26</v>
          </cell>
          <cell r="J2186">
            <v>25</v>
          </cell>
          <cell r="K2186">
            <v>16.16</v>
          </cell>
          <cell r="L2186">
            <v>6.7333333333333328E-2</v>
          </cell>
          <cell r="M2186">
            <v>2.9250000000000002E-2</v>
          </cell>
        </row>
        <row r="2187">
          <cell r="A2187">
            <v>21549918</v>
          </cell>
          <cell r="B2187">
            <v>3118220035218</v>
          </cell>
          <cell r="E2187" t="str">
            <v>CAFE BAGATELLE FINITION OR VRAC + GENCOD</v>
          </cell>
          <cell r="F2187">
            <v>240</v>
          </cell>
          <cell r="G2187">
            <v>6</v>
          </cell>
          <cell r="H2187">
            <v>44.5</v>
          </cell>
          <cell r="I2187">
            <v>18</v>
          </cell>
          <cell r="J2187">
            <v>21.5</v>
          </cell>
          <cell r="K2187">
            <v>7.72</v>
          </cell>
          <cell r="L2187">
            <v>3.2166666666666663E-2</v>
          </cell>
          <cell r="M2187">
            <v>1.7221500000000001E-2</v>
          </cell>
        </row>
        <row r="2188">
          <cell r="A2188">
            <v>21549919</v>
          </cell>
          <cell r="B2188">
            <v>3118220038912</v>
          </cell>
          <cell r="E2188" t="str">
            <v>M16 BAGATELLE PVD NOIR MAT TOP CHEF</v>
          </cell>
          <cell r="F2188">
            <v>6</v>
          </cell>
          <cell r="G2188">
            <v>6</v>
          </cell>
          <cell r="H2188">
            <v>30.5</v>
          </cell>
          <cell r="I2188">
            <v>27</v>
          </cell>
          <cell r="J2188">
            <v>31</v>
          </cell>
          <cell r="K2188">
            <v>7.2590000000000003</v>
          </cell>
          <cell r="L2188">
            <v>1.2098333333333333</v>
          </cell>
          <cell r="M2188">
            <v>2.5528499999999999E-2</v>
          </cell>
        </row>
        <row r="2189">
          <cell r="A2189">
            <v>21600001</v>
          </cell>
          <cell r="B2189">
            <v>3118220032484</v>
          </cell>
          <cell r="C2189" t="str">
            <v>13118220032481</v>
          </cell>
          <cell r="D2189" t="str">
            <v>23118220032488</v>
          </cell>
          <cell r="E2189" t="str">
            <v>M16 ARABESQUE FINITION MIROIR BOITE TB COLLECTION</v>
          </cell>
          <cell r="F2189">
            <v>6</v>
          </cell>
          <cell r="G2189">
            <v>6</v>
          </cell>
          <cell r="H2189">
            <v>31</v>
          </cell>
          <cell r="I2189">
            <v>27.5</v>
          </cell>
          <cell r="J2189">
            <v>30</v>
          </cell>
          <cell r="K2189">
            <v>6.3719999999999999</v>
          </cell>
          <cell r="L2189">
            <v>1.0620000000000001</v>
          </cell>
          <cell r="M2189">
            <v>2.5575000000000001E-2</v>
          </cell>
        </row>
        <row r="2190">
          <cell r="A2190">
            <v>21600002</v>
          </cell>
          <cell r="B2190">
            <v>3118220032507</v>
          </cell>
          <cell r="C2190" t="str">
            <v>13118220032504</v>
          </cell>
          <cell r="D2190" t="str">
            <v>23118220032501</v>
          </cell>
          <cell r="E2190" t="str">
            <v>COUTEAU ARABESQUE FINITION MIROIR VRAC+GENCOD</v>
          </cell>
          <cell r="F2190">
            <v>120</v>
          </cell>
          <cell r="G2190">
            <v>12</v>
          </cell>
          <cell r="H2190">
            <v>29.5</v>
          </cell>
          <cell r="I2190">
            <v>27.5</v>
          </cell>
          <cell r="J2190">
            <v>13.5</v>
          </cell>
          <cell r="K2190">
            <v>12.36</v>
          </cell>
          <cell r="L2190">
            <v>0.10299999999999999</v>
          </cell>
          <cell r="M2190">
            <v>1.0951874999999998E-2</v>
          </cell>
        </row>
        <row r="2191">
          <cell r="A2191">
            <v>21600003</v>
          </cell>
          <cell r="B2191">
            <v>3118220032514</v>
          </cell>
          <cell r="C2191" t="str">
            <v>13118220032511</v>
          </cell>
          <cell r="D2191" t="str">
            <v>23118220032518</v>
          </cell>
          <cell r="E2191" t="str">
            <v>FOURCHETTE ARABESQUE FINITION MIROIR VRAC+GENCOD</v>
          </cell>
          <cell r="F2191">
            <v>240</v>
          </cell>
          <cell r="G2191">
            <v>12</v>
          </cell>
          <cell r="H2191">
            <v>30</v>
          </cell>
          <cell r="I2191">
            <v>25.5</v>
          </cell>
          <cell r="J2191">
            <v>25.5</v>
          </cell>
          <cell r="K2191">
            <v>12.28</v>
          </cell>
          <cell r="L2191">
            <v>5.1166666666666666E-2</v>
          </cell>
          <cell r="M2191">
            <v>1.9507500000000001E-2</v>
          </cell>
        </row>
        <row r="2192">
          <cell r="A2192">
            <v>21600004</v>
          </cell>
          <cell r="B2192">
            <v>3118220032521</v>
          </cell>
          <cell r="C2192" t="str">
            <v>13118220032528</v>
          </cell>
          <cell r="D2192" t="str">
            <v>23118220032525</v>
          </cell>
          <cell r="E2192" t="str">
            <v>CUILLERE ARABESQUE FINITION MIROIR VRAC+GENCOD</v>
          </cell>
          <cell r="F2192">
            <v>240</v>
          </cell>
          <cell r="G2192">
            <v>12</v>
          </cell>
          <cell r="H2192">
            <v>30</v>
          </cell>
          <cell r="I2192">
            <v>25.5</v>
          </cell>
          <cell r="J2192">
            <v>25.5</v>
          </cell>
          <cell r="K2192">
            <v>13.92</v>
          </cell>
          <cell r="L2192">
            <v>5.8000000000000003E-2</v>
          </cell>
          <cell r="M2192">
            <v>1.9507500000000001E-2</v>
          </cell>
        </row>
        <row r="2193">
          <cell r="A2193">
            <v>21600005</v>
          </cell>
          <cell r="B2193">
            <v>3118220032538</v>
          </cell>
          <cell r="C2193" t="str">
            <v>13118220032535</v>
          </cell>
          <cell r="D2193" t="str">
            <v>23118220032532</v>
          </cell>
          <cell r="E2193" t="str">
            <v>CAFE ARABESQUE FINITION MIROIR VRAC+GENCOD</v>
          </cell>
          <cell r="F2193">
            <v>240</v>
          </cell>
          <cell r="G2193">
            <v>12</v>
          </cell>
          <cell r="H2193">
            <v>30</v>
          </cell>
          <cell r="I2193">
            <v>25.5</v>
          </cell>
          <cell r="J2193">
            <v>25.5</v>
          </cell>
          <cell r="K2193">
            <v>7.8</v>
          </cell>
          <cell r="L2193">
            <v>3.2500000000000001E-2</v>
          </cell>
          <cell r="M2193">
            <v>1.9507500000000001E-2</v>
          </cell>
        </row>
        <row r="2194">
          <cell r="A2194">
            <v>21600006</v>
          </cell>
          <cell r="B2194">
            <v>3118220040533</v>
          </cell>
          <cell r="C2194" t="str">
            <v>13118220040530</v>
          </cell>
          <cell r="D2194" t="str">
            <v>23118220040537</v>
          </cell>
          <cell r="E2194" t="str">
            <v>COUTEAU ARABESQUE  PVD NOIR MAT VRAC+GENCOD</v>
          </cell>
          <cell r="F2194">
            <v>120</v>
          </cell>
          <cell r="G2194">
            <v>12</v>
          </cell>
          <cell r="H2194">
            <v>29</v>
          </cell>
          <cell r="I2194">
            <v>27</v>
          </cell>
          <cell r="J2194">
            <v>13</v>
          </cell>
          <cell r="K2194">
            <v>12.808999999999999</v>
          </cell>
          <cell r="L2194">
            <v>0.10674166666666667</v>
          </cell>
          <cell r="M2194">
            <v>1.0179000000000001E-2</v>
          </cell>
        </row>
        <row r="2195">
          <cell r="A2195">
            <v>21600007</v>
          </cell>
          <cell r="B2195">
            <v>3118220040540</v>
          </cell>
          <cell r="C2195" t="str">
            <v>13118220040547</v>
          </cell>
          <cell r="D2195" t="str">
            <v>23118220040544</v>
          </cell>
          <cell r="E2195" t="str">
            <v>FOURCHETTE ARABESQUE PVD NOIR MAT VRAC+GENCOD</v>
          </cell>
          <cell r="F2195">
            <v>240</v>
          </cell>
          <cell r="G2195">
            <v>12</v>
          </cell>
          <cell r="H2195">
            <v>27</v>
          </cell>
          <cell r="I2195">
            <v>24.5</v>
          </cell>
          <cell r="J2195">
            <v>23</v>
          </cell>
          <cell r="K2195">
            <v>12.731</v>
          </cell>
          <cell r="L2195">
            <v>5.3045833333333334E-2</v>
          </cell>
          <cell r="M2195">
            <v>1.5214499999999999E-2</v>
          </cell>
        </row>
        <row r="2196">
          <cell r="A2196">
            <v>21600008</v>
          </cell>
          <cell r="B2196">
            <v>3118220040557</v>
          </cell>
          <cell r="C2196" t="str">
            <v>13118220040554</v>
          </cell>
          <cell r="D2196" t="str">
            <v>23118220040551</v>
          </cell>
          <cell r="E2196" t="str">
            <v>CUILLERE ARABESQUE PVD NOIR MAT+GENCOD</v>
          </cell>
          <cell r="F2196">
            <v>240</v>
          </cell>
          <cell r="G2196">
            <v>12</v>
          </cell>
          <cell r="H2196">
            <v>27</v>
          </cell>
          <cell r="I2196">
            <v>24.5</v>
          </cell>
          <cell r="J2196">
            <v>23</v>
          </cell>
          <cell r="K2196">
            <v>14.076000000000001</v>
          </cell>
          <cell r="L2196">
            <v>5.8650000000000001E-2</v>
          </cell>
          <cell r="M2196">
            <v>1.5214499999999999E-2</v>
          </cell>
        </row>
        <row r="2197">
          <cell r="A2197">
            <v>21600009</v>
          </cell>
          <cell r="B2197">
            <v>3118220040564</v>
          </cell>
          <cell r="C2197" t="str">
            <v>13118220040561</v>
          </cell>
          <cell r="D2197" t="str">
            <v>23118220040568</v>
          </cell>
          <cell r="E2197" t="str">
            <v>CAFE ARABESQUE PVD NOIR MAT+GENCOD</v>
          </cell>
          <cell r="F2197">
            <v>240</v>
          </cell>
          <cell r="G2197">
            <v>12</v>
          </cell>
          <cell r="H2197">
            <v>27</v>
          </cell>
          <cell r="I2197">
            <v>24.5</v>
          </cell>
          <cell r="J2197">
            <v>23</v>
          </cell>
          <cell r="K2197">
            <v>6.7169999999999996</v>
          </cell>
          <cell r="L2197">
            <v>2.7987499999999998E-2</v>
          </cell>
          <cell r="M2197">
            <v>1.5214499999999999E-2</v>
          </cell>
        </row>
        <row r="2198">
          <cell r="A2198">
            <v>21600010</v>
          </cell>
          <cell r="B2198">
            <v>3118220040571</v>
          </cell>
          <cell r="E2198" t="str">
            <v>COUTEAU ARABESQUE PVD CUIVRE MAT VRAC+GENCOD</v>
          </cell>
          <cell r="F2198">
            <v>120</v>
          </cell>
          <cell r="G2198">
            <v>12</v>
          </cell>
          <cell r="H2198">
            <v>29</v>
          </cell>
          <cell r="I2198">
            <v>27</v>
          </cell>
          <cell r="J2198">
            <v>13</v>
          </cell>
          <cell r="K2198">
            <v>13.177</v>
          </cell>
          <cell r="L2198">
            <v>0.10980833333333333</v>
          </cell>
          <cell r="M2198">
            <v>1.0179000000000001E-2</v>
          </cell>
        </row>
        <row r="2199">
          <cell r="A2199">
            <v>21600011</v>
          </cell>
          <cell r="B2199">
            <v>3118220040588</v>
          </cell>
          <cell r="E2199" t="str">
            <v>FOURCHETTE ARABESQUE PVD CUIVRE MAT VRAC+GENCOD</v>
          </cell>
          <cell r="F2199">
            <v>240</v>
          </cell>
          <cell r="G2199">
            <v>12</v>
          </cell>
          <cell r="H2199">
            <v>27</v>
          </cell>
          <cell r="I2199">
            <v>24.5</v>
          </cell>
          <cell r="J2199">
            <v>23</v>
          </cell>
          <cell r="K2199">
            <v>12.757999999999999</v>
          </cell>
          <cell r="L2199">
            <v>5.3158333333333328E-2</v>
          </cell>
          <cell r="M2199">
            <v>1.5214499999999999E-2</v>
          </cell>
        </row>
        <row r="2200">
          <cell r="A2200">
            <v>21600012</v>
          </cell>
          <cell r="B2200">
            <v>3118220040595</v>
          </cell>
          <cell r="E2200" t="str">
            <v>CUILLERE ARABESQUE PVD CUIVRE MAT+GENCOD</v>
          </cell>
          <cell r="F2200">
            <v>240</v>
          </cell>
          <cell r="G2200">
            <v>12</v>
          </cell>
          <cell r="H2200">
            <v>27</v>
          </cell>
          <cell r="I2200">
            <v>24.5</v>
          </cell>
          <cell r="J2200">
            <v>23</v>
          </cell>
          <cell r="K2200">
            <v>14.081</v>
          </cell>
          <cell r="L2200">
            <v>5.8670833333333332E-2</v>
          </cell>
          <cell r="M2200">
            <v>1.5214499999999999E-2</v>
          </cell>
        </row>
        <row r="2201">
          <cell r="A2201">
            <v>21600013</v>
          </cell>
          <cell r="B2201">
            <v>3118220040601</v>
          </cell>
          <cell r="E2201" t="str">
            <v>CAFE ARABESQUE PVD CUIVRE MAT+GENCOD</v>
          </cell>
          <cell r="F2201">
            <v>240</v>
          </cell>
          <cell r="G2201">
            <v>12</v>
          </cell>
          <cell r="H2201">
            <v>27</v>
          </cell>
          <cell r="I2201">
            <v>24.5</v>
          </cell>
          <cell r="J2201">
            <v>23</v>
          </cell>
          <cell r="K2201">
            <v>6.694</v>
          </cell>
          <cell r="L2201">
            <v>2.7891666666666665E-2</v>
          </cell>
          <cell r="M2201">
            <v>1.5214499999999999E-2</v>
          </cell>
        </row>
        <row r="2202">
          <cell r="A2202">
            <v>21600014</v>
          </cell>
          <cell r="B2202">
            <v>3118220040618</v>
          </cell>
          <cell r="C2202" t="str">
            <v>13118220040615</v>
          </cell>
          <cell r="D2202" t="str">
            <v>23118220040612</v>
          </cell>
          <cell r="E2202" t="str">
            <v>COUTEAU ARABESQUE  PVD CHAMPAGNE MAT VRAC+GENCOD</v>
          </cell>
          <cell r="F2202">
            <v>120</v>
          </cell>
          <cell r="G2202">
            <v>12</v>
          </cell>
          <cell r="H2202">
            <v>28</v>
          </cell>
          <cell r="I2202">
            <v>27</v>
          </cell>
          <cell r="J2202">
            <v>12</v>
          </cell>
          <cell r="K2202">
            <v>12.932</v>
          </cell>
          <cell r="L2202">
            <v>0.10776666666666666</v>
          </cell>
          <cell r="M2202">
            <v>9.0720000000000002E-3</v>
          </cell>
        </row>
        <row r="2203">
          <cell r="A2203">
            <v>21600015</v>
          </cell>
          <cell r="B2203">
            <v>3118220040625</v>
          </cell>
          <cell r="C2203" t="str">
            <v>13118220040622</v>
          </cell>
          <cell r="D2203" t="str">
            <v>23118220040629</v>
          </cell>
          <cell r="E2203" t="str">
            <v>FOURCHETTE ARABESQUE PVD CHAMPAGNE MAT VRAC+GENCOD</v>
          </cell>
          <cell r="F2203">
            <v>240</v>
          </cell>
          <cell r="G2203">
            <v>12</v>
          </cell>
          <cell r="H2203">
            <v>27.5</v>
          </cell>
          <cell r="I2203">
            <v>25.5</v>
          </cell>
          <cell r="J2203">
            <v>20.5</v>
          </cell>
          <cell r="K2203">
            <v>12.78</v>
          </cell>
          <cell r="L2203">
            <v>5.3249999999999999E-2</v>
          </cell>
          <cell r="M2203">
            <v>1.4375625000000001E-2</v>
          </cell>
        </row>
        <row r="2204">
          <cell r="A2204">
            <v>21600016</v>
          </cell>
          <cell r="B2204">
            <v>3118220040632</v>
          </cell>
          <cell r="C2204" t="str">
            <v>13118220040639</v>
          </cell>
          <cell r="D2204" t="str">
            <v>23118220040636</v>
          </cell>
          <cell r="E2204" t="str">
            <v>CUILLERE ARABESQUE PVD CHAMPAGNE MAT+GENCOD</v>
          </cell>
          <cell r="F2204">
            <v>240</v>
          </cell>
          <cell r="G2204">
            <v>12</v>
          </cell>
          <cell r="H2204">
            <v>28</v>
          </cell>
          <cell r="I2204">
            <v>25</v>
          </cell>
          <cell r="J2204">
            <v>21</v>
          </cell>
          <cell r="K2204">
            <v>14.683999999999999</v>
          </cell>
          <cell r="L2204">
            <v>6.1183333333333333E-2</v>
          </cell>
          <cell r="M2204">
            <v>1.4700000000000001E-2</v>
          </cell>
        </row>
        <row r="2205">
          <cell r="A2205">
            <v>21600017</v>
          </cell>
          <cell r="B2205">
            <v>3118220040649</v>
          </cell>
          <cell r="C2205" t="str">
            <v>13118220040646</v>
          </cell>
          <cell r="D2205" t="str">
            <v>23118220040643</v>
          </cell>
          <cell r="E2205" t="str">
            <v>CAFE ARABESQUE PVD CHAMPAGNE  MAT+GENCOD</v>
          </cell>
          <cell r="F2205">
            <v>240</v>
          </cell>
          <cell r="G2205">
            <v>12</v>
          </cell>
          <cell r="H2205">
            <v>27</v>
          </cell>
          <cell r="I2205">
            <v>17.5</v>
          </cell>
          <cell r="J2205">
            <v>17.5</v>
          </cell>
          <cell r="K2205">
            <v>7.9340000000000002</v>
          </cell>
          <cell r="L2205">
            <v>3.3058333333333335E-2</v>
          </cell>
          <cell r="M2205">
            <v>8.2687500000000018E-3</v>
          </cell>
        </row>
        <row r="2206">
          <cell r="A2206">
            <v>21600018</v>
          </cell>
          <cell r="B2206">
            <v>3118220046160</v>
          </cell>
          <cell r="E2206" t="str">
            <v>M16 ARABESQUE PVD CHAMPAGNE MAT</v>
          </cell>
          <cell r="F2206">
            <v>6</v>
          </cell>
          <cell r="G2206">
            <v>6</v>
          </cell>
          <cell r="H2206">
            <v>40</v>
          </cell>
          <cell r="I2206">
            <v>32</v>
          </cell>
          <cell r="J2206">
            <v>26</v>
          </cell>
          <cell r="K2206">
            <v>6.85</v>
          </cell>
          <cell r="L2206">
            <v>1.1416666666666666</v>
          </cell>
          <cell r="M2206">
            <v>3.3280000000000004E-2</v>
          </cell>
        </row>
        <row r="2207">
          <cell r="A2207">
            <v>21520059</v>
          </cell>
          <cell r="B2207">
            <v>3118220053779</v>
          </cell>
          <cell r="C2207">
            <v>13118220053776</v>
          </cell>
          <cell r="D2207">
            <v>23118220053773</v>
          </cell>
          <cell r="E2207" t="str">
            <v>SET 12 PCS POUR M16 LAGUIOLE INTUITION BRILLANT</v>
          </cell>
          <cell r="F2207">
            <v>10</v>
          </cell>
          <cell r="G2207">
            <v>1</v>
          </cell>
          <cell r="H2207">
            <v>0</v>
          </cell>
          <cell r="I2207">
            <v>0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</row>
        <row r="2208">
          <cell r="A2208">
            <v>21600019</v>
          </cell>
          <cell r="B2208">
            <v>3118220046177</v>
          </cell>
          <cell r="E2208" t="str">
            <v>M16 ARABESQUE PVD OR MAT</v>
          </cell>
          <cell r="F2208">
            <v>6</v>
          </cell>
          <cell r="G2208">
            <v>6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</row>
        <row r="2209">
          <cell r="A2209">
            <v>21610001</v>
          </cell>
          <cell r="B2209">
            <v>3118220032491</v>
          </cell>
          <cell r="C2209" t="str">
            <v>13118220032498</v>
          </cell>
          <cell r="D2209" t="str">
            <v>23118220032495</v>
          </cell>
          <cell r="E2209" t="str">
            <v>M16 DAMIER FINITION MIROIR BOITE TB COLLECTION</v>
          </cell>
          <cell r="F2209">
            <v>6</v>
          </cell>
          <cell r="G2209">
            <v>6</v>
          </cell>
          <cell r="H2209">
            <v>31</v>
          </cell>
          <cell r="I2209">
            <v>27.5</v>
          </cell>
          <cell r="J2209">
            <v>31</v>
          </cell>
          <cell r="K2209">
            <v>6.7489999999999997</v>
          </cell>
          <cell r="L2209">
            <v>1.1248333333333334</v>
          </cell>
          <cell r="M2209">
            <v>2.6427500000000003E-2</v>
          </cell>
        </row>
        <row r="2210">
          <cell r="A2210">
            <v>21610002</v>
          </cell>
          <cell r="B2210">
            <v>3118220032545</v>
          </cell>
          <cell r="C2210" t="str">
            <v>13118220032542</v>
          </cell>
          <cell r="D2210" t="str">
            <v>23118220032549</v>
          </cell>
          <cell r="E2210" t="str">
            <v>COUTEAU DAMIER FINITION MIROIR VRAC+GENCOD</v>
          </cell>
          <cell r="F2210">
            <v>120</v>
          </cell>
          <cell r="G2210">
            <v>12</v>
          </cell>
          <cell r="H2210">
            <v>29.5</v>
          </cell>
          <cell r="I2210">
            <v>27.5</v>
          </cell>
          <cell r="J2210">
            <v>13.5</v>
          </cell>
          <cell r="K2210">
            <v>11.28</v>
          </cell>
          <cell r="L2210">
            <v>9.4E-2</v>
          </cell>
          <cell r="M2210">
            <v>1.0951874999999998E-2</v>
          </cell>
        </row>
        <row r="2211">
          <cell r="A2211">
            <v>21610003</v>
          </cell>
          <cell r="B2211">
            <v>3118220032552</v>
          </cell>
          <cell r="C2211" t="str">
            <v>13118220032559</v>
          </cell>
          <cell r="D2211" t="str">
            <v>23118220032556</v>
          </cell>
          <cell r="E2211" t="str">
            <v>FOURCHETTE DAMIER FINITION MIROIR VRAC+GENCOD</v>
          </cell>
          <cell r="F2211">
            <v>240</v>
          </cell>
          <cell r="G2211">
            <v>12</v>
          </cell>
          <cell r="H2211">
            <v>30</v>
          </cell>
          <cell r="I2211">
            <v>25.5</v>
          </cell>
          <cell r="J2211">
            <v>25.5</v>
          </cell>
          <cell r="K2211">
            <v>12.9</v>
          </cell>
          <cell r="L2211">
            <v>5.3749999999999999E-2</v>
          </cell>
          <cell r="M2211">
            <v>1.9507500000000001E-2</v>
          </cell>
        </row>
        <row r="2212">
          <cell r="A2212">
            <v>21610004</v>
          </cell>
          <cell r="B2212">
            <v>3118220032569</v>
          </cell>
          <cell r="C2212" t="str">
            <v>13118220032566</v>
          </cell>
          <cell r="D2212" t="str">
            <v>23118220032563</v>
          </cell>
          <cell r="E2212" t="str">
            <v>CUILLERE DAMIER FINITION MIROIR VRAC+GENCOD</v>
          </cell>
          <cell r="F2212">
            <v>240</v>
          </cell>
          <cell r="G2212">
            <v>12</v>
          </cell>
          <cell r="H2212">
            <v>29.5</v>
          </cell>
          <cell r="I2212">
            <v>27.5</v>
          </cell>
          <cell r="J2212">
            <v>13.5</v>
          </cell>
          <cell r="K2212">
            <v>14.88</v>
          </cell>
          <cell r="L2212">
            <v>6.2000000000000006E-2</v>
          </cell>
          <cell r="M2212">
            <v>1.0951874999999998E-2</v>
          </cell>
        </row>
        <row r="2213">
          <cell r="A2213">
            <v>21610005</v>
          </cell>
          <cell r="B2213">
            <v>3118220032576</v>
          </cell>
          <cell r="C2213" t="str">
            <v>13118220032573</v>
          </cell>
          <cell r="D2213" t="str">
            <v>23118220032570</v>
          </cell>
          <cell r="E2213" t="str">
            <v>CAFE DAMIER FINITION MIROIR VRAC+GENCOD</v>
          </cell>
          <cell r="F2213">
            <v>240</v>
          </cell>
          <cell r="G2213">
            <v>12</v>
          </cell>
          <cell r="H2213">
            <v>30</v>
          </cell>
          <cell r="I2213">
            <v>25.5</v>
          </cell>
          <cell r="J2213">
            <v>25.5</v>
          </cell>
          <cell r="K2213">
            <v>7.2</v>
          </cell>
          <cell r="L2213">
            <v>3.0000000000000002E-2</v>
          </cell>
          <cell r="M2213">
            <v>1.9507500000000001E-2</v>
          </cell>
        </row>
        <row r="2214">
          <cell r="A2214">
            <v>21620002</v>
          </cell>
          <cell r="B2214">
            <v>3118220044562</v>
          </cell>
          <cell r="E2214" t="str">
            <v>MENAGERE 48 PIECES VARIO INOX EN RANGE COUVERT NOIR</v>
          </cell>
          <cell r="F2214">
            <v>6</v>
          </cell>
          <cell r="G2214">
            <v>6</v>
          </cell>
          <cell r="H2214">
            <v>30.5</v>
          </cell>
          <cell r="I2214">
            <v>20.5</v>
          </cell>
          <cell r="J2214">
            <v>29</v>
          </cell>
          <cell r="K2214">
            <v>8.9450000000000003</v>
          </cell>
          <cell r="L2214">
            <v>1.4908333333333335</v>
          </cell>
          <cell r="M2214">
            <v>1.8132249999999999E-2</v>
          </cell>
        </row>
        <row r="2215">
          <cell r="A2215">
            <v>21630001</v>
          </cell>
          <cell r="B2215">
            <v>3118220035133</v>
          </cell>
          <cell r="E2215" t="str">
            <v>M16 MANDOLINE BOITE TB COLLECTION</v>
          </cell>
          <cell r="F2215">
            <v>6</v>
          </cell>
          <cell r="G2215">
            <v>6</v>
          </cell>
          <cell r="H2215">
            <v>30</v>
          </cell>
          <cell r="I2215">
            <v>26</v>
          </cell>
          <cell r="J2215">
            <v>31</v>
          </cell>
          <cell r="K2215">
            <v>7.3140000000000001</v>
          </cell>
          <cell r="L2215">
            <v>1.2190000000000001</v>
          </cell>
          <cell r="M2215">
            <v>2.418E-2</v>
          </cell>
        </row>
        <row r="2216">
          <cell r="A2216">
            <v>21630002</v>
          </cell>
          <cell r="B2216">
            <v>3118220035140</v>
          </cell>
          <cell r="E2216" t="str">
            <v>COUTEAU MANDOLINE VRAC + GENCOD</v>
          </cell>
          <cell r="F2216">
            <v>144</v>
          </cell>
          <cell r="G2216">
            <v>12</v>
          </cell>
          <cell r="H2216">
            <v>26.5</v>
          </cell>
          <cell r="I2216">
            <v>26.5</v>
          </cell>
          <cell r="J2216">
            <v>20</v>
          </cell>
          <cell r="K2216">
            <v>15.84</v>
          </cell>
          <cell r="L2216">
            <v>0.11</v>
          </cell>
          <cell r="M2216">
            <v>1.4044999999999998E-2</v>
          </cell>
        </row>
        <row r="2217">
          <cell r="A2217">
            <v>21630003</v>
          </cell>
          <cell r="B2217">
            <v>3118220035157</v>
          </cell>
          <cell r="E2217" t="str">
            <v>FOURCHETTE MANDOLINE VRAC + GENCOD</v>
          </cell>
          <cell r="F2217">
            <v>144</v>
          </cell>
          <cell r="G2217">
            <v>12</v>
          </cell>
          <cell r="H2217">
            <v>23</v>
          </cell>
          <cell r="I2217">
            <v>22.5</v>
          </cell>
          <cell r="J2217">
            <v>26</v>
          </cell>
          <cell r="K2217">
            <v>7.7759999999999998</v>
          </cell>
          <cell r="L2217">
            <v>5.3999999999999999E-2</v>
          </cell>
          <cell r="M2217">
            <v>1.3455E-2</v>
          </cell>
        </row>
        <row r="2218">
          <cell r="A2218">
            <v>21630004</v>
          </cell>
          <cell r="B2218">
            <v>3118220035164</v>
          </cell>
          <cell r="E2218" t="str">
            <v>CUILLERE MANDOLINE VRAC + GENCOD</v>
          </cell>
          <cell r="F2218">
            <v>144</v>
          </cell>
          <cell r="G2218">
            <v>12</v>
          </cell>
          <cell r="H2218">
            <v>23</v>
          </cell>
          <cell r="I2218">
            <v>22</v>
          </cell>
          <cell r="J2218">
            <v>26</v>
          </cell>
          <cell r="K2218">
            <v>9.9120000000000008</v>
          </cell>
          <cell r="L2218">
            <v>6.8833333333333344E-2</v>
          </cell>
          <cell r="M2218">
            <v>1.3156000000000001E-2</v>
          </cell>
        </row>
        <row r="2219">
          <cell r="A2219">
            <v>21630005</v>
          </cell>
          <cell r="B2219">
            <v>3118220035171</v>
          </cell>
          <cell r="E2219" t="str">
            <v>CAFE MANDOLINE VRAC + GENCOD</v>
          </cell>
          <cell r="F2219">
            <v>144</v>
          </cell>
          <cell r="G2219">
            <v>12</v>
          </cell>
          <cell r="H2219">
            <v>23</v>
          </cell>
          <cell r="I2219">
            <v>22</v>
          </cell>
          <cell r="J2219">
            <v>26</v>
          </cell>
          <cell r="K2219">
            <v>6.048</v>
          </cell>
          <cell r="L2219">
            <v>4.2000000000000003E-2</v>
          </cell>
          <cell r="M2219">
            <v>1.3156000000000001E-2</v>
          </cell>
        </row>
        <row r="2220">
          <cell r="A2220">
            <v>21640001</v>
          </cell>
          <cell r="B2220">
            <v>3118220036604</v>
          </cell>
          <cell r="C2220" t="str">
            <v>13118220036601</v>
          </cell>
          <cell r="D2220" t="str">
            <v>23118220036608</v>
          </cell>
          <cell r="E2220" t="str">
            <v>COUTEAU CORINTHE VRAC + GENCOD</v>
          </cell>
          <cell r="F2220">
            <v>120</v>
          </cell>
          <cell r="G2220">
            <v>12</v>
          </cell>
          <cell r="H2220">
            <v>29.5</v>
          </cell>
          <cell r="I2220">
            <v>27.5</v>
          </cell>
          <cell r="J2220">
            <v>12.5</v>
          </cell>
          <cell r="K2220">
            <v>12</v>
          </cell>
          <cell r="L2220">
            <v>0.1</v>
          </cell>
          <cell r="M2220">
            <v>1.0140624999999999E-2</v>
          </cell>
        </row>
        <row r="2221">
          <cell r="A2221">
            <v>21640002</v>
          </cell>
          <cell r="B2221">
            <v>3118220036611</v>
          </cell>
          <cell r="C2221" t="str">
            <v>13118220036618</v>
          </cell>
          <cell r="D2221" t="str">
            <v>23118220036615</v>
          </cell>
          <cell r="E2221" t="str">
            <v>FOURCHETTE CORINTHE VRAC + GENCOD</v>
          </cell>
          <cell r="F2221">
            <v>240</v>
          </cell>
          <cell r="G2221">
            <v>12</v>
          </cell>
          <cell r="H2221">
            <v>30</v>
          </cell>
          <cell r="I2221">
            <v>25</v>
          </cell>
          <cell r="J2221">
            <v>25</v>
          </cell>
          <cell r="K2221">
            <v>16.079999999999998</v>
          </cell>
          <cell r="L2221">
            <v>6.699999999999999E-2</v>
          </cell>
          <cell r="M2221">
            <v>1.8749999999999999E-2</v>
          </cell>
        </row>
        <row r="2222">
          <cell r="A2222">
            <v>21640003</v>
          </cell>
          <cell r="B2222">
            <v>3118220036628</v>
          </cell>
          <cell r="C2222" t="str">
            <v>13118220036625</v>
          </cell>
          <cell r="D2222" t="str">
            <v>23118220036622</v>
          </cell>
          <cell r="E2222" t="str">
            <v>CUILLERE CORINTHE VRAC + GENCOD</v>
          </cell>
          <cell r="F2222">
            <v>240</v>
          </cell>
          <cell r="G2222">
            <v>12</v>
          </cell>
          <cell r="H2222">
            <v>30</v>
          </cell>
          <cell r="I2222">
            <v>25</v>
          </cell>
          <cell r="J2222">
            <v>25</v>
          </cell>
          <cell r="K2222">
            <v>18.48</v>
          </cell>
          <cell r="L2222">
            <v>7.6999999999999999E-2</v>
          </cell>
          <cell r="M2222">
            <v>1.8749999999999999E-2</v>
          </cell>
        </row>
        <row r="2223">
          <cell r="A2223">
            <v>21640004</v>
          </cell>
          <cell r="B2223">
            <v>3118220036635</v>
          </cell>
          <cell r="C2223" t="str">
            <v>13118220036632</v>
          </cell>
          <cell r="D2223" t="str">
            <v>23118220036639</v>
          </cell>
          <cell r="E2223" t="str">
            <v>CAFE CORINTHE VRAC + GENCOD</v>
          </cell>
          <cell r="F2223">
            <v>240</v>
          </cell>
          <cell r="G2223">
            <v>12</v>
          </cell>
          <cell r="H2223">
            <v>30</v>
          </cell>
          <cell r="I2223">
            <v>25</v>
          </cell>
          <cell r="J2223">
            <v>25</v>
          </cell>
          <cell r="K2223">
            <v>9.1199999999999992</v>
          </cell>
          <cell r="L2223">
            <v>3.7999999999999999E-2</v>
          </cell>
          <cell r="M2223">
            <v>1.8749999999999999E-2</v>
          </cell>
        </row>
        <row r="2224">
          <cell r="A2224">
            <v>21640005</v>
          </cell>
          <cell r="B2224">
            <v>3118220036642</v>
          </cell>
          <cell r="C2224" t="str">
            <v>13118220036649</v>
          </cell>
          <cell r="D2224" t="str">
            <v>23118220036646</v>
          </cell>
          <cell r="E2224" t="str">
            <v>M16 CORINTHE BOITE TB COLLECTION</v>
          </cell>
          <cell r="F2224">
            <v>6</v>
          </cell>
          <cell r="G2224">
            <v>6</v>
          </cell>
          <cell r="H2224">
            <v>30</v>
          </cell>
          <cell r="I2224">
            <v>27</v>
          </cell>
          <cell r="J2224">
            <v>30</v>
          </cell>
          <cell r="K2224">
            <v>7.4580000000000002</v>
          </cell>
          <cell r="L2224">
            <v>1.2430000000000001</v>
          </cell>
          <cell r="M2224">
            <v>2.4300000000000002E-2</v>
          </cell>
        </row>
        <row r="2225">
          <cell r="A2225">
            <v>21650001</v>
          </cell>
          <cell r="B2225">
            <v>3118220036659</v>
          </cell>
          <cell r="C2225" t="str">
            <v>13118220036656</v>
          </cell>
          <cell r="D2225" t="str">
            <v>23118220036653</v>
          </cell>
          <cell r="E2225" t="str">
            <v>COUTEAU MARTELE VRAC + GENCOD</v>
          </cell>
          <cell r="F2225">
            <v>120</v>
          </cell>
          <cell r="G2225">
            <v>12</v>
          </cell>
          <cell r="H2225">
            <v>30</v>
          </cell>
          <cell r="I2225">
            <v>28</v>
          </cell>
          <cell r="J2225">
            <v>14</v>
          </cell>
          <cell r="K2225">
            <v>10.08</v>
          </cell>
          <cell r="L2225">
            <v>8.4000000000000005E-2</v>
          </cell>
          <cell r="M2225">
            <v>1.1760000000000001E-2</v>
          </cell>
        </row>
        <row r="2226">
          <cell r="A2226">
            <v>21650002</v>
          </cell>
          <cell r="B2226">
            <v>3118220036666</v>
          </cell>
          <cell r="C2226" t="str">
            <v>13118220036663</v>
          </cell>
          <cell r="D2226" t="str">
            <v>23118220036660</v>
          </cell>
          <cell r="E2226" t="str">
            <v>FOURCHETTE MARTELE VRAC + GENCOD</v>
          </cell>
          <cell r="F2226">
            <v>240</v>
          </cell>
          <cell r="G2226">
            <v>12</v>
          </cell>
          <cell r="H2226">
            <v>30</v>
          </cell>
          <cell r="I2226">
            <v>25</v>
          </cell>
          <cell r="J2226">
            <v>25</v>
          </cell>
          <cell r="K2226">
            <v>16.559999999999999</v>
          </cell>
          <cell r="L2226">
            <v>6.8999999999999992E-2</v>
          </cell>
          <cell r="M2226">
            <v>1.8749999999999999E-2</v>
          </cell>
        </row>
        <row r="2227">
          <cell r="A2227">
            <v>21650003</v>
          </cell>
          <cell r="B2227">
            <v>3118220036673</v>
          </cell>
          <cell r="C2227" t="str">
            <v>13118220036670</v>
          </cell>
          <cell r="D2227" t="str">
            <v>23118220036677</v>
          </cell>
          <cell r="E2227" t="str">
            <v>CUILLERE MARTELE VRAC + GENCOD</v>
          </cell>
          <cell r="F2227">
            <v>240</v>
          </cell>
          <cell r="G2227">
            <v>12</v>
          </cell>
          <cell r="H2227">
            <v>30</v>
          </cell>
          <cell r="I2227">
            <v>25</v>
          </cell>
          <cell r="J2227">
            <v>25</v>
          </cell>
          <cell r="K2227">
            <v>20.64</v>
          </cell>
          <cell r="L2227">
            <v>8.6000000000000007E-2</v>
          </cell>
          <cell r="M2227">
            <v>1.8749999999999999E-2</v>
          </cell>
        </row>
        <row r="2228">
          <cell r="A2228">
            <v>21650004</v>
          </cell>
          <cell r="B2228">
            <v>3118220036680</v>
          </cell>
          <cell r="C2228" t="str">
            <v>13118220036687</v>
          </cell>
          <cell r="D2228" t="str">
            <v>23118220036684</v>
          </cell>
          <cell r="E2228" t="str">
            <v>CAFE MARTELE VRAC + GENCOD</v>
          </cell>
          <cell r="F2228">
            <v>240</v>
          </cell>
          <cell r="G2228">
            <v>12</v>
          </cell>
          <cell r="H2228">
            <v>30</v>
          </cell>
          <cell r="I2228">
            <v>25</v>
          </cell>
          <cell r="J2228">
            <v>25</v>
          </cell>
          <cell r="K2228">
            <v>7.92</v>
          </cell>
          <cell r="L2228">
            <v>3.3000000000000002E-2</v>
          </cell>
          <cell r="M2228">
            <v>1.8749999999999999E-2</v>
          </cell>
        </row>
        <row r="2229">
          <cell r="A2229">
            <v>21650005</v>
          </cell>
          <cell r="B2229">
            <v>3118220036697</v>
          </cell>
          <cell r="C2229" t="str">
            <v>13118220036694</v>
          </cell>
          <cell r="D2229" t="str">
            <v>23118220036691</v>
          </cell>
          <cell r="E2229" t="str">
            <v>M16 MARTELE BOITE TB COLLECTION</v>
          </cell>
          <cell r="F2229">
            <v>6</v>
          </cell>
          <cell r="G2229">
            <v>6</v>
          </cell>
          <cell r="H2229">
            <v>30</v>
          </cell>
          <cell r="I2229">
            <v>27</v>
          </cell>
          <cell r="J2229">
            <v>30</v>
          </cell>
          <cell r="K2229">
            <v>7.2</v>
          </cell>
          <cell r="L2229">
            <v>1.2</v>
          </cell>
          <cell r="M2229">
            <v>2.4300000000000002E-2</v>
          </cell>
        </row>
        <row r="2230">
          <cell r="A2230">
            <v>21660001</v>
          </cell>
          <cell r="B2230">
            <v>3118220036703</v>
          </cell>
          <cell r="C2230" t="str">
            <v>13118220036700</v>
          </cell>
          <cell r="D2230" t="str">
            <v>23118220036707</v>
          </cell>
          <cell r="E2230" t="str">
            <v>COUTEAU ALVEOLE VRAC + GENCOD</v>
          </cell>
          <cell r="F2230">
            <v>120</v>
          </cell>
          <cell r="G2230">
            <v>12</v>
          </cell>
          <cell r="H2230">
            <v>29</v>
          </cell>
          <cell r="I2230">
            <v>27.5</v>
          </cell>
          <cell r="J2230">
            <v>12</v>
          </cell>
          <cell r="K2230">
            <v>14.4</v>
          </cell>
          <cell r="L2230">
            <v>0.12000000000000001</v>
          </cell>
          <cell r="M2230">
            <v>9.5700000000000004E-3</v>
          </cell>
        </row>
        <row r="2231">
          <cell r="A2231">
            <v>21660002</v>
          </cell>
          <cell r="B2231">
            <v>3118220036710</v>
          </cell>
          <cell r="C2231" t="str">
            <v>13118220036717</v>
          </cell>
          <cell r="D2231" t="str">
            <v>23118220036714</v>
          </cell>
          <cell r="E2231" t="str">
            <v>FOURCHETTE ALVEOLE VRAC + GENCOD</v>
          </cell>
          <cell r="F2231">
            <v>240</v>
          </cell>
          <cell r="G2231">
            <v>12</v>
          </cell>
          <cell r="H2231">
            <v>30</v>
          </cell>
          <cell r="I2231">
            <v>25</v>
          </cell>
          <cell r="J2231">
            <v>25</v>
          </cell>
          <cell r="K2231">
            <v>14.64</v>
          </cell>
          <cell r="L2231">
            <v>6.1000000000000006E-2</v>
          </cell>
          <cell r="M2231">
            <v>1.8749999999999999E-2</v>
          </cell>
        </row>
        <row r="2232">
          <cell r="A2232">
            <v>21660003</v>
          </cell>
          <cell r="B2232">
            <v>3118220036727</v>
          </cell>
          <cell r="C2232" t="str">
            <v>13118220036724</v>
          </cell>
          <cell r="D2232" t="str">
            <v>23118220036721</v>
          </cell>
          <cell r="E2232" t="str">
            <v>CUILLERE ALVEOLE VRAC + GENCOD</v>
          </cell>
          <cell r="F2232">
            <v>240</v>
          </cell>
          <cell r="G2232">
            <v>12</v>
          </cell>
          <cell r="H2232">
            <v>30</v>
          </cell>
          <cell r="I2232">
            <v>25</v>
          </cell>
          <cell r="J2232">
            <v>25</v>
          </cell>
          <cell r="K2232">
            <v>19.175000000000001</v>
          </cell>
          <cell r="L2232">
            <v>7.9895833333333333E-2</v>
          </cell>
          <cell r="M2232">
            <v>1.8749999999999999E-2</v>
          </cell>
        </row>
        <row r="2233">
          <cell r="A2233">
            <v>21660004</v>
          </cell>
          <cell r="B2233">
            <v>3118220036734</v>
          </cell>
          <cell r="C2233" t="str">
            <v>13118220036731</v>
          </cell>
          <cell r="D2233" t="str">
            <v>23118220036738</v>
          </cell>
          <cell r="E2233" t="str">
            <v>CAFE ALVEOLE VRAC + GENCOD</v>
          </cell>
          <cell r="F2233">
            <v>240</v>
          </cell>
          <cell r="G2233">
            <v>12</v>
          </cell>
          <cell r="H2233">
            <v>30</v>
          </cell>
          <cell r="I2233">
            <v>25</v>
          </cell>
          <cell r="J2233">
            <v>25</v>
          </cell>
          <cell r="K2233">
            <v>7.92</v>
          </cell>
          <cell r="L2233">
            <v>3.3000000000000002E-2</v>
          </cell>
          <cell r="M2233">
            <v>1.8749999999999999E-2</v>
          </cell>
        </row>
        <row r="2234">
          <cell r="A2234">
            <v>21660005</v>
          </cell>
          <cell r="B2234">
            <v>3118220036741</v>
          </cell>
          <cell r="C2234" t="str">
            <v>13118220036748</v>
          </cell>
          <cell r="D2234" t="str">
            <v>23118220036745</v>
          </cell>
          <cell r="E2234" t="str">
            <v>M16 ALVEOLE BOITE TB COLLECTION</v>
          </cell>
          <cell r="F2234">
            <v>6</v>
          </cell>
          <cell r="G2234">
            <v>6</v>
          </cell>
          <cell r="H2234">
            <v>30</v>
          </cell>
          <cell r="I2234">
            <v>27</v>
          </cell>
          <cell r="J2234">
            <v>30</v>
          </cell>
          <cell r="K2234">
            <v>7.9009999999999998</v>
          </cell>
          <cell r="L2234">
            <v>1.3168333333333333</v>
          </cell>
          <cell r="M2234">
            <v>2.4300000000000002E-2</v>
          </cell>
        </row>
        <row r="2235">
          <cell r="A2235">
            <v>21670001</v>
          </cell>
          <cell r="B2235">
            <v>3118220036758</v>
          </cell>
          <cell r="C2235" t="str">
            <v>13118220036755</v>
          </cell>
          <cell r="D2235" t="str">
            <v>23118220036752</v>
          </cell>
          <cell r="E2235" t="str">
            <v>COUTEAU ONDE VRAC + GENCOD</v>
          </cell>
          <cell r="F2235">
            <v>120</v>
          </cell>
          <cell r="G2235">
            <v>12</v>
          </cell>
          <cell r="H2235">
            <v>29.5</v>
          </cell>
          <cell r="I2235">
            <v>27.5</v>
          </cell>
          <cell r="J2235">
            <v>12.5</v>
          </cell>
          <cell r="K2235">
            <v>10.92</v>
          </cell>
          <cell r="L2235">
            <v>9.0999999999999998E-2</v>
          </cell>
          <cell r="M2235">
            <v>1.0140624999999999E-2</v>
          </cell>
        </row>
        <row r="2236">
          <cell r="A2236">
            <v>21670002</v>
          </cell>
          <cell r="B2236">
            <v>3118220036765</v>
          </cell>
          <cell r="C2236" t="str">
            <v>13118220036762</v>
          </cell>
          <cell r="D2236" t="str">
            <v>23118220036769</v>
          </cell>
          <cell r="E2236" t="str">
            <v>FOURCHETTE ONDE VRAC + GENCOD</v>
          </cell>
          <cell r="F2236">
            <v>240</v>
          </cell>
          <cell r="G2236">
            <v>12</v>
          </cell>
          <cell r="H2236">
            <v>30</v>
          </cell>
          <cell r="I2236">
            <v>25</v>
          </cell>
          <cell r="J2236">
            <v>25</v>
          </cell>
          <cell r="K2236">
            <v>10.32</v>
          </cell>
          <cell r="L2236">
            <v>4.3000000000000003E-2</v>
          </cell>
          <cell r="M2236">
            <v>1.8749999999999999E-2</v>
          </cell>
        </row>
        <row r="2237">
          <cell r="A2237">
            <v>21670003</v>
          </cell>
          <cell r="B2237">
            <v>3118220036772</v>
          </cell>
          <cell r="C2237" t="str">
            <v>13118220036779</v>
          </cell>
          <cell r="D2237" t="str">
            <v>23118220036776</v>
          </cell>
          <cell r="E2237" t="str">
            <v>CUILLERE ONDE VRAC + GENCOD</v>
          </cell>
          <cell r="F2237">
            <v>240</v>
          </cell>
          <cell r="G2237">
            <v>12</v>
          </cell>
          <cell r="H2237">
            <v>30</v>
          </cell>
          <cell r="I2237">
            <v>25</v>
          </cell>
          <cell r="J2237">
            <v>25</v>
          </cell>
          <cell r="K2237">
            <v>13.721</v>
          </cell>
          <cell r="L2237">
            <v>5.717083333333333E-2</v>
          </cell>
          <cell r="M2237">
            <v>1.8749999999999999E-2</v>
          </cell>
        </row>
        <row r="2238">
          <cell r="A2238">
            <v>21670004</v>
          </cell>
          <cell r="B2238">
            <v>3118220036789</v>
          </cell>
          <cell r="C2238" t="str">
            <v>13118220036786</v>
          </cell>
          <cell r="D2238" t="str">
            <v>23118220036783</v>
          </cell>
          <cell r="E2238" t="str">
            <v>CAFE ONDE VRAC + GENCOD</v>
          </cell>
          <cell r="F2238">
            <v>240</v>
          </cell>
          <cell r="G2238">
            <v>12</v>
          </cell>
          <cell r="H2238">
            <v>30</v>
          </cell>
          <cell r="I2238">
            <v>25</v>
          </cell>
          <cell r="J2238">
            <v>25</v>
          </cell>
          <cell r="K2238">
            <v>6.24</v>
          </cell>
          <cell r="L2238">
            <v>2.6000000000000002E-2</v>
          </cell>
          <cell r="M2238">
            <v>1.8749999999999999E-2</v>
          </cell>
        </row>
        <row r="2239">
          <cell r="A2239">
            <v>21670005</v>
          </cell>
          <cell r="B2239">
            <v>3118220036796</v>
          </cell>
          <cell r="C2239" t="str">
            <v>13118220036793</v>
          </cell>
          <cell r="D2239" t="str">
            <v>23118220036790</v>
          </cell>
          <cell r="E2239" t="str">
            <v>M16 ONDE BOITE TB COLLECTION</v>
          </cell>
          <cell r="F2239">
            <v>6</v>
          </cell>
          <cell r="G2239">
            <v>6</v>
          </cell>
          <cell r="H2239">
            <v>30</v>
          </cell>
          <cell r="I2239">
            <v>27</v>
          </cell>
          <cell r="J2239">
            <v>30</v>
          </cell>
          <cell r="K2239">
            <v>5.7720000000000002</v>
          </cell>
          <cell r="L2239">
            <v>0.96200000000000008</v>
          </cell>
          <cell r="M2239">
            <v>2.4300000000000002E-2</v>
          </cell>
        </row>
        <row r="2240">
          <cell r="A2240">
            <v>21680001</v>
          </cell>
          <cell r="B2240">
            <v>3118220036802</v>
          </cell>
          <cell r="C2240" t="str">
            <v>13118220036809</v>
          </cell>
          <cell r="D2240" t="str">
            <v>23118220036806</v>
          </cell>
          <cell r="E2240" t="str">
            <v>COUTEAU POPELINE VRAC + GENCOD</v>
          </cell>
          <cell r="F2240">
            <v>120</v>
          </cell>
          <cell r="G2240">
            <v>12</v>
          </cell>
          <cell r="H2240">
            <v>29.5</v>
          </cell>
          <cell r="I2240">
            <v>27.5</v>
          </cell>
          <cell r="J2240">
            <v>12.5</v>
          </cell>
          <cell r="K2240">
            <v>9.9770000000000003</v>
          </cell>
          <cell r="L2240">
            <v>8.3141666666666669E-2</v>
          </cell>
          <cell r="M2240">
            <v>1.0140624999999999E-2</v>
          </cell>
        </row>
        <row r="2241">
          <cell r="A2241">
            <v>21680002</v>
          </cell>
          <cell r="B2241">
            <v>3118220036819</v>
          </cell>
          <cell r="C2241" t="str">
            <v>13118220036816</v>
          </cell>
          <cell r="D2241" t="str">
            <v>23118220036813</v>
          </cell>
          <cell r="E2241" t="str">
            <v>FOURCHETTE POPELINE VRAC + GENCOD</v>
          </cell>
          <cell r="F2241">
            <v>240</v>
          </cell>
          <cell r="G2241">
            <v>12</v>
          </cell>
          <cell r="H2241">
            <v>30</v>
          </cell>
          <cell r="I2241">
            <v>25</v>
          </cell>
          <cell r="J2241">
            <v>25</v>
          </cell>
          <cell r="K2241">
            <v>12.96</v>
          </cell>
          <cell r="L2241">
            <v>5.4000000000000006E-2</v>
          </cell>
          <cell r="M2241">
            <v>1.8749999999999999E-2</v>
          </cell>
        </row>
        <row r="2242">
          <cell r="A2242">
            <v>21680003</v>
          </cell>
          <cell r="B2242">
            <v>3118220036826</v>
          </cell>
          <cell r="C2242" t="str">
            <v>13118220036823</v>
          </cell>
          <cell r="D2242" t="str">
            <v>23118220036820</v>
          </cell>
          <cell r="E2242" t="str">
            <v>CUILLERE POPELINE VRAC + GENCOD</v>
          </cell>
          <cell r="F2242">
            <v>240</v>
          </cell>
          <cell r="G2242">
            <v>12</v>
          </cell>
          <cell r="H2242">
            <v>30</v>
          </cell>
          <cell r="I2242">
            <v>25</v>
          </cell>
          <cell r="J2242">
            <v>25</v>
          </cell>
          <cell r="K2242">
            <v>15.72</v>
          </cell>
          <cell r="L2242">
            <v>6.5500000000000003E-2</v>
          </cell>
          <cell r="M2242">
            <v>1.8749999999999999E-2</v>
          </cell>
        </row>
        <row r="2243">
          <cell r="A2243">
            <v>21680004</v>
          </cell>
          <cell r="B2243">
            <v>3118220036833</v>
          </cell>
          <cell r="C2243" t="str">
            <v>13118220036830</v>
          </cell>
          <cell r="D2243" t="str">
            <v>23118220036837</v>
          </cell>
          <cell r="E2243" t="str">
            <v>CAFE POPELINE VRAC + GENCOD</v>
          </cell>
          <cell r="F2243">
            <v>240</v>
          </cell>
          <cell r="G2243">
            <v>12</v>
          </cell>
          <cell r="H2243">
            <v>30</v>
          </cell>
          <cell r="I2243">
            <v>25</v>
          </cell>
          <cell r="J2243">
            <v>25</v>
          </cell>
          <cell r="K2243">
            <v>8.64</v>
          </cell>
          <cell r="L2243">
            <v>3.6000000000000004E-2</v>
          </cell>
          <cell r="M2243">
            <v>1.8749999999999999E-2</v>
          </cell>
        </row>
        <row r="2244">
          <cell r="A2244">
            <v>21680005</v>
          </cell>
          <cell r="B2244">
            <v>3118220036840</v>
          </cell>
          <cell r="C2244" t="str">
            <v>13118220036847</v>
          </cell>
          <cell r="D2244" t="str">
            <v>23118220036844</v>
          </cell>
          <cell r="E2244" t="str">
            <v>M16 POPELINE BOITE TB COLLECTION</v>
          </cell>
          <cell r="F2244">
            <v>6</v>
          </cell>
          <cell r="G2244">
            <v>6</v>
          </cell>
          <cell r="H2244">
            <v>30</v>
          </cell>
          <cell r="I2244">
            <v>27</v>
          </cell>
          <cell r="J2244">
            <v>30</v>
          </cell>
          <cell r="K2244">
            <v>6.0179999999999998</v>
          </cell>
          <cell r="L2244">
            <v>1.0029999999999999</v>
          </cell>
          <cell r="M2244">
            <v>2.4300000000000002E-2</v>
          </cell>
        </row>
        <row r="2245">
          <cell r="A2245">
            <v>21770001</v>
          </cell>
          <cell r="B2245">
            <v>3118220040847</v>
          </cell>
          <cell r="E2245" t="str">
            <v>M16 CHAMBORD PVD NOIR MAT EN BTE TB COLLECTION</v>
          </cell>
          <cell r="F2245">
            <v>6</v>
          </cell>
          <cell r="G2245">
            <v>6</v>
          </cell>
          <cell r="H2245">
            <v>30</v>
          </cell>
          <cell r="I2245">
            <v>27</v>
          </cell>
          <cell r="J2245">
            <v>31</v>
          </cell>
          <cell r="K2245">
            <v>7.6319999999999997</v>
          </cell>
          <cell r="L2245">
            <v>1.272</v>
          </cell>
          <cell r="M2245">
            <v>2.511E-2</v>
          </cell>
        </row>
        <row r="2246">
          <cell r="A2246">
            <v>21770002</v>
          </cell>
          <cell r="B2246">
            <v>3118220040854</v>
          </cell>
          <cell r="E2246" t="str">
            <v>M16 CHAMBORD PVD CHAMPAGNE MAT EN BTE TB COLLECTION</v>
          </cell>
          <cell r="F2246">
            <v>6</v>
          </cell>
          <cell r="G2246">
            <v>6</v>
          </cell>
          <cell r="H2246">
            <v>30</v>
          </cell>
          <cell r="I2246">
            <v>27</v>
          </cell>
          <cell r="J2246">
            <v>31</v>
          </cell>
          <cell r="K2246">
            <v>7.6239999999999997</v>
          </cell>
          <cell r="L2246">
            <v>1.2706666666666666</v>
          </cell>
          <cell r="M2246">
            <v>2.511E-2</v>
          </cell>
        </row>
        <row r="2247">
          <cell r="A2247">
            <v>21770003</v>
          </cell>
          <cell r="B2247">
            <v>3118220040861</v>
          </cell>
          <cell r="E2247" t="str">
            <v>M16 CHAMBORD PVD CUIVRE MAT EN BTE TB COLLECTION</v>
          </cell>
          <cell r="F2247">
            <v>6</v>
          </cell>
          <cell r="G2247">
            <v>6</v>
          </cell>
          <cell r="H2247">
            <v>30</v>
          </cell>
          <cell r="I2247">
            <v>27</v>
          </cell>
          <cell r="J2247">
            <v>31</v>
          </cell>
          <cell r="K2247">
            <v>7.6440000000000001</v>
          </cell>
          <cell r="L2247">
            <v>1.274</v>
          </cell>
          <cell r="M2247">
            <v>2.511E-2</v>
          </cell>
        </row>
        <row r="2248">
          <cell r="A2248">
            <v>21780001</v>
          </cell>
          <cell r="B2248">
            <v>3118220041691</v>
          </cell>
          <cell r="C2248" t="str">
            <v>13118220041698</v>
          </cell>
          <cell r="D2248" t="str">
            <v>23118220041695</v>
          </cell>
          <cell r="E2248" t="str">
            <v>M16 EMBRASSE BOITE TB COLLECTION</v>
          </cell>
          <cell r="F2248">
            <v>6</v>
          </cell>
          <cell r="G2248">
            <v>0</v>
          </cell>
          <cell r="H2248">
            <v>30</v>
          </cell>
          <cell r="I2248">
            <v>26.5</v>
          </cell>
          <cell r="J2248">
            <v>31</v>
          </cell>
          <cell r="K2248">
            <v>8.3729999999999993</v>
          </cell>
          <cell r="L2248">
            <v>1.3955</v>
          </cell>
          <cell r="M2248">
            <v>2.4644999999999997E-2</v>
          </cell>
        </row>
        <row r="2249">
          <cell r="A2249">
            <v>21780002</v>
          </cell>
          <cell r="B2249">
            <v>3118220041707</v>
          </cell>
          <cell r="C2249" t="str">
            <v>13118220041704</v>
          </cell>
          <cell r="D2249" t="str">
            <v>23118220041701</v>
          </cell>
          <cell r="E2249" t="str">
            <v>COUTEAU EMBRASSE VRAC + GENCOD</v>
          </cell>
          <cell r="F2249">
            <v>120</v>
          </cell>
          <cell r="G2249">
            <v>12</v>
          </cell>
          <cell r="H2249">
            <v>27</v>
          </cell>
          <cell r="I2249">
            <v>18</v>
          </cell>
          <cell r="J2249">
            <v>17.5</v>
          </cell>
          <cell r="K2249">
            <v>13.728</v>
          </cell>
          <cell r="L2249">
            <v>0.1144</v>
          </cell>
          <cell r="M2249">
            <v>8.5050000000000004E-3</v>
          </cell>
        </row>
        <row r="2250">
          <cell r="A2250">
            <v>21780003</v>
          </cell>
          <cell r="B2250">
            <v>3118220041714</v>
          </cell>
          <cell r="C2250" t="str">
            <v>13118220041711</v>
          </cell>
          <cell r="D2250" t="str">
            <v>23118220041718</v>
          </cell>
          <cell r="E2250" t="str">
            <v>FOURCHETTE EMBRASSE VRAC + GENCOD</v>
          </cell>
          <cell r="F2250">
            <v>240</v>
          </cell>
          <cell r="G2250">
            <v>12</v>
          </cell>
          <cell r="H2250">
            <v>24</v>
          </cell>
          <cell r="I2250">
            <v>20</v>
          </cell>
          <cell r="J2250">
            <v>17</v>
          </cell>
          <cell r="K2250">
            <v>8.6280000000000001</v>
          </cell>
          <cell r="L2250">
            <v>3.5950000000000003E-2</v>
          </cell>
          <cell r="M2250">
            <v>8.1600000000000006E-3</v>
          </cell>
        </row>
        <row r="2251">
          <cell r="A2251">
            <v>21780004</v>
          </cell>
          <cell r="B2251">
            <v>3118220041721</v>
          </cell>
          <cell r="C2251" t="str">
            <v>13118220041728</v>
          </cell>
          <cell r="D2251" t="str">
            <v>23118220041725</v>
          </cell>
          <cell r="E2251" t="str">
            <v>CUILLERE EMBRASSE VRAC + GENCOD</v>
          </cell>
          <cell r="F2251">
            <v>240</v>
          </cell>
          <cell r="G2251">
            <v>12</v>
          </cell>
          <cell r="H2251">
            <v>27</v>
          </cell>
          <cell r="I2251">
            <v>24</v>
          </cell>
          <cell r="J2251">
            <v>20</v>
          </cell>
          <cell r="K2251">
            <v>9.9939999999999998</v>
          </cell>
          <cell r="L2251">
            <v>4.1641666666666667E-2</v>
          </cell>
          <cell r="M2251">
            <v>1.2960000000000003E-2</v>
          </cell>
        </row>
        <row r="2252">
          <cell r="A2252">
            <v>21780005</v>
          </cell>
          <cell r="B2252">
            <v>3118220041738</v>
          </cell>
          <cell r="C2252" t="str">
            <v>13118220041735</v>
          </cell>
          <cell r="D2252" t="str">
            <v>23118220041732</v>
          </cell>
          <cell r="E2252" t="str">
            <v>CAFE EMBRASSE VRAC + GENCOD</v>
          </cell>
          <cell r="F2252">
            <v>240</v>
          </cell>
          <cell r="G2252">
            <v>12</v>
          </cell>
          <cell r="H2252">
            <v>34</v>
          </cell>
          <cell r="I2252">
            <v>22.5</v>
          </cell>
          <cell r="J2252">
            <v>16.5</v>
          </cell>
          <cell r="K2252">
            <v>10.875</v>
          </cell>
          <cell r="L2252">
            <v>4.5312499999999999E-2</v>
          </cell>
          <cell r="M2252">
            <v>1.2622499999999998E-2</v>
          </cell>
        </row>
        <row r="2253">
          <cell r="A2253">
            <v>21790001</v>
          </cell>
          <cell r="B2253">
            <v>3118220041745</v>
          </cell>
          <cell r="E2253" t="str">
            <v>M16 JERSEY BOITE TB COLLECTION</v>
          </cell>
          <cell r="F2253">
            <v>6</v>
          </cell>
          <cell r="G2253">
            <v>0</v>
          </cell>
          <cell r="H2253">
            <v>30</v>
          </cell>
          <cell r="I2253">
            <v>26.5</v>
          </cell>
          <cell r="J2253">
            <v>31</v>
          </cell>
          <cell r="K2253">
            <v>8.0440000000000005</v>
          </cell>
          <cell r="L2253">
            <v>1.3406666666666667</v>
          </cell>
          <cell r="M2253">
            <v>2.4644999999999997E-2</v>
          </cell>
        </row>
        <row r="2254">
          <cell r="A2254">
            <v>21790002</v>
          </cell>
          <cell r="B2254">
            <v>3118220041752</v>
          </cell>
          <cell r="E2254" t="str">
            <v>COUTEAU JERSEY VRAC + GENCOD</v>
          </cell>
          <cell r="F2254">
            <v>120</v>
          </cell>
          <cell r="G2254">
            <v>12</v>
          </cell>
          <cell r="H2254">
            <v>26.5</v>
          </cell>
          <cell r="I2254">
            <v>18</v>
          </cell>
          <cell r="J2254">
            <v>17</v>
          </cell>
          <cell r="K2254">
            <v>12.839</v>
          </cell>
          <cell r="L2254">
            <v>0.10699166666666667</v>
          </cell>
          <cell r="M2254">
            <v>8.1089999999999999E-3</v>
          </cell>
        </row>
        <row r="2255">
          <cell r="A2255">
            <v>21790003</v>
          </cell>
          <cell r="B2255">
            <v>3118220041769</v>
          </cell>
          <cell r="E2255" t="str">
            <v>FOURCHETTE JERSEY VRAC + GENCOD</v>
          </cell>
          <cell r="F2255">
            <v>120</v>
          </cell>
          <cell r="G2255">
            <v>12</v>
          </cell>
          <cell r="H2255">
            <v>23</v>
          </cell>
          <cell r="I2255">
            <v>20</v>
          </cell>
          <cell r="J2255">
            <v>17</v>
          </cell>
          <cell r="K2255">
            <v>8.8550000000000004</v>
          </cell>
          <cell r="L2255">
            <v>7.3791666666666672E-2</v>
          </cell>
          <cell r="M2255">
            <v>7.8200000000000006E-3</v>
          </cell>
        </row>
        <row r="2256">
          <cell r="A2256">
            <v>21790004</v>
          </cell>
          <cell r="B2256">
            <v>3118220041776</v>
          </cell>
          <cell r="E2256" t="str">
            <v>CUILLERE JERSEY VRAC + GENCOD</v>
          </cell>
          <cell r="F2256">
            <v>120</v>
          </cell>
          <cell r="G2256">
            <v>12</v>
          </cell>
          <cell r="H2256">
            <v>27</v>
          </cell>
          <cell r="I2256">
            <v>24</v>
          </cell>
          <cell r="J2256">
            <v>20.5</v>
          </cell>
          <cell r="K2256">
            <v>9.7170000000000005</v>
          </cell>
          <cell r="L2256">
            <v>8.0975000000000005E-2</v>
          </cell>
          <cell r="M2256">
            <v>1.3284000000000002E-2</v>
          </cell>
        </row>
        <row r="2257">
          <cell r="A2257">
            <v>21790005</v>
          </cell>
          <cell r="B2257">
            <v>3118220041783</v>
          </cell>
          <cell r="E2257" t="str">
            <v>CAFE JERSEY VRAC + GENCOD</v>
          </cell>
          <cell r="F2257">
            <v>240</v>
          </cell>
          <cell r="G2257">
            <v>12</v>
          </cell>
          <cell r="H2257">
            <v>33.5</v>
          </cell>
          <cell r="I2257">
            <v>22.5</v>
          </cell>
          <cell r="J2257">
            <v>16.5</v>
          </cell>
          <cell r="K2257">
            <v>9.0329999999999995</v>
          </cell>
          <cell r="L2257">
            <v>3.7637499999999997E-2</v>
          </cell>
          <cell r="M2257">
            <v>1.2436875000000003E-2</v>
          </cell>
        </row>
        <row r="2258">
          <cell r="A2258">
            <v>21800001</v>
          </cell>
          <cell r="B2258">
            <v>3118220041790</v>
          </cell>
          <cell r="C2258" t="str">
            <v>13118220041797</v>
          </cell>
          <cell r="D2258" t="str">
            <v>23118220041794</v>
          </cell>
          <cell r="E2258" t="str">
            <v>M16 JACQUARD BOITE TB COLLECTION</v>
          </cell>
          <cell r="F2258">
            <v>6</v>
          </cell>
          <cell r="G2258">
            <v>0</v>
          </cell>
          <cell r="H2258">
            <v>29.5</v>
          </cell>
          <cell r="I2258">
            <v>27</v>
          </cell>
          <cell r="J2258">
            <v>32</v>
          </cell>
          <cell r="K2258">
            <v>8.3949999999999996</v>
          </cell>
          <cell r="L2258">
            <v>1.3991666666666667</v>
          </cell>
          <cell r="M2258">
            <v>2.5488E-2</v>
          </cell>
        </row>
        <row r="2259">
          <cell r="A2259">
            <v>21800002</v>
          </cell>
          <cell r="B2259">
            <v>3118220041806</v>
          </cell>
          <cell r="C2259" t="str">
            <v>13118220041803</v>
          </cell>
          <cell r="D2259" t="str">
            <v>23118220041800</v>
          </cell>
          <cell r="E2259" t="str">
            <v>COUTEAU JACQUARD VRAC + GENCOD</v>
          </cell>
          <cell r="F2259">
            <v>120</v>
          </cell>
          <cell r="G2259">
            <v>6</v>
          </cell>
          <cell r="H2259">
            <v>26</v>
          </cell>
          <cell r="I2259">
            <v>18</v>
          </cell>
          <cell r="J2259">
            <v>17.5</v>
          </cell>
          <cell r="K2259">
            <v>13.673</v>
          </cell>
          <cell r="L2259">
            <v>0.11394166666666666</v>
          </cell>
          <cell r="M2259">
            <v>8.1899999999999994E-3</v>
          </cell>
        </row>
        <row r="2260">
          <cell r="A2260">
            <v>21600020</v>
          </cell>
          <cell r="B2260">
            <v>3118220046528</v>
          </cell>
          <cell r="E2260" t="str">
            <v>M16 ARABESQUE PVD NOIR MAT</v>
          </cell>
          <cell r="F2260">
            <v>6</v>
          </cell>
          <cell r="G2260">
            <v>6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</row>
        <row r="2261">
          <cell r="A2261">
            <v>21800004</v>
          </cell>
          <cell r="B2261">
            <v>3118220041851</v>
          </cell>
          <cell r="C2261" t="str">
            <v>13118220041858</v>
          </cell>
          <cell r="D2261" t="str">
            <v>23118220041855</v>
          </cell>
          <cell r="E2261" t="str">
            <v>CUILLERE JACQUARD  VRAC + GENCOD</v>
          </cell>
          <cell r="F2261">
            <v>120</v>
          </cell>
          <cell r="G2261">
            <v>12</v>
          </cell>
          <cell r="H2261">
            <v>27</v>
          </cell>
          <cell r="I2261">
            <v>24</v>
          </cell>
          <cell r="J2261">
            <v>21</v>
          </cell>
          <cell r="K2261">
            <v>9.9979999999999993</v>
          </cell>
          <cell r="L2261">
            <v>8.3316666666666664E-2</v>
          </cell>
          <cell r="M2261">
            <v>1.3608000000000002E-2</v>
          </cell>
        </row>
        <row r="2262">
          <cell r="A2262">
            <v>21800005</v>
          </cell>
          <cell r="B2262">
            <v>3118220041868</v>
          </cell>
          <cell r="C2262" t="str">
            <v>13118220041865</v>
          </cell>
          <cell r="D2262" t="str">
            <v>23118220041862</v>
          </cell>
          <cell r="E2262" t="str">
            <v>CAFE JACQUARD VRAC + GENCOD</v>
          </cell>
          <cell r="F2262">
            <v>240</v>
          </cell>
          <cell r="G2262">
            <v>12</v>
          </cell>
          <cell r="H2262">
            <v>33</v>
          </cell>
          <cell r="I2262">
            <v>22.5</v>
          </cell>
          <cell r="J2262">
            <v>16.5</v>
          </cell>
          <cell r="K2262">
            <v>10.085000000000001</v>
          </cell>
          <cell r="L2262">
            <v>4.2020833333333334E-2</v>
          </cell>
          <cell r="M2262">
            <v>1.2251250000000002E-2</v>
          </cell>
        </row>
        <row r="2263">
          <cell r="A2263">
            <v>21810001</v>
          </cell>
          <cell r="B2263">
            <v>3118220041875</v>
          </cell>
          <cell r="C2263" t="str">
            <v>13118220041872</v>
          </cell>
          <cell r="D2263" t="str">
            <v>23118220041879</v>
          </cell>
          <cell r="E2263" t="str">
            <v>M16 FACETTE BOITE TB COLLECTION</v>
          </cell>
          <cell r="F2263">
            <v>6</v>
          </cell>
          <cell r="G2263">
            <v>6</v>
          </cell>
          <cell r="H2263">
            <v>30</v>
          </cell>
          <cell r="I2263">
            <v>28</v>
          </cell>
          <cell r="J2263">
            <v>31</v>
          </cell>
          <cell r="K2263">
            <v>6</v>
          </cell>
          <cell r="L2263">
            <v>1</v>
          </cell>
          <cell r="M2263">
            <v>2.6040000000000001E-2</v>
          </cell>
        </row>
        <row r="2264">
          <cell r="A2264">
            <v>21810002</v>
          </cell>
          <cell r="B2264">
            <v>3118220041882</v>
          </cell>
          <cell r="C2264" t="str">
            <v>13118220041889</v>
          </cell>
          <cell r="D2264" t="str">
            <v>23118220041886</v>
          </cell>
          <cell r="E2264" t="str">
            <v>COUTEAU FACETTE VRAC + GENCOD</v>
          </cell>
          <cell r="F2264">
            <v>120</v>
          </cell>
          <cell r="G2264">
            <v>6</v>
          </cell>
          <cell r="H2264">
            <v>26</v>
          </cell>
          <cell r="I2264">
            <v>25</v>
          </cell>
          <cell r="J2264">
            <v>19</v>
          </cell>
          <cell r="K2264">
            <v>9.2539999999999996</v>
          </cell>
          <cell r="L2264">
            <v>7.7116666666666667E-2</v>
          </cell>
          <cell r="M2264">
            <v>1.2350000000000002E-2</v>
          </cell>
        </row>
        <row r="2265">
          <cell r="A2265">
            <v>21810003</v>
          </cell>
          <cell r="B2265">
            <v>3118220041899</v>
          </cell>
          <cell r="C2265" t="str">
            <v>13118220041896</v>
          </cell>
          <cell r="D2265" t="str">
            <v>23118220041893</v>
          </cell>
          <cell r="E2265" t="str">
            <v>FOURCHETTE FACETTE  VRAC + GENCOD</v>
          </cell>
          <cell r="F2265">
            <v>240</v>
          </cell>
          <cell r="G2265">
            <v>6</v>
          </cell>
          <cell r="H2265">
            <v>40</v>
          </cell>
          <cell r="I2265">
            <v>25</v>
          </cell>
          <cell r="J2265">
            <v>24.5</v>
          </cell>
          <cell r="K2265">
            <v>11.807</v>
          </cell>
          <cell r="L2265">
            <v>4.9195833333333334E-2</v>
          </cell>
          <cell r="M2265">
            <v>2.4500000000000001E-2</v>
          </cell>
        </row>
        <row r="2266">
          <cell r="A2266">
            <v>21810004</v>
          </cell>
          <cell r="B2266">
            <v>3118220041905</v>
          </cell>
          <cell r="C2266" t="str">
            <v>13118220041902</v>
          </cell>
          <cell r="D2266" t="str">
            <v>23118220041909</v>
          </cell>
          <cell r="E2266" t="str">
            <v>CUILLERE FACETTE  VRAC + GENCOD</v>
          </cell>
          <cell r="F2266">
            <v>240</v>
          </cell>
          <cell r="G2266">
            <v>6</v>
          </cell>
          <cell r="H2266">
            <v>40</v>
          </cell>
          <cell r="I2266">
            <v>25</v>
          </cell>
          <cell r="J2266">
            <v>25</v>
          </cell>
          <cell r="K2266">
            <v>13.884</v>
          </cell>
          <cell r="L2266">
            <v>5.7849999999999999E-2</v>
          </cell>
          <cell r="M2266">
            <v>2.5000000000000001E-2</v>
          </cell>
        </row>
        <row r="2267">
          <cell r="A2267">
            <v>21810005</v>
          </cell>
          <cell r="B2267">
            <v>3118220041912</v>
          </cell>
          <cell r="C2267" t="str">
            <v>13118220041919</v>
          </cell>
          <cell r="D2267" t="str">
            <v>23118220041916</v>
          </cell>
          <cell r="E2267" t="str">
            <v>CAFE FACETTE VRAC + GENCOD</v>
          </cell>
          <cell r="F2267">
            <v>240</v>
          </cell>
          <cell r="G2267">
            <v>6</v>
          </cell>
          <cell r="H2267">
            <v>40</v>
          </cell>
          <cell r="I2267">
            <v>20</v>
          </cell>
          <cell r="J2267">
            <v>25.5</v>
          </cell>
          <cell r="K2267">
            <v>7.6550000000000002</v>
          </cell>
          <cell r="L2267">
            <v>3.1895833333333332E-2</v>
          </cell>
          <cell r="M2267">
            <v>2.0400000000000001E-2</v>
          </cell>
        </row>
        <row r="2268">
          <cell r="A2268">
            <v>21820001</v>
          </cell>
          <cell r="B2268">
            <v>3118220041929</v>
          </cell>
          <cell r="E2268" t="str">
            <v>M16 PLUME BOITE TB COLLECTION</v>
          </cell>
          <cell r="F2268">
            <v>6</v>
          </cell>
          <cell r="G2268">
            <v>0</v>
          </cell>
          <cell r="H2268">
            <v>30</v>
          </cell>
          <cell r="I2268">
            <v>26</v>
          </cell>
          <cell r="J2268">
            <v>30</v>
          </cell>
          <cell r="K2268">
            <v>7.1449999999999996</v>
          </cell>
          <cell r="L2268">
            <v>1.1908333333333332</v>
          </cell>
          <cell r="M2268">
            <v>2.3399999999999997E-2</v>
          </cell>
        </row>
        <row r="2269">
          <cell r="A2269">
            <v>21820002</v>
          </cell>
          <cell r="B2269">
            <v>3118220041936</v>
          </cell>
          <cell r="E2269" t="str">
            <v>COUTEAU PLUME VRAC + GENCOD</v>
          </cell>
          <cell r="F2269">
            <v>120</v>
          </cell>
          <cell r="G2269">
            <v>12</v>
          </cell>
          <cell r="H2269">
            <v>27</v>
          </cell>
          <cell r="I2269">
            <v>27</v>
          </cell>
          <cell r="J2269">
            <v>19</v>
          </cell>
          <cell r="K2269">
            <v>12.375999999999999</v>
          </cell>
          <cell r="L2269">
            <v>0.10313333333333333</v>
          </cell>
          <cell r="M2269">
            <v>1.3851000000000002E-2</v>
          </cell>
        </row>
        <row r="2270">
          <cell r="A2270">
            <v>21820003</v>
          </cell>
          <cell r="B2270">
            <v>3118220041943</v>
          </cell>
          <cell r="E2270" t="str">
            <v>FOURCHETTE PLUME VRAC + GENCOD</v>
          </cell>
          <cell r="F2270">
            <v>180</v>
          </cell>
          <cell r="G2270">
            <v>12</v>
          </cell>
          <cell r="H2270">
            <v>32</v>
          </cell>
          <cell r="I2270">
            <v>26</v>
          </cell>
          <cell r="J2270">
            <v>24.5</v>
          </cell>
          <cell r="K2270">
            <v>12.250999999999999</v>
          </cell>
          <cell r="L2270">
            <v>6.8061111111111114E-2</v>
          </cell>
          <cell r="M2270">
            <v>2.0383999999999999E-2</v>
          </cell>
        </row>
        <row r="2271">
          <cell r="A2271">
            <v>21820004</v>
          </cell>
          <cell r="B2271">
            <v>3118220041950</v>
          </cell>
          <cell r="E2271" t="str">
            <v>CUILLERE PLUME VRAC + GENCOD</v>
          </cell>
          <cell r="F2271">
            <v>180</v>
          </cell>
          <cell r="G2271">
            <v>12</v>
          </cell>
          <cell r="H2271">
            <v>32</v>
          </cell>
          <cell r="I2271">
            <v>26</v>
          </cell>
          <cell r="J2271">
            <v>24.5</v>
          </cell>
          <cell r="K2271">
            <v>13.942</v>
          </cell>
          <cell r="L2271">
            <v>7.7455555555555555E-2</v>
          </cell>
          <cell r="M2271">
            <v>2.0383999999999999E-2</v>
          </cell>
        </row>
        <row r="2272">
          <cell r="A2272">
            <v>21820005</v>
          </cell>
          <cell r="B2272">
            <v>3118220041967</v>
          </cell>
          <cell r="E2272" t="str">
            <v>CAFE PLUME VRAC + GENCOD</v>
          </cell>
          <cell r="F2272">
            <v>180</v>
          </cell>
          <cell r="G2272">
            <v>12</v>
          </cell>
          <cell r="H2272">
            <v>22</v>
          </cell>
          <cell r="I2272">
            <v>16</v>
          </cell>
          <cell r="J2272">
            <v>18</v>
          </cell>
          <cell r="K2272">
            <v>4.1920000000000002</v>
          </cell>
          <cell r="L2272">
            <v>2.328888888888889E-2</v>
          </cell>
          <cell r="M2272">
            <v>6.3360000000000005E-3</v>
          </cell>
        </row>
        <row r="2273">
          <cell r="A2273">
            <v>21840001</v>
          </cell>
          <cell r="B2273">
            <v>3118220041998</v>
          </cell>
          <cell r="C2273" t="str">
            <v>13118220041995</v>
          </cell>
          <cell r="D2273" t="str">
            <v>23118220041992</v>
          </cell>
          <cell r="E2273" t="str">
            <v>M16 PEPITE OR FORGE EN  BOITE TB COLLECTION</v>
          </cell>
          <cell r="F2273">
            <v>6</v>
          </cell>
          <cell r="G2273">
            <v>0</v>
          </cell>
          <cell r="H2273">
            <v>30</v>
          </cell>
          <cell r="I2273">
            <v>27</v>
          </cell>
          <cell r="J2273">
            <v>32</v>
          </cell>
          <cell r="K2273">
            <v>6.931</v>
          </cell>
          <cell r="L2273">
            <v>1.1551666666666667</v>
          </cell>
          <cell r="M2273">
            <v>2.5920000000000002E-2</v>
          </cell>
        </row>
        <row r="2274">
          <cell r="A2274">
            <v>21840002</v>
          </cell>
          <cell r="B2274">
            <v>3118220042001</v>
          </cell>
          <cell r="C2274" t="str">
            <v>13118220042008</v>
          </cell>
          <cell r="D2274" t="str">
            <v>23118220042005</v>
          </cell>
          <cell r="E2274" t="str">
            <v>COUTEAU PEPITE OR FORGE VRAC + GENCOD</v>
          </cell>
          <cell r="F2274">
            <v>120</v>
          </cell>
          <cell r="G2274">
            <v>12</v>
          </cell>
          <cell r="H2274">
            <v>26.5</v>
          </cell>
          <cell r="I2274">
            <v>18</v>
          </cell>
          <cell r="J2274">
            <v>17.5</v>
          </cell>
          <cell r="K2274">
            <v>12.250999999999999</v>
          </cell>
          <cell r="L2274">
            <v>0.10209166666666666</v>
          </cell>
          <cell r="M2274">
            <v>8.3475000000000008E-3</v>
          </cell>
        </row>
        <row r="2275">
          <cell r="A2275">
            <v>21840003</v>
          </cell>
          <cell r="B2275">
            <v>3118220042018</v>
          </cell>
          <cell r="C2275" t="str">
            <v>13118220042015</v>
          </cell>
          <cell r="D2275" t="str">
            <v>23118220042012</v>
          </cell>
          <cell r="E2275" t="str">
            <v>FOURCHETTE PEPITE OR FORGE  VRAC + GENCOD</v>
          </cell>
          <cell r="F2275">
            <v>120</v>
          </cell>
          <cell r="G2275">
            <v>12</v>
          </cell>
          <cell r="H2275">
            <v>23</v>
          </cell>
          <cell r="I2275">
            <v>20</v>
          </cell>
          <cell r="J2275">
            <v>16.5</v>
          </cell>
          <cell r="K2275">
            <v>6.4059999999999997</v>
          </cell>
          <cell r="L2275">
            <v>5.3383333333333331E-2</v>
          </cell>
          <cell r="M2275">
            <v>7.5900000000000013E-3</v>
          </cell>
        </row>
        <row r="2276">
          <cell r="A2276">
            <v>21840004</v>
          </cell>
          <cell r="B2276">
            <v>3118220042025</v>
          </cell>
          <cell r="C2276" t="str">
            <v>13118220042022</v>
          </cell>
          <cell r="D2276" t="str">
            <v>23118220042029</v>
          </cell>
          <cell r="E2276" t="str">
            <v>CUILLERE PEPITE OR FORGE  VRAC + GENCOD</v>
          </cell>
          <cell r="F2276">
            <v>120</v>
          </cell>
          <cell r="G2276">
            <v>12</v>
          </cell>
          <cell r="H2276">
            <v>27</v>
          </cell>
          <cell r="I2276">
            <v>24</v>
          </cell>
          <cell r="J2276">
            <v>21</v>
          </cell>
          <cell r="K2276">
            <v>7.9560000000000004</v>
          </cell>
          <cell r="L2276">
            <v>6.6299999999999998E-2</v>
          </cell>
          <cell r="M2276">
            <v>1.3608000000000002E-2</v>
          </cell>
        </row>
        <row r="2277">
          <cell r="A2277">
            <v>21840005</v>
          </cell>
          <cell r="B2277">
            <v>3118220042032</v>
          </cell>
          <cell r="C2277" t="str">
            <v>13118220042039</v>
          </cell>
          <cell r="D2277" t="str">
            <v>23118220042036</v>
          </cell>
          <cell r="E2277" t="str">
            <v>CAFE PEPITE OR FORGE  VRAC + GENCOD</v>
          </cell>
          <cell r="F2277">
            <v>120</v>
          </cell>
          <cell r="G2277">
            <v>12</v>
          </cell>
          <cell r="H2277">
            <v>22</v>
          </cell>
          <cell r="I2277">
            <v>18</v>
          </cell>
          <cell r="J2277">
            <v>17</v>
          </cell>
          <cell r="K2277">
            <v>3.96</v>
          </cell>
          <cell r="L2277">
            <v>3.3000000000000002E-2</v>
          </cell>
          <cell r="M2277">
            <v>6.7319999999999993E-3</v>
          </cell>
        </row>
        <row r="2278">
          <cell r="A2278">
            <v>21840006</v>
          </cell>
          <cell r="B2278">
            <v>3118220042049</v>
          </cell>
          <cell r="C2278" t="str">
            <v>13118220042046</v>
          </cell>
          <cell r="D2278" t="str">
            <v>23118220042043</v>
          </cell>
          <cell r="E2278" t="str">
            <v>M16 PEPITE ARGENT FORGE EN  BOITE TB COLLECTION</v>
          </cell>
          <cell r="F2278">
            <v>6</v>
          </cell>
          <cell r="G2278">
            <v>0</v>
          </cell>
          <cell r="H2278">
            <v>29.5</v>
          </cell>
          <cell r="I2278">
            <v>27</v>
          </cell>
          <cell r="J2278">
            <v>32</v>
          </cell>
          <cell r="K2278">
            <v>6.9429999999999996</v>
          </cell>
          <cell r="L2278">
            <v>1.1571666666666667</v>
          </cell>
          <cell r="M2278">
            <v>2.5488E-2</v>
          </cell>
        </row>
        <row r="2279">
          <cell r="A2279">
            <v>21840007</v>
          </cell>
          <cell r="B2279">
            <v>3118220042056</v>
          </cell>
          <cell r="C2279" t="str">
            <v>13118220042053</v>
          </cell>
          <cell r="D2279" t="str">
            <v>23118220042050</v>
          </cell>
          <cell r="E2279" t="str">
            <v>COUTEAU PEPITE ARGENT FORGE VRAC + GENCOD</v>
          </cell>
          <cell r="F2279">
            <v>120</v>
          </cell>
          <cell r="G2279">
            <v>12</v>
          </cell>
          <cell r="H2279">
            <v>26</v>
          </cell>
          <cell r="I2279">
            <v>18</v>
          </cell>
          <cell r="J2279">
            <v>17.5</v>
          </cell>
          <cell r="K2279">
            <v>12.19</v>
          </cell>
          <cell r="L2279">
            <v>0.10158333333333333</v>
          </cell>
          <cell r="M2279">
            <v>8.1899999999999994E-3</v>
          </cell>
        </row>
        <row r="2280">
          <cell r="A2280">
            <v>21840008</v>
          </cell>
          <cell r="B2280">
            <v>3118220042063</v>
          </cell>
          <cell r="C2280" t="str">
            <v>13118220042060</v>
          </cell>
          <cell r="D2280" t="str">
            <v>23118220042067</v>
          </cell>
          <cell r="E2280" t="str">
            <v>FOURCHETTE PEPITE ARGENT FORGE  VRAC + GENCOD</v>
          </cell>
          <cell r="F2280">
            <v>120</v>
          </cell>
          <cell r="G2280">
            <v>12</v>
          </cell>
          <cell r="H2280">
            <v>23</v>
          </cell>
          <cell r="I2280">
            <v>20</v>
          </cell>
          <cell r="J2280">
            <v>17</v>
          </cell>
          <cell r="K2280">
            <v>6.3849999999999998</v>
          </cell>
          <cell r="L2280">
            <v>5.320833333333333E-2</v>
          </cell>
          <cell r="M2280">
            <v>7.8200000000000006E-3</v>
          </cell>
        </row>
        <row r="2281">
          <cell r="A2281">
            <v>21840009</v>
          </cell>
          <cell r="B2281">
            <v>3118220042070</v>
          </cell>
          <cell r="C2281" t="str">
            <v>13118220042077</v>
          </cell>
          <cell r="D2281" t="str">
            <v>23118220042074</v>
          </cell>
          <cell r="E2281" t="str">
            <v>CUILLERE PEPITE ARGENT FORGE  VRAC + GENCOD</v>
          </cell>
          <cell r="F2281">
            <v>120</v>
          </cell>
          <cell r="G2281">
            <v>12</v>
          </cell>
          <cell r="H2281">
            <v>27</v>
          </cell>
          <cell r="I2281">
            <v>24</v>
          </cell>
          <cell r="J2281">
            <v>20.5</v>
          </cell>
          <cell r="K2281">
            <v>7.944</v>
          </cell>
          <cell r="L2281">
            <v>6.6199999999999995E-2</v>
          </cell>
          <cell r="M2281">
            <v>1.3284000000000002E-2</v>
          </cell>
        </row>
        <row r="2282">
          <cell r="A2282">
            <v>21840010</v>
          </cell>
          <cell r="B2282">
            <v>3118220042087</v>
          </cell>
          <cell r="C2282" t="str">
            <v>13118220042084</v>
          </cell>
          <cell r="D2282" t="str">
            <v>23118220042081</v>
          </cell>
          <cell r="E2282" t="str">
            <v>CAFE PEPITE ARGENT FORGE  VRAC + GENCOD</v>
          </cell>
          <cell r="F2282">
            <v>120</v>
          </cell>
          <cell r="G2282">
            <v>12</v>
          </cell>
          <cell r="H2282">
            <v>22</v>
          </cell>
          <cell r="I2282">
            <v>18.5</v>
          </cell>
          <cell r="J2282">
            <v>16.5</v>
          </cell>
          <cell r="K2282">
            <v>3.9420000000000002</v>
          </cell>
          <cell r="L2282">
            <v>3.2850000000000004E-2</v>
          </cell>
          <cell r="M2282">
            <v>6.7155000000000001E-3</v>
          </cell>
        </row>
        <row r="2283">
          <cell r="A2283">
            <v>21850001</v>
          </cell>
          <cell r="B2283">
            <v>3118220042315</v>
          </cell>
          <cell r="C2283" t="str">
            <v>13118220042312</v>
          </cell>
          <cell r="D2283" t="str">
            <v>23118220042319</v>
          </cell>
          <cell r="E2283" t="str">
            <v>COUTEAU REGAL EN BOITE PEGBOARDABLE</v>
          </cell>
          <cell r="F2283">
            <v>72</v>
          </cell>
          <cell r="G2283">
            <v>12</v>
          </cell>
          <cell r="H2283">
            <v>29</v>
          </cell>
          <cell r="I2283">
            <v>19</v>
          </cell>
          <cell r="J2283">
            <v>14.5</v>
          </cell>
          <cell r="K2283">
            <v>5.7329999999999997</v>
          </cell>
          <cell r="L2283">
            <v>7.9625000000000001E-2</v>
          </cell>
          <cell r="M2283">
            <v>7.9895000000000001E-3</v>
          </cell>
        </row>
        <row r="2284">
          <cell r="A2284">
            <v>21850002</v>
          </cell>
          <cell r="B2284">
            <v>3118220042322</v>
          </cell>
          <cell r="C2284" t="str">
            <v>13118220042329</v>
          </cell>
          <cell r="D2284" t="str">
            <v>23118220042326</v>
          </cell>
          <cell r="E2284" t="str">
            <v>FOURCHETTE REGAL EN BOITE PEGBOARDABLE</v>
          </cell>
          <cell r="F2284">
            <v>72</v>
          </cell>
          <cell r="G2284">
            <v>12</v>
          </cell>
          <cell r="H2284">
            <v>27</v>
          </cell>
          <cell r="I2284">
            <v>22.5</v>
          </cell>
          <cell r="J2284">
            <v>13</v>
          </cell>
          <cell r="K2284">
            <v>4.3620000000000001</v>
          </cell>
          <cell r="L2284">
            <v>6.0583333333333336E-2</v>
          </cell>
          <cell r="M2284">
            <v>7.8975E-3</v>
          </cell>
        </row>
        <row r="2285">
          <cell r="A2285">
            <v>21850003</v>
          </cell>
          <cell r="B2285">
            <v>3118220042339</v>
          </cell>
          <cell r="C2285" t="str">
            <v>13118220042336</v>
          </cell>
          <cell r="D2285" t="str">
            <v>23118220042333</v>
          </cell>
          <cell r="E2285" t="str">
            <v>CUILLERE REGAL EN BOITE PEGBOARDABLE</v>
          </cell>
          <cell r="F2285">
            <v>72</v>
          </cell>
          <cell r="G2285">
            <v>12</v>
          </cell>
          <cell r="H2285">
            <v>28</v>
          </cell>
          <cell r="I2285">
            <v>23.5</v>
          </cell>
          <cell r="J2285">
            <v>17</v>
          </cell>
          <cell r="K2285">
            <v>4.9269999999999996</v>
          </cell>
          <cell r="L2285">
            <v>6.843055555555555E-2</v>
          </cell>
          <cell r="M2285">
            <v>1.1186000000000003E-2</v>
          </cell>
        </row>
        <row r="2286">
          <cell r="A2286">
            <v>21850004</v>
          </cell>
          <cell r="B2286">
            <v>3118220042346</v>
          </cell>
          <cell r="C2286" t="str">
            <v>13118220042343</v>
          </cell>
          <cell r="D2286" t="str">
            <v>23118220042340</v>
          </cell>
          <cell r="E2286" t="str">
            <v>CAFE REGAL EN BOITE PEGBOARDABLE</v>
          </cell>
          <cell r="F2286">
            <v>72</v>
          </cell>
          <cell r="G2286">
            <v>12</v>
          </cell>
          <cell r="H2286">
            <v>22</v>
          </cell>
          <cell r="I2286">
            <v>19</v>
          </cell>
          <cell r="J2286">
            <v>14</v>
          </cell>
          <cell r="K2286">
            <v>2.4420000000000002</v>
          </cell>
          <cell r="L2286">
            <v>3.3916666666666671E-2</v>
          </cell>
          <cell r="M2286">
            <v>5.8519999999999996E-3</v>
          </cell>
        </row>
        <row r="2287">
          <cell r="A2287">
            <v>21860001</v>
          </cell>
          <cell r="B2287">
            <v>3118220042353</v>
          </cell>
          <cell r="C2287" t="str">
            <v>13118220042350</v>
          </cell>
          <cell r="D2287" t="str">
            <v>23118220042357</v>
          </cell>
          <cell r="E2287" t="str">
            <v>COUTEAU GALA EN BOITE PEGBOARDABLE</v>
          </cell>
          <cell r="F2287">
            <v>72</v>
          </cell>
          <cell r="G2287">
            <v>12</v>
          </cell>
          <cell r="H2287">
            <v>29</v>
          </cell>
          <cell r="I2287">
            <v>19</v>
          </cell>
          <cell r="J2287">
            <v>14.5</v>
          </cell>
          <cell r="K2287">
            <v>8.2439999999999998</v>
          </cell>
          <cell r="L2287">
            <v>0.11449999999999999</v>
          </cell>
          <cell r="M2287">
            <v>7.9895000000000001E-3</v>
          </cell>
        </row>
        <row r="2288">
          <cell r="A2288">
            <v>21860002</v>
          </cell>
          <cell r="B2288">
            <v>3118220042360</v>
          </cell>
          <cell r="C2288" t="str">
            <v>13118220042367</v>
          </cell>
          <cell r="D2288" t="str">
            <v>23118220042364</v>
          </cell>
          <cell r="E2288" t="str">
            <v>FOURCHETTE GALA EN BOITE PEGBOARDABLE</v>
          </cell>
          <cell r="F2288">
            <v>72</v>
          </cell>
          <cell r="G2288">
            <v>12</v>
          </cell>
          <cell r="H2288">
            <v>27</v>
          </cell>
          <cell r="I2288">
            <v>25</v>
          </cell>
          <cell r="J2288">
            <v>13</v>
          </cell>
          <cell r="K2288">
            <v>3.931</v>
          </cell>
          <cell r="L2288">
            <v>5.4597222222222221E-2</v>
          </cell>
          <cell r="M2288">
            <v>8.7749999999999998E-3</v>
          </cell>
        </row>
        <row r="2289">
          <cell r="A2289">
            <v>21860003</v>
          </cell>
          <cell r="B2289">
            <v>3118220042377</v>
          </cell>
          <cell r="C2289" t="str">
            <v>13118220042374</v>
          </cell>
          <cell r="D2289" t="str">
            <v>23118220042371</v>
          </cell>
          <cell r="E2289" t="str">
            <v>CUILLERE GALA EN BOITE PEGBOARDABLE</v>
          </cell>
          <cell r="F2289">
            <v>72</v>
          </cell>
          <cell r="G2289">
            <v>12</v>
          </cell>
          <cell r="H2289">
            <v>28</v>
          </cell>
          <cell r="I2289">
            <v>24</v>
          </cell>
          <cell r="J2289">
            <v>17</v>
          </cell>
          <cell r="K2289">
            <v>4.9619999999999997</v>
          </cell>
          <cell r="L2289">
            <v>6.8916666666666668E-2</v>
          </cell>
          <cell r="M2289">
            <v>1.1424E-2</v>
          </cell>
        </row>
        <row r="2290">
          <cell r="A2290">
            <v>21860004</v>
          </cell>
          <cell r="B2290">
            <v>3118220042384</v>
          </cell>
          <cell r="C2290" t="str">
            <v>13118220042381</v>
          </cell>
          <cell r="D2290" t="str">
            <v>23118220042388</v>
          </cell>
          <cell r="E2290" t="str">
            <v>CAFE GALA EN BOITE PEGBOARDABLE</v>
          </cell>
          <cell r="F2290">
            <v>72</v>
          </cell>
          <cell r="G2290">
            <v>12</v>
          </cell>
          <cell r="H2290">
            <v>21.5</v>
          </cell>
          <cell r="I2290">
            <v>19</v>
          </cell>
          <cell r="J2290">
            <v>15</v>
          </cell>
          <cell r="K2290">
            <v>2.472</v>
          </cell>
          <cell r="L2290">
            <v>3.4333333333333334E-2</v>
          </cell>
          <cell r="M2290">
            <v>6.1274999999999993E-3</v>
          </cell>
        </row>
        <row r="2291">
          <cell r="A2291">
            <v>21870001</v>
          </cell>
          <cell r="B2291">
            <v>3118220042506</v>
          </cell>
          <cell r="C2291" t="str">
            <v>13118220042503</v>
          </cell>
          <cell r="D2291" t="str">
            <v>23118220042500</v>
          </cell>
          <cell r="E2291" t="str">
            <v>COUTEAU BUFFET EN BOITE BLANCHE</v>
          </cell>
          <cell r="F2291">
            <v>72</v>
          </cell>
          <cell r="G2291">
            <v>12</v>
          </cell>
          <cell r="H2291">
            <v>21</v>
          </cell>
          <cell r="I2291">
            <v>7</v>
          </cell>
          <cell r="J2291">
            <v>7</v>
          </cell>
          <cell r="K2291">
            <v>2.4089999999999998</v>
          </cell>
          <cell r="L2291">
            <v>3.3458333333333333E-2</v>
          </cell>
          <cell r="M2291">
            <v>1.029E-3</v>
          </cell>
        </row>
        <row r="2292">
          <cell r="A2292">
            <v>21870002</v>
          </cell>
          <cell r="B2292">
            <v>3118220042513</v>
          </cell>
          <cell r="C2292" t="str">
            <v>13118220042510</v>
          </cell>
          <cell r="D2292" t="str">
            <v>23118220042517</v>
          </cell>
          <cell r="E2292" t="str">
            <v>FOURCHETTE BUFFET EN BOITE BLANCHE</v>
          </cell>
          <cell r="F2292">
            <v>72</v>
          </cell>
          <cell r="G2292">
            <v>12</v>
          </cell>
          <cell r="H2292">
            <v>20</v>
          </cell>
          <cell r="I2292">
            <v>10</v>
          </cell>
          <cell r="J2292">
            <v>8</v>
          </cell>
          <cell r="K2292">
            <v>1.5589999999999999</v>
          </cell>
          <cell r="L2292">
            <v>2.1652777777777778E-2</v>
          </cell>
          <cell r="M2292">
            <v>1.6000000000000001E-3</v>
          </cell>
        </row>
        <row r="2293">
          <cell r="A2293">
            <v>21870003</v>
          </cell>
          <cell r="B2293">
            <v>3118220042520</v>
          </cell>
          <cell r="C2293" t="str">
            <v>13118220042527</v>
          </cell>
          <cell r="D2293" t="str">
            <v>23118220042524</v>
          </cell>
          <cell r="E2293" t="str">
            <v>CUILLERE BUFFET EN BOITE BLANCHE</v>
          </cell>
          <cell r="F2293">
            <v>72</v>
          </cell>
          <cell r="G2293">
            <v>12</v>
          </cell>
          <cell r="H2293">
            <v>20</v>
          </cell>
          <cell r="I2293">
            <v>15</v>
          </cell>
          <cell r="J2293">
            <v>11</v>
          </cell>
          <cell r="K2293">
            <v>2.246</v>
          </cell>
          <cell r="L2293">
            <v>3.1194444444444445E-2</v>
          </cell>
          <cell r="M2293">
            <v>3.2999999999999995E-3</v>
          </cell>
        </row>
        <row r="2294">
          <cell r="A2294">
            <v>21870004</v>
          </cell>
          <cell r="B2294">
            <v>3118220042537</v>
          </cell>
          <cell r="C2294" t="str">
            <v>13118220042534</v>
          </cell>
          <cell r="D2294" t="str">
            <v>23118220042531</v>
          </cell>
          <cell r="E2294" t="str">
            <v>CAFE BUFFET EN BOITE BLANCHE</v>
          </cell>
          <cell r="F2294">
            <v>300</v>
          </cell>
          <cell r="G2294">
            <v>50</v>
          </cell>
          <cell r="H2294">
            <v>18</v>
          </cell>
          <cell r="I2294">
            <v>16</v>
          </cell>
          <cell r="J2294">
            <v>11</v>
          </cell>
          <cell r="K2294">
            <v>5.5010000000000003</v>
          </cell>
          <cell r="L2294">
            <v>1.8336666666666668E-2</v>
          </cell>
          <cell r="M2294">
            <v>3.1679999999999998E-3</v>
          </cell>
        </row>
        <row r="2295">
          <cell r="A2295">
            <v>21870005</v>
          </cell>
          <cell r="B2295">
            <v>3118220042544</v>
          </cell>
          <cell r="C2295" t="str">
            <v>13118220042541</v>
          </cell>
          <cell r="D2295" t="str">
            <v>23118220042548</v>
          </cell>
          <cell r="E2295" t="str">
            <v>MOKA BUFFET EN BOITE BLANCHE</v>
          </cell>
          <cell r="F2295">
            <v>300</v>
          </cell>
          <cell r="G2295">
            <v>50</v>
          </cell>
          <cell r="H2295">
            <v>18</v>
          </cell>
          <cell r="I2295">
            <v>13</v>
          </cell>
          <cell r="J2295">
            <v>12</v>
          </cell>
          <cell r="K2295">
            <v>4.9550000000000001</v>
          </cell>
          <cell r="L2295">
            <v>1.6516666666666666E-2</v>
          </cell>
          <cell r="M2295">
            <v>2.8079999999999993E-3</v>
          </cell>
        </row>
        <row r="2296">
          <cell r="A2296">
            <v>21870006</v>
          </cell>
          <cell r="B2296">
            <v>3118220042551</v>
          </cell>
          <cell r="C2296" t="str">
            <v>13118220042558</v>
          </cell>
          <cell r="D2296" t="str">
            <v>23118220042555</v>
          </cell>
          <cell r="E2296" t="str">
            <v>MAZAGRAN BUFFET EN BOITE BLANCHE</v>
          </cell>
          <cell r="F2296">
            <v>250</v>
          </cell>
          <cell r="G2296">
            <v>25</v>
          </cell>
          <cell r="H2296">
            <v>30</v>
          </cell>
          <cell r="I2296">
            <v>24</v>
          </cell>
          <cell r="J2296">
            <v>12</v>
          </cell>
          <cell r="K2296">
            <v>6.48</v>
          </cell>
          <cell r="L2296">
            <v>2.5920000000000002E-2</v>
          </cell>
          <cell r="M2296">
            <v>8.6399999999999984E-3</v>
          </cell>
        </row>
        <row r="2297">
          <cell r="A2297">
            <v>21900001</v>
          </cell>
          <cell r="B2297">
            <v>3118220044142</v>
          </cell>
          <cell r="C2297" t="str">
            <v>13118220044149</v>
          </cell>
          <cell r="D2297" t="str">
            <v>23118220044146</v>
          </cell>
          <cell r="E2297" t="str">
            <v>M16 EXQUIS SATIN  EN BOITE TB PREMIUM</v>
          </cell>
          <cell r="F2297">
            <v>6</v>
          </cell>
          <cell r="G2297">
            <v>6</v>
          </cell>
          <cell r="H2297">
            <v>31</v>
          </cell>
          <cell r="I2297">
            <v>26.5</v>
          </cell>
          <cell r="J2297">
            <v>30</v>
          </cell>
          <cell r="K2297">
            <v>5.92</v>
          </cell>
          <cell r="L2297">
            <v>0.98666666666666669</v>
          </cell>
          <cell r="M2297">
            <v>2.4645E-2</v>
          </cell>
        </row>
        <row r="2298">
          <cell r="A2298">
            <v>21900002</v>
          </cell>
          <cell r="B2298">
            <v>3118220044159</v>
          </cell>
          <cell r="C2298" t="str">
            <v>13118220044156</v>
          </cell>
          <cell r="D2298" t="str">
            <v>23118220044153</v>
          </cell>
          <cell r="E2298" t="str">
            <v>COUTEAU  EXQUIS SATIN  VRAC + GENCOD</v>
          </cell>
          <cell r="F2298">
            <v>120</v>
          </cell>
          <cell r="G2298">
            <v>6</v>
          </cell>
          <cell r="H2298">
            <v>26</v>
          </cell>
          <cell r="I2298">
            <v>22</v>
          </cell>
          <cell r="J2298">
            <v>26.5</v>
          </cell>
          <cell r="K2298">
            <v>6.8129999999999997</v>
          </cell>
          <cell r="L2298">
            <v>5.6774999999999999E-2</v>
          </cell>
          <cell r="M2298">
            <v>1.5158000000000003E-2</v>
          </cell>
        </row>
        <row r="2299">
          <cell r="A2299">
            <v>21900003</v>
          </cell>
          <cell r="B2299">
            <v>3118220044166</v>
          </cell>
          <cell r="C2299" t="str">
            <v>13118220044163</v>
          </cell>
          <cell r="D2299" t="str">
            <v>23118220044160</v>
          </cell>
          <cell r="E2299" t="str">
            <v>FOURCHETTE  EXQUIS SATIN  VRAC + GENCOD</v>
          </cell>
          <cell r="F2299">
            <v>240</v>
          </cell>
          <cell r="G2299">
            <v>6</v>
          </cell>
          <cell r="H2299">
            <v>42</v>
          </cell>
          <cell r="I2299">
            <v>25</v>
          </cell>
          <cell r="J2299">
            <v>26.5</v>
          </cell>
          <cell r="K2299">
            <v>14.935</v>
          </cell>
          <cell r="L2299">
            <v>6.2229166666666669E-2</v>
          </cell>
          <cell r="M2299">
            <v>2.7824999999999999E-2</v>
          </cell>
        </row>
        <row r="2300">
          <cell r="A2300">
            <v>21900004</v>
          </cell>
          <cell r="B2300">
            <v>3118220044173</v>
          </cell>
          <cell r="C2300" t="str">
            <v>13118220044170</v>
          </cell>
          <cell r="D2300" t="str">
            <v>23118220044177</v>
          </cell>
          <cell r="E2300" t="str">
            <v>CUILLERE  EXQUIS SATIN  VRAC + GENCOD</v>
          </cell>
          <cell r="F2300">
            <v>240</v>
          </cell>
          <cell r="G2300">
            <v>6</v>
          </cell>
          <cell r="H2300">
            <v>42</v>
          </cell>
          <cell r="I2300">
            <v>25</v>
          </cell>
          <cell r="J2300">
            <v>26.5</v>
          </cell>
          <cell r="K2300">
            <v>17.04</v>
          </cell>
          <cell r="L2300">
            <v>7.0999999999999994E-2</v>
          </cell>
          <cell r="M2300">
            <v>2.7824999999999999E-2</v>
          </cell>
        </row>
        <row r="2301">
          <cell r="A2301">
            <v>21900005</v>
          </cell>
          <cell r="B2301">
            <v>3118220044180</v>
          </cell>
          <cell r="C2301" t="str">
            <v>13118220044187</v>
          </cell>
          <cell r="D2301" t="str">
            <v>23118220044184</v>
          </cell>
          <cell r="E2301" t="str">
            <v>CAFE  EXQUIS SATIN  VRAC + GENCOD</v>
          </cell>
          <cell r="F2301">
            <v>240</v>
          </cell>
          <cell r="G2301">
            <v>12</v>
          </cell>
          <cell r="H2301">
            <v>35</v>
          </cell>
          <cell r="I2301">
            <v>18.5</v>
          </cell>
          <cell r="J2301">
            <v>27</v>
          </cell>
          <cell r="K2301">
            <v>7.6950000000000003</v>
          </cell>
          <cell r="L2301">
            <v>3.2062500000000001E-2</v>
          </cell>
          <cell r="M2301">
            <v>1.7482500000000002E-2</v>
          </cell>
        </row>
        <row r="2302">
          <cell r="A2302">
            <v>21960001</v>
          </cell>
          <cell r="B2302">
            <v>3616957761696</v>
          </cell>
          <cell r="C2302" t="str">
            <v>-</v>
          </cell>
          <cell r="D2302" t="str">
            <v>03616954320407</v>
          </cell>
          <cell r="E2302" t="str">
            <v>M24 GALAXY EN BOITE CARREFOUR HOME</v>
          </cell>
          <cell r="F2302">
            <v>3</v>
          </cell>
          <cell r="G2302">
            <v>3</v>
          </cell>
          <cell r="H2302">
            <v>23</v>
          </cell>
          <cell r="I2302">
            <v>15</v>
          </cell>
          <cell r="J2302">
            <v>29</v>
          </cell>
          <cell r="K2302">
            <v>0</v>
          </cell>
          <cell r="L2302">
            <v>0</v>
          </cell>
          <cell r="M2302">
            <v>1.0005E-2</v>
          </cell>
        </row>
        <row r="2303">
          <cell r="A2303">
            <v>21970001</v>
          </cell>
          <cell r="B2303">
            <v>3118220048843</v>
          </cell>
          <cell r="C2303">
            <v>13118220048840</v>
          </cell>
          <cell r="D2303">
            <v>23118220048847</v>
          </cell>
          <cell r="E2303" t="str">
            <v>M24 GRAPHITE SATINE BOITE TB COLLECTION</v>
          </cell>
          <cell r="F2303">
            <v>3</v>
          </cell>
          <cell r="G2303">
            <v>3</v>
          </cell>
          <cell r="H2303">
            <v>26</v>
          </cell>
          <cell r="I2303">
            <v>17</v>
          </cell>
          <cell r="J2303">
            <v>31</v>
          </cell>
          <cell r="K2303">
            <v>0</v>
          </cell>
          <cell r="L2303">
            <v>0</v>
          </cell>
          <cell r="M2303">
            <v>1.3701999999999999E-2</v>
          </cell>
        </row>
        <row r="2304">
          <cell r="A2304">
            <v>21970002</v>
          </cell>
          <cell r="B2304">
            <v>3118220048850</v>
          </cell>
          <cell r="C2304">
            <v>13118220048857</v>
          </cell>
          <cell r="D2304">
            <v>23118220048854</v>
          </cell>
          <cell r="E2304" t="str">
            <v>COUTEAU GRAPHITE SATINE VRAC+ GENCOD</v>
          </cell>
          <cell r="F2304">
            <v>120</v>
          </cell>
          <cell r="G2304">
            <v>6</v>
          </cell>
          <cell r="H2304">
            <v>28</v>
          </cell>
          <cell r="I2304">
            <v>22.5</v>
          </cell>
          <cell r="J2304">
            <v>19</v>
          </cell>
          <cell r="K2304">
            <v>0</v>
          </cell>
          <cell r="L2304">
            <v>0</v>
          </cell>
          <cell r="M2304">
            <v>1.1970000000000001E-2</v>
          </cell>
        </row>
        <row r="2305">
          <cell r="A2305">
            <v>21970003</v>
          </cell>
          <cell r="B2305">
            <v>3118220048867</v>
          </cell>
          <cell r="C2305">
            <v>13118220048864</v>
          </cell>
          <cell r="D2305">
            <v>23118220048861</v>
          </cell>
          <cell r="E2305" t="str">
            <v>FOURCHETTE GRAPHITE SATINE VRAC+ GENCOD</v>
          </cell>
          <cell r="F2305">
            <v>120</v>
          </cell>
          <cell r="G2305">
            <v>6</v>
          </cell>
          <cell r="H2305">
            <v>27</v>
          </cell>
          <cell r="I2305">
            <v>25</v>
          </cell>
          <cell r="J2305">
            <v>25</v>
          </cell>
          <cell r="K2305">
            <v>0</v>
          </cell>
          <cell r="L2305">
            <v>0</v>
          </cell>
          <cell r="M2305">
            <v>1.6875000000000001E-2</v>
          </cell>
        </row>
        <row r="2306">
          <cell r="A2306">
            <v>21970004</v>
          </cell>
          <cell r="B2306">
            <v>3118220048874</v>
          </cell>
          <cell r="C2306">
            <v>13118220048871</v>
          </cell>
          <cell r="D2306">
            <v>23118220048878</v>
          </cell>
          <cell r="E2306" t="str">
            <v>CUILLERE GRAPHITE SATINE VRAC+ GENCOD</v>
          </cell>
          <cell r="F2306">
            <v>120</v>
          </cell>
          <cell r="G2306">
            <v>6</v>
          </cell>
          <cell r="H2306">
            <v>26</v>
          </cell>
          <cell r="I2306">
            <v>26</v>
          </cell>
          <cell r="J2306">
            <v>24</v>
          </cell>
          <cell r="K2306">
            <v>0</v>
          </cell>
          <cell r="L2306">
            <v>0</v>
          </cell>
          <cell r="M2306">
            <v>1.6224000000000002E-2</v>
          </cell>
        </row>
        <row r="2307">
          <cell r="A2307">
            <v>21970005</v>
          </cell>
          <cell r="B2307">
            <v>3118220048881</v>
          </cell>
          <cell r="C2307">
            <v>13118220048888</v>
          </cell>
          <cell r="D2307">
            <v>23118220048885</v>
          </cell>
          <cell r="E2307" t="str">
            <v>CAFE GRAPHITE SATINE VRAC+ GENCOD</v>
          </cell>
          <cell r="F2307">
            <v>240</v>
          </cell>
          <cell r="G2307">
            <v>6</v>
          </cell>
          <cell r="H2307">
            <v>35</v>
          </cell>
          <cell r="I2307">
            <v>18</v>
          </cell>
          <cell r="J2307">
            <v>27</v>
          </cell>
          <cell r="K2307">
            <v>0</v>
          </cell>
          <cell r="L2307">
            <v>0</v>
          </cell>
          <cell r="M2307">
            <v>1.7010000000000001E-2</v>
          </cell>
        </row>
        <row r="2308">
          <cell r="A2308">
            <v>21800003</v>
          </cell>
          <cell r="B2308">
            <v>3118220041837</v>
          </cell>
          <cell r="C2308" t="str">
            <v>13118220041834</v>
          </cell>
          <cell r="D2308" t="str">
            <v>23118220041831</v>
          </cell>
          <cell r="E2308" t="str">
            <v>FOURCHETTE JACQUARD  VRAC + GENCOD</v>
          </cell>
          <cell r="F2308">
            <v>120</v>
          </cell>
          <cell r="G2308">
            <v>12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</row>
        <row r="2309">
          <cell r="A2309">
            <v>22040001</v>
          </cell>
          <cell r="B2309" t="str">
            <v>3118220053878</v>
          </cell>
          <cell r="C2309" t="str">
            <v>13118220053875</v>
          </cell>
          <cell r="D2309" t="str">
            <v>23118220053872</v>
          </cell>
          <cell r="E2309" t="str">
            <v>M24 LAGUIOLE HERITAGE FUSION INOX BRILLANT BTE LH</v>
          </cell>
          <cell r="F2309">
            <v>6</v>
          </cell>
          <cell r="G2309">
            <v>6</v>
          </cell>
          <cell r="H2309">
            <v>30</v>
          </cell>
          <cell r="I2309">
            <v>26.5</v>
          </cell>
          <cell r="J2309">
            <v>31</v>
          </cell>
          <cell r="K2309">
            <v>7.14</v>
          </cell>
          <cell r="L2309">
            <v>1.19</v>
          </cell>
          <cell r="M2309">
            <v>2.4644999999999997E-2</v>
          </cell>
        </row>
        <row r="2310">
          <cell r="A2310">
            <v>22040002</v>
          </cell>
          <cell r="B2310" t="str">
            <v>3118220053885</v>
          </cell>
          <cell r="C2310" t="str">
            <v>13118220053882</v>
          </cell>
          <cell r="D2310" t="str">
            <v>23118220053889</v>
          </cell>
          <cell r="E2310" t="str">
            <v>M24 LAGUIOLE HERITAGE FUSION INOX SATIN BTE LH</v>
          </cell>
          <cell r="F2310">
            <v>6</v>
          </cell>
          <cell r="G2310">
            <v>6</v>
          </cell>
          <cell r="H2310">
            <v>31</v>
          </cell>
          <cell r="I2310">
            <v>26</v>
          </cell>
          <cell r="J2310">
            <v>30.5</v>
          </cell>
          <cell r="K2310">
            <v>7.23</v>
          </cell>
          <cell r="L2310">
            <v>1.2050000000000001</v>
          </cell>
          <cell r="M2310">
            <v>2.4583000000000004E-2</v>
          </cell>
        </row>
        <row r="2311">
          <cell r="A2311">
            <v>22150001</v>
          </cell>
          <cell r="B2311">
            <v>3616957761702</v>
          </cell>
          <cell r="C2311" t="str">
            <v xml:space="preserve"> /</v>
          </cell>
          <cell r="D2311" t="str">
            <v>03616954320414</v>
          </cell>
          <cell r="E2311" t="str">
            <v>M24 DOTS EN BOITE CARREFOUR HOME</v>
          </cell>
          <cell r="F2311">
            <v>3</v>
          </cell>
          <cell r="G2311">
            <v>3</v>
          </cell>
          <cell r="H2311">
            <v>23</v>
          </cell>
          <cell r="I2311">
            <v>15</v>
          </cell>
          <cell r="J2311">
            <v>29</v>
          </cell>
          <cell r="K2311">
            <v>0</v>
          </cell>
          <cell r="L2311">
            <v>0</v>
          </cell>
          <cell r="M2311">
            <v>1.0005E-2</v>
          </cell>
        </row>
        <row r="2312">
          <cell r="A2312">
            <v>22150002</v>
          </cell>
          <cell r="B2312">
            <v>3616957761726</v>
          </cell>
          <cell r="C2312" t="str">
            <v>03616955895379</v>
          </cell>
          <cell r="D2312" t="str">
            <v>03616954320438</v>
          </cell>
          <cell r="E2312" t="str">
            <v>COUTEAU DOTS CARREFOUR HOME</v>
          </cell>
          <cell r="F2312">
            <v>120</v>
          </cell>
          <cell r="G2312">
            <v>6</v>
          </cell>
          <cell r="H2312">
            <v>23.5</v>
          </cell>
          <cell r="I2312">
            <v>19.5</v>
          </cell>
          <cell r="J2312">
            <v>15.5</v>
          </cell>
          <cell r="K2312">
            <v>0</v>
          </cell>
          <cell r="L2312">
            <v>0</v>
          </cell>
          <cell r="M2312">
            <v>7.1028749999999998E-3</v>
          </cell>
        </row>
        <row r="2313">
          <cell r="A2313">
            <v>22150003</v>
          </cell>
          <cell r="B2313">
            <v>3616957761719</v>
          </cell>
          <cell r="C2313" t="str">
            <v>03616955895362</v>
          </cell>
          <cell r="D2313" t="str">
            <v>03616954320421</v>
          </cell>
          <cell r="E2313" t="str">
            <v>FOURCHETTE DOTS CARREFOUR HOME</v>
          </cell>
          <cell r="F2313">
            <v>120</v>
          </cell>
          <cell r="G2313">
            <v>6</v>
          </cell>
          <cell r="H2313">
            <v>23.5</v>
          </cell>
          <cell r="I2313">
            <v>19.5</v>
          </cell>
          <cell r="J2313">
            <v>16</v>
          </cell>
          <cell r="K2313">
            <v>0</v>
          </cell>
          <cell r="L2313">
            <v>0</v>
          </cell>
          <cell r="M2313">
            <v>7.3320000000000008E-3</v>
          </cell>
        </row>
        <row r="2314">
          <cell r="A2314">
            <v>22150004</v>
          </cell>
          <cell r="B2314">
            <v>3616957761740</v>
          </cell>
          <cell r="C2314" t="str">
            <v>03616955895393</v>
          </cell>
          <cell r="D2314" t="str">
            <v>03616954320452</v>
          </cell>
          <cell r="E2314" t="str">
            <v>CUILLERE DOTS CARREFOUR HOME</v>
          </cell>
          <cell r="F2314">
            <v>120</v>
          </cell>
          <cell r="G2314">
            <v>6</v>
          </cell>
          <cell r="H2314">
            <v>23.5</v>
          </cell>
          <cell r="I2314">
            <v>19.5</v>
          </cell>
          <cell r="J2314">
            <v>16</v>
          </cell>
          <cell r="K2314">
            <v>0</v>
          </cell>
          <cell r="L2314">
            <v>0</v>
          </cell>
          <cell r="M2314">
            <v>7.3320000000000008E-3</v>
          </cell>
        </row>
        <row r="2315">
          <cell r="A2315">
            <v>22150005</v>
          </cell>
          <cell r="B2315">
            <v>3616957761733</v>
          </cell>
          <cell r="C2315" t="str">
            <v>03616955895386</v>
          </cell>
          <cell r="D2315" t="str">
            <v>03616954320445</v>
          </cell>
          <cell r="E2315" t="str">
            <v>CAFE DOTS CARREFOUR HOME</v>
          </cell>
          <cell r="F2315">
            <v>120</v>
          </cell>
          <cell r="G2315">
            <v>6</v>
          </cell>
          <cell r="H2315">
            <v>19.5</v>
          </cell>
          <cell r="I2315">
            <v>16</v>
          </cell>
          <cell r="J2315">
            <v>15</v>
          </cell>
          <cell r="K2315">
            <v>0</v>
          </cell>
          <cell r="L2315">
            <v>0</v>
          </cell>
          <cell r="M2315">
            <v>4.6800000000000001E-3</v>
          </cell>
        </row>
        <row r="2316">
          <cell r="A2316">
            <v>30020007</v>
          </cell>
          <cell r="B2316">
            <v>3118220001268</v>
          </cell>
          <cell r="E2316" t="str">
            <v>COFFRET BI MAT 6 CUILLERES ACIDULE COUL ASSORTIE</v>
          </cell>
          <cell r="F2316">
            <v>6</v>
          </cell>
          <cell r="G2316">
            <v>6</v>
          </cell>
          <cell r="H2316">
            <v>29.5</v>
          </cell>
          <cell r="I2316">
            <v>27.5</v>
          </cell>
          <cell r="J2316">
            <v>19.5</v>
          </cell>
          <cell r="K2316">
            <v>4.8609999999999998</v>
          </cell>
          <cell r="L2316">
            <v>0.81016666666666659</v>
          </cell>
          <cell r="M2316">
            <v>1.5819374999999997E-2</v>
          </cell>
        </row>
        <row r="2317">
          <cell r="A2317">
            <v>30020008</v>
          </cell>
          <cell r="B2317">
            <v>3118220001275</v>
          </cell>
          <cell r="E2317" t="str">
            <v>COFFRET BI MAT 6 CAFES ACIDULE COUL ASSORTIE</v>
          </cell>
          <cell r="F2317">
            <v>6</v>
          </cell>
          <cell r="G2317">
            <v>6</v>
          </cell>
          <cell r="H2317">
            <v>23</v>
          </cell>
          <cell r="I2317">
            <v>15.5</v>
          </cell>
          <cell r="J2317">
            <v>24.5</v>
          </cell>
          <cell r="K2317">
            <v>2.7919999999999998</v>
          </cell>
          <cell r="L2317">
            <v>0.46533333333333332</v>
          </cell>
          <cell r="M2317">
            <v>8.7342500000000007E-3</v>
          </cell>
        </row>
        <row r="2318">
          <cell r="A2318">
            <v>30020228</v>
          </cell>
          <cell r="B2318">
            <v>3118220004412</v>
          </cell>
          <cell r="E2318" t="str">
            <v>COFFRET BI MAT 12 PCES COCKTAIL TAPAS ACIDULE COUL PANACHE</v>
          </cell>
          <cell r="F2318">
            <v>6</v>
          </cell>
          <cell r="G2318">
            <v>6</v>
          </cell>
          <cell r="H2318">
            <v>29</v>
          </cell>
          <cell r="I2318">
            <v>23.5</v>
          </cell>
          <cell r="J2318">
            <v>13.5</v>
          </cell>
          <cell r="K2318">
            <v>2.3580000000000001</v>
          </cell>
          <cell r="L2318">
            <v>0.39300000000000002</v>
          </cell>
          <cell r="M2318">
            <v>9.2002499999999984E-3</v>
          </cell>
        </row>
        <row r="2319">
          <cell r="A2319">
            <v>30020238</v>
          </cell>
          <cell r="B2319">
            <v>3118220004443</v>
          </cell>
          <cell r="E2319" t="str">
            <v>COFFRET BOIS 8 PCES ESCARGOTS ACIDULE NOIR CARBONE</v>
          </cell>
          <cell r="F2319">
            <v>6</v>
          </cell>
          <cell r="G2319">
            <v>6</v>
          </cell>
          <cell r="H2319">
            <v>31</v>
          </cell>
          <cell r="I2319">
            <v>29.5</v>
          </cell>
          <cell r="J2319">
            <v>20</v>
          </cell>
          <cell r="K2319">
            <v>4.1879999999999997</v>
          </cell>
          <cell r="L2319">
            <v>0.69799999999999995</v>
          </cell>
          <cell r="M2319">
            <v>1.8289999999999997E-2</v>
          </cell>
        </row>
        <row r="2320">
          <cell r="A2320">
            <v>30020242</v>
          </cell>
          <cell r="B2320">
            <v>3118220005594</v>
          </cell>
          <cell r="E2320" t="str">
            <v>COFFRET BI MAT ROUGE 7 PCES SERVICE DESSERT ACIDULE</v>
          </cell>
          <cell r="F2320">
            <v>6</v>
          </cell>
          <cell r="G2320">
            <v>6</v>
          </cell>
          <cell r="H2320">
            <v>35.5</v>
          </cell>
          <cell r="I2320">
            <v>17</v>
          </cell>
          <cell r="J2320">
            <v>30</v>
          </cell>
          <cell r="K2320">
            <v>4.68</v>
          </cell>
          <cell r="L2320">
            <v>0.77999999999999992</v>
          </cell>
          <cell r="M2320">
            <v>1.8105E-2</v>
          </cell>
        </row>
        <row r="2321">
          <cell r="A2321">
            <v>30020243</v>
          </cell>
          <cell r="B2321">
            <v>3118220005891</v>
          </cell>
          <cell r="E2321" t="str">
            <v>BOITE 12 FOURCHETTE ESCARGOT ACIDULE COUL ASSORTIES VRAC</v>
          </cell>
          <cell r="F2321">
            <v>10</v>
          </cell>
          <cell r="G2321">
            <v>10</v>
          </cell>
          <cell r="H2321">
            <v>17</v>
          </cell>
          <cell r="I2321">
            <v>11.5</v>
          </cell>
          <cell r="J2321">
            <v>20</v>
          </cell>
          <cell r="K2321">
            <v>1.53</v>
          </cell>
          <cell r="L2321">
            <v>0.153</v>
          </cell>
          <cell r="M2321">
            <v>3.9100000000000003E-3</v>
          </cell>
        </row>
        <row r="2322">
          <cell r="A2322">
            <v>30020245</v>
          </cell>
          <cell r="B2322">
            <v>3118220006058</v>
          </cell>
          <cell r="E2322" t="str">
            <v>6 STEAK ACIDULE COUL ASSORTIES EN BOITE VPC</v>
          </cell>
          <cell r="F2322">
            <v>24</v>
          </cell>
          <cell r="G2322">
            <v>24</v>
          </cell>
          <cell r="H2322">
            <v>26.5</v>
          </cell>
          <cell r="I2322">
            <v>26.5</v>
          </cell>
          <cell r="J2322">
            <v>26.5</v>
          </cell>
          <cell r="K2322">
            <v>6.8879999999999999</v>
          </cell>
          <cell r="L2322">
            <v>0.28699999999999998</v>
          </cell>
          <cell r="M2322">
            <v>1.8609624999999998E-2</v>
          </cell>
        </row>
        <row r="2323">
          <cell r="A2323">
            <v>30020246</v>
          </cell>
          <cell r="B2323">
            <v>3118220006560</v>
          </cell>
          <cell r="E2323" t="str">
            <v>PELLE A TARTE ACIDULE NOIR CARBONE VRAC GENCOD</v>
          </cell>
          <cell r="F2323">
            <v>144</v>
          </cell>
          <cell r="G2323">
            <v>6</v>
          </cell>
          <cell r="H2323">
            <v>32</v>
          </cell>
          <cell r="I2323">
            <v>27</v>
          </cell>
          <cell r="J2323">
            <v>31</v>
          </cell>
          <cell r="K2323">
            <v>10.51</v>
          </cell>
          <cell r="L2323">
            <v>7.2986111111111113E-2</v>
          </cell>
          <cell r="M2323">
            <v>2.6784000000000002E-2</v>
          </cell>
        </row>
        <row r="2324">
          <cell r="A2324">
            <v>30020247</v>
          </cell>
          <cell r="B2324">
            <v>3118220006591</v>
          </cell>
          <cell r="E2324" t="str">
            <v>PELLE A TARTE ACIDULE BLANC VRAC GENCOD</v>
          </cell>
          <cell r="F2324">
            <v>144</v>
          </cell>
          <cell r="G2324">
            <v>6</v>
          </cell>
          <cell r="H2324">
            <v>32</v>
          </cell>
          <cell r="I2324">
            <v>27</v>
          </cell>
          <cell r="J2324">
            <v>31</v>
          </cell>
          <cell r="K2324">
            <v>10.51</v>
          </cell>
          <cell r="L2324">
            <v>7.2986111111111113E-2</v>
          </cell>
          <cell r="M2324">
            <v>2.6784000000000002E-2</v>
          </cell>
        </row>
        <row r="2325">
          <cell r="A2325">
            <v>30020248</v>
          </cell>
          <cell r="B2325">
            <v>3118220006577</v>
          </cell>
          <cell r="E2325" t="str">
            <v>MAZAGRAN ACIDULE NOIR CARBONE VRAC GENCOD</v>
          </cell>
          <cell r="F2325">
            <v>240</v>
          </cell>
          <cell r="G2325">
            <v>6</v>
          </cell>
          <cell r="H2325">
            <v>33</v>
          </cell>
          <cell r="I2325">
            <v>22</v>
          </cell>
          <cell r="J2325">
            <v>28</v>
          </cell>
          <cell r="K2325">
            <v>8.4120000000000008</v>
          </cell>
          <cell r="L2325">
            <v>3.5050000000000005E-2</v>
          </cell>
          <cell r="M2325">
            <v>2.0328000000000002E-2</v>
          </cell>
        </row>
        <row r="2326">
          <cell r="A2326">
            <v>30020249</v>
          </cell>
          <cell r="B2326">
            <v>3118220006607</v>
          </cell>
          <cell r="E2326" t="str">
            <v>MAZAGRAN ACIDULE BLANC VRAC GENCOD</v>
          </cell>
          <cell r="F2326">
            <v>240</v>
          </cell>
          <cell r="G2326">
            <v>6</v>
          </cell>
          <cell r="H2326">
            <v>33</v>
          </cell>
          <cell r="I2326">
            <v>22</v>
          </cell>
          <cell r="J2326">
            <v>28</v>
          </cell>
          <cell r="K2326">
            <v>8.4120000000000008</v>
          </cell>
          <cell r="L2326">
            <v>3.5050000000000005E-2</v>
          </cell>
          <cell r="M2326">
            <v>2.0328000000000002E-2</v>
          </cell>
        </row>
        <row r="2327">
          <cell r="A2327">
            <v>30020250</v>
          </cell>
          <cell r="B2327">
            <v>3118220006584</v>
          </cell>
          <cell r="E2327" t="str">
            <v>FOURCHETTE GATEAU ACIDULE NOIR CARBONE VRAC GENCOD</v>
          </cell>
          <cell r="F2327">
            <v>240</v>
          </cell>
          <cell r="G2327">
            <v>6</v>
          </cell>
          <cell r="H2327">
            <v>25</v>
          </cell>
          <cell r="I2327">
            <v>17.5</v>
          </cell>
          <cell r="J2327">
            <v>31.5</v>
          </cell>
          <cell r="K2327">
            <v>6.0419999999999998</v>
          </cell>
          <cell r="L2327">
            <v>2.5174999999999999E-2</v>
          </cell>
          <cell r="M2327">
            <v>1.3781249999999998E-2</v>
          </cell>
        </row>
        <row r="2328">
          <cell r="A2328">
            <v>30020251</v>
          </cell>
          <cell r="B2328">
            <v>3118220006614</v>
          </cell>
          <cell r="E2328" t="str">
            <v>FOURCHETTE GATEAU ACIDULE BLANC VRAC GENCOD</v>
          </cell>
          <cell r="F2328">
            <v>240</v>
          </cell>
          <cell r="G2328">
            <v>6</v>
          </cell>
          <cell r="H2328">
            <v>25</v>
          </cell>
          <cell r="I2328">
            <v>17.5</v>
          </cell>
          <cell r="J2328">
            <v>31.5</v>
          </cell>
          <cell r="K2328">
            <v>6.0419999999999998</v>
          </cell>
          <cell r="L2328">
            <v>2.5174999999999999E-2</v>
          </cell>
          <cell r="M2328">
            <v>1.3781249999999998E-2</v>
          </cell>
        </row>
        <row r="2329">
          <cell r="A2329">
            <v>30020252</v>
          </cell>
          <cell r="B2329">
            <v>3118220006713</v>
          </cell>
          <cell r="C2329" t="str">
            <v>13118220006710</v>
          </cell>
          <cell r="D2329" t="str">
            <v>23118220006717</v>
          </cell>
          <cell r="E2329" t="str">
            <v>MOKA ACIDULE COULEUR ASSORTIE VRAC GENCOD</v>
          </cell>
          <cell r="F2329">
            <v>240</v>
          </cell>
          <cell r="G2329">
            <v>6</v>
          </cell>
          <cell r="H2329">
            <v>38.5</v>
          </cell>
          <cell r="I2329">
            <v>20.5</v>
          </cell>
          <cell r="J2329">
            <v>29.5</v>
          </cell>
          <cell r="K2329">
            <v>3.36</v>
          </cell>
          <cell r="L2329">
            <v>1.4E-2</v>
          </cell>
          <cell r="M2329">
            <v>2.3282875000000001E-2</v>
          </cell>
        </row>
        <row r="2330">
          <cell r="A2330">
            <v>30020265</v>
          </cell>
          <cell r="B2330">
            <v>3118220029095</v>
          </cell>
          <cell r="E2330" t="str">
            <v>FOURCHETTE GATEAU ACIDULE NOIR CARBONE VRAC</v>
          </cell>
          <cell r="F2330">
            <v>240</v>
          </cell>
          <cell r="G2330">
            <v>240</v>
          </cell>
          <cell r="H2330">
            <v>47</v>
          </cell>
          <cell r="I2330">
            <v>15</v>
          </cell>
          <cell r="J2330">
            <v>11</v>
          </cell>
          <cell r="K2330">
            <v>5.53</v>
          </cell>
          <cell r="L2330">
            <v>2.3041666666666669E-2</v>
          </cell>
          <cell r="M2330">
            <v>7.7549999999999997E-3</v>
          </cell>
        </row>
        <row r="2331">
          <cell r="A2331">
            <v>30020266</v>
          </cell>
          <cell r="B2331">
            <v>3118220031364</v>
          </cell>
          <cell r="E2331" t="str">
            <v>FOURCHETTE GATEAU ACIDULE BLANC PUR VRAC</v>
          </cell>
          <cell r="F2331">
            <v>240</v>
          </cell>
          <cell r="G2331">
            <v>240</v>
          </cell>
          <cell r="H2331">
            <v>47</v>
          </cell>
          <cell r="I2331">
            <v>15</v>
          </cell>
          <cell r="J2331">
            <v>11</v>
          </cell>
          <cell r="K2331">
            <v>5.53</v>
          </cell>
          <cell r="L2331">
            <v>2.3041666666666669E-2</v>
          </cell>
          <cell r="M2331">
            <v>7.7549999999999997E-3</v>
          </cell>
        </row>
        <row r="2332">
          <cell r="A2332">
            <v>30020267</v>
          </cell>
          <cell r="B2332">
            <v>3118220031401</v>
          </cell>
          <cell r="E2332" t="str">
            <v>FOURCHETTE GATEAU ACIDULE ROUGE 185C VRAC</v>
          </cell>
          <cell r="F2332">
            <v>240</v>
          </cell>
          <cell r="G2332">
            <v>240</v>
          </cell>
          <cell r="H2332">
            <v>47</v>
          </cell>
          <cell r="I2332">
            <v>15</v>
          </cell>
          <cell r="J2332">
            <v>11</v>
          </cell>
          <cell r="K2332">
            <v>5.53</v>
          </cell>
          <cell r="L2332">
            <v>2.3041666666666669E-2</v>
          </cell>
          <cell r="M2332">
            <v>7.7549999999999997E-3</v>
          </cell>
        </row>
        <row r="2333">
          <cell r="A2333">
            <v>30020268</v>
          </cell>
          <cell r="B2333">
            <v>3118220029118</v>
          </cell>
          <cell r="E2333" t="str">
            <v>FOURCHETTE A SERVIR ACIDULE NOIR CARBONE VRAC</v>
          </cell>
          <cell r="F2333">
            <v>240</v>
          </cell>
          <cell r="G2333">
            <v>240</v>
          </cell>
          <cell r="H2333">
            <v>39</v>
          </cell>
          <cell r="I2333">
            <v>29.5</v>
          </cell>
          <cell r="J2333">
            <v>39</v>
          </cell>
          <cell r="K2333">
            <v>22.11</v>
          </cell>
          <cell r="L2333">
            <v>9.2124999999999999E-2</v>
          </cell>
          <cell r="M2333">
            <v>4.48695E-2</v>
          </cell>
        </row>
        <row r="2334">
          <cell r="A2334">
            <v>30020269</v>
          </cell>
          <cell r="B2334">
            <v>3118220029101</v>
          </cell>
          <cell r="E2334" t="str">
            <v>CUILLERE A SERVIR ACIDULE NOIR CARBONE VRAC</v>
          </cell>
          <cell r="F2334">
            <v>240</v>
          </cell>
          <cell r="G2334">
            <v>240</v>
          </cell>
          <cell r="H2334">
            <v>39</v>
          </cell>
          <cell r="I2334">
            <v>29.5</v>
          </cell>
          <cell r="J2334">
            <v>39</v>
          </cell>
          <cell r="K2334">
            <v>24.72</v>
          </cell>
          <cell r="L2334">
            <v>0.10299999999999999</v>
          </cell>
          <cell r="M2334">
            <v>4.48695E-2</v>
          </cell>
        </row>
        <row r="2335">
          <cell r="A2335">
            <v>22080001</v>
          </cell>
          <cell r="B2335" t="str">
            <v>3118220053991</v>
          </cell>
          <cell r="C2335" t="str">
            <v>13118220053998</v>
          </cell>
          <cell r="D2335" t="str">
            <v>23118220053995</v>
          </cell>
          <cell r="E2335" t="str">
            <v>M48 ESQUISSE INOX TB COLLECTION EN MALLETTE</v>
          </cell>
          <cell r="F2335">
            <v>5</v>
          </cell>
          <cell r="G2335">
            <v>5</v>
          </cell>
          <cell r="H2335">
            <v>59.5</v>
          </cell>
          <cell r="I2335">
            <v>29</v>
          </cell>
          <cell r="J2335">
            <v>24.5</v>
          </cell>
          <cell r="K2335">
            <v>13.35</v>
          </cell>
          <cell r="L2335">
            <v>2.67</v>
          </cell>
          <cell r="M2335">
            <v>4.2274749999999993E-2</v>
          </cell>
        </row>
        <row r="2336">
          <cell r="A2336">
            <v>30020270</v>
          </cell>
          <cell r="B2336">
            <v>3118220031418</v>
          </cell>
          <cell r="E2336" t="str">
            <v>FOURCHETTE A SERVIR ACIDULE ROUGE 185C VRAC</v>
          </cell>
          <cell r="F2336">
            <v>240</v>
          </cell>
          <cell r="G2336">
            <v>240</v>
          </cell>
          <cell r="H2336">
            <v>0</v>
          </cell>
          <cell r="I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</row>
        <row r="2337">
          <cell r="A2337">
            <v>30020272</v>
          </cell>
          <cell r="B2337">
            <v>3118220031388</v>
          </cell>
          <cell r="E2337" t="str">
            <v>FOURCHETTE A SERVIR ACIDULE BLANC PUR VRAC</v>
          </cell>
          <cell r="F2337">
            <v>240</v>
          </cell>
          <cell r="G2337">
            <v>240</v>
          </cell>
          <cell r="H2337">
            <v>39</v>
          </cell>
          <cell r="I2337">
            <v>29.5</v>
          </cell>
          <cell r="J2337">
            <v>39</v>
          </cell>
          <cell r="K2337">
            <v>22.11</v>
          </cell>
          <cell r="L2337">
            <v>9.2124999999999999E-2</v>
          </cell>
          <cell r="M2337">
            <v>4.48695E-2</v>
          </cell>
        </row>
        <row r="2338">
          <cell r="A2338">
            <v>30020273</v>
          </cell>
          <cell r="B2338">
            <v>3118220031371</v>
          </cell>
          <cell r="E2338" t="str">
            <v>CUILLERE A SERVIR ACIDULE BLANC VRAC</v>
          </cell>
          <cell r="F2338">
            <v>240</v>
          </cell>
          <cell r="G2338">
            <v>240</v>
          </cell>
          <cell r="H2338">
            <v>39</v>
          </cell>
          <cell r="I2338">
            <v>29.5</v>
          </cell>
          <cell r="J2338">
            <v>39</v>
          </cell>
          <cell r="K2338">
            <v>24.72</v>
          </cell>
          <cell r="L2338">
            <v>0.10299999999999999</v>
          </cell>
          <cell r="M2338">
            <v>4.48695E-2</v>
          </cell>
        </row>
        <row r="2339">
          <cell r="A2339">
            <v>30020286</v>
          </cell>
          <cell r="B2339">
            <v>3118220011588</v>
          </cell>
          <cell r="E2339" t="str">
            <v>MAZAGRAN ACIDULE COULEUR ASSORTIE VRAC GENCOD</v>
          </cell>
          <cell r="F2339">
            <v>240</v>
          </cell>
          <cell r="G2339">
            <v>6</v>
          </cell>
          <cell r="H2339">
            <v>38.5</v>
          </cell>
          <cell r="I2339">
            <v>25</v>
          </cell>
          <cell r="J2339">
            <v>34.5</v>
          </cell>
          <cell r="K2339">
            <v>7.2</v>
          </cell>
          <cell r="L2339">
            <v>3.0000000000000002E-2</v>
          </cell>
          <cell r="M2339">
            <v>3.320625E-2</v>
          </cell>
        </row>
        <row r="2340">
          <cell r="A2340">
            <v>30020287</v>
          </cell>
          <cell r="B2340">
            <v>3118220013049</v>
          </cell>
          <cell r="E2340" t="str">
            <v>6 FOURCHETTES ESCARGOT ACIDULE COUL ASSORTIES BLISTER</v>
          </cell>
          <cell r="F2340">
            <v>36</v>
          </cell>
          <cell r="G2340">
            <v>6</v>
          </cell>
          <cell r="H2340">
            <v>39</v>
          </cell>
          <cell r="I2340">
            <v>20</v>
          </cell>
          <cell r="J2340">
            <v>23.5</v>
          </cell>
          <cell r="K2340">
            <v>3.427</v>
          </cell>
          <cell r="L2340">
            <v>9.5194444444444443E-2</v>
          </cell>
          <cell r="M2340">
            <v>1.8330000000000003E-2</v>
          </cell>
        </row>
        <row r="2341">
          <cell r="A2341">
            <v>30020288</v>
          </cell>
          <cell r="B2341">
            <v>3118220013056</v>
          </cell>
          <cell r="E2341" t="str">
            <v>6 FOURCHETTES HUITRE ACIDULE COUL ASSORTIES BLISTER</v>
          </cell>
          <cell r="F2341">
            <v>36</v>
          </cell>
          <cell r="G2341">
            <v>6</v>
          </cell>
          <cell r="H2341">
            <v>29</v>
          </cell>
          <cell r="I2341">
            <v>21</v>
          </cell>
          <cell r="J2341">
            <v>31</v>
          </cell>
          <cell r="K2341">
            <v>5.58</v>
          </cell>
          <cell r="L2341">
            <v>0.155</v>
          </cell>
          <cell r="M2341">
            <v>1.8879E-2</v>
          </cell>
        </row>
        <row r="2342">
          <cell r="A2342">
            <v>30020294</v>
          </cell>
          <cell r="B2342">
            <v>3118220017108</v>
          </cell>
          <cell r="E2342" t="str">
            <v>M16 ACIDULE BEE ROUGE 185C BOITE COULEUR</v>
          </cell>
          <cell r="F2342">
            <v>3</v>
          </cell>
          <cell r="G2342">
            <v>3</v>
          </cell>
          <cell r="H2342">
            <v>23</v>
          </cell>
          <cell r="I2342">
            <v>16</v>
          </cell>
          <cell r="J2342">
            <v>29</v>
          </cell>
          <cell r="K2342">
            <v>2.4359999999999999</v>
          </cell>
          <cell r="L2342">
            <v>0.81199999999999994</v>
          </cell>
          <cell r="M2342">
            <v>1.0671999999999999E-2</v>
          </cell>
        </row>
        <row r="2343">
          <cell r="A2343">
            <v>30020295</v>
          </cell>
          <cell r="B2343">
            <v>3118220017115</v>
          </cell>
          <cell r="C2343" t="str">
            <v>13118220017112</v>
          </cell>
          <cell r="D2343" t="str">
            <v>23118220017119</v>
          </cell>
          <cell r="E2343" t="str">
            <v>M16 ACIDULE BEE BLACK CARBONE BOITE COULEUR</v>
          </cell>
          <cell r="F2343">
            <v>3</v>
          </cell>
          <cell r="G2343">
            <v>3</v>
          </cell>
          <cell r="H2343">
            <v>23</v>
          </cell>
          <cell r="I2343">
            <v>16</v>
          </cell>
          <cell r="J2343">
            <v>29</v>
          </cell>
          <cell r="K2343">
            <v>2.6509999999999998</v>
          </cell>
          <cell r="L2343">
            <v>0.8836666666666666</v>
          </cell>
          <cell r="M2343">
            <v>1.0671999999999999E-2</v>
          </cell>
        </row>
        <row r="2344">
          <cell r="A2344">
            <v>30020296</v>
          </cell>
          <cell r="B2344">
            <v>3118220017122</v>
          </cell>
          <cell r="C2344" t="str">
            <v>13118220017129</v>
          </cell>
          <cell r="D2344" t="str">
            <v>23118220017126</v>
          </cell>
          <cell r="E2344" t="str">
            <v>M16 ACIDULE BEE GRIS 430C BOITE LAGUIOLE BLEUE</v>
          </cell>
          <cell r="F2344">
            <v>3</v>
          </cell>
          <cell r="G2344">
            <v>3</v>
          </cell>
          <cell r="H2344">
            <v>23</v>
          </cell>
          <cell r="I2344">
            <v>16</v>
          </cell>
          <cell r="J2344">
            <v>29</v>
          </cell>
          <cell r="K2344">
            <v>2.7360000000000002</v>
          </cell>
          <cell r="L2344">
            <v>0.91200000000000003</v>
          </cell>
          <cell r="M2344">
            <v>1.0671999999999999E-2</v>
          </cell>
        </row>
        <row r="2345">
          <cell r="A2345">
            <v>30020297</v>
          </cell>
          <cell r="B2345">
            <v>3118220017139</v>
          </cell>
          <cell r="C2345" t="str">
            <v>13118220017136</v>
          </cell>
          <cell r="D2345" t="str">
            <v>23118220017133</v>
          </cell>
          <cell r="E2345" t="str">
            <v>M16 ACIDULE BEE BLANC GLACIER BOITE LAGUIOLE BLEUE</v>
          </cell>
          <cell r="F2345">
            <v>3</v>
          </cell>
          <cell r="G2345">
            <v>3</v>
          </cell>
          <cell r="H2345">
            <v>23</v>
          </cell>
          <cell r="I2345">
            <v>16</v>
          </cell>
          <cell r="J2345">
            <v>29</v>
          </cell>
          <cell r="K2345">
            <v>2.4359999999999999</v>
          </cell>
          <cell r="L2345">
            <v>0.81199999999999994</v>
          </cell>
          <cell r="M2345">
            <v>1.0671999999999999E-2</v>
          </cell>
        </row>
        <row r="2346">
          <cell r="A2346">
            <v>30020306</v>
          </cell>
          <cell r="B2346">
            <v>3118220025660</v>
          </cell>
          <cell r="E2346" t="str">
            <v>M16 ACIDULE BEE JAUNE CUMIN 7752C BTE LAGUIOLE</v>
          </cell>
          <cell r="F2346">
            <v>6</v>
          </cell>
          <cell r="G2346">
            <v>6</v>
          </cell>
          <cell r="H2346">
            <v>305</v>
          </cell>
          <cell r="I2346">
            <v>27</v>
          </cell>
          <cell r="J2346">
            <v>31</v>
          </cell>
          <cell r="K2346">
            <v>5.3049999999999997</v>
          </cell>
          <cell r="L2346">
            <v>0.88416666666666666</v>
          </cell>
          <cell r="M2346">
            <v>0.25528499999999998</v>
          </cell>
        </row>
        <row r="2347">
          <cell r="A2347">
            <v>30020307</v>
          </cell>
          <cell r="B2347">
            <v>3118220025677</v>
          </cell>
          <cell r="C2347">
            <v>13118220025674</v>
          </cell>
          <cell r="D2347">
            <v>23118220025671</v>
          </cell>
          <cell r="E2347" t="str">
            <v>M16 ACIDULE BEE VERT OLIVE 5763C BTE LAGUIOLE</v>
          </cell>
          <cell r="F2347">
            <v>6</v>
          </cell>
          <cell r="G2347">
            <v>6</v>
          </cell>
          <cell r="H2347">
            <v>37</v>
          </cell>
          <cell r="I2347">
            <v>27</v>
          </cell>
          <cell r="J2347">
            <v>31</v>
          </cell>
          <cell r="K2347">
            <v>4.8360000000000003</v>
          </cell>
          <cell r="L2347">
            <v>0.80600000000000005</v>
          </cell>
          <cell r="M2347">
            <v>3.0969000000000003E-2</v>
          </cell>
        </row>
        <row r="2348">
          <cell r="A2348">
            <v>30020308</v>
          </cell>
          <cell r="B2348">
            <v>3118220025684</v>
          </cell>
          <cell r="C2348" t="str">
            <v>13118220025681</v>
          </cell>
          <cell r="D2348" t="str">
            <v>23118220025688</v>
          </cell>
          <cell r="E2348" t="str">
            <v>M16 ACIDULE BEE TURQUOISE 7715C BTE LAGUIOLE</v>
          </cell>
          <cell r="F2348">
            <v>6</v>
          </cell>
          <cell r="G2348">
            <v>6</v>
          </cell>
          <cell r="H2348">
            <v>30.5</v>
          </cell>
          <cell r="I2348">
            <v>27</v>
          </cell>
          <cell r="J2348">
            <v>31</v>
          </cell>
          <cell r="K2348">
            <v>5.52</v>
          </cell>
          <cell r="L2348">
            <v>0.91999999999999993</v>
          </cell>
          <cell r="M2348">
            <v>2.5528499999999999E-2</v>
          </cell>
        </row>
        <row r="2349">
          <cell r="A2349">
            <v>30020309</v>
          </cell>
          <cell r="B2349">
            <v>3118220025691</v>
          </cell>
          <cell r="C2349" t="str">
            <v>13118220025698</v>
          </cell>
          <cell r="D2349" t="str">
            <v>23118220025695</v>
          </cell>
          <cell r="E2349" t="str">
            <v>M16 ACIDULE BEE BLEU MYRTILLE 7687C BTE LAGUIOLE</v>
          </cell>
          <cell r="F2349">
            <v>6</v>
          </cell>
          <cell r="G2349">
            <v>6</v>
          </cell>
          <cell r="H2349">
            <v>30.5</v>
          </cell>
          <cell r="I2349">
            <v>27</v>
          </cell>
          <cell r="J2349">
            <v>20</v>
          </cell>
          <cell r="K2349">
            <v>4.8360000000000003</v>
          </cell>
          <cell r="L2349">
            <v>0.80600000000000005</v>
          </cell>
          <cell r="M2349">
            <v>1.6469999999999999E-2</v>
          </cell>
        </row>
        <row r="2350">
          <cell r="A2350">
            <v>30020310</v>
          </cell>
          <cell r="B2350">
            <v>3118220025707</v>
          </cell>
          <cell r="C2350" t="str">
            <v>13118220025704</v>
          </cell>
          <cell r="D2350" t="str">
            <v>23118220025701</v>
          </cell>
          <cell r="E2350" t="str">
            <v>M16 ACIDULE BEE ROSE FRAMBOISE 7647C BTE LAGUIOLE</v>
          </cell>
          <cell r="F2350">
            <v>6</v>
          </cell>
          <cell r="G2350">
            <v>6</v>
          </cell>
          <cell r="H2350">
            <v>30.5</v>
          </cell>
          <cell r="I2350">
            <v>27</v>
          </cell>
          <cell r="J2350">
            <v>31</v>
          </cell>
          <cell r="K2350">
            <v>4.8360000000000003</v>
          </cell>
          <cell r="L2350">
            <v>0.80600000000000005</v>
          </cell>
          <cell r="M2350">
            <v>2.5528499999999999E-2</v>
          </cell>
        </row>
        <row r="2351">
          <cell r="A2351">
            <v>30020311</v>
          </cell>
          <cell r="B2351">
            <v>3118220025714</v>
          </cell>
          <cell r="E2351" t="str">
            <v>M16 ACIDULE BEE ROUGE COQUELICOT RED032 BTE LAGUIOLE</v>
          </cell>
          <cell r="F2351">
            <v>6</v>
          </cell>
          <cell r="G2351">
            <v>6</v>
          </cell>
          <cell r="H2351">
            <v>30.5</v>
          </cell>
          <cell r="I2351">
            <v>27</v>
          </cell>
          <cell r="J2351">
            <v>31</v>
          </cell>
          <cell r="K2351">
            <v>5.3049999999999997</v>
          </cell>
          <cell r="L2351">
            <v>0.88416666666666666</v>
          </cell>
          <cell r="M2351">
            <v>2.5528499999999999E-2</v>
          </cell>
        </row>
        <row r="2352">
          <cell r="A2352">
            <v>30020313</v>
          </cell>
          <cell r="B2352">
            <v>3118220029057</v>
          </cell>
          <cell r="E2352" t="str">
            <v>FOURCHETTE HUITRE ACIDULE ROUGE + GENCOD</v>
          </cell>
          <cell r="F2352">
            <v>240</v>
          </cell>
          <cell r="G2352">
            <v>6</v>
          </cell>
          <cell r="H2352">
            <v>46.5</v>
          </cell>
          <cell r="I2352">
            <v>15</v>
          </cell>
          <cell r="J2352">
            <v>11.5</v>
          </cell>
          <cell r="K2352">
            <v>4.7</v>
          </cell>
          <cell r="L2352">
            <v>1.9583333333333335E-2</v>
          </cell>
          <cell r="M2352">
            <v>8.0212500000000006E-3</v>
          </cell>
        </row>
        <row r="2353">
          <cell r="A2353">
            <v>30020271</v>
          </cell>
          <cell r="B2353">
            <v>3118220031425</v>
          </cell>
          <cell r="E2353" t="str">
            <v>CUILLERE A SERVIR ACIDULE ROUGE 185C VRAC</v>
          </cell>
          <cell r="F2353">
            <v>240</v>
          </cell>
          <cell r="G2353">
            <v>240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</row>
        <row r="2354">
          <cell r="A2354">
            <v>30020318</v>
          </cell>
          <cell r="B2354">
            <v>3118220032637</v>
          </cell>
          <cell r="E2354" t="str">
            <v>COUTEAU ACIDULE ROUGE WB+GENCOD</v>
          </cell>
          <cell r="F2354">
            <v>144</v>
          </cell>
          <cell r="G2354">
            <v>6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</row>
        <row r="2355">
          <cell r="A2355">
            <v>30020326</v>
          </cell>
          <cell r="B2355">
            <v>3118220034723</v>
          </cell>
          <cell r="E2355" t="str">
            <v>M16 LAG ACIDULE BEE PANACHE NOUVELLES COULEURS BOITE LARGE</v>
          </cell>
          <cell r="F2355">
            <v>6</v>
          </cell>
          <cell r="G2355">
            <v>6</v>
          </cell>
          <cell r="H2355">
            <v>39</v>
          </cell>
          <cell r="I2355">
            <v>31</v>
          </cell>
          <cell r="J2355">
            <v>40</v>
          </cell>
          <cell r="K2355">
            <v>8.1999999999999993</v>
          </cell>
          <cell r="L2355">
            <v>1.3666666666666665</v>
          </cell>
          <cell r="M2355">
            <v>4.8359999999999993E-2</v>
          </cell>
        </row>
        <row r="2356">
          <cell r="A2356">
            <v>30020319</v>
          </cell>
          <cell r="B2356">
            <v>3118220032644</v>
          </cell>
          <cell r="E2356" t="str">
            <v>FOURCHETTE ACIDULE ROUGE WB+GENCOD</v>
          </cell>
          <cell r="F2356">
            <v>144</v>
          </cell>
          <cell r="G2356">
            <v>6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</row>
        <row r="2357">
          <cell r="A2357">
            <v>30020327</v>
          </cell>
          <cell r="B2357">
            <v>3118220034730</v>
          </cell>
          <cell r="E2357" t="str">
            <v>COUTEAU ACIDULE BEE JAUNE CUMIN 7752C VRAC</v>
          </cell>
          <cell r="F2357">
            <v>144</v>
          </cell>
          <cell r="G2357">
            <v>6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</row>
        <row r="2358">
          <cell r="A2358">
            <v>30020328</v>
          </cell>
          <cell r="B2358">
            <v>3118220034747</v>
          </cell>
          <cell r="E2358" t="str">
            <v>FOURCHETTE ACIDULE BEE JAUNE CUMIN 7752C VRAC</v>
          </cell>
          <cell r="F2358">
            <v>144</v>
          </cell>
          <cell r="G2358">
            <v>6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</row>
        <row r="2359">
          <cell r="A2359">
            <v>30020329</v>
          </cell>
          <cell r="B2359">
            <v>3118220034754</v>
          </cell>
          <cell r="E2359" t="str">
            <v>CUILLERE ACIDULE BEE JAUNE CUMIN 7752C VRAC</v>
          </cell>
          <cell r="F2359">
            <v>144</v>
          </cell>
          <cell r="G2359">
            <v>6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</row>
        <row r="2360">
          <cell r="A2360">
            <v>30020330</v>
          </cell>
          <cell r="B2360">
            <v>3118220034761</v>
          </cell>
          <cell r="E2360" t="str">
            <v>CAFE ACIDULE BEE JAUNE CUMIN 7752C VRAC</v>
          </cell>
          <cell r="F2360">
            <v>144</v>
          </cell>
          <cell r="G2360">
            <v>6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</row>
        <row r="2361">
          <cell r="A2361">
            <v>30020331</v>
          </cell>
          <cell r="B2361">
            <v>3118220034778</v>
          </cell>
          <cell r="E2361" t="str">
            <v>COUTEAU ACIDULE BEE ROUGE COQUELICOT RED032 VRAC</v>
          </cell>
          <cell r="F2361">
            <v>144</v>
          </cell>
          <cell r="G2361">
            <v>6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</row>
        <row r="2362">
          <cell r="A2362">
            <v>30020332</v>
          </cell>
          <cell r="B2362">
            <v>3118220034785</v>
          </cell>
          <cell r="E2362" t="str">
            <v>FOURCHETTE ACIDULE BEE ROUGE COQUELICOT RED032 VRAC</v>
          </cell>
          <cell r="F2362">
            <v>144</v>
          </cell>
          <cell r="G2362">
            <v>6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</row>
        <row r="2363">
          <cell r="A2363">
            <v>30020333</v>
          </cell>
          <cell r="B2363">
            <v>3118220034792</v>
          </cell>
          <cell r="E2363" t="str">
            <v>CUILLERE ACIDULE BEE ROUGE COQUELICOT RED032 VRAC</v>
          </cell>
          <cell r="F2363">
            <v>144</v>
          </cell>
          <cell r="G2363">
            <v>6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</row>
        <row r="2364">
          <cell r="A2364">
            <v>30020342</v>
          </cell>
          <cell r="B2364" t="str">
            <v>3661075394615</v>
          </cell>
          <cell r="C2364" t="str">
            <v xml:space="preserve"> /</v>
          </cell>
          <cell r="D2364" t="str">
            <v>3661075394622</v>
          </cell>
          <cell r="E2364" t="str">
            <v>LAG HERITAGE M16 ACIDULE NOIR POLYFLAME</v>
          </cell>
          <cell r="F2364">
            <v>6</v>
          </cell>
          <cell r="G2364">
            <v>6</v>
          </cell>
          <cell r="H2364">
            <v>23</v>
          </cell>
          <cell r="I2364">
            <v>16</v>
          </cell>
          <cell r="J2364">
            <v>29</v>
          </cell>
          <cell r="L2364">
            <v>0</v>
          </cell>
          <cell r="M2364">
            <v>1.0671999999999999E-2</v>
          </cell>
        </row>
        <row r="2365">
          <cell r="A2365">
            <v>30020342</v>
          </cell>
          <cell r="B2365" t="str">
            <v>3661075394615</v>
          </cell>
          <cell r="C2365" t="str">
            <v xml:space="preserve"> /</v>
          </cell>
          <cell r="D2365" t="str">
            <v>3661075394622</v>
          </cell>
          <cell r="E2365" t="str">
            <v>LAG HERITAGE M16 ACIDULE NOIR POLYFLAME</v>
          </cell>
          <cell r="F2365">
            <v>6</v>
          </cell>
          <cell r="G2365">
            <v>6</v>
          </cell>
          <cell r="H2365">
            <v>30</v>
          </cell>
          <cell r="I2365">
            <v>29</v>
          </cell>
          <cell r="J2365">
            <v>23</v>
          </cell>
          <cell r="L2365">
            <v>0</v>
          </cell>
          <cell r="M2365">
            <v>2.001E-2</v>
          </cell>
        </row>
        <row r="2366">
          <cell r="A2366">
            <v>30040006</v>
          </cell>
          <cell r="B2366">
            <v>3118220006393</v>
          </cell>
          <cell r="E2366" t="str">
            <v>COUTEAU POIS CLASSIC ROUGE 198C VRAC GENCOD</v>
          </cell>
          <cell r="F2366">
            <v>240</v>
          </cell>
          <cell r="G2366">
            <v>6</v>
          </cell>
          <cell r="H2366">
            <v>33.5</v>
          </cell>
          <cell r="I2366">
            <v>26.5</v>
          </cell>
          <cell r="J2366">
            <v>33</v>
          </cell>
          <cell r="K2366">
            <v>11.061999999999999</v>
          </cell>
          <cell r="L2366">
            <v>4.6091666666666663E-2</v>
          </cell>
          <cell r="M2366">
            <v>2.9295750000000002E-2</v>
          </cell>
        </row>
        <row r="2367">
          <cell r="A2367">
            <v>30040007</v>
          </cell>
          <cell r="B2367">
            <v>3118220006409</v>
          </cell>
          <cell r="E2367" t="str">
            <v>FOURCHETTE POIS CLASSIC ROUGE 198C VRAC GENCOD</v>
          </cell>
          <cell r="F2367">
            <v>240</v>
          </cell>
          <cell r="G2367">
            <v>6</v>
          </cell>
          <cell r="H2367">
            <v>40</v>
          </cell>
          <cell r="I2367">
            <v>30</v>
          </cell>
          <cell r="J2367">
            <v>20</v>
          </cell>
          <cell r="K2367">
            <v>8.8030000000000008</v>
          </cell>
          <cell r="L2367">
            <v>3.6679166666666672E-2</v>
          </cell>
          <cell r="M2367">
            <v>2.4E-2</v>
          </cell>
        </row>
        <row r="2368">
          <cell r="A2368">
            <v>30040008</v>
          </cell>
          <cell r="B2368">
            <v>3118220006416</v>
          </cell>
          <cell r="E2368" t="str">
            <v>CUILLERE POIS CLASSIC ROUGE 198C VRAC GENCOD</v>
          </cell>
          <cell r="F2368">
            <v>240</v>
          </cell>
          <cell r="G2368">
            <v>6</v>
          </cell>
          <cell r="H2368">
            <v>37</v>
          </cell>
          <cell r="I2368">
            <v>24</v>
          </cell>
          <cell r="J2368">
            <v>34</v>
          </cell>
          <cell r="K2368">
            <v>11.885</v>
          </cell>
          <cell r="L2368">
            <v>4.9520833333333333E-2</v>
          </cell>
          <cell r="M2368">
            <v>3.0191999999999997E-2</v>
          </cell>
        </row>
        <row r="2369">
          <cell r="A2369">
            <v>30040009</v>
          </cell>
          <cell r="B2369">
            <v>3118220006423</v>
          </cell>
          <cell r="E2369" t="str">
            <v>CAFE POIS CLASSIC ROUGE 198C VRAC GENCOD</v>
          </cell>
          <cell r="F2369">
            <v>240</v>
          </cell>
          <cell r="G2369">
            <v>6</v>
          </cell>
          <cell r="H2369">
            <v>35</v>
          </cell>
          <cell r="I2369">
            <v>20</v>
          </cell>
          <cell r="J2369">
            <v>24</v>
          </cell>
          <cell r="K2369">
            <v>7.74</v>
          </cell>
          <cell r="L2369">
            <v>3.2250000000000001E-2</v>
          </cell>
          <cell r="M2369">
            <v>1.6800000000000002E-2</v>
          </cell>
        </row>
        <row r="2370">
          <cell r="A2370">
            <v>30040010</v>
          </cell>
          <cell r="B2370">
            <v>3118220006430</v>
          </cell>
          <cell r="E2370" t="str">
            <v>COUTEAU POIS CLASSIC GRIS COOL GREY 11C VRAC GENCOD</v>
          </cell>
          <cell r="F2370">
            <v>240</v>
          </cell>
          <cell r="G2370">
            <v>6</v>
          </cell>
          <cell r="H2370">
            <v>33.5</v>
          </cell>
          <cell r="I2370">
            <v>26.5</v>
          </cell>
          <cell r="J2370">
            <v>33</v>
          </cell>
          <cell r="K2370">
            <v>11.061999999999999</v>
          </cell>
          <cell r="L2370">
            <v>4.6091666666666663E-2</v>
          </cell>
          <cell r="M2370">
            <v>2.9295750000000002E-2</v>
          </cell>
        </row>
        <row r="2371">
          <cell r="A2371">
            <v>30040011</v>
          </cell>
          <cell r="B2371">
            <v>3118220006447</v>
          </cell>
          <cell r="E2371" t="str">
            <v>FOURCHETTE POIS CLASSIC GRIS COOL GREY 11C VRAC GENCOD</v>
          </cell>
          <cell r="F2371">
            <v>240</v>
          </cell>
          <cell r="G2371">
            <v>6</v>
          </cell>
          <cell r="H2371">
            <v>38.5</v>
          </cell>
          <cell r="I2371">
            <v>25</v>
          </cell>
          <cell r="J2371">
            <v>31.5</v>
          </cell>
          <cell r="K2371">
            <v>9.4809999999999999</v>
          </cell>
          <cell r="L2371">
            <v>3.9504166666666667E-2</v>
          </cell>
          <cell r="M2371">
            <v>3.0318749999999998E-2</v>
          </cell>
        </row>
        <row r="2372">
          <cell r="A2372">
            <v>30040012</v>
          </cell>
          <cell r="B2372">
            <v>3118220006454</v>
          </cell>
          <cell r="E2372" t="str">
            <v>CUILLERE POIS CLASSIC GRIS COOL GREY 11C VRAC GENCOD</v>
          </cell>
          <cell r="F2372">
            <v>240</v>
          </cell>
          <cell r="G2372">
            <v>6</v>
          </cell>
          <cell r="H2372">
            <v>37</v>
          </cell>
          <cell r="I2372">
            <v>24</v>
          </cell>
          <cell r="J2372">
            <v>34</v>
          </cell>
          <cell r="K2372">
            <v>11.885</v>
          </cell>
          <cell r="L2372">
            <v>4.9520833333333333E-2</v>
          </cell>
          <cell r="M2372">
            <v>3.0191999999999997E-2</v>
          </cell>
        </row>
        <row r="2373">
          <cell r="A2373">
            <v>30040013</v>
          </cell>
          <cell r="B2373">
            <v>3118220006461</v>
          </cell>
          <cell r="E2373" t="str">
            <v>CAFE POIS CLASSIC GRIS COOL GREY 11C VRAC GENCOD</v>
          </cell>
          <cell r="F2373">
            <v>240</v>
          </cell>
          <cell r="G2373">
            <v>6</v>
          </cell>
          <cell r="H2373">
            <v>35</v>
          </cell>
          <cell r="I2373">
            <v>20</v>
          </cell>
          <cell r="J2373">
            <v>24</v>
          </cell>
          <cell r="K2373">
            <v>7.74</v>
          </cell>
          <cell r="L2373">
            <v>3.2250000000000001E-2</v>
          </cell>
          <cell r="M2373">
            <v>1.6800000000000002E-2</v>
          </cell>
        </row>
        <row r="2374">
          <cell r="A2374">
            <v>30040015</v>
          </cell>
          <cell r="B2374">
            <v>3118220006485</v>
          </cell>
          <cell r="E2374" t="str">
            <v>COUTEAU POIS GRAPHIK INEDIT MULTICOLOR VRAC GENCOD</v>
          </cell>
          <cell r="F2374">
            <v>240</v>
          </cell>
          <cell r="G2374">
            <v>6</v>
          </cell>
          <cell r="H2374">
            <v>40.5</v>
          </cell>
          <cell r="I2374">
            <v>30</v>
          </cell>
          <cell r="J2374">
            <v>21</v>
          </cell>
          <cell r="K2374">
            <v>11.356999999999999</v>
          </cell>
          <cell r="L2374">
            <v>4.7320833333333333E-2</v>
          </cell>
          <cell r="M2374">
            <v>2.5514999999999999E-2</v>
          </cell>
        </row>
        <row r="2375">
          <cell r="A2375">
            <v>30040016</v>
          </cell>
          <cell r="B2375">
            <v>3118220006492</v>
          </cell>
          <cell r="E2375" t="str">
            <v>FOURCHETTE POIS GRAPHIK INEDIT MULTICOLOR VRAC GENCOD</v>
          </cell>
          <cell r="F2375">
            <v>240</v>
          </cell>
          <cell r="G2375">
            <v>6</v>
          </cell>
          <cell r="H2375">
            <v>43</v>
          </cell>
          <cell r="I2375">
            <v>28</v>
          </cell>
          <cell r="J2375">
            <v>28.5</v>
          </cell>
          <cell r="K2375">
            <v>10.728999999999999</v>
          </cell>
          <cell r="L2375">
            <v>4.4704166666666663E-2</v>
          </cell>
          <cell r="M2375">
            <v>3.4313999999999997E-2</v>
          </cell>
        </row>
        <row r="2376">
          <cell r="A2376">
            <v>30040017</v>
          </cell>
          <cell r="B2376">
            <v>3118220006508</v>
          </cell>
          <cell r="E2376" t="str">
            <v>CUILLERE POIS GRAPHIK INEDIT MULTICOLOR VRAC GENCOD</v>
          </cell>
          <cell r="F2376">
            <v>240</v>
          </cell>
          <cell r="G2376">
            <v>6</v>
          </cell>
          <cell r="H2376">
            <v>42</v>
          </cell>
          <cell r="I2376">
            <v>25.3</v>
          </cell>
          <cell r="J2376">
            <v>26</v>
          </cell>
          <cell r="K2376">
            <v>12.972</v>
          </cell>
          <cell r="L2376">
            <v>5.4050000000000001E-2</v>
          </cell>
          <cell r="M2376">
            <v>2.7627599999999995E-2</v>
          </cell>
        </row>
        <row r="2377">
          <cell r="A2377">
            <v>30040018</v>
          </cell>
          <cell r="B2377">
            <v>3118220006515</v>
          </cell>
          <cell r="E2377" t="str">
            <v>CAFE POIS GRAPHIK INEDIT MULTICOLOR VRAC GENCOD</v>
          </cell>
          <cell r="F2377">
            <v>240</v>
          </cell>
          <cell r="G2377">
            <v>6</v>
          </cell>
          <cell r="H2377">
            <v>36.5</v>
          </cell>
          <cell r="I2377">
            <v>18.5</v>
          </cell>
          <cell r="J2377">
            <v>28</v>
          </cell>
          <cell r="K2377">
            <v>6.8339999999999996</v>
          </cell>
          <cell r="L2377">
            <v>2.8474999999999997E-2</v>
          </cell>
          <cell r="M2377">
            <v>1.8907E-2</v>
          </cell>
        </row>
        <row r="2378">
          <cell r="A2378">
            <v>30040024</v>
          </cell>
          <cell r="B2378">
            <v>3118220012141</v>
          </cell>
          <cell r="E2378" t="str">
            <v>M24 POIS CLASSIC ROUGE 198C EN POT PET</v>
          </cell>
          <cell r="F2378">
            <v>9</v>
          </cell>
          <cell r="G2378">
            <v>9</v>
          </cell>
          <cell r="H2378">
            <v>30</v>
          </cell>
          <cell r="I2378">
            <v>30</v>
          </cell>
          <cell r="J2378">
            <v>26</v>
          </cell>
          <cell r="K2378">
            <v>8.4960000000000004</v>
          </cell>
          <cell r="L2378">
            <v>0.94400000000000006</v>
          </cell>
          <cell r="M2378">
            <v>2.3399999999999997E-2</v>
          </cell>
        </row>
        <row r="2379">
          <cell r="A2379">
            <v>30040025</v>
          </cell>
          <cell r="B2379">
            <v>3118220012158</v>
          </cell>
          <cell r="E2379" t="str">
            <v>M24 POIS CLASSIC NOIR EN POT PET</v>
          </cell>
          <cell r="F2379">
            <v>9</v>
          </cell>
          <cell r="G2379">
            <v>9</v>
          </cell>
          <cell r="H2379">
            <v>30</v>
          </cell>
          <cell r="I2379">
            <v>30</v>
          </cell>
          <cell r="J2379">
            <v>26</v>
          </cell>
          <cell r="K2379">
            <v>8.0730000000000004</v>
          </cell>
          <cell r="L2379">
            <v>0.89700000000000002</v>
          </cell>
          <cell r="M2379">
            <v>2.3399999999999997E-2</v>
          </cell>
        </row>
        <row r="2380">
          <cell r="A2380">
            <v>30050003</v>
          </cell>
          <cell r="B2380">
            <v>3118220002920</v>
          </cell>
          <cell r="C2380" t="str">
            <v>13118220002927</v>
          </cell>
          <cell r="D2380" t="str">
            <v>23118220002924</v>
          </cell>
          <cell r="E2380" t="str">
            <v>COUTEAU EVOLUTION SENS LASURE CLAIR+GENCOD</v>
          </cell>
          <cell r="F2380">
            <v>144</v>
          </cell>
          <cell r="G2380">
            <v>6</v>
          </cell>
          <cell r="H2380">
            <v>33</v>
          </cell>
          <cell r="I2380">
            <v>26.5</v>
          </cell>
          <cell r="J2380">
            <v>27</v>
          </cell>
          <cell r="K2380">
            <v>8.7840000000000007</v>
          </cell>
          <cell r="L2380">
            <v>6.1000000000000006E-2</v>
          </cell>
          <cell r="M2380">
            <v>2.3611500000000004E-2</v>
          </cell>
        </row>
        <row r="2381">
          <cell r="A2381">
            <v>30050004</v>
          </cell>
          <cell r="B2381">
            <v>3118220002951</v>
          </cell>
          <cell r="C2381" t="str">
            <v>13118220002958</v>
          </cell>
          <cell r="D2381" t="str">
            <v>23118220002955</v>
          </cell>
          <cell r="E2381" t="str">
            <v>FOURCHETTE EVOLUTION SENS LASURE CLAIR+GENCOD</v>
          </cell>
          <cell r="F2381">
            <v>144</v>
          </cell>
          <cell r="G2381">
            <v>6</v>
          </cell>
          <cell r="H2381">
            <v>25.5</v>
          </cell>
          <cell r="I2381">
            <v>25.5</v>
          </cell>
          <cell r="J2381">
            <v>32</v>
          </cell>
          <cell r="K2381">
            <v>8.4149999999999991</v>
          </cell>
          <cell r="L2381">
            <v>5.8437499999999996E-2</v>
          </cell>
          <cell r="M2381">
            <v>2.0808E-2</v>
          </cell>
        </row>
        <row r="2382">
          <cell r="A2382">
            <v>30050005</v>
          </cell>
          <cell r="B2382">
            <v>3118220002982</v>
          </cell>
          <cell r="C2382" t="str">
            <v>13118220002989</v>
          </cell>
          <cell r="D2382" t="str">
            <v>23118220002986</v>
          </cell>
          <cell r="E2382" t="str">
            <v>CUILLERE EVOLUTION SENS LASURE CLAIR+GENCOD</v>
          </cell>
          <cell r="F2382">
            <v>144</v>
          </cell>
          <cell r="G2382">
            <v>6</v>
          </cell>
          <cell r="H2382">
            <v>27</v>
          </cell>
          <cell r="I2382">
            <v>26</v>
          </cell>
          <cell r="J2382">
            <v>31</v>
          </cell>
          <cell r="K2382">
            <v>9.7089999999999996</v>
          </cell>
          <cell r="L2382">
            <v>6.7423611111111115E-2</v>
          </cell>
          <cell r="M2382">
            <v>2.1762E-2</v>
          </cell>
        </row>
        <row r="2383">
          <cell r="A2383">
            <v>30050006</v>
          </cell>
          <cell r="B2383">
            <v>3118220003019</v>
          </cell>
          <cell r="C2383" t="str">
            <v>13118220003016</v>
          </cell>
          <cell r="D2383" t="str">
            <v>23118220003013</v>
          </cell>
          <cell r="E2383" t="str">
            <v>CAFE EVOLUTION SENS LASURE CLAIR+GENCOD</v>
          </cell>
          <cell r="F2383">
            <v>144</v>
          </cell>
          <cell r="G2383">
            <v>6</v>
          </cell>
          <cell r="H2383">
            <v>24.5</v>
          </cell>
          <cell r="I2383">
            <v>20</v>
          </cell>
          <cell r="J2383">
            <v>24.5</v>
          </cell>
          <cell r="K2383">
            <v>4.4640000000000004</v>
          </cell>
          <cell r="L2383">
            <v>3.1000000000000003E-2</v>
          </cell>
          <cell r="M2383">
            <v>1.2005000000000002E-2</v>
          </cell>
        </row>
        <row r="2384">
          <cell r="A2384">
            <v>30050007</v>
          </cell>
          <cell r="B2384">
            <v>3118220002944</v>
          </cell>
          <cell r="E2384" t="str">
            <v>COUTEAU EVOLUTION SENS LASURE FONCE +GENCOD</v>
          </cell>
          <cell r="F2384">
            <v>144</v>
          </cell>
          <cell r="G2384">
            <v>6</v>
          </cell>
          <cell r="H2384">
            <v>25.5</v>
          </cell>
          <cell r="I2384">
            <v>21</v>
          </cell>
          <cell r="J2384">
            <v>25</v>
          </cell>
          <cell r="K2384">
            <v>7.7329999999999997</v>
          </cell>
          <cell r="L2384">
            <v>5.3701388888888889E-2</v>
          </cell>
          <cell r="M2384">
            <v>1.3387500000000002E-2</v>
          </cell>
        </row>
        <row r="2385">
          <cell r="A2385">
            <v>30050008</v>
          </cell>
          <cell r="B2385">
            <v>3118220002975</v>
          </cell>
          <cell r="E2385" t="str">
            <v>FOURCHETTE EVOLUTION SENS LASURE FONCE +GENCOD</v>
          </cell>
          <cell r="F2385">
            <v>144</v>
          </cell>
          <cell r="G2385">
            <v>6</v>
          </cell>
          <cell r="H2385">
            <v>24</v>
          </cell>
          <cell r="I2385">
            <v>23.5</v>
          </cell>
          <cell r="J2385">
            <v>29</v>
          </cell>
          <cell r="K2385">
            <v>8.8699999999999992</v>
          </cell>
          <cell r="L2385">
            <v>6.159722222222222E-2</v>
          </cell>
          <cell r="M2385">
            <v>1.6355999999999999E-2</v>
          </cell>
        </row>
        <row r="2386">
          <cell r="A2386">
            <v>30050009</v>
          </cell>
          <cell r="B2386">
            <v>3118220003002</v>
          </cell>
          <cell r="E2386" t="str">
            <v>CUILLERE EVOLUTION SENS LASURE FONCE +GENCOD</v>
          </cell>
          <cell r="F2386">
            <v>144</v>
          </cell>
          <cell r="G2386">
            <v>6</v>
          </cell>
          <cell r="H2386">
            <v>34</v>
          </cell>
          <cell r="I2386">
            <v>23.5</v>
          </cell>
          <cell r="J2386">
            <v>30</v>
          </cell>
          <cell r="K2386">
            <v>10.332000000000001</v>
          </cell>
          <cell r="L2386">
            <v>7.1750000000000008E-2</v>
          </cell>
          <cell r="M2386">
            <v>2.3969999999999998E-2</v>
          </cell>
        </row>
        <row r="2387">
          <cell r="A2387">
            <v>30050010</v>
          </cell>
          <cell r="B2387">
            <v>3118220003033</v>
          </cell>
          <cell r="E2387" t="str">
            <v>CAFE EVOLUTION SENS LASURE FONCE +GENCOD</v>
          </cell>
          <cell r="F2387">
            <v>144</v>
          </cell>
          <cell r="G2387">
            <v>6</v>
          </cell>
          <cell r="H2387">
            <v>22</v>
          </cell>
          <cell r="I2387">
            <v>17.5</v>
          </cell>
          <cell r="J2387">
            <v>28.5</v>
          </cell>
          <cell r="K2387">
            <v>4.9429999999999996</v>
          </cell>
          <cell r="L2387">
            <v>3.4326388888888885E-2</v>
          </cell>
          <cell r="M2387">
            <v>1.0972500000000001E-2</v>
          </cell>
        </row>
        <row r="2388">
          <cell r="A2388">
            <v>30050011</v>
          </cell>
          <cell r="B2388">
            <v>3118220002913</v>
          </cell>
          <cell r="E2388" t="str">
            <v>M16 EVOLUTION SENS BLANC COFFRET BI MAT</v>
          </cell>
          <cell r="F2388">
            <v>6</v>
          </cell>
          <cell r="G2388">
            <v>6</v>
          </cell>
          <cell r="H2388">
            <v>30</v>
          </cell>
          <cell r="I2388">
            <v>28</v>
          </cell>
          <cell r="J2388">
            <v>19.5</v>
          </cell>
          <cell r="K2388">
            <v>7.3470000000000004</v>
          </cell>
          <cell r="L2388">
            <v>1.2245000000000001</v>
          </cell>
          <cell r="M2388">
            <v>1.6380000000000002E-2</v>
          </cell>
        </row>
        <row r="2389">
          <cell r="A2389">
            <v>30050016</v>
          </cell>
          <cell r="B2389">
            <v>3118220003606</v>
          </cell>
          <cell r="E2389" t="str">
            <v>COFFRET BOIS DE 6 STEAKS LAG SENS LASURE BOIS CLAIR</v>
          </cell>
          <cell r="F2389">
            <v>6</v>
          </cell>
          <cell r="G2389">
            <v>6</v>
          </cell>
          <cell r="H2389">
            <v>29</v>
          </cell>
          <cell r="I2389">
            <v>17</v>
          </cell>
          <cell r="J2389">
            <v>17.5</v>
          </cell>
          <cell r="K2389">
            <v>4.3719999999999999</v>
          </cell>
          <cell r="L2389">
            <v>0.72866666666666668</v>
          </cell>
          <cell r="M2389">
            <v>8.6274999999999998E-3</v>
          </cell>
        </row>
        <row r="2390">
          <cell r="A2390">
            <v>30050017</v>
          </cell>
          <cell r="B2390">
            <v>3118220003613</v>
          </cell>
          <cell r="E2390" t="str">
            <v>COFFRET BOIS DE 6 STEAKS LAG SENS LASURE BOIS FONCE</v>
          </cell>
          <cell r="F2390">
            <v>6</v>
          </cell>
          <cell r="G2390">
            <v>6</v>
          </cell>
          <cell r="H2390">
            <v>29</v>
          </cell>
          <cell r="I2390">
            <v>26.5</v>
          </cell>
          <cell r="J2390">
            <v>24.5</v>
          </cell>
          <cell r="K2390">
            <v>3.7320000000000002</v>
          </cell>
          <cell r="L2390">
            <v>0.622</v>
          </cell>
          <cell r="M2390">
            <v>1.8828250000000001E-2</v>
          </cell>
        </row>
        <row r="2391">
          <cell r="A2391">
            <v>30050026</v>
          </cell>
          <cell r="B2391">
            <v>3118220019928</v>
          </cell>
          <cell r="E2391" t="str">
            <v>M16 LAG EVOLUTION SENS LASURE BOIS CLAIR</v>
          </cell>
          <cell r="F2391">
            <v>6</v>
          </cell>
          <cell r="G2391">
            <v>6</v>
          </cell>
          <cell r="H2391">
            <v>24</v>
          </cell>
          <cell r="I2391">
            <v>28.5</v>
          </cell>
          <cell r="J2391">
            <v>29</v>
          </cell>
          <cell r="K2391">
            <v>5.16</v>
          </cell>
          <cell r="L2391">
            <v>0.86</v>
          </cell>
          <cell r="M2391">
            <v>1.9835999999999999E-2</v>
          </cell>
        </row>
        <row r="2392">
          <cell r="A2392">
            <v>30050029</v>
          </cell>
          <cell r="B2392">
            <v>3118220026131</v>
          </cell>
          <cell r="C2392" t="str">
            <v>13118220026138</v>
          </cell>
          <cell r="D2392" t="str">
            <v>23118220026135</v>
          </cell>
          <cell r="E2392" t="str">
            <v>M16 SENS BOIS D'OLIVIER EN BOITE LAGUIOLE</v>
          </cell>
          <cell r="F2392">
            <v>6</v>
          </cell>
          <cell r="G2392">
            <v>6</v>
          </cell>
          <cell r="H2392">
            <v>30</v>
          </cell>
          <cell r="I2392">
            <v>27</v>
          </cell>
          <cell r="J2392">
            <v>31</v>
          </cell>
          <cell r="K2392">
            <v>5.55</v>
          </cell>
          <cell r="L2392">
            <v>0.92499999999999993</v>
          </cell>
          <cell r="M2392">
            <v>2.511E-2</v>
          </cell>
        </row>
        <row r="2393">
          <cell r="A2393">
            <v>30050030</v>
          </cell>
          <cell r="B2393">
            <v>3118220026148</v>
          </cell>
          <cell r="E2393" t="str">
            <v>COUTEAU SENS BOIS D'OLIVIER + GENCOD</v>
          </cell>
          <cell r="F2393">
            <v>144</v>
          </cell>
          <cell r="G2393">
            <v>6</v>
          </cell>
          <cell r="H2393">
            <v>37</v>
          </cell>
          <cell r="I2393">
            <v>27</v>
          </cell>
          <cell r="J2393">
            <v>22</v>
          </cell>
          <cell r="K2393">
            <v>8.3460000000000001</v>
          </cell>
          <cell r="L2393">
            <v>5.7958333333333334E-2</v>
          </cell>
          <cell r="M2393">
            <v>2.1978000000000001E-2</v>
          </cell>
        </row>
        <row r="2394">
          <cell r="A2394">
            <v>30050031</v>
          </cell>
          <cell r="B2394">
            <v>3118220026155</v>
          </cell>
          <cell r="E2394" t="str">
            <v>FOURCHETTE SENS BOIS D'OLIVIER + GENCOD</v>
          </cell>
          <cell r="F2394">
            <v>144</v>
          </cell>
          <cell r="G2394">
            <v>6</v>
          </cell>
          <cell r="H2394">
            <v>36.5</v>
          </cell>
          <cell r="I2394">
            <v>25.5</v>
          </cell>
          <cell r="J2394">
            <v>25</v>
          </cell>
          <cell r="K2394">
            <v>9.0830000000000002</v>
          </cell>
          <cell r="L2394">
            <v>6.307638888888889E-2</v>
          </cell>
          <cell r="M2394">
            <v>2.3268749999999998E-2</v>
          </cell>
        </row>
        <row r="2395">
          <cell r="A2395">
            <v>30050032</v>
          </cell>
          <cell r="B2395">
            <v>3118220026162</v>
          </cell>
          <cell r="E2395" t="str">
            <v>CUILLERE SENS BOIS D'OLIVIER + GENCOD</v>
          </cell>
          <cell r="F2395">
            <v>144</v>
          </cell>
          <cell r="G2395">
            <v>6</v>
          </cell>
          <cell r="H2395">
            <v>36</v>
          </cell>
          <cell r="I2395">
            <v>25</v>
          </cell>
          <cell r="J2395">
            <v>32.5</v>
          </cell>
          <cell r="K2395">
            <v>10.337</v>
          </cell>
          <cell r="L2395">
            <v>7.1784722222222222E-2</v>
          </cell>
          <cell r="M2395">
            <v>2.9249999999999998E-2</v>
          </cell>
        </row>
        <row r="2396">
          <cell r="A2396">
            <v>30050033</v>
          </cell>
          <cell r="B2396">
            <v>3118220026179</v>
          </cell>
          <cell r="E2396" t="str">
            <v>CAFE SENS BOIS D'OLIVIER + GENCOD</v>
          </cell>
          <cell r="F2396">
            <v>144</v>
          </cell>
          <cell r="G2396">
            <v>6</v>
          </cell>
          <cell r="H2396">
            <v>32.5</v>
          </cell>
          <cell r="I2396">
            <v>18.5</v>
          </cell>
          <cell r="J2396">
            <v>26</v>
          </cell>
          <cell r="K2396">
            <v>5.4829999999999997</v>
          </cell>
          <cell r="L2396">
            <v>3.8076388888888889E-2</v>
          </cell>
          <cell r="M2396">
            <v>1.5632500000000001E-2</v>
          </cell>
        </row>
        <row r="2397">
          <cell r="A2397">
            <v>30090001</v>
          </cell>
          <cell r="B2397">
            <v>3118220002173</v>
          </cell>
          <cell r="E2397" t="str">
            <v>M16 EVOLUTION CUIR TAUPE WARM GREY 11C</v>
          </cell>
          <cell r="F2397">
            <v>6</v>
          </cell>
          <cell r="G2397">
            <v>6</v>
          </cell>
          <cell r="H2397">
            <v>30</v>
          </cell>
          <cell r="I2397">
            <v>28</v>
          </cell>
          <cell r="J2397">
            <v>19</v>
          </cell>
          <cell r="K2397">
            <v>6.5940000000000003</v>
          </cell>
          <cell r="L2397">
            <v>1.099</v>
          </cell>
          <cell r="M2397">
            <v>1.5960000000000002E-2</v>
          </cell>
        </row>
        <row r="2398">
          <cell r="A2398">
            <v>30020334</v>
          </cell>
          <cell r="B2398">
            <v>3118220034808</v>
          </cell>
          <cell r="E2398" t="str">
            <v>CAFE ACIDULE BEE ROUGE COQUELICOT RED032 VRAC</v>
          </cell>
          <cell r="F2398">
            <v>144</v>
          </cell>
          <cell r="G2398">
            <v>6</v>
          </cell>
          <cell r="H2398">
            <v>0</v>
          </cell>
          <cell r="I2398">
            <v>0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</row>
        <row r="2399">
          <cell r="A2399">
            <v>30090003</v>
          </cell>
          <cell r="B2399">
            <v>3118220002197</v>
          </cell>
          <cell r="E2399" t="str">
            <v>M16 EVOLUTION CUIR MARRON GLACE 438C</v>
          </cell>
          <cell r="F2399">
            <v>6</v>
          </cell>
          <cell r="G2399">
            <v>6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</row>
        <row r="2400">
          <cell r="A2400">
            <v>30090004</v>
          </cell>
          <cell r="B2400">
            <v>3118220002203</v>
          </cell>
          <cell r="E2400" t="str">
            <v>M16 EVOLUTION CUIR TANGERINE 166C</v>
          </cell>
          <cell r="F2400">
            <v>6</v>
          </cell>
          <cell r="G2400">
            <v>6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</row>
        <row r="2401">
          <cell r="A2401">
            <v>30090005</v>
          </cell>
          <cell r="B2401">
            <v>3118220002166</v>
          </cell>
          <cell r="E2401" t="str">
            <v>M16 EVOLUTION CUIR LIN 7535C</v>
          </cell>
          <cell r="F2401">
            <v>6</v>
          </cell>
          <cell r="G2401">
            <v>6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</row>
        <row r="2402">
          <cell r="A2402">
            <v>30090014</v>
          </cell>
          <cell r="B2402">
            <v>3118220025356</v>
          </cell>
          <cell r="E2402" t="str">
            <v>COFFRET 6 FOURCHETTES EVOLUTION CUIR COULEUR ASSORTIES</v>
          </cell>
          <cell r="F2402">
            <v>6</v>
          </cell>
          <cell r="G2402">
            <v>6</v>
          </cell>
          <cell r="H2402">
            <v>29.5</v>
          </cell>
          <cell r="I2402">
            <v>19.5</v>
          </cell>
          <cell r="J2402">
            <v>18</v>
          </cell>
          <cell r="K2402">
            <v>2.419</v>
          </cell>
          <cell r="L2402">
            <v>0.40316666666666667</v>
          </cell>
          <cell r="M2402">
            <v>1.0354499999999999E-2</v>
          </cell>
        </row>
        <row r="2403">
          <cell r="A2403">
            <v>30090016</v>
          </cell>
          <cell r="B2403">
            <v>3118220025370</v>
          </cell>
          <cell r="E2403" t="str">
            <v>COFFRET 6 CAFES EVOLUTION CUIR COULEUR ASSORTIES</v>
          </cell>
          <cell r="F2403">
            <v>6</v>
          </cell>
          <cell r="G2403">
            <v>6</v>
          </cell>
          <cell r="H2403">
            <v>21.5</v>
          </cell>
          <cell r="I2403">
            <v>20</v>
          </cell>
          <cell r="J2403">
            <v>18.5</v>
          </cell>
          <cell r="K2403">
            <v>1.3140000000000001</v>
          </cell>
          <cell r="L2403">
            <v>0.219</v>
          </cell>
          <cell r="M2403">
            <v>7.9550000000000003E-3</v>
          </cell>
        </row>
        <row r="2404">
          <cell r="A2404">
            <v>30090017</v>
          </cell>
          <cell r="B2404">
            <v>3118220040823</v>
          </cell>
          <cell r="C2404" t="str">
            <v>13118220040820</v>
          </cell>
          <cell r="D2404" t="str">
            <v>23118220040827</v>
          </cell>
          <cell r="E2404" t="str">
            <v>M16 LAGUIOLE CUIR NOIR EN BOITE LAGUIOLE</v>
          </cell>
          <cell r="F2404">
            <v>6</v>
          </cell>
          <cell r="G2404">
            <v>6</v>
          </cell>
          <cell r="H2404">
            <v>30.5</v>
          </cell>
          <cell r="I2404">
            <v>26</v>
          </cell>
          <cell r="J2404">
            <v>32</v>
          </cell>
          <cell r="K2404">
            <v>5.0739999999999998</v>
          </cell>
          <cell r="L2404">
            <v>0.84566666666666668</v>
          </cell>
          <cell r="M2404">
            <v>2.5375999999999999E-2</v>
          </cell>
        </row>
        <row r="2405">
          <cell r="A2405">
            <v>30090018</v>
          </cell>
          <cell r="B2405">
            <v>3118220040830</v>
          </cell>
          <cell r="C2405" t="str">
            <v>13118220040837</v>
          </cell>
          <cell r="D2405" t="str">
            <v>23118220040834</v>
          </cell>
          <cell r="E2405" t="str">
            <v>M16 LAGUIOLE CUIR BLANC EN BOITE LAGUIOLE</v>
          </cell>
          <cell r="F2405">
            <v>6</v>
          </cell>
          <cell r="G2405">
            <v>6</v>
          </cell>
          <cell r="H2405">
            <v>30.5</v>
          </cell>
          <cell r="I2405">
            <v>26</v>
          </cell>
          <cell r="J2405">
            <v>32</v>
          </cell>
          <cell r="K2405">
            <v>5.0739999999999998</v>
          </cell>
          <cell r="L2405">
            <v>0.84566666666666668</v>
          </cell>
          <cell r="M2405">
            <v>2.5375999999999999E-2</v>
          </cell>
        </row>
        <row r="2406">
          <cell r="A2406">
            <v>30100001</v>
          </cell>
          <cell r="B2406">
            <v>3118220003149</v>
          </cell>
          <cell r="E2406" t="str">
            <v>M16 LAG ABS MULTICOLOR</v>
          </cell>
          <cell r="F2406">
            <v>6</v>
          </cell>
          <cell r="G2406">
            <v>6</v>
          </cell>
          <cell r="H2406">
            <v>34</v>
          </cell>
          <cell r="I2406">
            <v>28</v>
          </cell>
          <cell r="J2406">
            <v>30</v>
          </cell>
          <cell r="K2406">
            <v>5.0279999999999996</v>
          </cell>
          <cell r="L2406">
            <v>0.83799999999999997</v>
          </cell>
          <cell r="M2406">
            <v>2.8560000000000002E-2</v>
          </cell>
        </row>
        <row r="2407">
          <cell r="A2407">
            <v>30101071</v>
          </cell>
          <cell r="B2407">
            <v>3118220008663</v>
          </cell>
          <cell r="C2407">
            <v>13118220008660</v>
          </cell>
          <cell r="D2407">
            <v>23118220008667</v>
          </cell>
          <cell r="E2407" t="str">
            <v>COUPERET LAG FROMAGE METAL 12/10+GENCOD</v>
          </cell>
          <cell r="F2407">
            <v>120</v>
          </cell>
          <cell r="G2407">
            <v>120</v>
          </cell>
          <cell r="H2407">
            <v>31</v>
          </cell>
          <cell r="I2407">
            <v>29.5</v>
          </cell>
          <cell r="J2407">
            <v>14</v>
          </cell>
          <cell r="K2407">
            <v>5.17</v>
          </cell>
          <cell r="L2407">
            <v>4.3083333333333335E-2</v>
          </cell>
          <cell r="M2407">
            <v>1.2802999999999998E-2</v>
          </cell>
        </row>
        <row r="2408">
          <cell r="A2408">
            <v>30101074</v>
          </cell>
          <cell r="B2408">
            <v>3118220009462</v>
          </cell>
          <cell r="C2408" t="str">
            <v>13118220009469</v>
          </cell>
          <cell r="D2408" t="str">
            <v>23118220009466</v>
          </cell>
          <cell r="E2408" t="str">
            <v>M16 LAG ABS MARBRE GRIS</v>
          </cell>
          <cell r="F2408">
            <v>6</v>
          </cell>
          <cell r="G2408">
            <v>6</v>
          </cell>
          <cell r="H2408">
            <v>34</v>
          </cell>
          <cell r="I2408">
            <v>28</v>
          </cell>
          <cell r="J2408">
            <v>30</v>
          </cell>
          <cell r="K2408">
            <v>4.62</v>
          </cell>
          <cell r="L2408">
            <v>0.77</v>
          </cell>
          <cell r="M2408">
            <v>2.8560000000000002E-2</v>
          </cell>
        </row>
        <row r="2409">
          <cell r="A2409">
            <v>30101075</v>
          </cell>
          <cell r="B2409">
            <v>3118220010444</v>
          </cell>
          <cell r="C2409">
            <v>13118220010441</v>
          </cell>
          <cell r="D2409">
            <v>23118220010448</v>
          </cell>
          <cell r="E2409" t="str">
            <v>M24 LAG ABS VERT AMANDE 5503C</v>
          </cell>
          <cell r="F2409">
            <v>6</v>
          </cell>
          <cell r="G2409">
            <v>6</v>
          </cell>
          <cell r="H2409">
            <v>34</v>
          </cell>
          <cell r="I2409">
            <v>28</v>
          </cell>
          <cell r="J2409">
            <v>29.5</v>
          </cell>
          <cell r="K2409">
            <v>5.05</v>
          </cell>
          <cell r="L2409">
            <v>0.84166666666666667</v>
          </cell>
          <cell r="M2409">
            <v>2.8084000000000001E-2</v>
          </cell>
        </row>
        <row r="2410">
          <cell r="A2410">
            <v>30101076</v>
          </cell>
          <cell r="B2410">
            <v>3118220010451</v>
          </cell>
          <cell r="C2410">
            <v>13118220010458</v>
          </cell>
          <cell r="D2410">
            <v>23118220010455</v>
          </cell>
          <cell r="E2410" t="str">
            <v>M24 LAG ABS GRIS CLAIR 417C</v>
          </cell>
          <cell r="F2410">
            <v>6</v>
          </cell>
          <cell r="G2410">
            <v>6</v>
          </cell>
          <cell r="H2410">
            <v>33.5</v>
          </cell>
          <cell r="I2410">
            <v>28.5</v>
          </cell>
          <cell r="J2410">
            <v>29</v>
          </cell>
          <cell r="K2410">
            <v>7.39</v>
          </cell>
          <cell r="L2410">
            <v>1.2316666666666667</v>
          </cell>
          <cell r="M2410">
            <v>2.7687750000000007E-2</v>
          </cell>
        </row>
        <row r="2411">
          <cell r="A2411">
            <v>30101077</v>
          </cell>
          <cell r="B2411">
            <v>3118220016729</v>
          </cell>
          <cell r="C2411" t="str">
            <v>13118220016726</v>
          </cell>
          <cell r="D2411" t="str">
            <v>23118220016723</v>
          </cell>
          <cell r="E2411" t="str">
            <v>M24 PLATE LAG ANTHRACITE</v>
          </cell>
          <cell r="F2411">
            <v>6</v>
          </cell>
          <cell r="G2411">
            <v>6</v>
          </cell>
          <cell r="H2411">
            <v>33.5</v>
          </cell>
          <cell r="I2411">
            <v>28</v>
          </cell>
          <cell r="J2411">
            <v>28.5</v>
          </cell>
          <cell r="K2411">
            <v>8.1720000000000006</v>
          </cell>
          <cell r="L2411">
            <v>1.3620000000000001</v>
          </cell>
          <cell r="M2411">
            <v>2.6733000000000003E-2</v>
          </cell>
        </row>
        <row r="2412">
          <cell r="A2412">
            <v>30101078</v>
          </cell>
          <cell r="B2412">
            <v>3118220016736</v>
          </cell>
          <cell r="C2412" t="str">
            <v>13118220016733</v>
          </cell>
          <cell r="D2412" t="str">
            <v>23118220016730</v>
          </cell>
          <cell r="E2412" t="str">
            <v>M24 LAGUIOLE ABS TAUPE</v>
          </cell>
          <cell r="F2412">
            <v>6</v>
          </cell>
          <cell r="G2412">
            <v>6</v>
          </cell>
          <cell r="H2412">
            <v>33</v>
          </cell>
          <cell r="I2412">
            <v>28</v>
          </cell>
          <cell r="J2412">
            <v>28</v>
          </cell>
          <cell r="K2412">
            <v>8.0280000000000005</v>
          </cell>
          <cell r="L2412">
            <v>1.3380000000000001</v>
          </cell>
          <cell r="M2412">
            <v>2.5871999999999996E-2</v>
          </cell>
        </row>
        <row r="2413">
          <cell r="A2413">
            <v>30101079</v>
          </cell>
          <cell r="B2413">
            <v>3118220016743</v>
          </cell>
          <cell r="C2413" t="str">
            <v>13118220016740</v>
          </cell>
          <cell r="D2413" t="str">
            <v>23118220016747</v>
          </cell>
          <cell r="E2413" t="str">
            <v>M24 LAGUIOLE ABS ROUGE</v>
          </cell>
          <cell r="F2413">
            <v>6</v>
          </cell>
          <cell r="G2413">
            <v>6</v>
          </cell>
          <cell r="H2413">
            <v>33</v>
          </cell>
          <cell r="I2413">
            <v>28</v>
          </cell>
          <cell r="J2413">
            <v>28</v>
          </cell>
          <cell r="K2413">
            <v>8.1959999999999997</v>
          </cell>
          <cell r="L2413">
            <v>1.3659999999999999</v>
          </cell>
          <cell r="M2413">
            <v>2.5871999999999996E-2</v>
          </cell>
        </row>
        <row r="2414">
          <cell r="A2414">
            <v>30101080</v>
          </cell>
          <cell r="B2414">
            <v>3118220016750</v>
          </cell>
          <cell r="C2414" t="str">
            <v>13118220016757</v>
          </cell>
          <cell r="D2414" t="str">
            <v>23118220016754</v>
          </cell>
          <cell r="E2414" t="str">
            <v>M24 LAGUIOLE HERITAGE BLANC EN COFFRET+BANDEAU</v>
          </cell>
          <cell r="F2414">
            <v>6</v>
          </cell>
          <cell r="G2414">
            <v>6</v>
          </cell>
          <cell r="H2414">
            <v>33</v>
          </cell>
          <cell r="I2414">
            <v>28</v>
          </cell>
          <cell r="J2414">
            <v>28</v>
          </cell>
          <cell r="K2414">
            <v>8.1059999999999999</v>
          </cell>
          <cell r="L2414">
            <v>1.351</v>
          </cell>
          <cell r="M2414">
            <v>2.5871999999999996E-2</v>
          </cell>
        </row>
        <row r="2415">
          <cell r="A2415">
            <v>30101083</v>
          </cell>
          <cell r="B2415">
            <v>3118220019676</v>
          </cell>
          <cell r="E2415" t="str">
            <v>COUPERET FROMAGE ACIDULÉ ROUGE 185C VRAC</v>
          </cell>
          <cell r="F2415">
            <v>144</v>
          </cell>
          <cell r="G2415">
            <v>6</v>
          </cell>
          <cell r="H2415">
            <v>31.5</v>
          </cell>
          <cell r="I2415">
            <v>30</v>
          </cell>
          <cell r="J2415">
            <v>14</v>
          </cell>
          <cell r="K2415">
            <v>6.6829999999999998</v>
          </cell>
          <cell r="L2415">
            <v>4.640972222222222E-2</v>
          </cell>
          <cell r="M2415">
            <v>1.3229999999999997E-2</v>
          </cell>
        </row>
        <row r="2416">
          <cell r="A2416">
            <v>30101084</v>
          </cell>
          <cell r="B2416">
            <v>3118220019683</v>
          </cell>
          <cell r="E2416" t="str">
            <v>COUPERET FROMAGE ACIDULE NOIR CARBONE VRAC</v>
          </cell>
          <cell r="F2416">
            <v>144</v>
          </cell>
          <cell r="G2416">
            <v>6</v>
          </cell>
          <cell r="H2416">
            <v>31.5</v>
          </cell>
          <cell r="I2416">
            <v>30</v>
          </cell>
          <cell r="J2416">
            <v>14</v>
          </cell>
          <cell r="K2416">
            <v>6.6829999999999998</v>
          </cell>
          <cell r="L2416">
            <v>4.640972222222222E-2</v>
          </cell>
          <cell r="M2416">
            <v>1.3229999999999997E-2</v>
          </cell>
        </row>
        <row r="2417">
          <cell r="A2417">
            <v>30101085</v>
          </cell>
          <cell r="B2417">
            <v>3118220019690</v>
          </cell>
          <cell r="E2417" t="str">
            <v>COUPERET FROMAGE ACIDULE BLEU ACIER 5405C VRAC</v>
          </cell>
          <cell r="F2417">
            <v>144</v>
          </cell>
          <cell r="G2417">
            <v>6</v>
          </cell>
          <cell r="H2417">
            <v>31.5</v>
          </cell>
          <cell r="I2417">
            <v>30</v>
          </cell>
          <cell r="J2417">
            <v>14</v>
          </cell>
          <cell r="K2417">
            <v>6.6829999999999998</v>
          </cell>
          <cell r="L2417">
            <v>4.640972222222222E-2</v>
          </cell>
          <cell r="M2417">
            <v>1.3229999999999997E-2</v>
          </cell>
        </row>
        <row r="2418">
          <cell r="A2418">
            <v>30090006</v>
          </cell>
          <cell r="B2418">
            <v>3118220002159</v>
          </cell>
          <cell r="C2418" t="str">
            <v>13118220002156</v>
          </cell>
          <cell r="D2418" t="str">
            <v>23118220002153</v>
          </cell>
          <cell r="E2418" t="str">
            <v>M16  LAGUIOLE CUIR ARDOISE COOL GREY 11C EN BOITE LAGUIOLE</v>
          </cell>
          <cell r="F2418">
            <v>6</v>
          </cell>
          <cell r="G2418">
            <v>6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</row>
        <row r="2419">
          <cell r="A2419">
            <v>30101095</v>
          </cell>
          <cell r="B2419">
            <v>3118220031142</v>
          </cell>
          <cell r="C2419" t="str">
            <v>13118220031149</v>
          </cell>
          <cell r="D2419" t="str">
            <v>23118220031146</v>
          </cell>
          <cell r="E2419" t="str">
            <v>M24 LAGUIOLE PRODUCTION AMAZON NOIR BLACK 6C</v>
          </cell>
          <cell r="F2419">
            <v>6</v>
          </cell>
          <cell r="G2419">
            <v>6</v>
          </cell>
          <cell r="H2419">
            <v>38</v>
          </cell>
          <cell r="I2419">
            <v>35.5</v>
          </cell>
          <cell r="J2419">
            <v>31.5</v>
          </cell>
          <cell r="K2419">
            <v>10.151999999999999</v>
          </cell>
          <cell r="L2419">
            <v>1.6919999999999999</v>
          </cell>
          <cell r="M2419">
            <v>4.2493499999999997E-2</v>
          </cell>
        </row>
        <row r="2420">
          <cell r="A2420">
            <v>30101096</v>
          </cell>
          <cell r="B2420">
            <v>3118220031159</v>
          </cell>
          <cell r="C2420" t="str">
            <v>13118220031156</v>
          </cell>
          <cell r="D2420" t="str">
            <v>23118220031153</v>
          </cell>
          <cell r="E2420" t="str">
            <v>M24 LAGUIOLE PRODUCTION AMAZON BLANC RAL 1013</v>
          </cell>
          <cell r="F2420">
            <v>6</v>
          </cell>
          <cell r="G2420">
            <v>6</v>
          </cell>
          <cell r="H2420">
            <v>38</v>
          </cell>
          <cell r="I2420">
            <v>35.5</v>
          </cell>
          <cell r="J2420">
            <v>31.5</v>
          </cell>
          <cell r="K2420">
            <v>8.8000000000000007</v>
          </cell>
          <cell r="L2420">
            <v>1.4666666666666668</v>
          </cell>
          <cell r="M2420">
            <v>4.2493499999999997E-2</v>
          </cell>
        </row>
        <row r="2421">
          <cell r="A2421">
            <v>30101097</v>
          </cell>
          <cell r="B2421">
            <v>3118220031166</v>
          </cell>
          <cell r="C2421" t="str">
            <v>13118220031163</v>
          </cell>
          <cell r="D2421" t="str">
            <v>23118220031160</v>
          </cell>
          <cell r="E2421" t="str">
            <v>M24 LAGUIOLE PRODUCTION AMAZON GREY COOL GRAY 5C</v>
          </cell>
          <cell r="F2421">
            <v>6</v>
          </cell>
          <cell r="G2421">
            <v>6</v>
          </cell>
          <cell r="H2421">
            <v>37.5</v>
          </cell>
          <cell r="I2421">
            <v>35.5</v>
          </cell>
          <cell r="J2421">
            <v>32.5</v>
          </cell>
          <cell r="K2421">
            <v>8.8030000000000008</v>
          </cell>
          <cell r="L2421">
            <v>1.4671666666666667</v>
          </cell>
          <cell r="M2421">
            <v>4.3265624999999995E-2</v>
          </cell>
        </row>
        <row r="2422">
          <cell r="A2422">
            <v>30101098</v>
          </cell>
          <cell r="B2422">
            <v>3118220031173</v>
          </cell>
          <cell r="E2422" t="str">
            <v>M24 LAGUIOLE PRODUCTION AMAZON NEW ROUGE 3516C</v>
          </cell>
          <cell r="F2422">
            <v>6</v>
          </cell>
          <cell r="G2422">
            <v>6</v>
          </cell>
          <cell r="H2422">
            <v>37.5</v>
          </cell>
          <cell r="I2422">
            <v>35.5</v>
          </cell>
          <cell r="J2422">
            <v>32.5</v>
          </cell>
          <cell r="K2422">
            <v>8.8030000000000008</v>
          </cell>
          <cell r="L2422">
            <v>1.4671666666666667</v>
          </cell>
          <cell r="M2422">
            <v>4.3265624999999995E-2</v>
          </cell>
        </row>
        <row r="2423">
          <cell r="A2423">
            <v>30101099</v>
          </cell>
          <cell r="B2423">
            <v>3118220031180</v>
          </cell>
          <cell r="C2423" t="str">
            <v>13118220031187</v>
          </cell>
          <cell r="D2423" t="str">
            <v>23118220031184</v>
          </cell>
          <cell r="E2423" t="str">
            <v>M24 LAGUIOLE PRODUCTION ABS AMAZON ASSORTIMENT TRANSPARENT</v>
          </cell>
          <cell r="F2423">
            <v>6</v>
          </cell>
          <cell r="G2423">
            <v>6</v>
          </cell>
          <cell r="H2423">
            <v>37.5</v>
          </cell>
          <cell r="I2423">
            <v>35.5</v>
          </cell>
          <cell r="J2423">
            <v>32.5</v>
          </cell>
          <cell r="K2423">
            <v>8.907</v>
          </cell>
          <cell r="L2423">
            <v>1.4844999999999999</v>
          </cell>
          <cell r="M2423">
            <v>4.3265624999999995E-2</v>
          </cell>
        </row>
        <row r="2424">
          <cell r="A2424">
            <v>30101100</v>
          </cell>
          <cell r="B2424">
            <v>3118220031197</v>
          </cell>
          <cell r="C2424" t="str">
            <v>13118220031194</v>
          </cell>
          <cell r="D2424" t="str">
            <v>23118220031191</v>
          </cell>
          <cell r="E2424" t="str">
            <v>M24 LAGUIOLE PRODUCTION ABS  COULEURS ASSORTIES</v>
          </cell>
          <cell r="F2424">
            <v>6</v>
          </cell>
          <cell r="G2424">
            <v>6</v>
          </cell>
          <cell r="H2424">
            <v>37.5</v>
          </cell>
          <cell r="I2424">
            <v>35.5</v>
          </cell>
          <cell r="J2424">
            <v>32.5</v>
          </cell>
          <cell r="K2424">
            <v>8.843</v>
          </cell>
          <cell r="L2424">
            <v>1.4738333333333333</v>
          </cell>
          <cell r="M2424">
            <v>4.3265624999999995E-2</v>
          </cell>
        </row>
        <row r="2425">
          <cell r="A2425">
            <v>30101101</v>
          </cell>
          <cell r="B2425">
            <v>3118220032989</v>
          </cell>
          <cell r="C2425" t="str">
            <v>13118220032986</v>
          </cell>
          <cell r="D2425" t="str">
            <v>23118220032983</v>
          </cell>
          <cell r="E2425" t="str">
            <v>BLOC BOIS NOIR 6 CTX LAGUIOLE INTUITION METAL PVD NOIR MAT</v>
          </cell>
          <cell r="F2425">
            <v>6</v>
          </cell>
          <cell r="G2425">
            <v>6</v>
          </cell>
          <cell r="H2425">
            <v>27</v>
          </cell>
          <cell r="I2425">
            <v>14</v>
          </cell>
          <cell r="J2425">
            <v>20</v>
          </cell>
          <cell r="K2425">
            <v>3.84</v>
          </cell>
          <cell r="L2425">
            <v>0.64</v>
          </cell>
          <cell r="M2425">
            <v>7.5599999999999999E-3</v>
          </cell>
        </row>
        <row r="2426">
          <cell r="A2426">
            <v>30101102</v>
          </cell>
          <cell r="B2426">
            <v>3118220034419</v>
          </cell>
          <cell r="C2426" t="str">
            <v>13118220034416</v>
          </cell>
          <cell r="D2426" t="str">
            <v>23118220034413</v>
          </cell>
          <cell r="E2426" t="str">
            <v>M16 LAG HERITAGE ABS PANACHE 3 ANTHRACITES 3 IVOIRES</v>
          </cell>
          <cell r="F2426">
            <v>6</v>
          </cell>
          <cell r="G2426">
            <v>6</v>
          </cell>
          <cell r="H2426">
            <v>33</v>
          </cell>
          <cell r="I2426">
            <v>28</v>
          </cell>
          <cell r="J2426">
            <v>29.5</v>
          </cell>
          <cell r="K2426">
            <v>5.16</v>
          </cell>
          <cell r="L2426">
            <v>0.86</v>
          </cell>
          <cell r="M2426">
            <v>2.7258000000000001E-2</v>
          </cell>
        </row>
        <row r="2427">
          <cell r="A2427">
            <v>30101103</v>
          </cell>
          <cell r="B2427">
            <v>3118220036550</v>
          </cell>
          <cell r="E2427" t="str">
            <v>M24 LAG PRODUCTION ABS ASSORTIMENT MULTICOLOR IRIS</v>
          </cell>
          <cell r="F2427">
            <v>6</v>
          </cell>
          <cell r="G2427">
            <v>6</v>
          </cell>
          <cell r="H2427">
            <v>37.5</v>
          </cell>
          <cell r="I2427">
            <v>36.5</v>
          </cell>
          <cell r="J2427">
            <v>32</v>
          </cell>
          <cell r="K2427">
            <v>10.218</v>
          </cell>
          <cell r="L2427">
            <v>1.7030000000000001</v>
          </cell>
          <cell r="M2427">
            <v>4.3799999999999999E-2</v>
          </cell>
        </row>
        <row r="2428">
          <cell r="A2428">
            <v>30101104</v>
          </cell>
          <cell r="B2428">
            <v>3118220036567</v>
          </cell>
          <cell r="E2428" t="str">
            <v>M24 LAG PRODUCTION ABS ASSORTIMENT MULTICOLOR GAURA</v>
          </cell>
          <cell r="F2428">
            <v>6</v>
          </cell>
          <cell r="G2428">
            <v>6</v>
          </cell>
          <cell r="H2428">
            <v>37.5</v>
          </cell>
          <cell r="I2428">
            <v>36.5</v>
          </cell>
          <cell r="J2428">
            <v>32</v>
          </cell>
          <cell r="K2428">
            <v>10.218</v>
          </cell>
          <cell r="L2428">
            <v>1.7030000000000001</v>
          </cell>
          <cell r="M2428">
            <v>4.3799999999999999E-2</v>
          </cell>
        </row>
        <row r="2429">
          <cell r="A2429">
            <v>30101105</v>
          </cell>
          <cell r="B2429">
            <v>3118220037359</v>
          </cell>
          <cell r="C2429" t="str">
            <v>13118220037356</v>
          </cell>
          <cell r="D2429" t="str">
            <v>23118220037353</v>
          </cell>
          <cell r="E2429" t="str">
            <v>COUTEAU LAGUIOLE ABS GRIS MARBRE VRAC + GENCOD</v>
          </cell>
          <cell r="F2429">
            <v>240</v>
          </cell>
          <cell r="G2429">
            <v>6</v>
          </cell>
          <cell r="H2429">
            <v>36</v>
          </cell>
          <cell r="I2429">
            <v>28.5</v>
          </cell>
          <cell r="J2429">
            <v>18.5</v>
          </cell>
          <cell r="K2429">
            <v>9.08</v>
          </cell>
          <cell r="L2429">
            <v>3.7833333333333337E-2</v>
          </cell>
          <cell r="M2429">
            <v>1.8980999999999998E-2</v>
          </cell>
        </row>
        <row r="2430">
          <cell r="A2430">
            <v>30101106</v>
          </cell>
          <cell r="B2430">
            <v>3118220037366</v>
          </cell>
          <cell r="C2430" t="str">
            <v>13118220037363</v>
          </cell>
          <cell r="D2430" t="str">
            <v>23118220037360</v>
          </cell>
          <cell r="E2430" t="str">
            <v>FOURCHETTE LAGUIOLE ABS GRIS MARBRE VRAC + GENCOD</v>
          </cell>
          <cell r="F2430">
            <v>240</v>
          </cell>
          <cell r="G2430">
            <v>6</v>
          </cell>
          <cell r="H2430">
            <v>39.5</v>
          </cell>
          <cell r="I2430">
            <v>25</v>
          </cell>
          <cell r="J2430">
            <v>32</v>
          </cell>
          <cell r="K2430">
            <v>9.6</v>
          </cell>
          <cell r="L2430">
            <v>0.04</v>
          </cell>
          <cell r="M2430">
            <v>3.1600000000000003E-2</v>
          </cell>
        </row>
        <row r="2431">
          <cell r="A2431">
            <v>30101107</v>
          </cell>
          <cell r="B2431">
            <v>3118220037373</v>
          </cell>
          <cell r="C2431" t="str">
            <v>13118220037370</v>
          </cell>
          <cell r="D2431" t="str">
            <v>23118220037377</v>
          </cell>
          <cell r="E2431" t="str">
            <v>CUILLERE LAGUIOLE ABS GRIS MARBRE VRAC + GENCOD</v>
          </cell>
          <cell r="F2431">
            <v>240</v>
          </cell>
          <cell r="G2431">
            <v>6</v>
          </cell>
          <cell r="H2431">
            <v>36</v>
          </cell>
          <cell r="I2431">
            <v>28.5</v>
          </cell>
          <cell r="J2431">
            <v>18.5</v>
          </cell>
          <cell r="K2431">
            <v>10.8</v>
          </cell>
          <cell r="L2431">
            <v>4.5000000000000005E-2</v>
          </cell>
          <cell r="M2431">
            <v>1.8980999999999998E-2</v>
          </cell>
        </row>
        <row r="2432">
          <cell r="A2432">
            <v>30101108</v>
          </cell>
          <cell r="B2432">
            <v>3118220037380</v>
          </cell>
          <cell r="C2432" t="str">
            <v>13118220037387</v>
          </cell>
          <cell r="D2432" t="str">
            <v>23118220037384</v>
          </cell>
          <cell r="E2432" t="str">
            <v>CAFE LAGUIOLE ABS GRIS MARBRE VRAC + GENCOD</v>
          </cell>
          <cell r="F2432">
            <v>240</v>
          </cell>
          <cell r="G2432">
            <v>6</v>
          </cell>
          <cell r="H2432">
            <v>38</v>
          </cell>
          <cell r="I2432">
            <v>20.5</v>
          </cell>
          <cell r="J2432">
            <v>26.5</v>
          </cell>
          <cell r="K2432">
            <v>5.28</v>
          </cell>
          <cell r="L2432">
            <v>2.2000000000000002E-2</v>
          </cell>
          <cell r="M2432">
            <v>2.0643500000000002E-2</v>
          </cell>
        </row>
        <row r="2433">
          <cell r="A2433">
            <v>30101109</v>
          </cell>
          <cell r="B2433">
            <v>3118220037397</v>
          </cell>
          <cell r="C2433" t="str">
            <v>13118220037394</v>
          </cell>
          <cell r="D2433" t="str">
            <v>23118220037391</v>
          </cell>
          <cell r="E2433" t="str">
            <v>COUTEAU LAGUIOLE ABS IVOIRE NACRE VRAC + GENCOD</v>
          </cell>
          <cell r="F2433">
            <v>240</v>
          </cell>
          <cell r="G2433">
            <v>6</v>
          </cell>
          <cell r="H2433">
            <v>34.5</v>
          </cell>
          <cell r="I2433">
            <v>28</v>
          </cell>
          <cell r="J2433">
            <v>32</v>
          </cell>
          <cell r="K2433">
            <v>11.525</v>
          </cell>
          <cell r="L2433">
            <v>4.8020833333333332E-2</v>
          </cell>
          <cell r="M2433">
            <v>3.0912000000000002E-2</v>
          </cell>
        </row>
        <row r="2434">
          <cell r="A2434">
            <v>30101110</v>
          </cell>
          <cell r="B2434">
            <v>3118220037403</v>
          </cell>
          <cell r="C2434" t="str">
            <v>13118220037400</v>
          </cell>
          <cell r="D2434" t="str">
            <v>23118220037407</v>
          </cell>
          <cell r="E2434" t="str">
            <v>FOURCHETTE LAGUIOLE ABS IVOIRE NACRE VRAC + GENCOD</v>
          </cell>
          <cell r="F2434">
            <v>240</v>
          </cell>
          <cell r="G2434">
            <v>6</v>
          </cell>
          <cell r="H2434">
            <v>38</v>
          </cell>
          <cell r="I2434">
            <v>25</v>
          </cell>
          <cell r="J2434">
            <v>31</v>
          </cell>
          <cell r="K2434">
            <v>12.48</v>
          </cell>
          <cell r="L2434">
            <v>5.2000000000000005E-2</v>
          </cell>
          <cell r="M2434">
            <v>2.9449999999999997E-2</v>
          </cell>
        </row>
        <row r="2435">
          <cell r="A2435">
            <v>30101111</v>
          </cell>
          <cell r="B2435">
            <v>3118220037410</v>
          </cell>
          <cell r="C2435" t="str">
            <v>13118220037417</v>
          </cell>
          <cell r="D2435" t="str">
            <v>23118220037414</v>
          </cell>
          <cell r="E2435" t="str">
            <v>CUILLERE LAGUIOLE ABS IVOIRE NACRE VRAC + GENCOD</v>
          </cell>
          <cell r="F2435">
            <v>240</v>
          </cell>
          <cell r="G2435">
            <v>6</v>
          </cell>
          <cell r="H2435">
            <v>37</v>
          </cell>
          <cell r="I2435">
            <v>25</v>
          </cell>
          <cell r="J2435">
            <v>32</v>
          </cell>
          <cell r="K2435">
            <v>14.678000000000001</v>
          </cell>
          <cell r="L2435">
            <v>6.1158333333333335E-2</v>
          </cell>
          <cell r="M2435">
            <v>2.9600000000000001E-2</v>
          </cell>
        </row>
        <row r="2436">
          <cell r="A2436">
            <v>30101112</v>
          </cell>
          <cell r="B2436">
            <v>3118220037427</v>
          </cell>
          <cell r="C2436" t="str">
            <v>13118220037424</v>
          </cell>
          <cell r="D2436" t="str">
            <v>23118220037421</v>
          </cell>
          <cell r="E2436" t="str">
            <v>CAFE LAGUIOLE ABS IVOIRE NACRE VRAC + GENCOD</v>
          </cell>
          <cell r="F2436">
            <v>240</v>
          </cell>
          <cell r="G2436">
            <v>6</v>
          </cell>
          <cell r="H2436">
            <v>38.5</v>
          </cell>
          <cell r="I2436">
            <v>20</v>
          </cell>
          <cell r="J2436">
            <v>26.5</v>
          </cell>
          <cell r="K2436">
            <v>6</v>
          </cell>
          <cell r="L2436">
            <v>2.5000000000000001E-2</v>
          </cell>
          <cell r="M2436">
            <v>2.0404999999999996E-2</v>
          </cell>
        </row>
        <row r="2437">
          <cell r="A2437">
            <v>30101113</v>
          </cell>
          <cell r="B2437">
            <v>3118220039773</v>
          </cell>
          <cell r="E2437" t="str">
            <v>M16 LAGUIOLE ANTHRACITE</v>
          </cell>
          <cell r="F2437">
            <v>4</v>
          </cell>
          <cell r="G2437">
            <v>4</v>
          </cell>
          <cell r="H2437">
            <v>32.5</v>
          </cell>
          <cell r="I2437">
            <v>28.5</v>
          </cell>
          <cell r="J2437">
            <v>21.5</v>
          </cell>
          <cell r="K2437">
            <v>3.9169999999999998</v>
          </cell>
          <cell r="L2437">
            <v>0.97924999999999995</v>
          </cell>
          <cell r="M2437">
            <v>1.9914375000000002E-2</v>
          </cell>
        </row>
        <row r="2438">
          <cell r="A2438">
            <v>30101114</v>
          </cell>
          <cell r="B2438">
            <v>3118220044395</v>
          </cell>
          <cell r="E2438" t="str">
            <v>M16 LAGUIOLE ABS MULTICOLOR PASTEL 1/2 SOIE</v>
          </cell>
          <cell r="F2438">
            <v>6</v>
          </cell>
          <cell r="G2438">
            <v>6</v>
          </cell>
          <cell r="H2438">
            <v>33</v>
          </cell>
          <cell r="I2438">
            <v>28.5</v>
          </cell>
          <cell r="J2438">
            <v>31</v>
          </cell>
          <cell r="K2438">
            <v>5.5759999999999996</v>
          </cell>
          <cell r="L2438">
            <v>0.92933333333333323</v>
          </cell>
          <cell r="M2438">
            <v>2.9155500000000001E-2</v>
          </cell>
        </row>
        <row r="2439">
          <cell r="A2439">
            <v>30101086</v>
          </cell>
          <cell r="B2439">
            <v>3118223002781</v>
          </cell>
          <cell r="E2439" t="str">
            <v>CT LAG TABLE NACRE CHAMP 10/10MI 300278</v>
          </cell>
          <cell r="F2439">
            <v>120</v>
          </cell>
          <cell r="G2439">
            <v>12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</row>
        <row r="2440">
          <cell r="A2440">
            <v>30110001</v>
          </cell>
          <cell r="B2440">
            <v>3661075340797</v>
          </cell>
          <cell r="C2440" t="str">
            <v xml:space="preserve"> /</v>
          </cell>
          <cell r="D2440" t="str">
            <v>3661075340803</v>
          </cell>
          <cell r="E2440" t="str">
            <v>LAG HERITAGE MÉNAGÈRE CARBONE 16PCS POLYFLAME</v>
          </cell>
          <cell r="F2440">
            <v>6</v>
          </cell>
          <cell r="G2440">
            <v>6</v>
          </cell>
          <cell r="H2440">
            <v>0</v>
          </cell>
          <cell r="I2440">
            <v>0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</row>
        <row r="2441">
          <cell r="A2441">
            <v>30110003</v>
          </cell>
          <cell r="B2441">
            <v>3661075340858</v>
          </cell>
          <cell r="C2441" t="str">
            <v xml:space="preserve"> /</v>
          </cell>
          <cell r="D2441" t="str">
            <v>3661075340865</v>
          </cell>
          <cell r="E2441" t="str">
            <v>LAG HERITAGE CTX 6PCS ET FOURCHETTES 6PCS NOYER POLYFLAME</v>
          </cell>
          <cell r="F2441">
            <v>6</v>
          </cell>
          <cell r="G2441">
            <v>6</v>
          </cell>
          <cell r="H2441">
            <v>36</v>
          </cell>
          <cell r="I2441">
            <v>26.5</v>
          </cell>
          <cell r="J2441">
            <v>17.5</v>
          </cell>
          <cell r="K2441">
            <v>5</v>
          </cell>
          <cell r="L2441">
            <v>0.83333333333333337</v>
          </cell>
          <cell r="M2441">
            <v>1.6694999999999998E-2</v>
          </cell>
        </row>
        <row r="2442">
          <cell r="A2442">
            <v>30110004</v>
          </cell>
          <cell r="B2442" t="str">
            <v>3661075394516</v>
          </cell>
          <cell r="C2442" t="str">
            <v xml:space="preserve"> /</v>
          </cell>
          <cell r="D2442" t="str">
            <v>3661075394523</v>
          </cell>
          <cell r="E2442" t="str">
            <v>LAG HERITAGE M24 NOIR ABS POLYFLAME</v>
          </cell>
          <cell r="F2442">
            <v>6</v>
          </cell>
          <cell r="G2442">
            <v>6</v>
          </cell>
          <cell r="H2442">
            <v>30</v>
          </cell>
          <cell r="I2442">
            <v>26</v>
          </cell>
          <cell r="J2442">
            <v>30.5</v>
          </cell>
          <cell r="L2442">
            <v>0</v>
          </cell>
          <cell r="M2442">
            <v>2.3789999999999999E-2</v>
          </cell>
        </row>
        <row r="2443">
          <cell r="A2443">
            <v>30110005</v>
          </cell>
          <cell r="B2443" t="str">
            <v>3661075394493</v>
          </cell>
          <cell r="C2443" t="str">
            <v xml:space="preserve"> /</v>
          </cell>
          <cell r="D2443" t="str">
            <v>3661075394509</v>
          </cell>
          <cell r="E2443" t="str">
            <v>LAG HERITAGE M24 COULEUR ABS POLYFLAME</v>
          </cell>
          <cell r="F2443">
            <v>6</v>
          </cell>
          <cell r="G2443">
            <v>6</v>
          </cell>
          <cell r="H2443">
            <v>30</v>
          </cell>
          <cell r="I2443">
            <v>26</v>
          </cell>
          <cell r="J2443">
            <v>30.5</v>
          </cell>
          <cell r="L2443">
            <v>0</v>
          </cell>
          <cell r="M2443">
            <v>2.3789999999999999E-2</v>
          </cell>
        </row>
        <row r="2444">
          <cell r="A2444">
            <v>30110002</v>
          </cell>
          <cell r="B2444">
            <v>3661075340834</v>
          </cell>
          <cell r="C2444" t="str">
            <v xml:space="preserve"> /</v>
          </cell>
          <cell r="D2444" t="str">
            <v>3661075340841</v>
          </cell>
          <cell r="E2444" t="str">
            <v>LAG HERITAGE MENAGERE BOIS DE FRENE 16PCS POLYFLAME</v>
          </cell>
          <cell r="F2444">
            <v>6</v>
          </cell>
          <cell r="G2444">
            <v>6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</row>
        <row r="2445">
          <cell r="A2445">
            <v>30140026</v>
          </cell>
          <cell r="B2445">
            <v>3118220007017</v>
          </cell>
          <cell r="E2445" t="str">
            <v>COUTEAU MANGO TAUPE 7531C VRAC</v>
          </cell>
          <cell r="F2445">
            <v>240</v>
          </cell>
          <cell r="G2445">
            <v>240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</row>
        <row r="2446">
          <cell r="A2446">
            <v>30140027</v>
          </cell>
          <cell r="B2446">
            <v>3118220007024</v>
          </cell>
          <cell r="E2446" t="str">
            <v>FOURCHETTE MANGO TAUPE 7531C VRAC</v>
          </cell>
          <cell r="F2446">
            <v>240</v>
          </cell>
          <cell r="G2446">
            <v>240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</row>
        <row r="2447">
          <cell r="A2447">
            <v>30140045</v>
          </cell>
          <cell r="B2447">
            <v>3614613272241</v>
          </cell>
          <cell r="E2447" t="str">
            <v>M24 CANDIES ANTHRACITE 446C PANIER CARREFOUR</v>
          </cell>
          <cell r="F2447">
            <v>3</v>
          </cell>
          <cell r="G2447">
            <v>3</v>
          </cell>
          <cell r="H2447">
            <v>36.5</v>
          </cell>
          <cell r="I2447">
            <v>14</v>
          </cell>
          <cell r="J2447">
            <v>26.5</v>
          </cell>
          <cell r="K2447">
            <v>2.5619999999999998</v>
          </cell>
          <cell r="L2447">
            <v>0.85399999999999998</v>
          </cell>
          <cell r="M2447">
            <v>1.3541499999999998E-2</v>
          </cell>
        </row>
        <row r="2448">
          <cell r="A2448">
            <v>30140046</v>
          </cell>
          <cell r="B2448">
            <v>3614613272227</v>
          </cell>
          <cell r="E2448" t="str">
            <v>M24 CANDIES BLEUE ACIER 5405C PANIER CARREFOUR</v>
          </cell>
          <cell r="F2448">
            <v>3</v>
          </cell>
          <cell r="G2448">
            <v>3</v>
          </cell>
          <cell r="H2448">
            <v>36.5</v>
          </cell>
          <cell r="I2448">
            <v>14</v>
          </cell>
          <cell r="J2448">
            <v>26.5</v>
          </cell>
          <cell r="K2448">
            <v>2.5379999999999998</v>
          </cell>
          <cell r="L2448">
            <v>0.84599999999999997</v>
          </cell>
          <cell r="M2448">
            <v>1.3541499999999998E-2</v>
          </cell>
        </row>
        <row r="2449">
          <cell r="A2449">
            <v>30140047</v>
          </cell>
          <cell r="B2449">
            <v>3614613272234</v>
          </cell>
          <cell r="E2449" t="str">
            <v>M24 CANDIES ROUGE 185C PANIER CARREFOUR</v>
          </cell>
          <cell r="F2449">
            <v>3</v>
          </cell>
          <cell r="G2449">
            <v>3</v>
          </cell>
          <cell r="H2449">
            <v>36.5</v>
          </cell>
          <cell r="I2449">
            <v>14</v>
          </cell>
          <cell r="J2449">
            <v>26.5</v>
          </cell>
          <cell r="K2449">
            <v>2.7589999999999999</v>
          </cell>
          <cell r="L2449">
            <v>0.91966666666666663</v>
          </cell>
          <cell r="M2449">
            <v>1.3541499999999998E-2</v>
          </cell>
        </row>
        <row r="2450">
          <cell r="A2450">
            <v>30140048</v>
          </cell>
          <cell r="B2450">
            <v>3614613272258</v>
          </cell>
          <cell r="E2450" t="str">
            <v>M24 CANDIES TAUPE 7531C PANIER CARREFOUR</v>
          </cell>
          <cell r="F2450">
            <v>3</v>
          </cell>
          <cell r="G2450">
            <v>3</v>
          </cell>
          <cell r="H2450">
            <v>36.5</v>
          </cell>
          <cell r="I2450">
            <v>14</v>
          </cell>
          <cell r="J2450">
            <v>26.5</v>
          </cell>
          <cell r="K2450">
            <v>2.5409999999999999</v>
          </cell>
          <cell r="L2450">
            <v>0.84699999999999998</v>
          </cell>
          <cell r="M2450">
            <v>1.3541499999999998E-2</v>
          </cell>
        </row>
        <row r="2451">
          <cell r="A2451">
            <v>30140049</v>
          </cell>
          <cell r="B2451">
            <v>3614613272265</v>
          </cell>
          <cell r="E2451" t="str">
            <v>M24 CANDIES TURQUOISE 7467C PANIER CARREFOUR</v>
          </cell>
          <cell r="F2451">
            <v>3</v>
          </cell>
          <cell r="G2451">
            <v>3</v>
          </cell>
          <cell r="H2451">
            <v>36.5</v>
          </cell>
          <cell r="I2451">
            <v>14</v>
          </cell>
          <cell r="J2451">
            <v>26.5</v>
          </cell>
          <cell r="K2451">
            <v>2.5649999999999999</v>
          </cell>
          <cell r="L2451">
            <v>0.85499999999999998</v>
          </cell>
          <cell r="M2451">
            <v>1.3541499999999998E-2</v>
          </cell>
        </row>
        <row r="2452">
          <cell r="A2452">
            <v>30140050</v>
          </cell>
          <cell r="B2452" t="str">
            <v>3118220053892</v>
          </cell>
          <cell r="C2452" t="str">
            <v>13118220053899</v>
          </cell>
          <cell r="D2452" t="str">
            <v>23118220053896</v>
          </cell>
          <cell r="E2452" t="str">
            <v>M24 MANGO ROUGE EN PANIER FIL ACIER NOIR TB COLLECTION</v>
          </cell>
          <cell r="F2452">
            <v>6</v>
          </cell>
          <cell r="G2452">
            <v>6</v>
          </cell>
          <cell r="H2452">
            <v>36</v>
          </cell>
          <cell r="I2452">
            <v>25.5</v>
          </cell>
          <cell r="J2452">
            <v>28</v>
          </cell>
          <cell r="K2452">
            <v>0.84099999999999997</v>
          </cell>
          <cell r="L2452">
            <v>0.14016666666666666</v>
          </cell>
          <cell r="M2452">
            <v>2.5703999999999998E-2</v>
          </cell>
        </row>
        <row r="2453">
          <cell r="A2453">
            <v>30140051</v>
          </cell>
          <cell r="B2453" t="str">
            <v>3118220053908</v>
          </cell>
          <cell r="C2453" t="str">
            <v>13118220053905</v>
          </cell>
          <cell r="D2453" t="str">
            <v>23118220053902</v>
          </cell>
          <cell r="E2453" t="str">
            <v>M24 MANGO NOIR EN PANIER FIL ACIER NOIR TB COLLECTION</v>
          </cell>
          <cell r="F2453">
            <v>6</v>
          </cell>
          <cell r="G2453">
            <v>6</v>
          </cell>
          <cell r="H2453">
            <v>36</v>
          </cell>
          <cell r="I2453">
            <v>25.5</v>
          </cell>
          <cell r="J2453">
            <v>28</v>
          </cell>
          <cell r="K2453">
            <v>0.84099999999999997</v>
          </cell>
          <cell r="L2453">
            <v>0.14016666666666666</v>
          </cell>
          <cell r="M2453">
            <v>2.5703999999999998E-2</v>
          </cell>
        </row>
        <row r="2454">
          <cell r="A2454">
            <v>30140052</v>
          </cell>
          <cell r="B2454" t="str">
            <v>3118220053915</v>
          </cell>
          <cell r="C2454" t="str">
            <v>13118220053912</v>
          </cell>
          <cell r="D2454" t="str">
            <v>23118220053919</v>
          </cell>
          <cell r="E2454" t="str">
            <v>M24 MANGO BLANC EN PANIER FIL ACIER NOIR TB COLLECTION</v>
          </cell>
          <cell r="F2454">
            <v>6</v>
          </cell>
          <cell r="G2454">
            <v>6</v>
          </cell>
          <cell r="H2454">
            <v>36</v>
          </cell>
          <cell r="I2454">
            <v>25.5</v>
          </cell>
          <cell r="J2454">
            <v>28</v>
          </cell>
          <cell r="K2454">
            <v>0.84099999999999997</v>
          </cell>
          <cell r="L2454">
            <v>0.14016666666666666</v>
          </cell>
          <cell r="M2454">
            <v>2.5703999999999998E-2</v>
          </cell>
        </row>
        <row r="2455">
          <cell r="A2455">
            <v>30140053</v>
          </cell>
          <cell r="B2455" t="str">
            <v>3118220053922</v>
          </cell>
          <cell r="C2455" t="str">
            <v>13118220053929</v>
          </cell>
          <cell r="D2455" t="str">
            <v>23118220053926</v>
          </cell>
          <cell r="E2455" t="str">
            <v>M24 MANGO BLEU EN PANIER FIL ACIER NOIR TB COLLECTION</v>
          </cell>
          <cell r="F2455">
            <v>6</v>
          </cell>
          <cell r="G2455">
            <v>6</v>
          </cell>
          <cell r="H2455">
            <v>36</v>
          </cell>
          <cell r="I2455">
            <v>25.5</v>
          </cell>
          <cell r="J2455">
            <v>28</v>
          </cell>
          <cell r="K2455">
            <v>0.84099999999999997</v>
          </cell>
          <cell r="L2455">
            <v>0.14016666666666666</v>
          </cell>
          <cell r="M2455">
            <v>2.5703999999999998E-2</v>
          </cell>
        </row>
        <row r="2456">
          <cell r="A2456">
            <v>30150001</v>
          </cell>
          <cell r="B2456">
            <v>3118220002647</v>
          </cell>
          <cell r="C2456">
            <v>13118220002644</v>
          </cell>
          <cell r="D2456">
            <v>23118220002641</v>
          </cell>
          <cell r="E2456" t="str">
            <v>COUTEAU AMANDE TURQUOISE+GENCOD</v>
          </cell>
          <cell r="F2456">
            <v>240</v>
          </cell>
          <cell r="G2456">
            <v>12</v>
          </cell>
          <cell r="H2456">
            <v>33</v>
          </cell>
          <cell r="I2456">
            <v>26.5</v>
          </cell>
          <cell r="J2456">
            <v>26.5</v>
          </cell>
          <cell r="K2456">
            <v>11.52</v>
          </cell>
          <cell r="L2456">
            <v>4.8000000000000001E-2</v>
          </cell>
          <cell r="M2456">
            <v>2.3174250000000004E-2</v>
          </cell>
        </row>
        <row r="2457">
          <cell r="A2457">
            <v>30150002</v>
          </cell>
          <cell r="B2457">
            <v>3118220002654</v>
          </cell>
          <cell r="C2457">
            <v>13118220002651</v>
          </cell>
          <cell r="D2457">
            <v>23118220002658</v>
          </cell>
          <cell r="E2457" t="str">
            <v>FOURCHETTE AMANDE TURQUOISE+GENCOD</v>
          </cell>
          <cell r="F2457">
            <v>240</v>
          </cell>
          <cell r="G2457">
            <v>12</v>
          </cell>
          <cell r="H2457">
            <v>35.5</v>
          </cell>
          <cell r="I2457">
            <v>23</v>
          </cell>
          <cell r="J2457">
            <v>28</v>
          </cell>
          <cell r="K2457">
            <v>11.56</v>
          </cell>
          <cell r="L2457">
            <v>4.816666666666667E-2</v>
          </cell>
          <cell r="M2457">
            <v>2.2861999999999997E-2</v>
          </cell>
        </row>
        <row r="2458">
          <cell r="A2458">
            <v>30150003</v>
          </cell>
          <cell r="B2458">
            <v>3118220002661</v>
          </cell>
          <cell r="C2458">
            <v>13118220002668</v>
          </cell>
          <cell r="D2458">
            <v>23118220002665</v>
          </cell>
          <cell r="E2458" t="str">
            <v>CUILLERE AMANDE TURQUOISE+GENCOD</v>
          </cell>
          <cell r="F2458">
            <v>240</v>
          </cell>
          <cell r="G2458">
            <v>12</v>
          </cell>
          <cell r="H2458">
            <v>35.5</v>
          </cell>
          <cell r="I2458">
            <v>14</v>
          </cell>
          <cell r="J2458">
            <v>18</v>
          </cell>
          <cell r="K2458">
            <v>11.52</v>
          </cell>
          <cell r="L2458">
            <v>4.8000000000000001E-2</v>
          </cell>
          <cell r="M2458">
            <v>8.9459999999999991E-3</v>
          </cell>
        </row>
        <row r="2459">
          <cell r="A2459">
            <v>30150004</v>
          </cell>
          <cell r="B2459">
            <v>3118220002678</v>
          </cell>
          <cell r="C2459">
            <v>13118220002675</v>
          </cell>
          <cell r="D2459">
            <v>23118220002672</v>
          </cell>
          <cell r="E2459" t="str">
            <v>CAFE AMANDE TURQUOISE+GENCOD</v>
          </cell>
          <cell r="F2459">
            <v>240</v>
          </cell>
          <cell r="G2459">
            <v>12</v>
          </cell>
          <cell r="H2459">
            <v>30</v>
          </cell>
          <cell r="I2459">
            <v>17</v>
          </cell>
          <cell r="J2459">
            <v>25</v>
          </cell>
          <cell r="K2459">
            <v>6.32</v>
          </cell>
          <cell r="L2459">
            <v>2.6333333333333334E-2</v>
          </cell>
          <cell r="M2459">
            <v>1.2749999999999999E-2</v>
          </cell>
        </row>
        <row r="2460">
          <cell r="A2460">
            <v>30150005</v>
          </cell>
          <cell r="B2460">
            <v>3118224213995</v>
          </cell>
          <cell r="C2460">
            <v>13118224213992</v>
          </cell>
          <cell r="D2460">
            <v>23118224213999</v>
          </cell>
          <cell r="E2460" t="str">
            <v>M24 AMANDE LILAS EN POT PET TB</v>
          </cell>
          <cell r="F2460">
            <v>9</v>
          </cell>
          <cell r="G2460">
            <v>9</v>
          </cell>
          <cell r="H2460">
            <v>35.5</v>
          </cell>
          <cell r="I2460">
            <v>35</v>
          </cell>
          <cell r="J2460">
            <v>24.5</v>
          </cell>
          <cell r="K2460">
            <v>10.7</v>
          </cell>
          <cell r="L2460">
            <v>1.1888888888888889</v>
          </cell>
          <cell r="M2460">
            <v>3.0441249999999996E-2</v>
          </cell>
        </row>
        <row r="2461">
          <cell r="A2461">
            <v>30140028</v>
          </cell>
          <cell r="B2461">
            <v>3118220007031</v>
          </cell>
          <cell r="E2461" t="str">
            <v>CUILLERE MANGO TAUPE 7531C VRAC</v>
          </cell>
          <cell r="F2461">
            <v>240</v>
          </cell>
          <cell r="G2461">
            <v>240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</row>
        <row r="2462">
          <cell r="A2462">
            <v>30150007</v>
          </cell>
          <cell r="B2462">
            <v>3118220042094</v>
          </cell>
          <cell r="E2462" t="str">
            <v>M24 AMANDE ROUGE EN BOITE TB COLLECTION</v>
          </cell>
          <cell r="F2462">
            <v>6</v>
          </cell>
          <cell r="G2462">
            <v>6</v>
          </cell>
          <cell r="H2462">
            <v>30</v>
          </cell>
          <cell r="I2462">
            <v>26.5</v>
          </cell>
          <cell r="J2462">
            <v>30.5</v>
          </cell>
          <cell r="K2462">
            <v>7.0590000000000002</v>
          </cell>
          <cell r="L2462">
            <v>1.1765000000000001</v>
          </cell>
          <cell r="M2462">
            <v>2.4247499999999995E-2</v>
          </cell>
        </row>
        <row r="2463">
          <cell r="A2463">
            <v>30150008</v>
          </cell>
          <cell r="B2463">
            <v>3118220045248</v>
          </cell>
          <cell r="C2463" t="str">
            <v>13118220045245</v>
          </cell>
          <cell r="D2463" t="str">
            <v>23118220045242</v>
          </cell>
          <cell r="E2463" t="str">
            <v>COUTEAU AMANDE VERT DE GRIS 622C + GENCOD</v>
          </cell>
          <cell r="F2463">
            <v>240</v>
          </cell>
          <cell r="G2463">
            <v>12</v>
          </cell>
          <cell r="H2463">
            <v>37</v>
          </cell>
          <cell r="I2463">
            <v>27.5</v>
          </cell>
          <cell r="J2463">
            <v>26</v>
          </cell>
          <cell r="K2463">
            <v>12.635</v>
          </cell>
          <cell r="L2463">
            <v>5.2645833333333329E-2</v>
          </cell>
          <cell r="M2463">
            <v>2.6455000000000003E-2</v>
          </cell>
        </row>
        <row r="2464">
          <cell r="A2464">
            <v>30150009</v>
          </cell>
          <cell r="B2464">
            <v>3118220045255</v>
          </cell>
          <cell r="C2464" t="str">
            <v>13118220045252</v>
          </cell>
          <cell r="D2464" t="str">
            <v>23118220045259</v>
          </cell>
          <cell r="E2464" t="str">
            <v>FOURCHETTE AMANDE VERT DE GRIS 622C + GENCOD</v>
          </cell>
          <cell r="F2464">
            <v>240</v>
          </cell>
          <cell r="G2464">
            <v>12</v>
          </cell>
          <cell r="H2464">
            <v>27.5</v>
          </cell>
          <cell r="I2464">
            <v>23</v>
          </cell>
          <cell r="J2464">
            <v>35</v>
          </cell>
          <cell r="K2464">
            <v>10.347</v>
          </cell>
          <cell r="L2464">
            <v>4.3112499999999998E-2</v>
          </cell>
          <cell r="M2464">
            <v>2.2137500000000001E-2</v>
          </cell>
        </row>
        <row r="2465">
          <cell r="A2465">
            <v>30150010</v>
          </cell>
          <cell r="B2465">
            <v>3118220045262</v>
          </cell>
          <cell r="C2465" t="str">
            <v>13118220045269</v>
          </cell>
          <cell r="D2465" t="str">
            <v>23118220045266</v>
          </cell>
          <cell r="E2465" t="str">
            <v>CUILLERE AMANDE VERT DE GRIS 622C + GENCOD</v>
          </cell>
          <cell r="F2465">
            <v>240</v>
          </cell>
          <cell r="G2465">
            <v>12</v>
          </cell>
          <cell r="H2465">
            <v>27.5</v>
          </cell>
          <cell r="I2465">
            <v>23</v>
          </cell>
          <cell r="J2465">
            <v>35</v>
          </cell>
          <cell r="K2465">
            <v>12.33</v>
          </cell>
          <cell r="L2465">
            <v>5.1374999999999997E-2</v>
          </cell>
          <cell r="M2465">
            <v>2.2137500000000001E-2</v>
          </cell>
        </row>
        <row r="2466">
          <cell r="A2466">
            <v>30150011</v>
          </cell>
          <cell r="B2466">
            <v>3118220045279</v>
          </cell>
          <cell r="C2466" t="str">
            <v>13118220045276</v>
          </cell>
          <cell r="D2466" t="str">
            <v>23118220045273</v>
          </cell>
          <cell r="E2466" t="str">
            <v>CAFE AMANDE VERT DE GRIS 622C + GENCOD</v>
          </cell>
          <cell r="F2466">
            <v>240</v>
          </cell>
          <cell r="G2466">
            <v>12</v>
          </cell>
          <cell r="H2466">
            <v>25</v>
          </cell>
          <cell r="I2466">
            <v>16.5</v>
          </cell>
          <cell r="J2466">
            <v>31</v>
          </cell>
          <cell r="K2466">
            <v>7.1219999999999999</v>
          </cell>
          <cell r="L2466">
            <v>2.9675E-2</v>
          </cell>
          <cell r="M2466">
            <v>1.27875E-2</v>
          </cell>
        </row>
        <row r="2467">
          <cell r="A2467">
            <v>30170008</v>
          </cell>
          <cell r="B2467">
            <v>3118220004771</v>
          </cell>
          <cell r="C2467" t="str">
            <v>13118220004778</v>
          </cell>
          <cell r="D2467" t="str">
            <v>23118220004775</v>
          </cell>
          <cell r="E2467" t="str">
            <v>COUTEAU LAG DUO GRIS COOL GREY 7C+ GENCOD</v>
          </cell>
          <cell r="F2467">
            <v>240</v>
          </cell>
          <cell r="G2467">
            <v>6</v>
          </cell>
          <cell r="H2467">
            <v>35</v>
          </cell>
          <cell r="I2467">
            <v>28</v>
          </cell>
          <cell r="J2467">
            <v>32.5</v>
          </cell>
          <cell r="K2467">
            <v>11.16</v>
          </cell>
          <cell r="L2467">
            <v>4.65E-2</v>
          </cell>
          <cell r="M2467">
            <v>3.1849999999999996E-2</v>
          </cell>
        </row>
        <row r="2468">
          <cell r="A2468">
            <v>30170009</v>
          </cell>
          <cell r="B2468">
            <v>3118220004788</v>
          </cell>
          <cell r="C2468" t="str">
            <v>13118220004785</v>
          </cell>
          <cell r="D2468" t="str">
            <v>23118220004782</v>
          </cell>
          <cell r="E2468" t="str">
            <v>FOURCHETTE LAG DUO GRIS COOL GREY 7C+ GENCOD</v>
          </cell>
          <cell r="F2468">
            <v>240</v>
          </cell>
          <cell r="G2468">
            <v>6</v>
          </cell>
          <cell r="H2468">
            <v>37.5</v>
          </cell>
          <cell r="I2468">
            <v>24.5</v>
          </cell>
          <cell r="J2468">
            <v>31.5</v>
          </cell>
          <cell r="K2468">
            <v>12.48</v>
          </cell>
          <cell r="L2468">
            <v>5.2000000000000005E-2</v>
          </cell>
          <cell r="M2468">
            <v>2.8940625000000001E-2</v>
          </cell>
        </row>
        <row r="2469">
          <cell r="A2469">
            <v>30170010</v>
          </cell>
          <cell r="B2469">
            <v>3118220004795</v>
          </cell>
          <cell r="C2469" t="str">
            <v>13118220004792</v>
          </cell>
          <cell r="D2469" t="str">
            <v>23118220004799</v>
          </cell>
          <cell r="E2469" t="str">
            <v>CUILLERE LAG DUO GRIS COOL GREY 7C+ GENCOD</v>
          </cell>
          <cell r="F2469">
            <v>240</v>
          </cell>
          <cell r="G2469">
            <v>6</v>
          </cell>
          <cell r="H2469">
            <v>38</v>
          </cell>
          <cell r="I2469">
            <v>24.5</v>
          </cell>
          <cell r="J2469">
            <v>32</v>
          </cell>
          <cell r="K2469">
            <v>12</v>
          </cell>
          <cell r="L2469">
            <v>0.05</v>
          </cell>
          <cell r="M2469">
            <v>2.9791999999999999E-2</v>
          </cell>
        </row>
        <row r="2470">
          <cell r="A2470">
            <v>30170011</v>
          </cell>
          <cell r="B2470">
            <v>3118220004801</v>
          </cell>
          <cell r="C2470" t="str">
            <v>13118220004808</v>
          </cell>
          <cell r="D2470" t="str">
            <v>23118220004805</v>
          </cell>
          <cell r="E2470" t="str">
            <v>CAFE LAG DUO GRIS COOL GREY 7C+ GENCOD</v>
          </cell>
          <cell r="F2470">
            <v>240</v>
          </cell>
          <cell r="G2470">
            <v>6</v>
          </cell>
          <cell r="H2470">
            <v>38.5</v>
          </cell>
          <cell r="I2470">
            <v>19.5</v>
          </cell>
          <cell r="J2470">
            <v>27.5</v>
          </cell>
          <cell r="K2470">
            <v>7.2</v>
          </cell>
          <cell r="L2470">
            <v>3.0000000000000002E-2</v>
          </cell>
          <cell r="M2470">
            <v>2.0645625000000001E-2</v>
          </cell>
        </row>
        <row r="2471">
          <cell r="A2471">
            <v>30170012</v>
          </cell>
          <cell r="B2471">
            <v>3118220004818</v>
          </cell>
          <cell r="C2471">
            <v>13118220004815</v>
          </cell>
          <cell r="D2471">
            <v>23118220004812</v>
          </cell>
          <cell r="E2471" t="str">
            <v>COUTEAU LAG DUO VERT 381C+ GENCOD</v>
          </cell>
          <cell r="F2471">
            <v>240</v>
          </cell>
          <cell r="G2471">
            <v>6</v>
          </cell>
          <cell r="H2471">
            <v>33.5</v>
          </cell>
          <cell r="I2471">
            <v>27.5</v>
          </cell>
          <cell r="J2471">
            <v>32.5</v>
          </cell>
          <cell r="K2471">
            <v>11.92</v>
          </cell>
          <cell r="L2471">
            <v>4.9666666666666665E-2</v>
          </cell>
          <cell r="M2471">
            <v>2.9940625000000002E-2</v>
          </cell>
        </row>
        <row r="2472">
          <cell r="A2472">
            <v>30170013</v>
          </cell>
          <cell r="B2472">
            <v>3118220004825</v>
          </cell>
          <cell r="C2472">
            <v>13118220004822</v>
          </cell>
          <cell r="D2472">
            <v>23118220004829</v>
          </cell>
          <cell r="E2472" t="str">
            <v>FOURCHETTE LAG DUO VERT 381C+ GENCOD</v>
          </cell>
          <cell r="F2472">
            <v>240</v>
          </cell>
          <cell r="G2472">
            <v>6</v>
          </cell>
          <cell r="H2472">
            <v>37.5</v>
          </cell>
          <cell r="I2472">
            <v>24.5</v>
          </cell>
          <cell r="J2472">
            <v>31.5</v>
          </cell>
          <cell r="K2472">
            <v>11.5</v>
          </cell>
          <cell r="L2472">
            <v>4.791666666666667E-2</v>
          </cell>
          <cell r="M2472">
            <v>2.8940625000000001E-2</v>
          </cell>
        </row>
        <row r="2473">
          <cell r="A2473">
            <v>30170014</v>
          </cell>
          <cell r="B2473">
            <v>3118220004832</v>
          </cell>
          <cell r="C2473">
            <v>13118220004839</v>
          </cell>
          <cell r="D2473">
            <v>23118220004836</v>
          </cell>
          <cell r="E2473" t="str">
            <v>CUILLERE LAG DUO VERT 381C+ GENCOD</v>
          </cell>
          <cell r="F2473">
            <v>240</v>
          </cell>
          <cell r="G2473">
            <v>6</v>
          </cell>
          <cell r="H2473">
            <v>38</v>
          </cell>
          <cell r="I2473">
            <v>24.5</v>
          </cell>
          <cell r="J2473">
            <v>32</v>
          </cell>
          <cell r="K2473">
            <v>13.14</v>
          </cell>
          <cell r="L2473">
            <v>5.475E-2</v>
          </cell>
          <cell r="M2473">
            <v>2.9791999999999999E-2</v>
          </cell>
        </row>
        <row r="2474">
          <cell r="A2474">
            <v>30170015</v>
          </cell>
          <cell r="B2474">
            <v>3118220004849</v>
          </cell>
          <cell r="C2474">
            <v>13118220004846</v>
          </cell>
          <cell r="D2474">
            <v>23118220004843</v>
          </cell>
          <cell r="E2474" t="str">
            <v>CAFE LAG DUO VERT 381C+ GENCOD</v>
          </cell>
          <cell r="F2474">
            <v>240</v>
          </cell>
          <cell r="G2474">
            <v>6</v>
          </cell>
          <cell r="H2474">
            <v>38.5</v>
          </cell>
          <cell r="I2474">
            <v>19.5</v>
          </cell>
          <cell r="J2474">
            <v>27.5</v>
          </cell>
          <cell r="K2474">
            <v>7.43</v>
          </cell>
          <cell r="L2474">
            <v>3.0958333333333331E-2</v>
          </cell>
          <cell r="M2474">
            <v>2.0645625000000001E-2</v>
          </cell>
        </row>
        <row r="2475">
          <cell r="A2475">
            <v>30170016</v>
          </cell>
          <cell r="B2475" t="str">
            <v>3118220004856</v>
          </cell>
          <cell r="C2475" t="str">
            <v>13118220004853</v>
          </cell>
          <cell r="D2475" t="str">
            <v>23118220004850</v>
          </cell>
          <cell r="E2475" t="str">
            <v>COUTEAU LAG DUO TAUPE WARM GREY 8+ GENCOD</v>
          </cell>
          <cell r="F2475">
            <v>240</v>
          </cell>
          <cell r="G2475">
            <v>6</v>
          </cell>
          <cell r="H2475">
            <v>33.5</v>
          </cell>
          <cell r="I2475">
            <v>27</v>
          </cell>
          <cell r="J2475">
            <v>32.5</v>
          </cell>
          <cell r="K2475">
            <v>11.92</v>
          </cell>
          <cell r="L2475">
            <v>4.9666666666666665E-2</v>
          </cell>
          <cell r="M2475">
            <v>2.9396249999999999E-2</v>
          </cell>
        </row>
        <row r="2476">
          <cell r="A2476">
            <v>30170017</v>
          </cell>
          <cell r="B2476" t="str">
            <v>3118220004863</v>
          </cell>
          <cell r="C2476" t="str">
            <v>13118220004860</v>
          </cell>
          <cell r="D2476" t="str">
            <v>23118220004867</v>
          </cell>
          <cell r="E2476" t="str">
            <v>FOURCHETTE LAG DUO TAUPE WARM GREY 8+ GENCOD</v>
          </cell>
          <cell r="F2476">
            <v>240</v>
          </cell>
          <cell r="G2476">
            <v>6</v>
          </cell>
          <cell r="H2476">
            <v>37.5</v>
          </cell>
          <cell r="I2476">
            <v>24.5</v>
          </cell>
          <cell r="J2476">
            <v>31.5</v>
          </cell>
          <cell r="K2476">
            <v>11.5</v>
          </cell>
          <cell r="L2476">
            <v>4.791666666666667E-2</v>
          </cell>
          <cell r="M2476">
            <v>2.8940625000000001E-2</v>
          </cell>
        </row>
        <row r="2477">
          <cell r="A2477">
            <v>30170018</v>
          </cell>
          <cell r="B2477" t="str">
            <v>3118220004870</v>
          </cell>
          <cell r="C2477" t="str">
            <v>13118220004877</v>
          </cell>
          <cell r="D2477" t="str">
            <v>23118220004874</v>
          </cell>
          <cell r="E2477" t="str">
            <v>CUILLERE LAG DUO TAUPE WARM GREY 8+ GENCOD</v>
          </cell>
          <cell r="F2477">
            <v>240</v>
          </cell>
          <cell r="G2477">
            <v>6</v>
          </cell>
          <cell r="H2477">
            <v>34</v>
          </cell>
          <cell r="I2477">
            <v>23</v>
          </cell>
          <cell r="J2477">
            <v>38</v>
          </cell>
          <cell r="K2477">
            <v>15.19</v>
          </cell>
          <cell r="L2477">
            <v>6.3291666666666663E-2</v>
          </cell>
          <cell r="M2477">
            <v>2.9715999999999999E-2</v>
          </cell>
        </row>
        <row r="2478">
          <cell r="A2478">
            <v>30170019</v>
          </cell>
          <cell r="B2478" t="str">
            <v>3118220004887</v>
          </cell>
          <cell r="C2478" t="str">
            <v>13118220004884</v>
          </cell>
          <cell r="D2478" t="str">
            <v>23118220004881</v>
          </cell>
          <cell r="E2478" t="str">
            <v>CAFE LAG DUO TAUPE WARM GREY 8+ GENCOD</v>
          </cell>
          <cell r="F2478">
            <v>240</v>
          </cell>
          <cell r="G2478">
            <v>6</v>
          </cell>
          <cell r="H2478">
            <v>38.5</v>
          </cell>
          <cell r="I2478">
            <v>19.5</v>
          </cell>
          <cell r="J2478">
            <v>27.5</v>
          </cell>
          <cell r="K2478">
            <v>7.43</v>
          </cell>
          <cell r="L2478">
            <v>3.0958333333333331E-2</v>
          </cell>
          <cell r="M2478">
            <v>2.0645625000000001E-2</v>
          </cell>
        </row>
        <row r="2479">
          <cell r="A2479">
            <v>30170020</v>
          </cell>
          <cell r="B2479" t="str">
            <v>3118220004894</v>
          </cell>
          <cell r="C2479" t="str">
            <v>13118220004891</v>
          </cell>
          <cell r="D2479" t="str">
            <v>23118220004898</v>
          </cell>
          <cell r="E2479" t="str">
            <v>COUTEAU LAG DUO ROSE 226C+ GENCOD</v>
          </cell>
          <cell r="F2479">
            <v>240</v>
          </cell>
          <cell r="G2479">
            <v>6</v>
          </cell>
          <cell r="H2479">
            <v>34.5</v>
          </cell>
          <cell r="I2479">
            <v>27</v>
          </cell>
          <cell r="J2479">
            <v>32</v>
          </cell>
          <cell r="K2479">
            <v>12</v>
          </cell>
          <cell r="L2479">
            <v>0.05</v>
          </cell>
          <cell r="M2479">
            <v>2.9807999999999998E-2</v>
          </cell>
        </row>
        <row r="2480">
          <cell r="A2480">
            <v>30170021</v>
          </cell>
          <cell r="B2480" t="str">
            <v>3118220004900</v>
          </cell>
          <cell r="C2480" t="str">
            <v>13118220004907</v>
          </cell>
          <cell r="D2480" t="str">
            <v>23118220004904</v>
          </cell>
          <cell r="E2480" t="str">
            <v>FOURCHETTE LAG DUO ROSE 226C+ GENCOD</v>
          </cell>
          <cell r="F2480">
            <v>240</v>
          </cell>
          <cell r="G2480">
            <v>6</v>
          </cell>
          <cell r="H2480">
            <v>37.5</v>
          </cell>
          <cell r="I2480">
            <v>24.5</v>
          </cell>
          <cell r="J2480">
            <v>31.5</v>
          </cell>
          <cell r="K2480">
            <v>11.5</v>
          </cell>
          <cell r="L2480">
            <v>4.791666666666667E-2</v>
          </cell>
          <cell r="M2480">
            <v>2.8940625000000001E-2</v>
          </cell>
        </row>
        <row r="2481">
          <cell r="A2481">
            <v>30170022</v>
          </cell>
          <cell r="B2481" t="str">
            <v>3118220004917</v>
          </cell>
          <cell r="C2481" t="str">
            <v>13118220004914</v>
          </cell>
          <cell r="D2481" t="str">
            <v>23118220004911</v>
          </cell>
          <cell r="E2481" t="str">
            <v>CUILLERE LAG DUO ROSE 226C+ GENCOD</v>
          </cell>
          <cell r="F2481">
            <v>240</v>
          </cell>
          <cell r="G2481">
            <v>6</v>
          </cell>
          <cell r="H2481">
            <v>34</v>
          </cell>
          <cell r="I2481">
            <v>23</v>
          </cell>
          <cell r="J2481">
            <v>38</v>
          </cell>
          <cell r="K2481">
            <v>15.19</v>
          </cell>
          <cell r="L2481">
            <v>6.3291666666666663E-2</v>
          </cell>
          <cell r="M2481">
            <v>2.9715999999999999E-2</v>
          </cell>
        </row>
        <row r="2482">
          <cell r="A2482">
            <v>30170023</v>
          </cell>
          <cell r="B2482" t="str">
            <v>3118220004924</v>
          </cell>
          <cell r="C2482" t="str">
            <v>13118220004921</v>
          </cell>
          <cell r="D2482" t="str">
            <v>23118220004928</v>
          </cell>
          <cell r="E2482" t="str">
            <v>CAFE LAG DUO ROSE 226C+ GENCOD</v>
          </cell>
          <cell r="F2482">
            <v>240</v>
          </cell>
          <cell r="G2482">
            <v>6</v>
          </cell>
          <cell r="H2482">
            <v>38.5</v>
          </cell>
          <cell r="I2482">
            <v>19.5</v>
          </cell>
          <cell r="J2482">
            <v>27.5</v>
          </cell>
          <cell r="K2482">
            <v>7.43</v>
          </cell>
          <cell r="L2482">
            <v>3.0958333333333331E-2</v>
          </cell>
          <cell r="M2482">
            <v>2.0645625000000001E-2</v>
          </cell>
        </row>
        <row r="2483">
          <cell r="A2483">
            <v>30170024</v>
          </cell>
          <cell r="B2483">
            <v>3118220004931</v>
          </cell>
          <cell r="C2483" t="str">
            <v>13118220004938</v>
          </cell>
          <cell r="D2483" t="str">
            <v>23118220004935</v>
          </cell>
          <cell r="E2483" t="str">
            <v>COUTEAU LAG DUO NOIR+ GENCOD</v>
          </cell>
          <cell r="F2483">
            <v>240</v>
          </cell>
          <cell r="G2483">
            <v>6</v>
          </cell>
          <cell r="H2483">
            <v>33.5</v>
          </cell>
          <cell r="I2483">
            <v>27.5</v>
          </cell>
          <cell r="J2483">
            <v>32.5</v>
          </cell>
          <cell r="K2483">
            <v>11.699</v>
          </cell>
          <cell r="L2483">
            <v>4.8745833333333335E-2</v>
          </cell>
          <cell r="M2483">
            <v>2.9940625000000002E-2</v>
          </cell>
        </row>
        <row r="2484">
          <cell r="A2484">
            <v>30170025</v>
          </cell>
          <cell r="B2484">
            <v>3118220004948</v>
          </cell>
          <cell r="C2484" t="str">
            <v>13118220004945</v>
          </cell>
          <cell r="D2484" t="str">
            <v>23118220004942</v>
          </cell>
          <cell r="E2484" t="str">
            <v>FOURCHETTE LAG DUO NOIR+ GENCOD</v>
          </cell>
          <cell r="F2484">
            <v>240</v>
          </cell>
          <cell r="G2484">
            <v>6</v>
          </cell>
          <cell r="H2484">
            <v>37.5</v>
          </cell>
          <cell r="I2484">
            <v>24.5</v>
          </cell>
          <cell r="J2484">
            <v>31.5</v>
          </cell>
          <cell r="K2484">
            <v>11.5</v>
          </cell>
          <cell r="L2484">
            <v>4.791666666666667E-2</v>
          </cell>
          <cell r="M2484">
            <v>2.8940625000000001E-2</v>
          </cell>
        </row>
        <row r="2485">
          <cell r="A2485">
            <v>30170026</v>
          </cell>
          <cell r="B2485">
            <v>3118220004955</v>
          </cell>
          <cell r="C2485" t="str">
            <v>13118220004952</v>
          </cell>
          <cell r="D2485" t="str">
            <v>23118220004959</v>
          </cell>
          <cell r="E2485" t="str">
            <v>CUILLERE LAG DUO NOIR+ GENCOD</v>
          </cell>
          <cell r="F2485">
            <v>240</v>
          </cell>
          <cell r="G2485">
            <v>6</v>
          </cell>
          <cell r="H2485">
            <v>38</v>
          </cell>
          <cell r="I2485">
            <v>24.5</v>
          </cell>
          <cell r="J2485">
            <v>32</v>
          </cell>
          <cell r="K2485">
            <v>13.14</v>
          </cell>
          <cell r="L2485">
            <v>5.475E-2</v>
          </cell>
          <cell r="M2485">
            <v>2.9791999999999999E-2</v>
          </cell>
        </row>
        <row r="2486">
          <cell r="A2486">
            <v>30170027</v>
          </cell>
          <cell r="B2486">
            <v>3118220004962</v>
          </cell>
          <cell r="C2486" t="str">
            <v>13118220004969</v>
          </cell>
          <cell r="D2486" t="str">
            <v>23118220004966</v>
          </cell>
          <cell r="E2486" t="str">
            <v>CAFE LAG DUO NOIR+ GENCOD</v>
          </cell>
          <cell r="F2486">
            <v>240</v>
          </cell>
          <cell r="G2486">
            <v>6</v>
          </cell>
          <cell r="H2486">
            <v>38.5</v>
          </cell>
          <cell r="I2486">
            <v>19.5</v>
          </cell>
          <cell r="J2486">
            <v>27.5</v>
          </cell>
          <cell r="K2486">
            <v>7.08</v>
          </cell>
          <cell r="L2486">
            <v>2.9500000000000002E-2</v>
          </cell>
          <cell r="M2486">
            <v>2.0645625000000001E-2</v>
          </cell>
        </row>
        <row r="2487">
          <cell r="A2487">
            <v>30170028</v>
          </cell>
          <cell r="B2487">
            <v>3118220004979</v>
          </cell>
          <cell r="C2487" t="str">
            <v>13118220004976</v>
          </cell>
          <cell r="D2487" t="str">
            <v>23118220004973</v>
          </cell>
          <cell r="E2487" t="str">
            <v>COUTEAU LAG DUO ROUGE 200 C+ GENCOD</v>
          </cell>
          <cell r="F2487">
            <v>240</v>
          </cell>
          <cell r="G2487">
            <v>6</v>
          </cell>
          <cell r="H2487">
            <v>33.5</v>
          </cell>
          <cell r="I2487">
            <v>27.5</v>
          </cell>
          <cell r="J2487">
            <v>32.5</v>
          </cell>
          <cell r="K2487">
            <v>11.04</v>
          </cell>
          <cell r="L2487">
            <v>4.5999999999999999E-2</v>
          </cell>
          <cell r="M2487">
            <v>2.9940625000000002E-2</v>
          </cell>
        </row>
        <row r="2488">
          <cell r="A2488">
            <v>30170029</v>
          </cell>
          <cell r="B2488">
            <v>3118220004986</v>
          </cell>
          <cell r="C2488" t="str">
            <v>13118220004983</v>
          </cell>
          <cell r="D2488" t="str">
            <v>23118220004980</v>
          </cell>
          <cell r="E2488" t="str">
            <v>FOURCHETTE LAG DUO ROUGE 200 C+ GENCOD</v>
          </cell>
          <cell r="F2488">
            <v>240</v>
          </cell>
          <cell r="G2488">
            <v>6</v>
          </cell>
          <cell r="H2488">
            <v>37.5</v>
          </cell>
          <cell r="I2488">
            <v>24.5</v>
          </cell>
          <cell r="J2488">
            <v>31.5</v>
          </cell>
          <cell r="K2488">
            <v>12.613</v>
          </cell>
          <cell r="L2488">
            <v>5.2554166666666666E-2</v>
          </cell>
          <cell r="M2488">
            <v>2.8940625000000001E-2</v>
          </cell>
        </row>
        <row r="2489">
          <cell r="A2489">
            <v>30170030</v>
          </cell>
          <cell r="B2489">
            <v>3118220004993</v>
          </cell>
          <cell r="C2489" t="str">
            <v>13118220004990</v>
          </cell>
          <cell r="D2489" t="str">
            <v>23118220004997</v>
          </cell>
          <cell r="E2489" t="str">
            <v>CUILLERE LAG DUO ROUGE 200 C+ GENCOD</v>
          </cell>
          <cell r="F2489">
            <v>240</v>
          </cell>
          <cell r="G2489">
            <v>6</v>
          </cell>
          <cell r="H2489">
            <v>38</v>
          </cell>
          <cell r="I2489">
            <v>24.5</v>
          </cell>
          <cell r="J2489">
            <v>32</v>
          </cell>
          <cell r="K2489">
            <v>13.92</v>
          </cell>
          <cell r="L2489">
            <v>5.8000000000000003E-2</v>
          </cell>
          <cell r="M2489">
            <v>2.9791999999999999E-2</v>
          </cell>
        </row>
        <row r="2490">
          <cell r="A2490">
            <v>30170031</v>
          </cell>
          <cell r="B2490">
            <v>3118220005006</v>
          </cell>
          <cell r="C2490" t="str">
            <v>13118220005003</v>
          </cell>
          <cell r="D2490" t="str">
            <v>23118220005000</v>
          </cell>
          <cell r="E2490" t="str">
            <v>CAFE LAG DUO ROUGE 200 C+ GENCOD</v>
          </cell>
          <cell r="F2490">
            <v>240</v>
          </cell>
          <cell r="G2490">
            <v>6</v>
          </cell>
          <cell r="H2490">
            <v>38.5</v>
          </cell>
          <cell r="I2490">
            <v>19.5</v>
          </cell>
          <cell r="J2490">
            <v>27.5</v>
          </cell>
          <cell r="K2490">
            <v>6.88</v>
          </cell>
          <cell r="L2490">
            <v>2.8666666666666667E-2</v>
          </cell>
          <cell r="M2490">
            <v>2.0645625000000001E-2</v>
          </cell>
        </row>
        <row r="2491">
          <cell r="A2491">
            <v>30170032</v>
          </cell>
          <cell r="B2491" t="str">
            <v>3118220009219</v>
          </cell>
          <cell r="C2491" t="str">
            <v>13118220009216</v>
          </cell>
          <cell r="D2491" t="str">
            <v>23118220009213</v>
          </cell>
          <cell r="E2491" t="str">
            <v>M24 DUO ROUGE OU NOIR EN PANIER FIL ACIER GENCOD UNIQUE</v>
          </cell>
          <cell r="F2491">
            <v>6</v>
          </cell>
          <cell r="G2491">
            <v>6</v>
          </cell>
          <cell r="H2491">
            <v>35.5</v>
          </cell>
          <cell r="I2491">
            <v>26</v>
          </cell>
          <cell r="J2491">
            <v>27.5</v>
          </cell>
          <cell r="K2491">
            <v>6.96</v>
          </cell>
          <cell r="L2491">
            <v>1.1599999999999999</v>
          </cell>
          <cell r="M2491">
            <v>2.5382500000000002E-2</v>
          </cell>
        </row>
        <row r="2492">
          <cell r="A2492">
            <v>30170033</v>
          </cell>
          <cell r="B2492" t="str">
            <v>3118220013179</v>
          </cell>
          <cell r="C2492" t="str">
            <v>13118220013176</v>
          </cell>
          <cell r="D2492" t="str">
            <v>23118220013173</v>
          </cell>
          <cell r="E2492" t="str">
            <v>COUTEAU LAG DUO MARINE + GENCOD</v>
          </cell>
          <cell r="F2492">
            <v>240</v>
          </cell>
          <cell r="G2492">
            <v>6</v>
          </cell>
          <cell r="H2492">
            <v>33.5</v>
          </cell>
          <cell r="I2492">
            <v>27</v>
          </cell>
          <cell r="J2492">
            <v>32.5</v>
          </cell>
          <cell r="K2492">
            <v>11.92</v>
          </cell>
          <cell r="L2492">
            <v>4.9666666666666665E-2</v>
          </cell>
          <cell r="M2492">
            <v>2.9396249999999999E-2</v>
          </cell>
        </row>
        <row r="2493">
          <cell r="A2493">
            <v>30170034</v>
          </cell>
          <cell r="B2493" t="str">
            <v>3118220013186</v>
          </cell>
          <cell r="C2493" t="str">
            <v>13118220013183</v>
          </cell>
          <cell r="D2493" t="str">
            <v>23118220013180</v>
          </cell>
          <cell r="E2493" t="str">
            <v>FOURCHETTE LAG DUO MARINE + GENCOD</v>
          </cell>
          <cell r="F2493">
            <v>240</v>
          </cell>
          <cell r="G2493">
            <v>6</v>
          </cell>
          <cell r="H2493">
            <v>37.5</v>
          </cell>
          <cell r="I2493">
            <v>24.5</v>
          </cell>
          <cell r="J2493">
            <v>31.5</v>
          </cell>
          <cell r="K2493">
            <v>11.5</v>
          </cell>
          <cell r="L2493">
            <v>4.791666666666667E-2</v>
          </cell>
          <cell r="M2493">
            <v>2.8940625000000001E-2</v>
          </cell>
        </row>
        <row r="2494">
          <cell r="A2494">
            <v>30170035</v>
          </cell>
          <cell r="B2494" t="str">
            <v>3118220013193</v>
          </cell>
          <cell r="C2494" t="str">
            <v>13118220013190</v>
          </cell>
          <cell r="D2494" t="str">
            <v>23118220013197</v>
          </cell>
          <cell r="E2494" t="str">
            <v>CUILLERE LAG DUO MARINE + GENCOD</v>
          </cell>
          <cell r="F2494">
            <v>240</v>
          </cell>
          <cell r="G2494">
            <v>6</v>
          </cell>
          <cell r="H2494">
            <v>38</v>
          </cell>
          <cell r="I2494">
            <v>24.5</v>
          </cell>
          <cell r="J2494">
            <v>32</v>
          </cell>
          <cell r="K2494">
            <v>13.14</v>
          </cell>
          <cell r="L2494">
            <v>5.475E-2</v>
          </cell>
          <cell r="M2494">
            <v>2.9791999999999999E-2</v>
          </cell>
        </row>
        <row r="2495">
          <cell r="A2495">
            <v>30170036</v>
          </cell>
          <cell r="B2495" t="str">
            <v>3118220013209</v>
          </cell>
          <cell r="C2495" t="str">
            <v>13118220013206</v>
          </cell>
          <cell r="D2495" t="str">
            <v>23118220013203</v>
          </cell>
          <cell r="E2495" t="str">
            <v>CAFE LAG DUO MARINE + GENCOD</v>
          </cell>
          <cell r="F2495">
            <v>240</v>
          </cell>
          <cell r="G2495">
            <v>6</v>
          </cell>
          <cell r="H2495">
            <v>38.5</v>
          </cell>
          <cell r="I2495">
            <v>19.5</v>
          </cell>
          <cell r="J2495">
            <v>27.5</v>
          </cell>
          <cell r="K2495">
            <v>7.43</v>
          </cell>
          <cell r="L2495">
            <v>3.0958333333333331E-2</v>
          </cell>
          <cell r="M2495">
            <v>2.0645625000000001E-2</v>
          </cell>
        </row>
        <row r="2496">
          <cell r="A2496">
            <v>30170037</v>
          </cell>
          <cell r="B2496">
            <v>3118220013216</v>
          </cell>
          <cell r="C2496" t="str">
            <v>13118220013213</v>
          </cell>
          <cell r="D2496" t="str">
            <v>23118220013210</v>
          </cell>
          <cell r="E2496" t="str">
            <v>COUTEAU LAG DUO BLANC + GENCOD</v>
          </cell>
          <cell r="F2496">
            <v>240</v>
          </cell>
          <cell r="G2496">
            <v>6</v>
          </cell>
          <cell r="H2496">
            <v>33.5</v>
          </cell>
          <cell r="I2496">
            <v>28</v>
          </cell>
          <cell r="J2496">
            <v>32.5</v>
          </cell>
          <cell r="K2496">
            <v>11.823</v>
          </cell>
          <cell r="L2496">
            <v>4.9262500000000001E-2</v>
          </cell>
          <cell r="M2496">
            <v>3.0485000000000002E-2</v>
          </cell>
        </row>
        <row r="2497">
          <cell r="A2497">
            <v>30170038</v>
          </cell>
          <cell r="B2497">
            <v>3118220013223</v>
          </cell>
          <cell r="C2497" t="str">
            <v>13118220013220</v>
          </cell>
          <cell r="D2497" t="str">
            <v>23118220013227</v>
          </cell>
          <cell r="E2497" t="str">
            <v>FOURCHETTE LAG DUO BLANC + GENCOD</v>
          </cell>
          <cell r="F2497">
            <v>240</v>
          </cell>
          <cell r="G2497">
            <v>6</v>
          </cell>
          <cell r="H2497">
            <v>37.5</v>
          </cell>
          <cell r="I2497">
            <v>24.5</v>
          </cell>
          <cell r="J2497">
            <v>31.5</v>
          </cell>
          <cell r="K2497">
            <v>12.08</v>
          </cell>
          <cell r="L2497">
            <v>5.0333333333333334E-2</v>
          </cell>
          <cell r="M2497">
            <v>2.8940625000000001E-2</v>
          </cell>
        </row>
        <row r="2498">
          <cell r="A2498">
            <v>30170039</v>
          </cell>
          <cell r="B2498">
            <v>3118220013230</v>
          </cell>
          <cell r="C2498" t="str">
            <v>13118220013237</v>
          </cell>
          <cell r="D2498" t="str">
            <v>23118220013234</v>
          </cell>
          <cell r="E2498" t="str">
            <v>CUILLERE LAG DUO BLANC + GENCOD</v>
          </cell>
          <cell r="F2498">
            <v>240</v>
          </cell>
          <cell r="G2498">
            <v>6</v>
          </cell>
          <cell r="H2498">
            <v>38</v>
          </cell>
          <cell r="I2498">
            <v>24.5</v>
          </cell>
          <cell r="J2498">
            <v>32</v>
          </cell>
          <cell r="K2498">
            <v>14.952999999999999</v>
          </cell>
          <cell r="L2498">
            <v>6.2304166666666667E-2</v>
          </cell>
          <cell r="M2498">
            <v>2.9791999999999999E-2</v>
          </cell>
        </row>
        <row r="2499">
          <cell r="A2499">
            <v>30170040</v>
          </cell>
          <cell r="B2499">
            <v>3118220013247</v>
          </cell>
          <cell r="C2499" t="str">
            <v>13118220013244</v>
          </cell>
          <cell r="D2499" t="str">
            <v>23118220013241</v>
          </cell>
          <cell r="E2499" t="str">
            <v>CAFE LAG DUO BLANC + GENCOD</v>
          </cell>
          <cell r="F2499">
            <v>240</v>
          </cell>
          <cell r="G2499">
            <v>6</v>
          </cell>
          <cell r="H2499">
            <v>38.5</v>
          </cell>
          <cell r="I2499">
            <v>19.5</v>
          </cell>
          <cell r="J2499">
            <v>27.5</v>
          </cell>
          <cell r="K2499">
            <v>7.431</v>
          </cell>
          <cell r="L2499">
            <v>3.09625E-2</v>
          </cell>
          <cell r="M2499">
            <v>2.0645625000000001E-2</v>
          </cell>
        </row>
        <row r="2500">
          <cell r="A2500">
            <v>30170041</v>
          </cell>
          <cell r="B2500">
            <v>3118220023420</v>
          </cell>
          <cell r="C2500" t="str">
            <v>13118220023427</v>
          </cell>
          <cell r="D2500" t="str">
            <v>23118220023424</v>
          </cell>
          <cell r="E2500" t="str">
            <v>COUTEAU LAG DUO VERT FONCE 5615C VRAC + GENCOD</v>
          </cell>
          <cell r="F2500">
            <v>240</v>
          </cell>
          <cell r="G2500">
            <v>6</v>
          </cell>
          <cell r="H2500">
            <v>34.5</v>
          </cell>
          <cell r="I2500">
            <v>27.5</v>
          </cell>
          <cell r="J2500">
            <v>32.5</v>
          </cell>
          <cell r="K2500">
            <v>11.817</v>
          </cell>
          <cell r="L2500">
            <v>4.9237500000000003E-2</v>
          </cell>
          <cell r="M2500">
            <v>3.0834374999999997E-2</v>
          </cell>
        </row>
        <row r="2501">
          <cell r="A2501">
            <v>30170042</v>
          </cell>
          <cell r="B2501">
            <v>3118220023437</v>
          </cell>
          <cell r="C2501" t="str">
            <v>13118220023434</v>
          </cell>
          <cell r="D2501" t="str">
            <v>23118220023431</v>
          </cell>
          <cell r="E2501" t="str">
            <v>FOURCHETTE LAG DUO VERT FONCE 5615C VRAC + GENCOD</v>
          </cell>
          <cell r="F2501">
            <v>240</v>
          </cell>
          <cell r="G2501">
            <v>6</v>
          </cell>
          <cell r="H2501">
            <v>37.5</v>
          </cell>
          <cell r="I2501">
            <v>24.5</v>
          </cell>
          <cell r="J2501">
            <v>33</v>
          </cell>
          <cell r="K2501">
            <v>13.68</v>
          </cell>
          <cell r="L2501">
            <v>5.7000000000000002E-2</v>
          </cell>
          <cell r="M2501">
            <v>3.0318749999999998E-2</v>
          </cell>
        </row>
        <row r="2502">
          <cell r="A2502">
            <v>30170043</v>
          </cell>
          <cell r="B2502">
            <v>3118220023444</v>
          </cell>
          <cell r="C2502" t="str">
            <v>13118220023441</v>
          </cell>
          <cell r="D2502" t="str">
            <v>23118220023448</v>
          </cell>
          <cell r="E2502" t="str">
            <v>CUILLERE LAG DUO VERT FONCE 5615C VRAC + GENCOD</v>
          </cell>
          <cell r="F2502">
            <v>240</v>
          </cell>
          <cell r="G2502">
            <v>6</v>
          </cell>
          <cell r="H2502">
            <v>37.5</v>
          </cell>
          <cell r="I2502">
            <v>24.5</v>
          </cell>
          <cell r="J2502">
            <v>33</v>
          </cell>
          <cell r="K2502">
            <v>14.91</v>
          </cell>
          <cell r="L2502">
            <v>6.2125E-2</v>
          </cell>
          <cell r="M2502">
            <v>3.0318749999999998E-2</v>
          </cell>
        </row>
        <row r="2503">
          <cell r="A2503">
            <v>30170044</v>
          </cell>
          <cell r="B2503">
            <v>3118220023451</v>
          </cell>
          <cell r="C2503" t="str">
            <v>13118220023458</v>
          </cell>
          <cell r="D2503" t="str">
            <v>23118220023455</v>
          </cell>
          <cell r="E2503" t="str">
            <v>CAFE LAG DUO VERT FONCE 5615C VRAC + GENCOD</v>
          </cell>
          <cell r="F2503">
            <v>240</v>
          </cell>
          <cell r="G2503">
            <v>6</v>
          </cell>
          <cell r="H2503">
            <v>39</v>
          </cell>
          <cell r="I2503">
            <v>20.5</v>
          </cell>
          <cell r="J2503">
            <v>26.5</v>
          </cell>
          <cell r="K2503">
            <v>7.43</v>
          </cell>
          <cell r="L2503">
            <v>3.0958333333333331E-2</v>
          </cell>
          <cell r="M2503">
            <v>2.1186750000000001E-2</v>
          </cell>
        </row>
        <row r="2504">
          <cell r="A2504">
            <v>30170045</v>
          </cell>
          <cell r="B2504">
            <v>3118220047259</v>
          </cell>
          <cell r="C2504">
            <v>13118220047256</v>
          </cell>
          <cell r="D2504">
            <v>23118220047253</v>
          </cell>
          <cell r="E2504" t="str">
            <v>M16 LAGUIOLE DUO BRONZE 5615C EN BOITE LAGUIOLE HERITAGE</v>
          </cell>
          <cell r="F2504">
            <v>6</v>
          </cell>
          <cell r="G2504">
            <v>6</v>
          </cell>
          <cell r="H2504">
            <v>40</v>
          </cell>
          <cell r="I2504">
            <v>31</v>
          </cell>
          <cell r="J2504">
            <v>26.5</v>
          </cell>
          <cell r="K2504">
            <v>5.3</v>
          </cell>
          <cell r="L2504">
            <v>0.8833333333333333</v>
          </cell>
          <cell r="M2504">
            <v>3.286E-2</v>
          </cell>
        </row>
        <row r="2505">
          <cell r="A2505">
            <v>30170046</v>
          </cell>
          <cell r="B2505">
            <v>3118220047266</v>
          </cell>
          <cell r="C2505">
            <v>13118220047263</v>
          </cell>
          <cell r="D2505">
            <v>23118220047260</v>
          </cell>
          <cell r="E2505" t="str">
            <v>M16 LAGUIOLE DUO BLANC EN BOITE LAGUIOLE HERITAGE</v>
          </cell>
          <cell r="F2505">
            <v>6</v>
          </cell>
          <cell r="G2505">
            <v>6</v>
          </cell>
          <cell r="H2505">
            <v>29.5</v>
          </cell>
          <cell r="I2505">
            <v>27</v>
          </cell>
          <cell r="J2505">
            <v>31</v>
          </cell>
          <cell r="K2505">
            <v>5.4</v>
          </cell>
          <cell r="L2505">
            <v>0.9</v>
          </cell>
          <cell r="M2505">
            <v>2.4691499999999998E-2</v>
          </cell>
        </row>
        <row r="2506">
          <cell r="A2506">
            <v>30190001</v>
          </cell>
          <cell r="B2506">
            <v>3118220001800</v>
          </cell>
          <cell r="C2506" t="str">
            <v>13118220001807</v>
          </cell>
          <cell r="D2506" t="str">
            <v>23118220001804</v>
          </cell>
          <cell r="E2506" t="str">
            <v>COUTEAU INEDIT USA+GENCOD</v>
          </cell>
          <cell r="F2506">
            <v>240</v>
          </cell>
          <cell r="G2506">
            <v>6</v>
          </cell>
          <cell r="H2506">
            <v>35.5</v>
          </cell>
          <cell r="I2506">
            <v>28.5</v>
          </cell>
          <cell r="J2506">
            <v>27</v>
          </cell>
          <cell r="K2506">
            <v>11.974</v>
          </cell>
          <cell r="L2506">
            <v>4.9891666666666667E-2</v>
          </cell>
          <cell r="M2506">
            <v>2.7317250000000001E-2</v>
          </cell>
        </row>
        <row r="2507">
          <cell r="A2507">
            <v>30190002</v>
          </cell>
          <cell r="B2507">
            <v>3118220001817</v>
          </cell>
          <cell r="C2507" t="str">
            <v>13118220001814</v>
          </cell>
          <cell r="D2507" t="str">
            <v>23118220001811</v>
          </cell>
          <cell r="E2507" t="str">
            <v>FOURCHETTE INEDIT USA+GENCOD</v>
          </cell>
          <cell r="F2507">
            <v>240</v>
          </cell>
          <cell r="G2507">
            <v>6</v>
          </cell>
          <cell r="H2507">
            <v>42.5</v>
          </cell>
          <cell r="I2507">
            <v>25</v>
          </cell>
          <cell r="J2507">
            <v>27.5</v>
          </cell>
          <cell r="K2507">
            <v>9.9600000000000009</v>
          </cell>
          <cell r="L2507">
            <v>4.1500000000000002E-2</v>
          </cell>
          <cell r="M2507">
            <v>2.9218750000000002E-2</v>
          </cell>
        </row>
        <row r="2508">
          <cell r="A2508">
            <v>30190003</v>
          </cell>
          <cell r="B2508">
            <v>3118220001824</v>
          </cell>
          <cell r="C2508" t="str">
            <v>13118220001821</v>
          </cell>
          <cell r="D2508" t="str">
            <v>23118220001828</v>
          </cell>
          <cell r="E2508" t="str">
            <v>CUILLERE INEDIT USA+GENCOD</v>
          </cell>
          <cell r="F2508">
            <v>240</v>
          </cell>
          <cell r="G2508">
            <v>6</v>
          </cell>
          <cell r="H2508">
            <v>42.5</v>
          </cell>
          <cell r="I2508">
            <v>25</v>
          </cell>
          <cell r="J2508">
            <v>27.5</v>
          </cell>
          <cell r="K2508">
            <v>13.08</v>
          </cell>
          <cell r="L2508">
            <v>5.45E-2</v>
          </cell>
          <cell r="M2508">
            <v>2.9218750000000002E-2</v>
          </cell>
        </row>
        <row r="2509">
          <cell r="A2509">
            <v>30190004</v>
          </cell>
          <cell r="B2509">
            <v>3118220001831</v>
          </cell>
          <cell r="C2509" t="str">
            <v>13118220001838</v>
          </cell>
          <cell r="D2509" t="str">
            <v>23118220001835</v>
          </cell>
          <cell r="E2509" t="str">
            <v>CAFE INEDIT USA+GENCOD</v>
          </cell>
          <cell r="F2509">
            <v>240</v>
          </cell>
          <cell r="G2509">
            <v>6</v>
          </cell>
          <cell r="H2509">
            <v>34</v>
          </cell>
          <cell r="I2509">
            <v>18.5</v>
          </cell>
          <cell r="J2509">
            <v>27</v>
          </cell>
          <cell r="K2509">
            <v>6.96</v>
          </cell>
          <cell r="L2509">
            <v>2.9000000000000001E-2</v>
          </cell>
          <cell r="M2509">
            <v>1.6982999999999998E-2</v>
          </cell>
        </row>
        <row r="2510">
          <cell r="A2510">
            <v>30190005</v>
          </cell>
          <cell r="B2510">
            <v>3118220005266</v>
          </cell>
          <cell r="E2510" t="str">
            <v>COUTEAU STEAK POINTU INEDIT USA+GENCOD</v>
          </cell>
          <cell r="F2510">
            <v>240</v>
          </cell>
          <cell r="G2510">
            <v>6</v>
          </cell>
          <cell r="H2510">
            <v>27</v>
          </cell>
          <cell r="I2510">
            <v>26.5</v>
          </cell>
          <cell r="J2510">
            <v>34</v>
          </cell>
          <cell r="K2510">
            <v>10.63</v>
          </cell>
          <cell r="L2510">
            <v>4.4291666666666667E-2</v>
          </cell>
          <cell r="M2510">
            <v>2.4327000000000001E-2</v>
          </cell>
        </row>
        <row r="2511">
          <cell r="A2511">
            <v>30220001</v>
          </cell>
          <cell r="B2511">
            <v>3118220002227</v>
          </cell>
          <cell r="E2511" t="str">
            <v>COUTEAU INEDIT BRETAGNE+GENCOD</v>
          </cell>
          <cell r="F2511">
            <v>240</v>
          </cell>
          <cell r="G2511">
            <v>6</v>
          </cell>
          <cell r="H2511">
            <v>35</v>
          </cell>
          <cell r="I2511">
            <v>28.5</v>
          </cell>
          <cell r="J2511">
            <v>27</v>
          </cell>
          <cell r="K2511">
            <v>10.08</v>
          </cell>
          <cell r="L2511">
            <v>4.2000000000000003E-2</v>
          </cell>
          <cell r="M2511">
            <v>2.6932499999999998E-2</v>
          </cell>
        </row>
        <row r="2512">
          <cell r="A2512">
            <v>30220002</v>
          </cell>
          <cell r="B2512">
            <v>3118220002234</v>
          </cell>
          <cell r="E2512" t="str">
            <v>FOURCHETTE INEDIT BRETAGNE+GENCOD</v>
          </cell>
          <cell r="F2512">
            <v>240</v>
          </cell>
          <cell r="G2512">
            <v>6</v>
          </cell>
          <cell r="H2512">
            <v>42.5</v>
          </cell>
          <cell r="I2512">
            <v>25.5</v>
          </cell>
          <cell r="J2512">
            <v>27</v>
          </cell>
          <cell r="K2512">
            <v>8.64</v>
          </cell>
          <cell r="L2512">
            <v>3.6000000000000004E-2</v>
          </cell>
          <cell r="M2512">
            <v>2.9261249999999999E-2</v>
          </cell>
        </row>
        <row r="2513">
          <cell r="A2513">
            <v>30220003</v>
          </cell>
          <cell r="B2513">
            <v>3118220002241</v>
          </cell>
          <cell r="E2513" t="str">
            <v>CUILLERE INEDIT BRETAGNE+GENCOD</v>
          </cell>
          <cell r="F2513">
            <v>240</v>
          </cell>
          <cell r="G2513">
            <v>6</v>
          </cell>
          <cell r="H2513">
            <v>42.5</v>
          </cell>
          <cell r="I2513">
            <v>25.5</v>
          </cell>
          <cell r="J2513">
            <v>27</v>
          </cell>
          <cell r="K2513">
            <v>13.706</v>
          </cell>
          <cell r="L2513">
            <v>5.710833333333333E-2</v>
          </cell>
          <cell r="M2513">
            <v>2.9261249999999999E-2</v>
          </cell>
        </row>
        <row r="2514">
          <cell r="A2514">
            <v>30220004</v>
          </cell>
          <cell r="B2514">
            <v>3118220002258</v>
          </cell>
          <cell r="E2514" t="str">
            <v>CAFE INEDIT BRETAGNE+GENCOD</v>
          </cell>
          <cell r="F2514">
            <v>240</v>
          </cell>
          <cell r="G2514">
            <v>6</v>
          </cell>
          <cell r="H2514">
            <v>35</v>
          </cell>
          <cell r="I2514">
            <v>19</v>
          </cell>
          <cell r="J2514">
            <v>27</v>
          </cell>
          <cell r="K2514">
            <v>7.21</v>
          </cell>
          <cell r="L2514">
            <v>3.0041666666666668E-2</v>
          </cell>
          <cell r="M2514">
            <v>1.7954999999999995E-2</v>
          </cell>
        </row>
        <row r="2515">
          <cell r="A2515">
            <v>30240001</v>
          </cell>
          <cell r="B2515">
            <v>3118220002302</v>
          </cell>
          <cell r="E2515" t="str">
            <v>COUTEAU INEDIT ITALIE NEW+GENCOD</v>
          </cell>
          <cell r="F2515">
            <v>240</v>
          </cell>
          <cell r="G2515">
            <v>6</v>
          </cell>
          <cell r="H2515">
            <v>40.5</v>
          </cell>
          <cell r="I2515">
            <v>30</v>
          </cell>
          <cell r="J2515">
            <v>21</v>
          </cell>
          <cell r="K2515">
            <v>11.356999999999999</v>
          </cell>
          <cell r="L2515">
            <v>4.7320833333333333E-2</v>
          </cell>
          <cell r="M2515">
            <v>2.5514999999999999E-2</v>
          </cell>
        </row>
        <row r="2516">
          <cell r="A2516">
            <v>30240002</v>
          </cell>
          <cell r="B2516">
            <v>3118220002319</v>
          </cell>
          <cell r="E2516" t="str">
            <v>FOURCHETTE INEDIT ITALIE NEW+GENCOD</v>
          </cell>
          <cell r="F2516">
            <v>240</v>
          </cell>
          <cell r="G2516">
            <v>6</v>
          </cell>
          <cell r="H2516">
            <v>43</v>
          </cell>
          <cell r="I2516">
            <v>28</v>
          </cell>
          <cell r="J2516">
            <v>28.5</v>
          </cell>
          <cell r="K2516">
            <v>10.728999999999999</v>
          </cell>
          <cell r="L2516">
            <v>4.4704166666666663E-2</v>
          </cell>
          <cell r="M2516">
            <v>3.4313999999999997E-2</v>
          </cell>
        </row>
        <row r="2517">
          <cell r="A2517">
            <v>30240003</v>
          </cell>
          <cell r="B2517">
            <v>3118220002326</v>
          </cell>
          <cell r="E2517" t="str">
            <v>CUILLERE INEDIT ITALIE NEW+GENCOD</v>
          </cell>
          <cell r="F2517">
            <v>240</v>
          </cell>
          <cell r="G2517">
            <v>6</v>
          </cell>
          <cell r="H2517">
            <v>42</v>
          </cell>
          <cell r="I2517">
            <v>25.3</v>
          </cell>
          <cell r="J2517">
            <v>26</v>
          </cell>
          <cell r="K2517">
            <v>12.972</v>
          </cell>
          <cell r="L2517">
            <v>5.4050000000000001E-2</v>
          </cell>
          <cell r="M2517">
            <v>2.7627599999999995E-2</v>
          </cell>
        </row>
        <row r="2518">
          <cell r="A2518">
            <v>30240004</v>
          </cell>
          <cell r="B2518">
            <v>3118220002333</v>
          </cell>
          <cell r="E2518" t="str">
            <v>CAFE INEDIT ITALIE NEW+GENCOD</v>
          </cell>
          <cell r="F2518">
            <v>240</v>
          </cell>
          <cell r="G2518">
            <v>6</v>
          </cell>
          <cell r="H2518">
            <v>36.5</v>
          </cell>
          <cell r="I2518">
            <v>18.5</v>
          </cell>
          <cell r="J2518">
            <v>28</v>
          </cell>
          <cell r="K2518">
            <v>7.6109999999999998</v>
          </cell>
          <cell r="L2518">
            <v>3.1712499999999998E-2</v>
          </cell>
          <cell r="M2518">
            <v>1.8907E-2</v>
          </cell>
        </row>
        <row r="2519">
          <cell r="A2519">
            <v>30303042</v>
          </cell>
          <cell r="B2519">
            <v>3118220005518</v>
          </cell>
          <cell r="E2519" t="str">
            <v>FOURCHETTE TABLE EXPRESSION MANCHE BOIS NOIR BERLINGOT</v>
          </cell>
          <cell r="F2519">
            <v>96</v>
          </cell>
          <cell r="G2519">
            <v>12</v>
          </cell>
          <cell r="H2519">
            <v>45</v>
          </cell>
          <cell r="I2519">
            <v>33.5</v>
          </cell>
          <cell r="J2519">
            <v>33</v>
          </cell>
          <cell r="K2519">
            <v>11.47</v>
          </cell>
          <cell r="L2519">
            <v>0.11947916666666668</v>
          </cell>
          <cell r="M2519">
            <v>4.9747500000000014E-2</v>
          </cell>
        </row>
        <row r="2520">
          <cell r="A2520">
            <v>30303043</v>
          </cell>
          <cell r="B2520">
            <v>3118220005525</v>
          </cell>
          <cell r="E2520" t="str">
            <v>CUILLERE TABLE EXPRESSION MANCHE BOIS NOIR BERLINGOT</v>
          </cell>
          <cell r="F2520">
            <v>96</v>
          </cell>
          <cell r="G2520">
            <v>12</v>
          </cell>
          <cell r="H2520">
            <v>45</v>
          </cell>
          <cell r="I2520">
            <v>33.5</v>
          </cell>
          <cell r="J2520">
            <v>33</v>
          </cell>
          <cell r="K2520">
            <v>12.48</v>
          </cell>
          <cell r="L2520">
            <v>0.13</v>
          </cell>
          <cell r="M2520">
            <v>4.9747500000000014E-2</v>
          </cell>
        </row>
        <row r="2521">
          <cell r="A2521">
            <v>30303044</v>
          </cell>
          <cell r="B2521">
            <v>3118220005532</v>
          </cell>
          <cell r="E2521" t="str">
            <v>CAFE EXPRESSION MANCHE BOIS NOIR BERLINGOT</v>
          </cell>
          <cell r="F2521">
            <v>96</v>
          </cell>
          <cell r="G2521">
            <v>12</v>
          </cell>
          <cell r="H2521">
            <v>35</v>
          </cell>
          <cell r="I2521">
            <v>28</v>
          </cell>
          <cell r="J2521">
            <v>23.5</v>
          </cell>
          <cell r="K2521">
            <v>5.5</v>
          </cell>
          <cell r="L2521">
            <v>5.7291666666666664E-2</v>
          </cell>
          <cell r="M2521">
            <v>2.3029999999999998E-2</v>
          </cell>
        </row>
        <row r="2522">
          <cell r="A2522">
            <v>30303048</v>
          </cell>
          <cell r="B2522">
            <v>3118220022119</v>
          </cell>
          <cell r="E2522" t="str">
            <v>M16 LAGUIOLE EXPRESSION BOIS</v>
          </cell>
          <cell r="F2522">
            <v>6</v>
          </cell>
          <cell r="G2522">
            <v>6</v>
          </cell>
          <cell r="H2522">
            <v>40</v>
          </cell>
          <cell r="I2522">
            <v>30</v>
          </cell>
          <cell r="J2522">
            <v>20</v>
          </cell>
          <cell r="K2522">
            <v>8.36</v>
          </cell>
          <cell r="L2522">
            <v>1.3933333333333333</v>
          </cell>
          <cell r="M2522">
            <v>2.4E-2</v>
          </cell>
        </row>
        <row r="2523">
          <cell r="A2523">
            <v>30360001</v>
          </cell>
          <cell r="B2523">
            <v>3118225358121</v>
          </cell>
          <cell r="C2523" t="str">
            <v>13118225358128</v>
          </cell>
          <cell r="D2523" t="str">
            <v>23118225358125</v>
          </cell>
          <cell r="E2523" t="str">
            <v>M24 TROQUET BLANC POT PET TB COLLECTION</v>
          </cell>
          <cell r="F2523">
            <v>9</v>
          </cell>
          <cell r="G2523">
            <v>9</v>
          </cell>
          <cell r="H2523">
            <v>28</v>
          </cell>
          <cell r="I2523">
            <v>28</v>
          </cell>
          <cell r="J2523">
            <v>24</v>
          </cell>
          <cell r="K2523">
            <v>7.7050000000000001</v>
          </cell>
          <cell r="L2523">
            <v>0.85611111111111116</v>
          </cell>
          <cell r="M2523">
            <v>1.8816000000000003E-2</v>
          </cell>
        </row>
        <row r="2524">
          <cell r="A2524">
            <v>30363694</v>
          </cell>
          <cell r="B2524">
            <v>3118220015470</v>
          </cell>
          <cell r="C2524" t="str">
            <v>13118220015477</v>
          </cell>
          <cell r="D2524" t="str">
            <v>23118220015474</v>
          </cell>
          <cell r="E2524" t="str">
            <v>M16 TROQUET NOIR POT PET TB COLLECTION</v>
          </cell>
          <cell r="F2524">
            <v>9</v>
          </cell>
          <cell r="G2524">
            <v>9</v>
          </cell>
          <cell r="H2524">
            <v>27.5</v>
          </cell>
          <cell r="I2524">
            <v>27.5</v>
          </cell>
          <cell r="J2524">
            <v>24</v>
          </cell>
          <cell r="K2524">
            <v>5.1120000000000001</v>
          </cell>
          <cell r="L2524">
            <v>0.56800000000000006</v>
          </cell>
          <cell r="M2524">
            <v>1.8150000000000003E-2</v>
          </cell>
        </row>
        <row r="2525">
          <cell r="A2525">
            <v>30363695</v>
          </cell>
          <cell r="B2525">
            <v>3118220015487</v>
          </cell>
          <cell r="C2525" t="str">
            <v>13118220015484</v>
          </cell>
          <cell r="D2525" t="str">
            <v>23118220015481</v>
          </cell>
          <cell r="E2525" t="str">
            <v>M16 TROQUET IVOIRE POT PET</v>
          </cell>
          <cell r="F2525">
            <v>9</v>
          </cell>
          <cell r="G2525">
            <v>9</v>
          </cell>
          <cell r="H2525">
            <v>27.5</v>
          </cell>
          <cell r="I2525">
            <v>27.5</v>
          </cell>
          <cell r="J2525">
            <v>24</v>
          </cell>
          <cell r="K2525">
            <v>5.1120000000000001</v>
          </cell>
          <cell r="L2525">
            <v>0.56800000000000006</v>
          </cell>
          <cell r="M2525">
            <v>1.8150000000000003E-2</v>
          </cell>
        </row>
        <row r="2526">
          <cell r="A2526">
            <v>30150006</v>
          </cell>
          <cell r="B2526">
            <v>3118220013551</v>
          </cell>
          <cell r="C2526">
            <v>13118220013558</v>
          </cell>
          <cell r="D2526">
            <v>23118220013555</v>
          </cell>
          <cell r="E2526" t="str">
            <v>COUTEAU STEAK POINTU AMANDE ROUGE+GENCOD</v>
          </cell>
          <cell r="F2526">
            <v>240</v>
          </cell>
          <cell r="G2526">
            <v>12</v>
          </cell>
          <cell r="H2526">
            <v>0</v>
          </cell>
          <cell r="I2526">
            <v>0</v>
          </cell>
          <cell r="J2526">
            <v>0</v>
          </cell>
          <cell r="K2526">
            <v>0.5</v>
          </cell>
          <cell r="L2526">
            <v>2.0833333333333333E-3</v>
          </cell>
          <cell r="M2526">
            <v>0</v>
          </cell>
        </row>
        <row r="2527">
          <cell r="A2527">
            <v>30363698</v>
          </cell>
          <cell r="B2527">
            <v>3118220016132</v>
          </cell>
          <cell r="E2527" t="str">
            <v>FOURCHETTE TROQUET GRIS ANTHRACITE VRAC SANS GENCOD</v>
          </cell>
          <cell r="F2527">
            <v>240</v>
          </cell>
          <cell r="G2527">
            <v>12</v>
          </cell>
          <cell r="H2527">
            <v>40</v>
          </cell>
          <cell r="I2527">
            <v>30</v>
          </cell>
          <cell r="J2527">
            <v>20</v>
          </cell>
          <cell r="K2527">
            <v>7.2</v>
          </cell>
          <cell r="L2527">
            <v>3.0000000000000002E-2</v>
          </cell>
          <cell r="M2527">
            <v>2.4E-2</v>
          </cell>
        </row>
        <row r="2528">
          <cell r="A2528">
            <v>30363699</v>
          </cell>
          <cell r="B2528">
            <v>3118220016149</v>
          </cell>
          <cell r="E2528" t="str">
            <v>CUILLERE TROQUET GRIS ANTHRACITE VRAC SANS GENCOD</v>
          </cell>
          <cell r="F2528">
            <v>240</v>
          </cell>
          <cell r="G2528">
            <v>12</v>
          </cell>
          <cell r="H2528">
            <v>40</v>
          </cell>
          <cell r="I2528">
            <v>30</v>
          </cell>
          <cell r="J2528">
            <v>20</v>
          </cell>
          <cell r="K2528">
            <v>9.1170000000000009</v>
          </cell>
          <cell r="L2528">
            <v>3.79875E-2</v>
          </cell>
          <cell r="M2528">
            <v>2.4E-2</v>
          </cell>
        </row>
        <row r="2529">
          <cell r="A2529">
            <v>30363697</v>
          </cell>
          <cell r="B2529">
            <v>3118220016125</v>
          </cell>
          <cell r="E2529" t="str">
            <v>COUTEAU TROQUET GRIS ANTHRACITE VRAC SANS GENCOD</v>
          </cell>
          <cell r="F2529">
            <v>240</v>
          </cell>
          <cell r="G2529">
            <v>12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</row>
        <row r="2530">
          <cell r="A2530">
            <v>30363705</v>
          </cell>
          <cell r="B2530">
            <v>3614614472497</v>
          </cell>
          <cell r="E2530" t="str">
            <v>6 STEAK TROQUET EN TUBO CORAIL 7625C CARREFOUR</v>
          </cell>
          <cell r="F2530">
            <v>12</v>
          </cell>
          <cell r="G2530">
            <v>12</v>
          </cell>
          <cell r="H2530">
            <v>34</v>
          </cell>
          <cell r="I2530">
            <v>14</v>
          </cell>
          <cell r="J2530">
            <v>26</v>
          </cell>
          <cell r="K2530">
            <v>2.8660000000000001</v>
          </cell>
          <cell r="L2530">
            <v>0.23883333333333334</v>
          </cell>
          <cell r="M2530">
            <v>1.2376E-2</v>
          </cell>
        </row>
        <row r="2531">
          <cell r="A2531">
            <v>30363706</v>
          </cell>
          <cell r="B2531">
            <v>3614614472503</v>
          </cell>
          <cell r="E2531" t="str">
            <v>6 STEAK TROQUET EN TUBO JAUNE 121C CARREFOUR</v>
          </cell>
          <cell r="F2531">
            <v>12</v>
          </cell>
          <cell r="G2531">
            <v>12</v>
          </cell>
          <cell r="H2531">
            <v>34</v>
          </cell>
          <cell r="I2531">
            <v>14</v>
          </cell>
          <cell r="J2531">
            <v>26</v>
          </cell>
          <cell r="K2531">
            <v>2.8660000000000001</v>
          </cell>
          <cell r="L2531">
            <v>0.23883333333333334</v>
          </cell>
          <cell r="M2531">
            <v>1.2376E-2</v>
          </cell>
        </row>
        <row r="2532">
          <cell r="A2532">
            <v>30363707</v>
          </cell>
          <cell r="B2532">
            <v>3609231257718</v>
          </cell>
          <cell r="C2532" t="str">
            <v>13609231257715</v>
          </cell>
          <cell r="D2532" t="str">
            <v>23609231257712</v>
          </cell>
          <cell r="E2532" t="str">
            <v>M24 BISTROT CLASSIC NOIR POT PET CARREFOUR</v>
          </cell>
          <cell r="F2532">
            <v>6</v>
          </cell>
          <cell r="G2532">
            <v>6</v>
          </cell>
          <cell r="H2532">
            <v>28</v>
          </cell>
          <cell r="I2532">
            <v>20</v>
          </cell>
          <cell r="J2532">
            <v>25.5</v>
          </cell>
          <cell r="K2532">
            <v>5.2830000000000004</v>
          </cell>
          <cell r="L2532">
            <v>0.88050000000000006</v>
          </cell>
          <cell r="M2532">
            <v>1.4280000000000001E-2</v>
          </cell>
        </row>
        <row r="2533">
          <cell r="A2533">
            <v>30363708</v>
          </cell>
          <cell r="B2533">
            <v>3609231257725</v>
          </cell>
          <cell r="C2533" t="str">
            <v>13609231257722</v>
          </cell>
          <cell r="D2533" t="str">
            <v>23609231257729</v>
          </cell>
          <cell r="E2533" t="str">
            <v>M24 BISTROT CLASSIC ROUGE POT PET CARREFOUR</v>
          </cell>
          <cell r="F2533">
            <v>6</v>
          </cell>
          <cell r="G2533">
            <v>6</v>
          </cell>
          <cell r="H2533">
            <v>27.5</v>
          </cell>
          <cell r="I2533">
            <v>20</v>
          </cell>
          <cell r="J2533">
            <v>26</v>
          </cell>
          <cell r="K2533">
            <v>4.8659999999999997</v>
          </cell>
          <cell r="L2533">
            <v>0.81099999999999994</v>
          </cell>
          <cell r="M2533">
            <v>1.43E-2</v>
          </cell>
        </row>
        <row r="2534">
          <cell r="A2534">
            <v>30363709</v>
          </cell>
          <cell r="B2534">
            <v>3609231257701</v>
          </cell>
          <cell r="C2534" t="str">
            <v>13609231257708</v>
          </cell>
          <cell r="D2534" t="str">
            <v>23609231257705</v>
          </cell>
          <cell r="E2534" t="str">
            <v>M24 BISTROT CLASSIC BLANC POT PET CARREFOUR</v>
          </cell>
          <cell r="F2534">
            <v>6</v>
          </cell>
          <cell r="G2534">
            <v>6</v>
          </cell>
          <cell r="H2534">
            <v>27.5</v>
          </cell>
          <cell r="I2534">
            <v>20</v>
          </cell>
          <cell r="J2534">
            <v>26</v>
          </cell>
          <cell r="K2534">
            <v>4.8659999999999997</v>
          </cell>
          <cell r="L2534">
            <v>0.81099999999999994</v>
          </cell>
          <cell r="M2534">
            <v>1.43E-2</v>
          </cell>
        </row>
        <row r="2535">
          <cell r="A2535">
            <v>30363710</v>
          </cell>
          <cell r="B2535">
            <v>3609231257695</v>
          </cell>
          <cell r="E2535" t="str">
            <v>6 STEAK BISTROT CLASSIC NOIR POT PET EN DISPLAY CARREFOUR</v>
          </cell>
          <cell r="F2535">
            <v>12</v>
          </cell>
          <cell r="G2535">
            <v>12</v>
          </cell>
          <cell r="H2535">
            <v>34</v>
          </cell>
          <cell r="I2535">
            <v>13.5</v>
          </cell>
          <cell r="J2535">
            <v>25.5</v>
          </cell>
          <cell r="K2535">
            <v>2.85</v>
          </cell>
          <cell r="L2535">
            <v>0.23750000000000002</v>
          </cell>
          <cell r="M2535">
            <v>1.1704500000000001E-2</v>
          </cell>
        </row>
        <row r="2536">
          <cell r="A2536">
            <v>30363711</v>
          </cell>
          <cell r="B2536">
            <v>3609231257671</v>
          </cell>
          <cell r="E2536" t="str">
            <v>6 STEAK BISTROT CLASSIC ECRU POT PET EN DISPLAY CARREFOUR</v>
          </cell>
          <cell r="F2536">
            <v>12</v>
          </cell>
          <cell r="G2536">
            <v>12</v>
          </cell>
          <cell r="H2536">
            <v>34</v>
          </cell>
          <cell r="I2536">
            <v>13.5</v>
          </cell>
          <cell r="J2536">
            <v>25.5</v>
          </cell>
          <cell r="K2536">
            <v>2.85</v>
          </cell>
          <cell r="L2536">
            <v>0.23750000000000002</v>
          </cell>
          <cell r="M2536">
            <v>1.1704500000000001E-2</v>
          </cell>
        </row>
        <row r="2537">
          <cell r="A2537">
            <v>30363712</v>
          </cell>
          <cell r="B2537">
            <v>3609231257688</v>
          </cell>
          <cell r="E2537" t="str">
            <v>6 STEAK BISTROT CLASSIC ROUGE POT PET EN DISPLAY CARREFOUR</v>
          </cell>
          <cell r="F2537">
            <v>12</v>
          </cell>
          <cell r="G2537">
            <v>12</v>
          </cell>
          <cell r="H2537">
            <v>34</v>
          </cell>
          <cell r="I2537">
            <v>13.5</v>
          </cell>
          <cell r="J2537">
            <v>25.5</v>
          </cell>
          <cell r="K2537">
            <v>2.85</v>
          </cell>
          <cell r="L2537">
            <v>0.23750000000000002</v>
          </cell>
          <cell r="M2537">
            <v>1.1704500000000001E-2</v>
          </cell>
        </row>
        <row r="2538">
          <cell r="A2538">
            <v>30363713</v>
          </cell>
          <cell r="B2538">
            <v>3118220025288</v>
          </cell>
          <cell r="C2538" t="str">
            <v>13118220025285</v>
          </cell>
          <cell r="D2538" t="str">
            <v>23118220025282</v>
          </cell>
          <cell r="E2538" t="str">
            <v>M24 TROQUET GRIS COOL GREY 11 POT PET</v>
          </cell>
          <cell r="F2538">
            <v>9</v>
          </cell>
          <cell r="G2538">
            <v>9</v>
          </cell>
          <cell r="H2538">
            <v>28</v>
          </cell>
          <cell r="I2538">
            <v>28</v>
          </cell>
          <cell r="J2538">
            <v>24.5</v>
          </cell>
          <cell r="K2538">
            <v>7.3440000000000003</v>
          </cell>
          <cell r="L2538">
            <v>0.81600000000000006</v>
          </cell>
          <cell r="M2538">
            <v>1.9208000000000003E-2</v>
          </cell>
        </row>
        <row r="2539">
          <cell r="A2539">
            <v>30363714</v>
          </cell>
          <cell r="B2539">
            <v>3118220031845</v>
          </cell>
          <cell r="E2539" t="str">
            <v>M24 TROQUET PANACHE NOIR/IVOIRE EN POT PET</v>
          </cell>
          <cell r="F2539">
            <v>9</v>
          </cell>
          <cell r="G2539">
            <v>9</v>
          </cell>
          <cell r="H2539">
            <v>27</v>
          </cell>
          <cell r="I2539">
            <v>28</v>
          </cell>
          <cell r="J2539">
            <v>25</v>
          </cell>
          <cell r="K2539">
            <v>7.7350000000000003</v>
          </cell>
          <cell r="L2539">
            <v>0.85944444444444446</v>
          </cell>
          <cell r="M2539">
            <v>1.89E-2</v>
          </cell>
        </row>
        <row r="2540">
          <cell r="A2540">
            <v>30363715</v>
          </cell>
          <cell r="B2540">
            <v>3118220034952</v>
          </cell>
          <cell r="E2540" t="str">
            <v>LOT 3 CTX TROQUET PANACHE ANIS-TURQ-AUBERG-ORANGE</v>
          </cell>
          <cell r="F2540">
            <v>12</v>
          </cell>
          <cell r="G2540">
            <v>12</v>
          </cell>
          <cell r="H2540">
            <v>31</v>
          </cell>
          <cell r="I2540">
            <v>19</v>
          </cell>
          <cell r="J2540">
            <v>9</v>
          </cell>
          <cell r="K2540">
            <v>1.24</v>
          </cell>
          <cell r="L2540">
            <v>0.10333333333333333</v>
          </cell>
          <cell r="M2540">
            <v>5.3009999999999993E-3</v>
          </cell>
        </row>
        <row r="2541">
          <cell r="A2541">
            <v>30363716</v>
          </cell>
          <cell r="B2541">
            <v>3118220034969</v>
          </cell>
          <cell r="E2541" t="str">
            <v>LOT 3 FETTES TROQUET PANACHE ANIS-TURQ-AUBERG-ORANGE</v>
          </cell>
          <cell r="F2541">
            <v>12</v>
          </cell>
          <cell r="G2541">
            <v>12</v>
          </cell>
          <cell r="H2541">
            <v>31</v>
          </cell>
          <cell r="I2541">
            <v>19</v>
          </cell>
          <cell r="J2541">
            <v>9</v>
          </cell>
          <cell r="K2541">
            <v>1.38</v>
          </cell>
          <cell r="L2541">
            <v>0.11499999999999999</v>
          </cell>
          <cell r="M2541">
            <v>5.3009999999999993E-3</v>
          </cell>
        </row>
        <row r="2542">
          <cell r="A2542">
            <v>30363717</v>
          </cell>
          <cell r="B2542">
            <v>3118220034976</v>
          </cell>
          <cell r="E2542" t="str">
            <v>LOT 3 CUILLERES TROQUET PANACHE ANIS-TURQ-AUBERG-ORANGE</v>
          </cell>
          <cell r="F2542">
            <v>12</v>
          </cell>
          <cell r="G2542">
            <v>12</v>
          </cell>
          <cell r="H2542">
            <v>31</v>
          </cell>
          <cell r="I2542">
            <v>19</v>
          </cell>
          <cell r="J2542">
            <v>9</v>
          </cell>
          <cell r="K2542">
            <v>1.31</v>
          </cell>
          <cell r="L2542">
            <v>0.10916666666666668</v>
          </cell>
          <cell r="M2542">
            <v>5.3009999999999993E-3</v>
          </cell>
        </row>
        <row r="2543">
          <cell r="A2543">
            <v>30363718</v>
          </cell>
          <cell r="B2543">
            <v>3118220034983</v>
          </cell>
          <cell r="E2543" t="str">
            <v>LOT 3 CAFE TROQUET PANACHE ANIS-TURQ-AUBERG-ORANGE</v>
          </cell>
          <cell r="F2543">
            <v>12</v>
          </cell>
          <cell r="G2543">
            <v>12</v>
          </cell>
          <cell r="H2543">
            <v>31</v>
          </cell>
          <cell r="I2543">
            <v>19</v>
          </cell>
          <cell r="J2543">
            <v>9</v>
          </cell>
          <cell r="K2543">
            <v>1.02</v>
          </cell>
          <cell r="L2543">
            <v>8.5000000000000006E-2</v>
          </cell>
          <cell r="M2543">
            <v>5.3009999999999993E-3</v>
          </cell>
        </row>
        <row r="2544">
          <cell r="A2544">
            <v>30363719</v>
          </cell>
          <cell r="B2544">
            <v>3616474764859</v>
          </cell>
          <cell r="E2544" t="str">
            <v>M24 CLASSIC BLEU PANTONE 2227C CARREFOUR</v>
          </cell>
          <cell r="F2544">
            <v>6</v>
          </cell>
          <cell r="G2544">
            <v>6</v>
          </cell>
          <cell r="H2544">
            <v>27</v>
          </cell>
          <cell r="I2544">
            <v>19.5</v>
          </cell>
          <cell r="J2544">
            <v>25</v>
          </cell>
          <cell r="K2544">
            <v>5.2729999999999997</v>
          </cell>
          <cell r="L2544">
            <v>0.87883333333333324</v>
          </cell>
          <cell r="M2544">
            <v>1.3162500000000001E-2</v>
          </cell>
        </row>
        <row r="2545">
          <cell r="A2545">
            <v>30363720</v>
          </cell>
          <cell r="B2545">
            <v>3616474764866</v>
          </cell>
          <cell r="E2545" t="str">
            <v>M24 CLASSIC GRIS PANTONE 427C CARREFOUR</v>
          </cell>
          <cell r="F2545">
            <v>6</v>
          </cell>
          <cell r="G2545">
            <v>6</v>
          </cell>
          <cell r="H2545">
            <v>27</v>
          </cell>
          <cell r="I2545">
            <v>19.5</v>
          </cell>
          <cell r="J2545">
            <v>25</v>
          </cell>
          <cell r="K2545">
            <v>5.2729999999999997</v>
          </cell>
          <cell r="L2545">
            <v>0.87883333333333324</v>
          </cell>
          <cell r="M2545">
            <v>1.3162500000000001E-2</v>
          </cell>
        </row>
        <row r="2546">
          <cell r="A2546">
            <v>30363721</v>
          </cell>
          <cell r="B2546">
            <v>3616474764873</v>
          </cell>
          <cell r="E2546" t="str">
            <v>LOT DE 6 MAZAGRAN CLASSIC BLEU PANTONE 2227C CARREFOUR</v>
          </cell>
          <cell r="F2546">
            <v>36</v>
          </cell>
          <cell r="G2546">
            <v>6</v>
          </cell>
          <cell r="H2546">
            <v>32</v>
          </cell>
          <cell r="I2546">
            <v>20.5</v>
          </cell>
          <cell r="J2546">
            <v>29</v>
          </cell>
          <cell r="K2546">
            <v>6.5490000000000004</v>
          </cell>
          <cell r="L2546">
            <v>0.18191666666666667</v>
          </cell>
          <cell r="M2546">
            <v>1.9023999999999999E-2</v>
          </cell>
        </row>
        <row r="2547">
          <cell r="A2547">
            <v>30363722</v>
          </cell>
          <cell r="B2547">
            <v>3616474764880</v>
          </cell>
          <cell r="E2547" t="str">
            <v>LOT DE 6 MAZAGRAN CLASSIC GRIS PANTONE 427C CARREFOUR</v>
          </cell>
          <cell r="F2547">
            <v>36</v>
          </cell>
          <cell r="G2547">
            <v>6</v>
          </cell>
          <cell r="H2547">
            <v>32</v>
          </cell>
          <cell r="I2547">
            <v>2</v>
          </cell>
          <cell r="J2547">
            <v>29</v>
          </cell>
          <cell r="K2547">
            <v>6.5490000000000004</v>
          </cell>
          <cell r="L2547">
            <v>0.18191666666666667</v>
          </cell>
          <cell r="M2547">
            <v>1.8560000000000002E-3</v>
          </cell>
        </row>
        <row r="2548">
          <cell r="A2548">
            <v>30363723</v>
          </cell>
          <cell r="B2548">
            <v>3118220044227</v>
          </cell>
          <cell r="C2548">
            <v>13118220044224</v>
          </cell>
          <cell r="D2548">
            <v>23118220044221</v>
          </cell>
          <cell r="E2548" t="str">
            <v>M24 TROQUET VERT DE GRIS PANTONE 5595 C POT PET</v>
          </cell>
          <cell r="F2548">
            <v>9</v>
          </cell>
          <cell r="G2548">
            <v>9</v>
          </cell>
          <cell r="H2548">
            <v>27.5</v>
          </cell>
          <cell r="I2548">
            <v>27.5</v>
          </cell>
          <cell r="J2548">
            <v>24.5</v>
          </cell>
          <cell r="K2548">
            <v>7.6479999999999997</v>
          </cell>
          <cell r="L2548">
            <v>0.84977777777777774</v>
          </cell>
          <cell r="M2548">
            <v>1.8528125000000003E-2</v>
          </cell>
        </row>
        <row r="2549">
          <cell r="A2549">
            <v>30363724</v>
          </cell>
          <cell r="B2549" t="str">
            <v>3617702752693</v>
          </cell>
          <cell r="C2549" t="str">
            <v xml:space="preserve"> /</v>
          </cell>
          <cell r="D2549" t="str">
            <v>03617700989572</v>
          </cell>
          <cell r="E2549" t="str">
            <v>M24 CLASSIC BLEU PANTONE 655C CARREFOUR</v>
          </cell>
          <cell r="F2549">
            <v>6</v>
          </cell>
          <cell r="G2549">
            <v>6</v>
          </cell>
          <cell r="H2549">
            <v>27.5</v>
          </cell>
          <cell r="I2549">
            <v>20</v>
          </cell>
          <cell r="J2549">
            <v>26</v>
          </cell>
          <cell r="K2549">
            <v>4.8659999999999997</v>
          </cell>
          <cell r="L2549">
            <v>0.81099999999999994</v>
          </cell>
          <cell r="M2549">
            <v>1.43E-2</v>
          </cell>
        </row>
        <row r="2550">
          <cell r="A2550">
            <v>30540001</v>
          </cell>
          <cell r="B2550">
            <v>3118220011830</v>
          </cell>
          <cell r="E2550" t="str">
            <v>M16 ZEPHIR TAUPE 7639C POT PET</v>
          </cell>
          <cell r="F2550">
            <v>9</v>
          </cell>
          <cell r="G2550">
            <v>9</v>
          </cell>
          <cell r="H2550">
            <v>27</v>
          </cell>
          <cell r="I2550">
            <v>27</v>
          </cell>
          <cell r="J2550">
            <v>25</v>
          </cell>
          <cell r="K2550">
            <v>4.41</v>
          </cell>
          <cell r="L2550">
            <v>0.49</v>
          </cell>
          <cell r="M2550">
            <v>1.8225000000000002E-2</v>
          </cell>
        </row>
        <row r="2551">
          <cell r="A2551">
            <v>30363700</v>
          </cell>
          <cell r="B2551">
            <v>3118220016156</v>
          </cell>
          <cell r="E2551" t="str">
            <v>CAFE TROQUET GRIS ANTHRACITE VRAC SANS GENCOD</v>
          </cell>
          <cell r="F2551">
            <v>240</v>
          </cell>
          <cell r="G2551">
            <v>12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</row>
        <row r="2552">
          <cell r="A2552">
            <v>30540004</v>
          </cell>
          <cell r="B2552">
            <v>3118220032712</v>
          </cell>
          <cell r="E2552" t="str">
            <v>COUTEAU ZEPHIR TAUPE+GENCOD</v>
          </cell>
          <cell r="F2552">
            <v>240</v>
          </cell>
          <cell r="G2552">
            <v>12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</row>
        <row r="2553">
          <cell r="A2553">
            <v>30540005</v>
          </cell>
          <cell r="B2553">
            <v>3118220032729</v>
          </cell>
          <cell r="E2553" t="str">
            <v>FOURCHETTE ZEPHIR TAUPE+GENCOD</v>
          </cell>
          <cell r="F2553">
            <v>240</v>
          </cell>
          <cell r="G2553">
            <v>12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</row>
        <row r="2554">
          <cell r="A2554">
            <v>30540006</v>
          </cell>
          <cell r="B2554">
            <v>3118220032736</v>
          </cell>
          <cell r="E2554" t="str">
            <v>CUILLERE ZEPHIR TAUPE+GENCOD</v>
          </cell>
          <cell r="F2554">
            <v>240</v>
          </cell>
          <cell r="G2554">
            <v>12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</row>
        <row r="2555">
          <cell r="A2555">
            <v>30590001</v>
          </cell>
          <cell r="B2555"/>
          <cell r="C2555"/>
          <cell r="D2555"/>
          <cell r="E2555" t="str">
            <v>FUSIL A AIGUISER MECHE INOX AVEC ANNEAU VRAC</v>
          </cell>
          <cell r="F2555">
            <v>36</v>
          </cell>
          <cell r="G2555">
            <v>6</v>
          </cell>
          <cell r="H2555">
            <v>44</v>
          </cell>
          <cell r="I2555">
            <v>23.5</v>
          </cell>
          <cell r="J2555">
            <v>16.5</v>
          </cell>
          <cell r="K2555">
            <v>13.068</v>
          </cell>
          <cell r="L2555">
            <v>0.36299999999999999</v>
          </cell>
          <cell r="M2555">
            <v>1.7061E-2</v>
          </cell>
        </row>
        <row r="2556">
          <cell r="A2556">
            <v>30650005</v>
          </cell>
          <cell r="B2556">
            <v>3118220006195</v>
          </cell>
          <cell r="E2556" t="str">
            <v>TUBO 6 STEAK HECTOR AUTOMNE</v>
          </cell>
          <cell r="F2556">
            <v>6</v>
          </cell>
          <cell r="G2556">
            <v>6</v>
          </cell>
          <cell r="H2556">
            <v>31</v>
          </cell>
          <cell r="I2556">
            <v>29.5</v>
          </cell>
          <cell r="J2556">
            <v>13.5</v>
          </cell>
          <cell r="K2556">
            <v>2.6</v>
          </cell>
          <cell r="L2556">
            <v>0.43333333333333335</v>
          </cell>
          <cell r="M2556">
            <v>1.2345749999999997E-2</v>
          </cell>
        </row>
        <row r="2557">
          <cell r="A2557">
            <v>30650006</v>
          </cell>
          <cell r="B2557">
            <v>3118220006201</v>
          </cell>
          <cell r="E2557" t="str">
            <v>TUBO 6 STEAK HECTOR ETE</v>
          </cell>
          <cell r="F2557">
            <v>6</v>
          </cell>
          <cell r="G2557">
            <v>6</v>
          </cell>
          <cell r="H2557">
            <v>31</v>
          </cell>
          <cell r="I2557">
            <v>29.5</v>
          </cell>
          <cell r="J2557">
            <v>13.5</v>
          </cell>
          <cell r="K2557">
            <v>2.6</v>
          </cell>
          <cell r="L2557">
            <v>0.43333333333333335</v>
          </cell>
          <cell r="M2557">
            <v>1.2345749999999997E-2</v>
          </cell>
        </row>
        <row r="2558">
          <cell r="A2558">
            <v>30650007</v>
          </cell>
          <cell r="B2558">
            <v>3118220006294</v>
          </cell>
          <cell r="E2558" t="str">
            <v>COUTEAU HECTOR BLANC RAL 9003 VRAC GENCOD</v>
          </cell>
          <cell r="F2558">
            <v>240</v>
          </cell>
          <cell r="G2558">
            <v>6</v>
          </cell>
          <cell r="H2558">
            <v>32.5</v>
          </cell>
          <cell r="I2558">
            <v>27</v>
          </cell>
          <cell r="J2558">
            <v>34</v>
          </cell>
          <cell r="K2558">
            <v>16.45</v>
          </cell>
          <cell r="L2558">
            <v>6.8541666666666667E-2</v>
          </cell>
          <cell r="M2558">
            <v>2.9835000000000004E-2</v>
          </cell>
        </row>
        <row r="2559">
          <cell r="A2559">
            <v>30650008</v>
          </cell>
          <cell r="B2559">
            <v>3118220006300</v>
          </cell>
          <cell r="E2559" t="str">
            <v>FOURCHETTE HECTOR BLANC RAL 9003 VRAC GENCOD</v>
          </cell>
          <cell r="F2559">
            <v>240</v>
          </cell>
          <cell r="G2559">
            <v>6</v>
          </cell>
          <cell r="H2559">
            <v>32.5</v>
          </cell>
          <cell r="I2559">
            <v>24</v>
          </cell>
          <cell r="J2559">
            <v>25.5</v>
          </cell>
          <cell r="K2559">
            <v>12.398999999999999</v>
          </cell>
          <cell r="L2559">
            <v>5.1662499999999993E-2</v>
          </cell>
          <cell r="M2559">
            <v>1.9890000000000005E-2</v>
          </cell>
        </row>
        <row r="2560">
          <cell r="A2560">
            <v>30650009</v>
          </cell>
          <cell r="B2560">
            <v>3118220006317</v>
          </cell>
          <cell r="E2560" t="str">
            <v>CUILLERE HECTOR BLANC RAL 9003 VRAC GENCOD</v>
          </cell>
          <cell r="F2560">
            <v>240</v>
          </cell>
          <cell r="G2560">
            <v>6</v>
          </cell>
          <cell r="H2560">
            <v>39</v>
          </cell>
          <cell r="I2560">
            <v>24</v>
          </cell>
          <cell r="J2560">
            <v>21.5</v>
          </cell>
          <cell r="K2560">
            <v>14.32</v>
          </cell>
          <cell r="L2560">
            <v>5.9666666666666666E-2</v>
          </cell>
          <cell r="M2560">
            <v>2.0124E-2</v>
          </cell>
        </row>
        <row r="2561">
          <cell r="A2561">
            <v>30650011</v>
          </cell>
          <cell r="B2561">
            <v>3118220006331</v>
          </cell>
          <cell r="E2561" t="str">
            <v>COUTEAU HECTOR NOIR BLACK 6 VRAC GENCOD</v>
          </cell>
          <cell r="F2561">
            <v>240</v>
          </cell>
          <cell r="G2561">
            <v>6</v>
          </cell>
          <cell r="H2561">
            <v>32.5</v>
          </cell>
          <cell r="I2561">
            <v>27</v>
          </cell>
          <cell r="J2561">
            <v>34</v>
          </cell>
          <cell r="K2561">
            <v>16.45</v>
          </cell>
          <cell r="L2561">
            <v>6.8541666666666667E-2</v>
          </cell>
          <cell r="M2561">
            <v>2.9835000000000004E-2</v>
          </cell>
        </row>
        <row r="2562">
          <cell r="A2562">
            <v>30650012</v>
          </cell>
          <cell r="B2562">
            <v>3118220006348</v>
          </cell>
          <cell r="E2562" t="str">
            <v>FOURCHETTE HECTOR NOIR BLACK 6 VRAC GENCOD</v>
          </cell>
          <cell r="F2562">
            <v>240</v>
          </cell>
          <cell r="G2562">
            <v>6</v>
          </cell>
          <cell r="H2562">
            <v>32.5</v>
          </cell>
          <cell r="I2562">
            <v>24</v>
          </cell>
          <cell r="J2562">
            <v>25.5</v>
          </cell>
          <cell r="K2562">
            <v>12.398999999999999</v>
          </cell>
          <cell r="L2562">
            <v>5.1662499999999993E-2</v>
          </cell>
          <cell r="M2562">
            <v>1.9890000000000005E-2</v>
          </cell>
        </row>
        <row r="2563">
          <cell r="A2563">
            <v>30650013</v>
          </cell>
          <cell r="B2563">
            <v>3118220006355</v>
          </cell>
          <cell r="E2563" t="str">
            <v>CUILLERE HECTOR NOIR BLACK 6 VRAC GENCOD</v>
          </cell>
          <cell r="F2563">
            <v>240</v>
          </cell>
          <cell r="G2563">
            <v>6</v>
          </cell>
          <cell r="H2563">
            <v>39</v>
          </cell>
          <cell r="I2563">
            <v>24</v>
          </cell>
          <cell r="J2563">
            <v>21.5</v>
          </cell>
          <cell r="K2563">
            <v>14.32</v>
          </cell>
          <cell r="L2563">
            <v>5.9666666666666666E-2</v>
          </cell>
          <cell r="M2563">
            <v>2.0124E-2</v>
          </cell>
        </row>
        <row r="2564">
          <cell r="A2564">
            <v>30650014</v>
          </cell>
          <cell r="B2564">
            <v>3118220006362</v>
          </cell>
          <cell r="E2564" t="str">
            <v>CAFE HECTOR NOIR BLACK 6 VRAC GENCOD</v>
          </cell>
          <cell r="F2564">
            <v>240</v>
          </cell>
          <cell r="G2564">
            <v>6</v>
          </cell>
          <cell r="H2564">
            <v>38</v>
          </cell>
          <cell r="I2564">
            <v>20</v>
          </cell>
          <cell r="J2564">
            <v>27</v>
          </cell>
          <cell r="K2564">
            <v>7.53</v>
          </cell>
          <cell r="L2564">
            <v>3.1375E-2</v>
          </cell>
          <cell r="M2564">
            <v>2.052E-2</v>
          </cell>
        </row>
        <row r="2565">
          <cell r="A2565">
            <v>30650015</v>
          </cell>
          <cell r="B2565">
            <v>3118220006768</v>
          </cell>
          <cell r="E2565" t="str">
            <v>COUTEAU HECTOR BLEU 534C VRAC GENCOD</v>
          </cell>
          <cell r="F2565">
            <v>240</v>
          </cell>
          <cell r="G2565">
            <v>6</v>
          </cell>
          <cell r="H2565">
            <v>32.5</v>
          </cell>
          <cell r="I2565">
            <v>27</v>
          </cell>
          <cell r="J2565">
            <v>34</v>
          </cell>
          <cell r="K2565">
            <v>16.45</v>
          </cell>
          <cell r="L2565">
            <v>6.8541666666666667E-2</v>
          </cell>
          <cell r="M2565">
            <v>2.9835000000000004E-2</v>
          </cell>
        </row>
        <row r="2566">
          <cell r="A2566">
            <v>30650016</v>
          </cell>
          <cell r="B2566">
            <v>3118220006775</v>
          </cell>
          <cell r="E2566" t="str">
            <v>FOURCHETTE HECTOR BLEU 534C VRAC GENCOD</v>
          </cell>
          <cell r="F2566">
            <v>240</v>
          </cell>
          <cell r="G2566">
            <v>6</v>
          </cell>
          <cell r="H2566">
            <v>32.5</v>
          </cell>
          <cell r="I2566">
            <v>24</v>
          </cell>
          <cell r="J2566">
            <v>25.5</v>
          </cell>
          <cell r="K2566">
            <v>12.398999999999999</v>
          </cell>
          <cell r="L2566">
            <v>5.1662499999999993E-2</v>
          </cell>
          <cell r="M2566">
            <v>1.9890000000000005E-2</v>
          </cell>
        </row>
        <row r="2567">
          <cell r="A2567">
            <v>30650017</v>
          </cell>
          <cell r="B2567">
            <v>3118220006782</v>
          </cell>
          <cell r="E2567" t="str">
            <v>CUILLERE HECTOR BLEU 534C VRAC GENCOD</v>
          </cell>
          <cell r="F2567">
            <v>240</v>
          </cell>
          <cell r="G2567">
            <v>6</v>
          </cell>
          <cell r="H2567">
            <v>39</v>
          </cell>
          <cell r="I2567">
            <v>24</v>
          </cell>
          <cell r="J2567">
            <v>21.5</v>
          </cell>
          <cell r="K2567">
            <v>14.32</v>
          </cell>
          <cell r="L2567">
            <v>5.9666666666666666E-2</v>
          </cell>
          <cell r="M2567">
            <v>2.0124E-2</v>
          </cell>
        </row>
        <row r="2568">
          <cell r="A2568">
            <v>30650018</v>
          </cell>
          <cell r="B2568">
            <v>3118220006799</v>
          </cell>
          <cell r="E2568" t="str">
            <v>CAFE HECTOR BLEU 534C VRAC GENCOD</v>
          </cell>
          <cell r="F2568">
            <v>240</v>
          </cell>
          <cell r="G2568">
            <v>6</v>
          </cell>
          <cell r="H2568">
            <v>38</v>
          </cell>
          <cell r="I2568">
            <v>20</v>
          </cell>
          <cell r="J2568">
            <v>27</v>
          </cell>
          <cell r="K2568">
            <v>7.53</v>
          </cell>
          <cell r="L2568">
            <v>3.1375E-2</v>
          </cell>
          <cell r="M2568">
            <v>2.052E-2</v>
          </cell>
        </row>
        <row r="2569">
          <cell r="A2569">
            <v>30650019</v>
          </cell>
          <cell r="B2569">
            <v>3118220006805</v>
          </cell>
          <cell r="E2569" t="str">
            <v>COUTEAU HECTOR ROUGE 1935C VRAC GENCOD</v>
          </cell>
          <cell r="F2569">
            <v>240</v>
          </cell>
          <cell r="G2569">
            <v>6</v>
          </cell>
          <cell r="H2569">
            <v>32.5</v>
          </cell>
          <cell r="I2569">
            <v>27</v>
          </cell>
          <cell r="J2569">
            <v>34</v>
          </cell>
          <cell r="K2569">
            <v>16.45</v>
          </cell>
          <cell r="L2569">
            <v>6.8541666666666667E-2</v>
          </cell>
          <cell r="M2569">
            <v>2.9835000000000004E-2</v>
          </cell>
        </row>
        <row r="2570">
          <cell r="A2570">
            <v>30650020</v>
          </cell>
          <cell r="B2570">
            <v>3118220006812</v>
          </cell>
          <cell r="E2570" t="str">
            <v>FOURCHETTE HECTOR ROUGE 1935C VRAC GENCOD</v>
          </cell>
          <cell r="F2570">
            <v>240</v>
          </cell>
          <cell r="G2570">
            <v>6</v>
          </cell>
          <cell r="H2570">
            <v>32.5</v>
          </cell>
          <cell r="I2570">
            <v>24</v>
          </cell>
          <cell r="J2570">
            <v>25.5</v>
          </cell>
          <cell r="K2570">
            <v>12.398999999999999</v>
          </cell>
          <cell r="L2570">
            <v>5.1662499999999993E-2</v>
          </cell>
          <cell r="M2570">
            <v>1.9890000000000005E-2</v>
          </cell>
        </row>
        <row r="2571">
          <cell r="A2571">
            <v>30650021</v>
          </cell>
          <cell r="B2571">
            <v>3118220006829</v>
          </cell>
          <cell r="E2571" t="str">
            <v>CUILLERE HECTOR ROUGE 1935C VRAC GENCOD</v>
          </cell>
          <cell r="F2571">
            <v>240</v>
          </cell>
          <cell r="G2571">
            <v>6</v>
          </cell>
          <cell r="H2571">
            <v>39</v>
          </cell>
          <cell r="I2571">
            <v>24</v>
          </cell>
          <cell r="J2571">
            <v>21.5</v>
          </cell>
          <cell r="K2571">
            <v>14.32</v>
          </cell>
          <cell r="L2571">
            <v>5.9666666666666666E-2</v>
          </cell>
          <cell r="M2571">
            <v>2.0124E-2</v>
          </cell>
        </row>
        <row r="2572">
          <cell r="A2572">
            <v>30650022</v>
          </cell>
          <cell r="B2572">
            <v>3118220006836</v>
          </cell>
          <cell r="E2572" t="str">
            <v>CAFE HECTOR ROUGE 1935C VRAC GENCOD</v>
          </cell>
          <cell r="F2572">
            <v>240</v>
          </cell>
          <cell r="G2572">
            <v>6</v>
          </cell>
          <cell r="H2572">
            <v>38</v>
          </cell>
          <cell r="I2572">
            <v>20</v>
          </cell>
          <cell r="J2572">
            <v>27</v>
          </cell>
          <cell r="K2572">
            <v>7.53</v>
          </cell>
          <cell r="L2572">
            <v>3.1375E-2</v>
          </cell>
          <cell r="M2572">
            <v>2.052E-2</v>
          </cell>
        </row>
        <row r="2573">
          <cell r="A2573">
            <v>30650023</v>
          </cell>
          <cell r="B2573">
            <v>3118220006843</v>
          </cell>
          <cell r="E2573" t="str">
            <v>COUTEAU HECTOR KAKI Z 7771C VRAC GENCOD</v>
          </cell>
          <cell r="F2573">
            <v>240</v>
          </cell>
          <cell r="G2573">
            <v>6</v>
          </cell>
          <cell r="H2573">
            <v>32.5</v>
          </cell>
          <cell r="I2573">
            <v>27</v>
          </cell>
          <cell r="J2573">
            <v>34</v>
          </cell>
          <cell r="K2573">
            <v>16.45</v>
          </cell>
          <cell r="L2573">
            <v>6.8541666666666667E-2</v>
          </cell>
          <cell r="M2573">
            <v>2.9835000000000004E-2</v>
          </cell>
        </row>
        <row r="2574">
          <cell r="A2574">
            <v>30650024</v>
          </cell>
          <cell r="B2574">
            <v>3118220006850</v>
          </cell>
          <cell r="E2574" t="str">
            <v>FOURCHETTE HECTOR KAKI Z 7771C VRAC GENCOD</v>
          </cell>
          <cell r="F2574">
            <v>240</v>
          </cell>
          <cell r="G2574">
            <v>6</v>
          </cell>
          <cell r="H2574">
            <v>32.5</v>
          </cell>
          <cell r="I2574">
            <v>24</v>
          </cell>
          <cell r="J2574">
            <v>25.5</v>
          </cell>
          <cell r="K2574">
            <v>12.398999999999999</v>
          </cell>
          <cell r="L2574">
            <v>5.1662499999999993E-2</v>
          </cell>
          <cell r="M2574">
            <v>1.9890000000000005E-2</v>
          </cell>
        </row>
        <row r="2575">
          <cell r="A2575">
            <v>30650025</v>
          </cell>
          <cell r="B2575">
            <v>3118220006867</v>
          </cell>
          <cell r="E2575" t="str">
            <v>CUILLERE HECTOR KAKI Z 7771C VRAC GENCOD</v>
          </cell>
          <cell r="F2575">
            <v>240</v>
          </cell>
          <cell r="G2575">
            <v>6</v>
          </cell>
          <cell r="H2575">
            <v>39</v>
          </cell>
          <cell r="I2575">
            <v>24</v>
          </cell>
          <cell r="J2575">
            <v>21.5</v>
          </cell>
          <cell r="K2575">
            <v>14.32</v>
          </cell>
          <cell r="L2575">
            <v>5.9666666666666666E-2</v>
          </cell>
          <cell r="M2575">
            <v>2.0124E-2</v>
          </cell>
        </row>
        <row r="2576">
          <cell r="A2576">
            <v>30650026</v>
          </cell>
          <cell r="B2576">
            <v>3118220006874</v>
          </cell>
          <cell r="E2576" t="str">
            <v>CAFE HECTOR KAKI Z 7771C VRAC GENCOD</v>
          </cell>
          <cell r="F2576">
            <v>240</v>
          </cell>
          <cell r="G2576">
            <v>6</v>
          </cell>
          <cell r="H2576">
            <v>38</v>
          </cell>
          <cell r="I2576">
            <v>20</v>
          </cell>
          <cell r="J2576">
            <v>27</v>
          </cell>
          <cell r="K2576">
            <v>7.53</v>
          </cell>
          <cell r="L2576">
            <v>3.1375E-2</v>
          </cell>
          <cell r="M2576">
            <v>2.052E-2</v>
          </cell>
        </row>
        <row r="2577">
          <cell r="A2577">
            <v>30650027</v>
          </cell>
          <cell r="B2577">
            <v>3118220006881</v>
          </cell>
          <cell r="E2577" t="str">
            <v>COUTEAU HECTOR MASTIC 7536C VRAC GENCOD</v>
          </cell>
          <cell r="F2577">
            <v>240</v>
          </cell>
          <cell r="G2577">
            <v>6</v>
          </cell>
          <cell r="H2577">
            <v>32.5</v>
          </cell>
          <cell r="I2577">
            <v>27</v>
          </cell>
          <cell r="J2577">
            <v>34</v>
          </cell>
          <cell r="K2577">
            <v>16.45</v>
          </cell>
          <cell r="L2577">
            <v>6.8541666666666667E-2</v>
          </cell>
          <cell r="M2577">
            <v>2.9835000000000004E-2</v>
          </cell>
        </row>
        <row r="2578">
          <cell r="A2578">
            <v>30650028</v>
          </cell>
          <cell r="B2578">
            <v>3118220006898</v>
          </cell>
          <cell r="E2578" t="str">
            <v>FOURCHETTE HECTOR MASTIC 7536C VRAC GENCOD</v>
          </cell>
          <cell r="F2578">
            <v>240</v>
          </cell>
          <cell r="G2578">
            <v>6</v>
          </cell>
          <cell r="H2578">
            <v>32.5</v>
          </cell>
          <cell r="I2578">
            <v>24</v>
          </cell>
          <cell r="J2578">
            <v>25.5</v>
          </cell>
          <cell r="K2578">
            <v>12.17</v>
          </cell>
          <cell r="L2578">
            <v>5.0708333333333334E-2</v>
          </cell>
          <cell r="M2578">
            <v>1.9890000000000005E-2</v>
          </cell>
        </row>
        <row r="2579">
          <cell r="A2579">
            <v>30650029</v>
          </cell>
          <cell r="B2579">
            <v>3118220006904</v>
          </cell>
          <cell r="E2579" t="str">
            <v>CUILLERE HECTOR MASTIC 7536C VRAC GENCOD</v>
          </cell>
          <cell r="F2579">
            <v>240</v>
          </cell>
          <cell r="G2579">
            <v>6</v>
          </cell>
          <cell r="H2579">
            <v>39</v>
          </cell>
          <cell r="I2579">
            <v>24</v>
          </cell>
          <cell r="J2579">
            <v>21.5</v>
          </cell>
          <cell r="K2579">
            <v>14.32</v>
          </cell>
          <cell r="L2579">
            <v>5.9666666666666666E-2</v>
          </cell>
          <cell r="M2579">
            <v>2.0124E-2</v>
          </cell>
        </row>
        <row r="2580">
          <cell r="A2580">
            <v>30650030</v>
          </cell>
          <cell r="B2580">
            <v>3118220006911</v>
          </cell>
          <cell r="E2580" t="str">
            <v>CAFE HECTOR MASTIC 7536C VRAC GENCOD</v>
          </cell>
          <cell r="F2580">
            <v>240</v>
          </cell>
          <cell r="G2580">
            <v>6</v>
          </cell>
          <cell r="H2580">
            <v>38</v>
          </cell>
          <cell r="I2580">
            <v>20</v>
          </cell>
          <cell r="J2580">
            <v>27</v>
          </cell>
          <cell r="K2580">
            <v>7.53</v>
          </cell>
          <cell r="L2580">
            <v>3.1375E-2</v>
          </cell>
          <cell r="M2580">
            <v>2.052E-2</v>
          </cell>
        </row>
        <row r="2581">
          <cell r="A2581">
            <v>30656591</v>
          </cell>
          <cell r="B2581">
            <v>3118220007451</v>
          </cell>
          <cell r="E2581" t="str">
            <v>M16 HECTOR MASTIC PANTONE 7536C</v>
          </cell>
          <cell r="F2581">
            <v>3</v>
          </cell>
          <cell r="G2581">
            <v>3</v>
          </cell>
          <cell r="H2581">
            <v>27.5</v>
          </cell>
          <cell r="I2581">
            <v>16</v>
          </cell>
          <cell r="J2581">
            <v>19</v>
          </cell>
          <cell r="K2581">
            <v>3.6360000000000001</v>
          </cell>
          <cell r="L2581">
            <v>1.212</v>
          </cell>
          <cell r="M2581">
            <v>8.3600000000000011E-3</v>
          </cell>
        </row>
        <row r="2582">
          <cell r="A2582">
            <v>30656592</v>
          </cell>
          <cell r="B2582">
            <v>3118220007468</v>
          </cell>
          <cell r="E2582" t="str">
            <v>M16 HECTOR NOIR BLACK 6C</v>
          </cell>
          <cell r="F2582">
            <v>3</v>
          </cell>
          <cell r="G2582">
            <v>3</v>
          </cell>
          <cell r="H2582">
            <v>27.5</v>
          </cell>
          <cell r="I2582">
            <v>16</v>
          </cell>
          <cell r="J2582">
            <v>19</v>
          </cell>
          <cell r="K2582">
            <v>3.6360000000000001</v>
          </cell>
          <cell r="L2582">
            <v>1.212</v>
          </cell>
          <cell r="M2582">
            <v>8.3600000000000011E-3</v>
          </cell>
        </row>
        <row r="2583">
          <cell r="A2583">
            <v>30656593</v>
          </cell>
          <cell r="B2583">
            <v>3118220015845</v>
          </cell>
          <cell r="E2583" t="str">
            <v>COUTEAU HECTOR BOIS VRAC AVEC GENCOD</v>
          </cell>
          <cell r="F2583">
            <v>240</v>
          </cell>
          <cell r="G2583">
            <v>6</v>
          </cell>
          <cell r="H2583">
            <v>50</v>
          </cell>
          <cell r="I2583">
            <v>24.5</v>
          </cell>
          <cell r="J2583">
            <v>13</v>
          </cell>
          <cell r="K2583">
            <v>15.04</v>
          </cell>
          <cell r="L2583">
            <v>6.2666666666666662E-2</v>
          </cell>
          <cell r="M2583">
            <v>1.5925000000000002E-2</v>
          </cell>
        </row>
        <row r="2584">
          <cell r="A2584">
            <v>30656594</v>
          </cell>
          <cell r="B2584">
            <v>3118220015852</v>
          </cell>
          <cell r="E2584" t="str">
            <v>FOURCHETTE HECTOR BOIS VRAC AVEC GENCOD</v>
          </cell>
          <cell r="F2584">
            <v>240</v>
          </cell>
          <cell r="G2584">
            <v>6</v>
          </cell>
          <cell r="H2584">
            <v>45.5</v>
          </cell>
          <cell r="I2584">
            <v>28.5</v>
          </cell>
          <cell r="J2584">
            <v>15.5</v>
          </cell>
          <cell r="K2584">
            <v>14.32</v>
          </cell>
          <cell r="L2584">
            <v>5.9666666666666666E-2</v>
          </cell>
          <cell r="M2584">
            <v>2.0099625000000003E-2</v>
          </cell>
        </row>
        <row r="2585">
          <cell r="A2585">
            <v>30656595</v>
          </cell>
          <cell r="B2585">
            <v>3118220015869</v>
          </cell>
          <cell r="E2585" t="str">
            <v>CUILLERE HECTOR BOIS VRAC AVEC GENCOD</v>
          </cell>
          <cell r="F2585">
            <v>240</v>
          </cell>
          <cell r="G2585">
            <v>6</v>
          </cell>
          <cell r="H2585">
            <v>45</v>
          </cell>
          <cell r="I2585">
            <v>29</v>
          </cell>
          <cell r="J2585">
            <v>24.5</v>
          </cell>
          <cell r="K2585">
            <v>18.251999999999999</v>
          </cell>
          <cell r="L2585">
            <v>7.6049999999999993E-2</v>
          </cell>
          <cell r="M2585">
            <v>3.1972500000000001E-2</v>
          </cell>
        </row>
        <row r="2586">
          <cell r="A2586">
            <v>30656596</v>
          </cell>
          <cell r="B2586">
            <v>3118220015876</v>
          </cell>
          <cell r="E2586" t="str">
            <v>CAFE HECTOR BOIS VRAC AVEC GENCOD</v>
          </cell>
          <cell r="F2586">
            <v>240</v>
          </cell>
          <cell r="G2586">
            <v>6</v>
          </cell>
          <cell r="H2586">
            <v>32</v>
          </cell>
          <cell r="I2586">
            <v>26</v>
          </cell>
          <cell r="J2586">
            <v>17</v>
          </cell>
          <cell r="K2586">
            <v>8.06</v>
          </cell>
          <cell r="L2586">
            <v>3.3583333333333333E-2</v>
          </cell>
          <cell r="M2586">
            <v>1.4143999999999999E-2</v>
          </cell>
        </row>
        <row r="2587">
          <cell r="A2587">
            <v>30656597</v>
          </cell>
          <cell r="B2587">
            <v>3118220016460</v>
          </cell>
          <cell r="E2587" t="str">
            <v>M16 HECTOR TAUPE WARM GREY 11C</v>
          </cell>
          <cell r="F2587">
            <v>3</v>
          </cell>
          <cell r="G2587">
            <v>3</v>
          </cell>
          <cell r="H2587">
            <v>27.5</v>
          </cell>
          <cell r="I2587">
            <v>16</v>
          </cell>
          <cell r="J2587">
            <v>19</v>
          </cell>
          <cell r="K2587">
            <v>3.6360000000000001</v>
          </cell>
          <cell r="L2587">
            <v>1.212</v>
          </cell>
          <cell r="M2587">
            <v>8.3600000000000011E-3</v>
          </cell>
        </row>
        <row r="2588">
          <cell r="A2588">
            <v>30656598</v>
          </cell>
          <cell r="B2588">
            <v>3118220016477</v>
          </cell>
          <cell r="E2588" t="str">
            <v>COUTEAU HECTOR WARM GREY 11C VRAC GENCOD</v>
          </cell>
          <cell r="F2588">
            <v>240</v>
          </cell>
          <cell r="G2588">
            <v>6</v>
          </cell>
          <cell r="H2588">
            <v>32.5</v>
          </cell>
          <cell r="I2588">
            <v>27</v>
          </cell>
          <cell r="J2588">
            <v>34</v>
          </cell>
          <cell r="K2588">
            <v>16.45</v>
          </cell>
          <cell r="L2588">
            <v>6.8541666666666667E-2</v>
          </cell>
          <cell r="M2588">
            <v>2.9835000000000004E-2</v>
          </cell>
        </row>
        <row r="2589">
          <cell r="A2589">
            <v>30656599</v>
          </cell>
          <cell r="B2589">
            <v>3118220016484</v>
          </cell>
          <cell r="E2589" t="str">
            <v>FOURCHETTE HECTOR WARM GREY 11C VRAC GENCOD</v>
          </cell>
          <cell r="F2589">
            <v>240</v>
          </cell>
          <cell r="G2589">
            <v>6</v>
          </cell>
          <cell r="H2589">
            <v>32.5</v>
          </cell>
          <cell r="I2589">
            <v>24</v>
          </cell>
          <cell r="J2589">
            <v>25.5</v>
          </cell>
          <cell r="K2589">
            <v>12.398999999999999</v>
          </cell>
          <cell r="L2589">
            <v>5.1662499999999993E-2</v>
          </cell>
          <cell r="M2589">
            <v>1.9890000000000005E-2</v>
          </cell>
        </row>
        <row r="2590">
          <cell r="A2590">
            <v>30656600</v>
          </cell>
          <cell r="B2590">
            <v>3118220016491</v>
          </cell>
          <cell r="E2590" t="str">
            <v>CUILLERE HECTOR WARM GREY 11C VRAC GENCOD</v>
          </cell>
          <cell r="F2590">
            <v>240</v>
          </cell>
          <cell r="G2590">
            <v>6</v>
          </cell>
          <cell r="H2590">
            <v>39</v>
          </cell>
          <cell r="I2590">
            <v>24</v>
          </cell>
          <cell r="J2590">
            <v>21.5</v>
          </cell>
          <cell r="K2590">
            <v>14.32</v>
          </cell>
          <cell r="L2590">
            <v>5.9666666666666666E-2</v>
          </cell>
          <cell r="M2590">
            <v>2.0124E-2</v>
          </cell>
        </row>
        <row r="2591">
          <cell r="A2591">
            <v>30656601</v>
          </cell>
          <cell r="B2591">
            <v>3118220016507</v>
          </cell>
          <cell r="E2591" t="str">
            <v>CAFE HECTOR WARM GREY 11C VRAC GENCOD</v>
          </cell>
          <cell r="F2591">
            <v>240</v>
          </cell>
          <cell r="G2591">
            <v>6</v>
          </cell>
          <cell r="H2591">
            <v>38</v>
          </cell>
          <cell r="I2591">
            <v>20</v>
          </cell>
          <cell r="J2591">
            <v>27</v>
          </cell>
          <cell r="K2591">
            <v>7.53</v>
          </cell>
          <cell r="L2591">
            <v>3.1375E-2</v>
          </cell>
          <cell r="M2591">
            <v>2.052E-2</v>
          </cell>
        </row>
        <row r="2592">
          <cell r="A2592">
            <v>30656606</v>
          </cell>
          <cell r="B2592">
            <v>3118220034303</v>
          </cell>
          <cell r="E2592" t="str">
            <v>TUBO 6 STEAK HECTOR ARDOISE</v>
          </cell>
          <cell r="F2592">
            <v>6</v>
          </cell>
          <cell r="G2592">
            <v>6</v>
          </cell>
          <cell r="H2592">
            <v>31</v>
          </cell>
          <cell r="I2592">
            <v>29</v>
          </cell>
          <cell r="J2592">
            <v>13.5</v>
          </cell>
          <cell r="K2592">
            <v>2.38</v>
          </cell>
          <cell r="L2592">
            <v>0.39666666666666667</v>
          </cell>
          <cell r="M2592">
            <v>1.2136500000000001E-2</v>
          </cell>
        </row>
        <row r="2593">
          <cell r="A2593">
            <v>30680001</v>
          </cell>
          <cell r="B2593">
            <v>3118220005259</v>
          </cell>
          <cell r="E2593" t="str">
            <v>COUTEAU STEAK POINTU INEDIT UNION JACK+GENCOD</v>
          </cell>
          <cell r="F2593">
            <v>240</v>
          </cell>
          <cell r="G2593">
            <v>6</v>
          </cell>
          <cell r="H2593">
            <v>27</v>
          </cell>
          <cell r="I2593">
            <v>27</v>
          </cell>
          <cell r="J2593">
            <v>35</v>
          </cell>
          <cell r="K2593">
            <v>10.14</v>
          </cell>
          <cell r="L2593">
            <v>4.2250000000000003E-2</v>
          </cell>
          <cell r="M2593">
            <v>2.5515000000000003E-2</v>
          </cell>
        </row>
        <row r="2594">
          <cell r="A2594">
            <v>30730002</v>
          </cell>
          <cell r="B2594">
            <v>3118220005174</v>
          </cell>
          <cell r="C2594" t="str">
            <v>13118220005171</v>
          </cell>
          <cell r="D2594" t="str">
            <v>23118220005178</v>
          </cell>
          <cell r="E2594" t="str">
            <v>COUTEAU INEDIT GEOMETRIX LOSANGE+GENCOD</v>
          </cell>
          <cell r="F2594">
            <v>240</v>
          </cell>
          <cell r="G2594">
            <v>6</v>
          </cell>
          <cell r="H2594">
            <v>35.5</v>
          </cell>
          <cell r="I2594">
            <v>28.5</v>
          </cell>
          <cell r="J2594">
            <v>27</v>
          </cell>
          <cell r="K2594">
            <v>11.974</v>
          </cell>
          <cell r="L2594">
            <v>4.9891666666666667E-2</v>
          </cell>
          <cell r="M2594">
            <v>2.7317250000000001E-2</v>
          </cell>
        </row>
        <row r="2595">
          <cell r="A2595">
            <v>30730003</v>
          </cell>
          <cell r="B2595">
            <v>3118220005181</v>
          </cell>
          <cell r="C2595" t="str">
            <v>13118220005188</v>
          </cell>
          <cell r="D2595" t="str">
            <v>23118220005185</v>
          </cell>
          <cell r="E2595" t="str">
            <v>FOURCHETTE INEDIT GEOMETRIX LOSANGE+GENCOD</v>
          </cell>
          <cell r="F2595">
            <v>240</v>
          </cell>
          <cell r="G2595">
            <v>6</v>
          </cell>
          <cell r="H2595">
            <v>42.5</v>
          </cell>
          <cell r="I2595">
            <v>25</v>
          </cell>
          <cell r="J2595">
            <v>27.5</v>
          </cell>
          <cell r="K2595">
            <v>10.566000000000001</v>
          </cell>
          <cell r="L2595">
            <v>4.4025000000000002E-2</v>
          </cell>
          <cell r="M2595">
            <v>2.9218750000000002E-2</v>
          </cell>
        </row>
        <row r="2596">
          <cell r="A2596">
            <v>30730004</v>
          </cell>
          <cell r="B2596">
            <v>3118220005198</v>
          </cell>
          <cell r="C2596" t="str">
            <v>13118220005195</v>
          </cell>
          <cell r="D2596" t="str">
            <v>23118220005192</v>
          </cell>
          <cell r="E2596" t="str">
            <v>CUILLERE INEDIT GEOMETRIX LOSANGE+GENCOD</v>
          </cell>
          <cell r="F2596">
            <v>240</v>
          </cell>
          <cell r="G2596">
            <v>6</v>
          </cell>
          <cell r="H2596">
            <v>42.5</v>
          </cell>
          <cell r="I2596">
            <v>25</v>
          </cell>
          <cell r="J2596">
            <v>27.5</v>
          </cell>
          <cell r="K2596">
            <v>14.311999999999999</v>
          </cell>
          <cell r="L2596">
            <v>5.963333333333333E-2</v>
          </cell>
          <cell r="M2596">
            <v>2.9218750000000002E-2</v>
          </cell>
        </row>
        <row r="2597">
          <cell r="A2597">
            <v>30730005</v>
          </cell>
          <cell r="B2597">
            <v>3118220005204</v>
          </cell>
          <cell r="C2597" t="str">
            <v>13118220005201</v>
          </cell>
          <cell r="D2597" t="str">
            <v>23118220005208</v>
          </cell>
          <cell r="E2597" t="str">
            <v>CAFE INEDIT GEOMETRIX LOSANGE+GENCOD</v>
          </cell>
          <cell r="F2597">
            <v>240</v>
          </cell>
          <cell r="G2597">
            <v>6</v>
          </cell>
          <cell r="H2597">
            <v>34</v>
          </cell>
          <cell r="I2597">
            <v>18.5</v>
          </cell>
          <cell r="J2597">
            <v>27</v>
          </cell>
          <cell r="K2597">
            <v>7.4180000000000001</v>
          </cell>
          <cell r="L2597">
            <v>3.0908333333333333E-2</v>
          </cell>
          <cell r="M2597">
            <v>1.6982999999999998E-2</v>
          </cell>
        </row>
        <row r="2598">
          <cell r="A2598">
            <v>30730006</v>
          </cell>
          <cell r="B2598">
            <v>3118220005211</v>
          </cell>
          <cell r="C2598" t="str">
            <v>13118220005218</v>
          </cell>
          <cell r="D2598" t="str">
            <v>23118220005215</v>
          </cell>
          <cell r="E2598" t="str">
            <v>COUTEAU INEDIT GEOMETRIX SQUARE+GENCOD</v>
          </cell>
          <cell r="F2598">
            <v>240</v>
          </cell>
          <cell r="G2598">
            <v>6</v>
          </cell>
          <cell r="H2598">
            <v>40.5</v>
          </cell>
          <cell r="I2598">
            <v>30</v>
          </cell>
          <cell r="J2598">
            <v>21</v>
          </cell>
          <cell r="K2598">
            <v>11.52</v>
          </cell>
          <cell r="L2598">
            <v>4.8000000000000001E-2</v>
          </cell>
          <cell r="M2598">
            <v>2.5514999999999999E-2</v>
          </cell>
        </row>
        <row r="2599">
          <cell r="A2599">
            <v>30730007</v>
          </cell>
          <cell r="B2599">
            <v>3118220005228</v>
          </cell>
          <cell r="C2599" t="str">
            <v>13118220005225</v>
          </cell>
          <cell r="D2599" t="str">
            <v>23118220005222</v>
          </cell>
          <cell r="E2599" t="str">
            <v>FOURCHETTE INEDIT GEOMETRIX SQUARE+GENCOD</v>
          </cell>
          <cell r="F2599">
            <v>240</v>
          </cell>
          <cell r="G2599">
            <v>6</v>
          </cell>
          <cell r="H2599">
            <v>43</v>
          </cell>
          <cell r="I2599">
            <v>28</v>
          </cell>
          <cell r="J2599">
            <v>28.5</v>
          </cell>
          <cell r="K2599">
            <v>9.36</v>
          </cell>
          <cell r="L2599">
            <v>3.9E-2</v>
          </cell>
          <cell r="M2599">
            <v>3.4313999999999997E-2</v>
          </cell>
        </row>
        <row r="2600">
          <cell r="A2600">
            <v>30730008</v>
          </cell>
          <cell r="B2600">
            <v>3118220005235</v>
          </cell>
          <cell r="C2600" t="str">
            <v>13118220005232</v>
          </cell>
          <cell r="D2600" t="str">
            <v>23118220005239</v>
          </cell>
          <cell r="E2600" t="str">
            <v>CUILLERE INEDIT GEOMETRIX SQUARE+GENCOD</v>
          </cell>
          <cell r="F2600">
            <v>240</v>
          </cell>
          <cell r="G2600">
            <v>6</v>
          </cell>
          <cell r="H2600">
            <v>42</v>
          </cell>
          <cell r="I2600">
            <v>25.3</v>
          </cell>
          <cell r="J2600">
            <v>26</v>
          </cell>
          <cell r="K2600">
            <v>12.72</v>
          </cell>
          <cell r="L2600">
            <v>5.3000000000000005E-2</v>
          </cell>
          <cell r="M2600">
            <v>2.7627599999999995E-2</v>
          </cell>
        </row>
        <row r="2601">
          <cell r="A2601">
            <v>30730009</v>
          </cell>
          <cell r="B2601">
            <v>3118220005242</v>
          </cell>
          <cell r="C2601" t="str">
            <v>13118220005249</v>
          </cell>
          <cell r="D2601" t="str">
            <v>23118220005246</v>
          </cell>
          <cell r="E2601" t="str">
            <v>CAFE INEDIT GEOMETRIX SQUARE+GENCOD</v>
          </cell>
          <cell r="F2601">
            <v>240</v>
          </cell>
          <cell r="G2601">
            <v>6</v>
          </cell>
          <cell r="H2601">
            <v>36.5</v>
          </cell>
          <cell r="I2601">
            <v>18.5</v>
          </cell>
          <cell r="J2601">
            <v>28</v>
          </cell>
          <cell r="K2601">
            <v>7.3079999999999998</v>
          </cell>
          <cell r="L2601">
            <v>3.0449999999999998E-2</v>
          </cell>
          <cell r="M2601">
            <v>1.8907E-2</v>
          </cell>
        </row>
        <row r="2602">
          <cell r="A2602">
            <v>30730010</v>
          </cell>
          <cell r="B2602">
            <v>3118220009110</v>
          </cell>
          <cell r="E2602" t="str">
            <v>M16 INEDIT GEOMETRIX SQUARE</v>
          </cell>
          <cell r="F2602">
            <v>6</v>
          </cell>
          <cell r="G2602">
            <v>6</v>
          </cell>
          <cell r="H2602">
            <v>30</v>
          </cell>
          <cell r="I2602">
            <v>24</v>
          </cell>
          <cell r="J2602">
            <v>28.5</v>
          </cell>
          <cell r="K2602">
            <v>4.9560000000000004</v>
          </cell>
          <cell r="L2602">
            <v>0.82600000000000007</v>
          </cell>
          <cell r="M2602">
            <v>2.052E-2</v>
          </cell>
        </row>
        <row r="2603">
          <cell r="A2603">
            <v>30730011</v>
          </cell>
          <cell r="B2603">
            <v>3118220009127</v>
          </cell>
          <cell r="E2603" t="str">
            <v>M16 INEDIT GEOMETRIX LOSANGE</v>
          </cell>
          <cell r="F2603">
            <v>6</v>
          </cell>
          <cell r="G2603">
            <v>6</v>
          </cell>
          <cell r="H2603">
            <v>30</v>
          </cell>
          <cell r="I2603">
            <v>24</v>
          </cell>
          <cell r="J2603">
            <v>29.5</v>
          </cell>
          <cell r="K2603">
            <v>4.9509999999999996</v>
          </cell>
          <cell r="L2603">
            <v>0.8251666666666666</v>
          </cell>
          <cell r="M2603">
            <v>2.1239999999999995E-2</v>
          </cell>
        </row>
        <row r="2604">
          <cell r="A2604">
            <v>30540007</v>
          </cell>
          <cell r="B2604">
            <v>3118220032743</v>
          </cell>
          <cell r="E2604" t="str">
            <v>CAFE ZEPHIR TAUPE+GENCOD</v>
          </cell>
          <cell r="F2604">
            <v>240</v>
          </cell>
          <cell r="G2604">
            <v>12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</row>
        <row r="2605">
          <cell r="A2605">
            <v>30790003</v>
          </cell>
          <cell r="B2605">
            <v>3118220011908</v>
          </cell>
          <cell r="E2605" t="str">
            <v>M16 BOLERO TAUPE BOITE DECO</v>
          </cell>
          <cell r="F2605">
            <v>3</v>
          </cell>
          <cell r="G2605">
            <v>3</v>
          </cell>
          <cell r="H2605">
            <v>31</v>
          </cell>
          <cell r="I2605">
            <v>29</v>
          </cell>
          <cell r="J2605">
            <v>16.5</v>
          </cell>
          <cell r="K2605">
            <v>2.91</v>
          </cell>
          <cell r="L2605">
            <v>0.97000000000000008</v>
          </cell>
          <cell r="M2605">
            <v>1.4833500000000001E-2</v>
          </cell>
        </row>
        <row r="2606">
          <cell r="A2606">
            <v>30790007</v>
          </cell>
          <cell r="B2606">
            <v>3118220032842</v>
          </cell>
          <cell r="E2606" t="str">
            <v>COUTEAU BOLERO TAUPE GENCOD</v>
          </cell>
          <cell r="F2606">
            <v>240</v>
          </cell>
          <cell r="G2606">
            <v>6</v>
          </cell>
          <cell r="H2606">
            <v>40</v>
          </cell>
          <cell r="I2606">
            <v>30</v>
          </cell>
          <cell r="J2606">
            <v>20</v>
          </cell>
          <cell r="K2606">
            <v>9.0329999999999995</v>
          </cell>
          <cell r="L2606">
            <v>3.7637499999999997E-2</v>
          </cell>
          <cell r="M2606">
            <v>2.4E-2</v>
          </cell>
        </row>
        <row r="2607">
          <cell r="A2607">
            <v>30790008</v>
          </cell>
          <cell r="B2607">
            <v>3118220032859</v>
          </cell>
          <cell r="E2607" t="str">
            <v>FOURCHETTE BOLERO TAUPE GENCOD</v>
          </cell>
          <cell r="F2607">
            <v>240</v>
          </cell>
          <cell r="G2607">
            <v>6</v>
          </cell>
          <cell r="H2607">
            <v>36</v>
          </cell>
          <cell r="I2607">
            <v>24</v>
          </cell>
          <cell r="J2607">
            <v>32</v>
          </cell>
          <cell r="K2607">
            <v>9.67</v>
          </cell>
          <cell r="L2607">
            <v>4.0291666666666663E-2</v>
          </cell>
          <cell r="M2607">
            <v>2.7648000000000002E-2</v>
          </cell>
        </row>
        <row r="2608">
          <cell r="A2608">
            <v>30790009</v>
          </cell>
          <cell r="B2608">
            <v>3118220032866</v>
          </cell>
          <cell r="E2608" t="str">
            <v>CUILLERE BOLERO TAUPE GENCOD</v>
          </cell>
          <cell r="F2608">
            <v>240</v>
          </cell>
          <cell r="G2608">
            <v>6</v>
          </cell>
          <cell r="H2608">
            <v>35</v>
          </cell>
          <cell r="I2608">
            <v>26</v>
          </cell>
          <cell r="J2608">
            <v>32</v>
          </cell>
          <cell r="K2608">
            <v>10.24</v>
          </cell>
          <cell r="L2608">
            <v>4.2666666666666665E-2</v>
          </cell>
          <cell r="M2608">
            <v>2.912E-2</v>
          </cell>
        </row>
        <row r="2609">
          <cell r="A2609">
            <v>30790010</v>
          </cell>
          <cell r="B2609">
            <v>3118220032873</v>
          </cell>
          <cell r="E2609" t="str">
            <v>CAFE BOLERO TAUPE GENCOD</v>
          </cell>
          <cell r="F2609">
            <v>240</v>
          </cell>
          <cell r="G2609">
            <v>6</v>
          </cell>
          <cell r="H2609">
            <v>31</v>
          </cell>
          <cell r="I2609">
            <v>17.5</v>
          </cell>
          <cell r="J2609">
            <v>26</v>
          </cell>
          <cell r="K2609">
            <v>6.8959999999999999</v>
          </cell>
          <cell r="L2609">
            <v>2.8733333333333333E-2</v>
          </cell>
          <cell r="M2609">
            <v>1.4105000000000001E-2</v>
          </cell>
        </row>
        <row r="2610">
          <cell r="A2610">
            <v>30810004</v>
          </cell>
          <cell r="B2610">
            <v>3118220053588</v>
          </cell>
          <cell r="E2610" t="str">
            <v>M24 BASTILLE TOMATE 485C+GENCOD</v>
          </cell>
          <cell r="F2610">
            <v>9</v>
          </cell>
          <cell r="G2610">
            <v>9</v>
          </cell>
          <cell r="H2610">
            <v>41</v>
          </cell>
          <cell r="I2610">
            <v>40</v>
          </cell>
          <cell r="J2610">
            <v>27.5</v>
          </cell>
          <cell r="K2610">
            <v>13.78</v>
          </cell>
          <cell r="L2610">
            <v>1.5311111111111111</v>
          </cell>
          <cell r="M2610">
            <v>4.5100000000000001E-2</v>
          </cell>
        </row>
        <row r="2611">
          <cell r="A2611">
            <v>30880001</v>
          </cell>
          <cell r="B2611">
            <v>3118220006522</v>
          </cell>
          <cell r="E2611" t="str">
            <v>COUTEAU CANDY ROSE VRAC GENCOD</v>
          </cell>
          <cell r="F2611">
            <v>240</v>
          </cell>
          <cell r="G2611">
            <v>6</v>
          </cell>
          <cell r="H2611">
            <v>26</v>
          </cell>
          <cell r="I2611">
            <v>26.5</v>
          </cell>
          <cell r="J2611">
            <v>32</v>
          </cell>
          <cell r="K2611">
            <v>14.12</v>
          </cell>
          <cell r="L2611">
            <v>5.8833333333333328E-2</v>
          </cell>
          <cell r="M2611">
            <v>2.2048000000000002E-2</v>
          </cell>
        </row>
        <row r="2612">
          <cell r="A2612">
            <v>30880002</v>
          </cell>
          <cell r="B2612">
            <v>3118220006539</v>
          </cell>
          <cell r="E2612" t="str">
            <v>FOURCHETTE CANDY ROSE VRAC GENCOD</v>
          </cell>
          <cell r="F2612">
            <v>240</v>
          </cell>
          <cell r="G2612">
            <v>6</v>
          </cell>
          <cell r="H2612">
            <v>42.5</v>
          </cell>
          <cell r="I2612">
            <v>25</v>
          </cell>
          <cell r="J2612">
            <v>26.5</v>
          </cell>
          <cell r="K2612">
            <v>12.461</v>
          </cell>
          <cell r="L2612">
            <v>5.1920833333333333E-2</v>
          </cell>
          <cell r="M2612">
            <v>2.8156249999999997E-2</v>
          </cell>
        </row>
        <row r="2613">
          <cell r="A2613">
            <v>30880003</v>
          </cell>
          <cell r="B2613">
            <v>3118220006546</v>
          </cell>
          <cell r="E2613" t="str">
            <v>CUILLERE CANDY ROSE VRAC GENCOD</v>
          </cell>
          <cell r="F2613">
            <v>240</v>
          </cell>
          <cell r="G2613">
            <v>6</v>
          </cell>
          <cell r="H2613">
            <v>35</v>
          </cell>
          <cell r="I2613">
            <v>24</v>
          </cell>
          <cell r="J2613">
            <v>30</v>
          </cell>
          <cell r="K2613">
            <v>14.96</v>
          </cell>
          <cell r="L2613">
            <v>6.2333333333333338E-2</v>
          </cell>
          <cell r="M2613">
            <v>2.5199999999999997E-2</v>
          </cell>
        </row>
        <row r="2614">
          <cell r="A2614">
            <v>30880004</v>
          </cell>
          <cell r="B2614">
            <v>3118220006553</v>
          </cell>
          <cell r="E2614" t="str">
            <v>CAFE CANDY ROSE VRAC GENCOD</v>
          </cell>
          <cell r="F2614">
            <v>240</v>
          </cell>
          <cell r="G2614">
            <v>6</v>
          </cell>
          <cell r="H2614">
            <v>36</v>
          </cell>
          <cell r="I2614">
            <v>28</v>
          </cell>
          <cell r="J2614">
            <v>19.5</v>
          </cell>
          <cell r="K2614">
            <v>8.36</v>
          </cell>
          <cell r="L2614">
            <v>3.4833333333333334E-2</v>
          </cell>
          <cell r="M2614">
            <v>1.9656E-2</v>
          </cell>
        </row>
        <row r="2615">
          <cell r="A2615">
            <v>30880005</v>
          </cell>
          <cell r="B2615">
            <v>3118220011915</v>
          </cell>
          <cell r="E2615" t="str">
            <v>M16 CANDY ROSE 218C BOITE TB COLLECTION</v>
          </cell>
          <cell r="F2615">
            <v>3</v>
          </cell>
          <cell r="G2615">
            <v>3</v>
          </cell>
          <cell r="H2615">
            <v>23.5</v>
          </cell>
          <cell r="I2615">
            <v>16</v>
          </cell>
          <cell r="J2615">
            <v>29</v>
          </cell>
          <cell r="K2615">
            <v>2.61</v>
          </cell>
          <cell r="L2615">
            <v>0.87</v>
          </cell>
          <cell r="M2615">
            <v>1.0903999999999999E-2</v>
          </cell>
        </row>
        <row r="2616">
          <cell r="A2616">
            <v>30880006</v>
          </cell>
          <cell r="B2616">
            <v>3118220011922</v>
          </cell>
          <cell r="E2616" t="str">
            <v>M16 CANDY TURQUOISE 7697C BOITE TB COLLECTION</v>
          </cell>
          <cell r="F2616">
            <v>3</v>
          </cell>
          <cell r="G2616">
            <v>3</v>
          </cell>
          <cell r="H2616">
            <v>23.5</v>
          </cell>
          <cell r="I2616">
            <v>16</v>
          </cell>
          <cell r="J2616">
            <v>29</v>
          </cell>
          <cell r="K2616">
            <v>2.83</v>
          </cell>
          <cell r="L2616">
            <v>0.94333333333333336</v>
          </cell>
          <cell r="M2616">
            <v>1.0903999999999999E-2</v>
          </cell>
        </row>
        <row r="2617">
          <cell r="A2617">
            <v>30880010</v>
          </cell>
          <cell r="B2617">
            <v>3118220011960</v>
          </cell>
          <cell r="E2617" t="str">
            <v>M16 CANDY JAUNE 7758C VRAC</v>
          </cell>
          <cell r="F2617">
            <v>6</v>
          </cell>
          <cell r="G2617">
            <v>6</v>
          </cell>
          <cell r="H2617">
            <v>24.7</v>
          </cell>
          <cell r="I2617">
            <v>13.5</v>
          </cell>
          <cell r="J2617">
            <v>26.3</v>
          </cell>
          <cell r="K2617">
            <v>0.3</v>
          </cell>
          <cell r="L2617">
            <v>4.9999999999999996E-2</v>
          </cell>
          <cell r="M2617">
            <v>8.769734999999999E-3</v>
          </cell>
        </row>
        <row r="2618">
          <cell r="A2618">
            <v>30900001</v>
          </cell>
          <cell r="B2618">
            <v>3118220006669</v>
          </cell>
          <cell r="E2618" t="str">
            <v>COUTEAU STEAK INEDIT DECOR BOIS CLAIR VRAC GENCOD</v>
          </cell>
          <cell r="F2618">
            <v>240</v>
          </cell>
          <cell r="G2618">
            <v>6</v>
          </cell>
          <cell r="H2618">
            <v>27</v>
          </cell>
          <cell r="I2618">
            <v>26.5</v>
          </cell>
          <cell r="J2618">
            <v>34</v>
          </cell>
          <cell r="K2618">
            <v>10.63</v>
          </cell>
          <cell r="L2618">
            <v>4.4291666666666667E-2</v>
          </cell>
          <cell r="M2618">
            <v>2.4327000000000001E-2</v>
          </cell>
        </row>
        <row r="2619">
          <cell r="A2619">
            <v>30900002</v>
          </cell>
          <cell r="B2619">
            <v>3118220006676</v>
          </cell>
          <cell r="E2619" t="str">
            <v>FOURCHETTE INEDIT DECOR BOIS CLAIR VRAC GENCOD</v>
          </cell>
          <cell r="F2619">
            <v>240</v>
          </cell>
          <cell r="G2619">
            <v>6</v>
          </cell>
          <cell r="H2619">
            <v>42.5</v>
          </cell>
          <cell r="I2619">
            <v>25</v>
          </cell>
          <cell r="J2619">
            <v>27.5</v>
          </cell>
          <cell r="K2619">
            <v>10.566000000000001</v>
          </cell>
          <cell r="L2619">
            <v>4.4025000000000002E-2</v>
          </cell>
          <cell r="M2619">
            <v>2.9218750000000002E-2</v>
          </cell>
        </row>
        <row r="2620">
          <cell r="A2620">
            <v>30900003</v>
          </cell>
          <cell r="B2620">
            <v>3118220006683</v>
          </cell>
          <cell r="E2620" t="str">
            <v>CUILLERE INEDIT DECOR BOIS CLAIR VRAC GENCOD</v>
          </cell>
          <cell r="F2620">
            <v>240</v>
          </cell>
          <cell r="G2620">
            <v>6</v>
          </cell>
          <cell r="H2620">
            <v>42.5</v>
          </cell>
          <cell r="I2620">
            <v>25</v>
          </cell>
          <cell r="J2620">
            <v>27.5</v>
          </cell>
          <cell r="K2620">
            <v>12.095000000000001</v>
          </cell>
          <cell r="L2620">
            <v>5.0395833333333334E-2</v>
          </cell>
          <cell r="M2620">
            <v>2.9218750000000002E-2</v>
          </cell>
        </row>
        <row r="2621">
          <cell r="A2621">
            <v>30900004</v>
          </cell>
          <cell r="B2621">
            <v>3118220006690</v>
          </cell>
          <cell r="E2621" t="str">
            <v>CAFE INEDIT DECOR BOIS CLAIR VRAC GENCOD</v>
          </cell>
          <cell r="F2621">
            <v>240</v>
          </cell>
          <cell r="G2621">
            <v>6</v>
          </cell>
          <cell r="H2621">
            <v>34</v>
          </cell>
          <cell r="I2621">
            <v>18.5</v>
          </cell>
          <cell r="J2621">
            <v>27</v>
          </cell>
          <cell r="K2621">
            <v>6.24</v>
          </cell>
          <cell r="L2621">
            <v>2.6000000000000002E-2</v>
          </cell>
          <cell r="M2621">
            <v>1.6982999999999998E-2</v>
          </cell>
        </row>
        <row r="2622">
          <cell r="A2622">
            <v>30900005</v>
          </cell>
          <cell r="B2622">
            <v>3614610044308</v>
          </cell>
          <cell r="E2622" t="str">
            <v>M16 INEDIT DECOR BOIS CLAIR MDD CARREFOUR</v>
          </cell>
          <cell r="F2622">
            <v>3</v>
          </cell>
          <cell r="G2622">
            <v>3</v>
          </cell>
          <cell r="H2622">
            <v>29</v>
          </cell>
          <cell r="I2622">
            <v>16.5</v>
          </cell>
          <cell r="J2622">
            <v>23.5</v>
          </cell>
          <cell r="K2622">
            <v>2.6120000000000001</v>
          </cell>
          <cell r="L2622">
            <v>0.8706666666666667</v>
          </cell>
          <cell r="M2622">
            <v>1.1244749999999996E-2</v>
          </cell>
        </row>
        <row r="2623">
          <cell r="A2623">
            <v>30900007</v>
          </cell>
          <cell r="B2623">
            <v>3118220011595</v>
          </cell>
          <cell r="E2623" t="str">
            <v>COUTEAU STEAK INEDIT DECOR BOIS FONCE VRAC GENCOD</v>
          </cell>
          <cell r="F2623">
            <v>240</v>
          </cell>
          <cell r="G2623">
            <v>6</v>
          </cell>
          <cell r="H2623">
            <v>27</v>
          </cell>
          <cell r="I2623">
            <v>26.5</v>
          </cell>
          <cell r="J2623">
            <v>34</v>
          </cell>
          <cell r="K2623">
            <v>10.23</v>
          </cell>
          <cell r="L2623">
            <v>4.2625000000000003E-2</v>
          </cell>
          <cell r="M2623">
            <v>2.4327000000000001E-2</v>
          </cell>
        </row>
        <row r="2624">
          <cell r="A2624">
            <v>30900008</v>
          </cell>
          <cell r="B2624">
            <v>3118220011601</v>
          </cell>
          <cell r="E2624" t="str">
            <v>FOURCHETTE INEDIT DECOR BOIS FONCE VRAC GENCOD</v>
          </cell>
          <cell r="F2624">
            <v>240</v>
          </cell>
          <cell r="G2624">
            <v>6</v>
          </cell>
          <cell r="H2624">
            <v>42.5</v>
          </cell>
          <cell r="I2624">
            <v>25</v>
          </cell>
          <cell r="J2624">
            <v>27.5</v>
          </cell>
          <cell r="K2624">
            <v>9.1199999999999992</v>
          </cell>
          <cell r="L2624">
            <v>3.7999999999999999E-2</v>
          </cell>
          <cell r="M2624">
            <v>2.9218750000000002E-2</v>
          </cell>
        </row>
        <row r="2625">
          <cell r="A2625">
            <v>30900009</v>
          </cell>
          <cell r="B2625">
            <v>3118220011618</v>
          </cell>
          <cell r="E2625" t="str">
            <v>CUILLERE INEDIT DECOR BOIS FONCE VRAC GENCOD</v>
          </cell>
          <cell r="F2625">
            <v>240</v>
          </cell>
          <cell r="G2625">
            <v>6</v>
          </cell>
          <cell r="H2625">
            <v>42.5</v>
          </cell>
          <cell r="I2625">
            <v>25</v>
          </cell>
          <cell r="J2625">
            <v>27.5</v>
          </cell>
          <cell r="K2625">
            <v>12.48</v>
          </cell>
          <cell r="L2625">
            <v>5.2000000000000005E-2</v>
          </cell>
          <cell r="M2625">
            <v>2.9218750000000002E-2</v>
          </cell>
        </row>
        <row r="2626">
          <cell r="A2626">
            <v>30900010</v>
          </cell>
          <cell r="B2626">
            <v>3118220011625</v>
          </cell>
          <cell r="E2626" t="str">
            <v>CAFE INEDIT DECOR BOIS FONCE VRAC GENCOD</v>
          </cell>
          <cell r="F2626">
            <v>240</v>
          </cell>
          <cell r="G2626">
            <v>6</v>
          </cell>
          <cell r="H2626">
            <v>34</v>
          </cell>
          <cell r="I2626">
            <v>18.5</v>
          </cell>
          <cell r="J2626">
            <v>27</v>
          </cell>
          <cell r="K2626">
            <v>6.24</v>
          </cell>
          <cell r="L2626">
            <v>2.6000000000000002E-2</v>
          </cell>
          <cell r="M2626">
            <v>1.6982999999999998E-2</v>
          </cell>
        </row>
        <row r="2627">
          <cell r="A2627">
            <v>30910001</v>
          </cell>
          <cell r="B2627">
            <v>3118220006720</v>
          </cell>
          <cell r="E2627" t="str">
            <v>COUTEAU INEDIT FRANCE+GENCOD</v>
          </cell>
          <cell r="F2627">
            <v>240</v>
          </cell>
          <cell r="G2627">
            <v>6</v>
          </cell>
          <cell r="H2627">
            <v>40.5</v>
          </cell>
          <cell r="I2627">
            <v>30</v>
          </cell>
          <cell r="J2627">
            <v>21</v>
          </cell>
          <cell r="K2627">
            <v>11.356999999999999</v>
          </cell>
          <cell r="L2627">
            <v>4.7320833333333333E-2</v>
          </cell>
          <cell r="M2627">
            <v>2.5514999999999999E-2</v>
          </cell>
        </row>
        <row r="2628">
          <cell r="A2628">
            <v>30910002</v>
          </cell>
          <cell r="B2628">
            <v>3118220006737</v>
          </cell>
          <cell r="E2628" t="str">
            <v>FOURCHETTE INEDIT FRANCE+GENCOD</v>
          </cell>
          <cell r="F2628">
            <v>240</v>
          </cell>
          <cell r="G2628">
            <v>6</v>
          </cell>
          <cell r="H2628">
            <v>43</v>
          </cell>
          <cell r="I2628">
            <v>28</v>
          </cell>
          <cell r="J2628">
            <v>28.5</v>
          </cell>
          <cell r="K2628">
            <v>10.728999999999999</v>
          </cell>
          <cell r="L2628">
            <v>4.4704166666666663E-2</v>
          </cell>
          <cell r="M2628">
            <v>3.4313999999999997E-2</v>
          </cell>
        </row>
        <row r="2629">
          <cell r="A2629">
            <v>30910003</v>
          </cell>
          <cell r="B2629">
            <v>3118220006744</v>
          </cell>
          <cell r="E2629" t="str">
            <v>CUILLERE INEDIT FRANCE+GENCOD</v>
          </cell>
          <cell r="F2629">
            <v>240</v>
          </cell>
          <cell r="G2629">
            <v>6</v>
          </cell>
          <cell r="H2629">
            <v>42</v>
          </cell>
          <cell r="I2629">
            <v>25.3</v>
          </cell>
          <cell r="J2629">
            <v>26</v>
          </cell>
          <cell r="K2629">
            <v>12.972</v>
          </cell>
          <cell r="L2629">
            <v>5.4050000000000001E-2</v>
          </cell>
          <cell r="M2629">
            <v>2.7627599999999995E-2</v>
          </cell>
        </row>
        <row r="2630">
          <cell r="A2630">
            <v>30910004</v>
          </cell>
          <cell r="B2630">
            <v>3118220006751</v>
          </cell>
          <cell r="E2630" t="str">
            <v>CAFE INEDIT FRANCE+GENCOD</v>
          </cell>
          <cell r="F2630">
            <v>240</v>
          </cell>
          <cell r="G2630">
            <v>6</v>
          </cell>
          <cell r="H2630">
            <v>36.5</v>
          </cell>
          <cell r="I2630">
            <v>18.5</v>
          </cell>
          <cell r="J2630">
            <v>28</v>
          </cell>
          <cell r="K2630">
            <v>7.6109999999999998</v>
          </cell>
          <cell r="L2630">
            <v>3.1712499999999998E-2</v>
          </cell>
          <cell r="M2630">
            <v>1.8907E-2</v>
          </cell>
        </row>
        <row r="2631">
          <cell r="A2631">
            <v>30970001</v>
          </cell>
          <cell r="B2631">
            <v>3118220012882</v>
          </cell>
          <cell r="E2631" t="str">
            <v>M24 ECUME OLIVE GREEN 5763C POT PET</v>
          </cell>
          <cell r="F2631">
            <v>9</v>
          </cell>
          <cell r="G2631">
            <v>9</v>
          </cell>
          <cell r="H2631">
            <v>35.5</v>
          </cell>
          <cell r="I2631">
            <v>35.5</v>
          </cell>
          <cell r="J2631">
            <v>25</v>
          </cell>
          <cell r="K2631">
            <v>8.15</v>
          </cell>
          <cell r="L2631">
            <v>0.90555555555555556</v>
          </cell>
          <cell r="M2631">
            <v>3.150625E-2</v>
          </cell>
        </row>
        <row r="2632">
          <cell r="A2632">
            <v>30970002</v>
          </cell>
          <cell r="B2632">
            <v>3118220012899</v>
          </cell>
          <cell r="E2632" t="str">
            <v>M24 ECUME TRANSPARENT POT PET</v>
          </cell>
          <cell r="F2632">
            <v>9</v>
          </cell>
          <cell r="G2632">
            <v>9</v>
          </cell>
          <cell r="H2632">
            <v>35.5</v>
          </cell>
          <cell r="I2632">
            <v>35.5</v>
          </cell>
          <cell r="J2632">
            <v>25</v>
          </cell>
          <cell r="K2632">
            <v>7.38</v>
          </cell>
          <cell r="L2632">
            <v>0.82</v>
          </cell>
          <cell r="M2632">
            <v>3.150625E-2</v>
          </cell>
        </row>
        <row r="2633">
          <cell r="A2633">
            <v>30970003</v>
          </cell>
          <cell r="B2633">
            <v>3118220012905</v>
          </cell>
          <cell r="E2633" t="str">
            <v>M24 ECUME FRAMBOISE RED 7640C POT PET</v>
          </cell>
          <cell r="F2633">
            <v>9</v>
          </cell>
          <cell r="G2633">
            <v>9</v>
          </cell>
          <cell r="H2633">
            <v>35.5</v>
          </cell>
          <cell r="I2633">
            <v>35.5</v>
          </cell>
          <cell r="J2633">
            <v>25</v>
          </cell>
          <cell r="K2633">
            <v>8.15</v>
          </cell>
          <cell r="L2633">
            <v>0.90555555555555556</v>
          </cell>
          <cell r="M2633">
            <v>3.150625E-2</v>
          </cell>
        </row>
        <row r="2634">
          <cell r="A2634">
            <v>30970004</v>
          </cell>
          <cell r="B2634">
            <v>3118220012912</v>
          </cell>
          <cell r="E2634" t="str">
            <v>M24 ECUME TITANE BLUE 5405C POT PET</v>
          </cell>
          <cell r="F2634">
            <v>9</v>
          </cell>
          <cell r="G2634">
            <v>9</v>
          </cell>
          <cell r="H2634">
            <v>35.5</v>
          </cell>
          <cell r="I2634">
            <v>35.5</v>
          </cell>
          <cell r="J2634">
            <v>25</v>
          </cell>
          <cell r="K2634">
            <v>7.407</v>
          </cell>
          <cell r="L2634">
            <v>0.82299999999999995</v>
          </cell>
          <cell r="M2634">
            <v>3.150625E-2</v>
          </cell>
        </row>
        <row r="2635">
          <cell r="A2635">
            <v>30970006</v>
          </cell>
          <cell r="B2635">
            <v>3118220013483</v>
          </cell>
          <cell r="E2635" t="str">
            <v>M24 ECUME CAMPARI 485C POT PET</v>
          </cell>
          <cell r="F2635">
            <v>9</v>
          </cell>
          <cell r="G2635">
            <v>9</v>
          </cell>
          <cell r="H2635">
            <v>35.5</v>
          </cell>
          <cell r="I2635">
            <v>35.5</v>
          </cell>
          <cell r="J2635">
            <v>25</v>
          </cell>
          <cell r="K2635">
            <v>7.47</v>
          </cell>
          <cell r="L2635">
            <v>0.83</v>
          </cell>
          <cell r="M2635">
            <v>3.150625E-2</v>
          </cell>
        </row>
        <row r="2636">
          <cell r="A2636">
            <v>30970007</v>
          </cell>
          <cell r="B2636">
            <v>3118220013490</v>
          </cell>
          <cell r="E2636" t="str">
            <v>M24 ECUME MOJITO 361C POT PET</v>
          </cell>
          <cell r="F2636">
            <v>9</v>
          </cell>
          <cell r="G2636">
            <v>9</v>
          </cell>
          <cell r="H2636">
            <v>35.5</v>
          </cell>
          <cell r="I2636">
            <v>35.5</v>
          </cell>
          <cell r="J2636">
            <v>25</v>
          </cell>
          <cell r="K2636">
            <v>7.47</v>
          </cell>
          <cell r="L2636">
            <v>0.83</v>
          </cell>
          <cell r="M2636">
            <v>3.150625E-2</v>
          </cell>
        </row>
        <row r="2637">
          <cell r="A2637">
            <v>30970008</v>
          </cell>
          <cell r="B2637">
            <v>3118220013506</v>
          </cell>
          <cell r="E2637" t="str">
            <v>M24 ECUME KIR 221C POT PET</v>
          </cell>
          <cell r="F2637">
            <v>9</v>
          </cell>
          <cell r="G2637">
            <v>9</v>
          </cell>
          <cell r="H2637">
            <v>35.5</v>
          </cell>
          <cell r="I2637">
            <v>35.5</v>
          </cell>
          <cell r="J2637">
            <v>25</v>
          </cell>
          <cell r="K2637">
            <v>8.15</v>
          </cell>
          <cell r="L2637">
            <v>0.90555555555555556</v>
          </cell>
          <cell r="M2637">
            <v>3.150625E-2</v>
          </cell>
        </row>
        <row r="2638">
          <cell r="A2638">
            <v>30970009</v>
          </cell>
          <cell r="B2638">
            <v>3118220013513</v>
          </cell>
          <cell r="E2638" t="str">
            <v>M24 ECUME CURACAO 313C POT PET</v>
          </cell>
          <cell r="F2638">
            <v>9</v>
          </cell>
          <cell r="G2638">
            <v>9</v>
          </cell>
          <cell r="H2638">
            <v>35.5</v>
          </cell>
          <cell r="I2638">
            <v>35.5</v>
          </cell>
          <cell r="J2638">
            <v>25</v>
          </cell>
          <cell r="K2638">
            <v>8.15</v>
          </cell>
          <cell r="L2638">
            <v>0.90555555555555556</v>
          </cell>
          <cell r="M2638">
            <v>3.150625E-2</v>
          </cell>
        </row>
        <row r="2639">
          <cell r="A2639">
            <v>30970011</v>
          </cell>
          <cell r="B2639">
            <v>3614613272357</v>
          </cell>
          <cell r="E2639" t="str">
            <v>M24 ECUME TITANE BLUE 5405C POT PET CARREFOUR</v>
          </cell>
          <cell r="F2639">
            <v>3</v>
          </cell>
          <cell r="G2639">
            <v>3</v>
          </cell>
          <cell r="H2639">
            <v>34.5</v>
          </cell>
          <cell r="I2639">
            <v>12</v>
          </cell>
          <cell r="J2639">
            <v>26</v>
          </cell>
          <cell r="K2639">
            <v>2.484</v>
          </cell>
          <cell r="L2639">
            <v>0.82799999999999996</v>
          </cell>
          <cell r="M2639">
            <v>1.0764000000000001E-2</v>
          </cell>
        </row>
        <row r="2640">
          <cell r="A2640">
            <v>30970012</v>
          </cell>
          <cell r="B2640">
            <v>3614613272364</v>
          </cell>
          <cell r="E2640" t="str">
            <v>M24 ECUME TRANSPARENT POT PET CARREFOUR</v>
          </cell>
          <cell r="F2640">
            <v>3</v>
          </cell>
          <cell r="G2640">
            <v>3</v>
          </cell>
          <cell r="H2640">
            <v>34.5</v>
          </cell>
          <cell r="I2640">
            <v>12</v>
          </cell>
          <cell r="J2640">
            <v>26</v>
          </cell>
          <cell r="K2640">
            <v>2.472</v>
          </cell>
          <cell r="L2640">
            <v>0.82399999999999995</v>
          </cell>
          <cell r="M2640">
            <v>1.0764000000000001E-2</v>
          </cell>
        </row>
        <row r="2641">
          <cell r="A2641">
            <v>30970013</v>
          </cell>
          <cell r="B2641">
            <v>3614613272371</v>
          </cell>
          <cell r="E2641" t="str">
            <v>M24 ECUME CURACAO TURQUOISE 313C POT PET CARREFOUR</v>
          </cell>
          <cell r="F2641">
            <v>3</v>
          </cell>
          <cell r="G2641">
            <v>3</v>
          </cell>
          <cell r="H2641">
            <v>34.5</v>
          </cell>
          <cell r="I2641">
            <v>12</v>
          </cell>
          <cell r="J2641">
            <v>26</v>
          </cell>
          <cell r="K2641">
            <v>2.484</v>
          </cell>
          <cell r="L2641">
            <v>0.82799999999999996</v>
          </cell>
          <cell r="M2641">
            <v>1.0764000000000001E-2</v>
          </cell>
        </row>
        <row r="2642">
          <cell r="A2642">
            <v>30970014</v>
          </cell>
          <cell r="B2642">
            <v>3118220016262</v>
          </cell>
          <cell r="E2642" t="str">
            <v>COUTEAU ECUME KIR 221C VRAC GENCOD</v>
          </cell>
          <cell r="F2642">
            <v>240</v>
          </cell>
          <cell r="G2642">
            <v>6</v>
          </cell>
          <cell r="H2642">
            <v>34.5</v>
          </cell>
          <cell r="I2642">
            <v>28</v>
          </cell>
          <cell r="J2642">
            <v>33</v>
          </cell>
          <cell r="K2642">
            <v>9.5960000000000001</v>
          </cell>
          <cell r="L2642">
            <v>3.9983333333333336E-2</v>
          </cell>
          <cell r="M2642">
            <v>3.1878000000000004E-2</v>
          </cell>
        </row>
        <row r="2643">
          <cell r="A2643">
            <v>30970015</v>
          </cell>
          <cell r="B2643">
            <v>3118220016279</v>
          </cell>
          <cell r="E2643" t="str">
            <v>FOURCHETTE ECUME KIR 221C VRAC GENCOD</v>
          </cell>
          <cell r="F2643">
            <v>240</v>
          </cell>
          <cell r="G2643">
            <v>6</v>
          </cell>
          <cell r="H2643">
            <v>38.5</v>
          </cell>
          <cell r="I2643">
            <v>25.5</v>
          </cell>
          <cell r="J2643">
            <v>34</v>
          </cell>
          <cell r="K2643">
            <v>9.8919999999999995</v>
          </cell>
          <cell r="L2643">
            <v>4.1216666666666665E-2</v>
          </cell>
          <cell r="M2643">
            <v>3.3379499999999999E-2</v>
          </cell>
        </row>
        <row r="2644">
          <cell r="A2644">
            <v>30970016</v>
          </cell>
          <cell r="B2644">
            <v>3118220016286</v>
          </cell>
          <cell r="E2644" t="str">
            <v>CUILLERE ECUME KIR 221C VRAC GENCOD</v>
          </cell>
          <cell r="F2644">
            <v>240</v>
          </cell>
          <cell r="G2644">
            <v>6</v>
          </cell>
          <cell r="H2644">
            <v>38.5</v>
          </cell>
          <cell r="I2644">
            <v>25.5</v>
          </cell>
          <cell r="J2644">
            <v>34</v>
          </cell>
          <cell r="K2644">
            <v>10.16</v>
          </cell>
          <cell r="L2644">
            <v>4.2333333333333334E-2</v>
          </cell>
          <cell r="M2644">
            <v>3.3379499999999999E-2</v>
          </cell>
        </row>
        <row r="2645">
          <cell r="A2645">
            <v>30970017</v>
          </cell>
          <cell r="B2645">
            <v>3118220016293</v>
          </cell>
          <cell r="E2645" t="str">
            <v>CAFE ECUME KIR 221C VRAC GENCOD</v>
          </cell>
          <cell r="F2645">
            <v>240</v>
          </cell>
          <cell r="G2645">
            <v>6</v>
          </cell>
          <cell r="H2645">
            <v>38.5</v>
          </cell>
          <cell r="I2645">
            <v>20.5</v>
          </cell>
          <cell r="J2645">
            <v>28.5</v>
          </cell>
          <cell r="K2645">
            <v>6.5540000000000003</v>
          </cell>
          <cell r="L2645">
            <v>2.7308333333333334E-2</v>
          </cell>
          <cell r="M2645">
            <v>2.2493624999999996E-2</v>
          </cell>
        </row>
        <row r="2646">
          <cell r="A2646">
            <v>30970018</v>
          </cell>
          <cell r="B2646">
            <v>3118220016309</v>
          </cell>
          <cell r="E2646" t="str">
            <v>COUTEAU ECUME BLEU CURACAO 313C VRAC GENCOD</v>
          </cell>
          <cell r="F2646">
            <v>240</v>
          </cell>
          <cell r="G2646">
            <v>6</v>
          </cell>
          <cell r="H2646">
            <v>34.5</v>
          </cell>
          <cell r="I2646">
            <v>28</v>
          </cell>
          <cell r="J2646">
            <v>33</v>
          </cell>
          <cell r="K2646">
            <v>9.5960000000000001</v>
          </cell>
          <cell r="L2646">
            <v>3.9983333333333336E-2</v>
          </cell>
          <cell r="M2646">
            <v>3.1878000000000004E-2</v>
          </cell>
        </row>
        <row r="2647">
          <cell r="A2647">
            <v>30970019</v>
          </cell>
          <cell r="B2647">
            <v>3118220016316</v>
          </cell>
          <cell r="E2647" t="str">
            <v>FOURCHETTE ECUME BLEU CURACAO 313C VRAC GENCOD</v>
          </cell>
          <cell r="F2647">
            <v>240</v>
          </cell>
          <cell r="G2647">
            <v>6</v>
          </cell>
          <cell r="H2647">
            <v>38.5</v>
          </cell>
          <cell r="I2647">
            <v>25.5</v>
          </cell>
          <cell r="J2647">
            <v>34</v>
          </cell>
          <cell r="K2647">
            <v>9.8919999999999995</v>
          </cell>
          <cell r="L2647">
            <v>4.1216666666666665E-2</v>
          </cell>
          <cell r="M2647">
            <v>3.3379499999999999E-2</v>
          </cell>
        </row>
        <row r="2648">
          <cell r="A2648">
            <v>30970020</v>
          </cell>
          <cell r="B2648">
            <v>3118220016323</v>
          </cell>
          <cell r="E2648" t="str">
            <v>CUILLERE ECUME BLEU CURACAO 313C VRAC GENCOD</v>
          </cell>
          <cell r="F2648">
            <v>240</v>
          </cell>
          <cell r="G2648">
            <v>6</v>
          </cell>
          <cell r="H2648">
            <v>38.5</v>
          </cell>
          <cell r="I2648">
            <v>25.5</v>
          </cell>
          <cell r="J2648">
            <v>34</v>
          </cell>
          <cell r="K2648">
            <v>10.278</v>
          </cell>
          <cell r="L2648">
            <v>4.2825000000000002E-2</v>
          </cell>
          <cell r="M2648">
            <v>3.3379499999999999E-2</v>
          </cell>
        </row>
        <row r="2649">
          <cell r="A2649">
            <v>30970021</v>
          </cell>
          <cell r="B2649">
            <v>3118220016330</v>
          </cell>
          <cell r="E2649" t="str">
            <v>CAFE ECUME BLEU CURACAO 313C VRAC GENCOD</v>
          </cell>
          <cell r="F2649">
            <v>240</v>
          </cell>
          <cell r="G2649">
            <v>6</v>
          </cell>
          <cell r="H2649">
            <v>38.5</v>
          </cell>
          <cell r="I2649">
            <v>20.5</v>
          </cell>
          <cell r="J2649">
            <v>28.5</v>
          </cell>
          <cell r="K2649">
            <v>6.5540000000000003</v>
          </cell>
          <cell r="L2649">
            <v>2.7308333333333334E-2</v>
          </cell>
          <cell r="M2649">
            <v>2.2493624999999996E-2</v>
          </cell>
        </row>
        <row r="2650">
          <cell r="A2650">
            <v>30970022</v>
          </cell>
          <cell r="B2650">
            <v>3118220016347</v>
          </cell>
          <cell r="E2650" t="str">
            <v>COUTEAU ECUME TRANSPARENT VRAC GENCOD</v>
          </cell>
          <cell r="F2650">
            <v>240</v>
          </cell>
          <cell r="G2650">
            <v>6</v>
          </cell>
          <cell r="H2650">
            <v>34.5</v>
          </cell>
          <cell r="I2650">
            <v>28</v>
          </cell>
          <cell r="J2650">
            <v>33</v>
          </cell>
          <cell r="K2650">
            <v>9.5960000000000001</v>
          </cell>
          <cell r="L2650">
            <v>3.9983333333333336E-2</v>
          </cell>
          <cell r="M2650">
            <v>3.1878000000000004E-2</v>
          </cell>
        </row>
        <row r="2651">
          <cell r="A2651">
            <v>30970023</v>
          </cell>
          <cell r="B2651">
            <v>3118220016354</v>
          </cell>
          <cell r="E2651" t="str">
            <v>FOURCHETTE ECUME TRANSPARENT VRAC GENCOD</v>
          </cell>
          <cell r="F2651">
            <v>240</v>
          </cell>
          <cell r="G2651">
            <v>6</v>
          </cell>
          <cell r="H2651">
            <v>38.5</v>
          </cell>
          <cell r="I2651">
            <v>25.5</v>
          </cell>
          <cell r="J2651">
            <v>34</v>
          </cell>
          <cell r="K2651">
            <v>9.8919999999999995</v>
          </cell>
          <cell r="L2651">
            <v>4.1216666666666665E-2</v>
          </cell>
          <cell r="M2651">
            <v>3.3379499999999999E-2</v>
          </cell>
        </row>
        <row r="2652">
          <cell r="A2652">
            <v>30970024</v>
          </cell>
          <cell r="B2652">
            <v>3118220016361</v>
          </cell>
          <cell r="E2652" t="str">
            <v>CUILLERE ECUME TRANSPARENT VRAC GENCOD</v>
          </cell>
          <cell r="F2652">
            <v>240</v>
          </cell>
          <cell r="G2652">
            <v>6</v>
          </cell>
          <cell r="H2652">
            <v>38.5</v>
          </cell>
          <cell r="I2652">
            <v>25.5</v>
          </cell>
          <cell r="J2652">
            <v>34</v>
          </cell>
          <cell r="K2652">
            <v>10.278</v>
          </cell>
          <cell r="L2652">
            <v>4.2825000000000002E-2</v>
          </cell>
          <cell r="M2652">
            <v>3.3379499999999999E-2</v>
          </cell>
        </row>
        <row r="2653">
          <cell r="A2653">
            <v>30970025</v>
          </cell>
          <cell r="B2653">
            <v>3118220016378</v>
          </cell>
          <cell r="E2653" t="str">
            <v>CAFE ECUME TRANSPARENT VRAC GENCOD</v>
          </cell>
          <cell r="F2653">
            <v>240</v>
          </cell>
          <cell r="G2653">
            <v>6</v>
          </cell>
          <cell r="H2653">
            <v>38.5</v>
          </cell>
          <cell r="I2653">
            <v>20.5</v>
          </cell>
          <cell r="J2653">
            <v>28.5</v>
          </cell>
          <cell r="K2653">
            <v>6.5540000000000003</v>
          </cell>
          <cell r="L2653">
            <v>2.7308333333333334E-2</v>
          </cell>
          <cell r="M2653">
            <v>2.2493624999999996E-2</v>
          </cell>
        </row>
        <row r="2654">
          <cell r="A2654">
            <v>30970026</v>
          </cell>
          <cell r="B2654">
            <v>3118220016385</v>
          </cell>
          <cell r="E2654" t="str">
            <v>COUTEAU ECUME OLIVE GREEN 5763C VRAC GENCOD</v>
          </cell>
          <cell r="F2654">
            <v>240</v>
          </cell>
          <cell r="G2654">
            <v>6</v>
          </cell>
          <cell r="H2654">
            <v>34.5</v>
          </cell>
          <cell r="I2654">
            <v>28</v>
          </cell>
          <cell r="J2654">
            <v>33</v>
          </cell>
          <cell r="K2654">
            <v>9.5960000000000001</v>
          </cell>
          <cell r="L2654">
            <v>3.9983333333333336E-2</v>
          </cell>
          <cell r="M2654">
            <v>3.1878000000000004E-2</v>
          </cell>
        </row>
        <row r="2655">
          <cell r="A2655">
            <v>30970027</v>
          </cell>
          <cell r="B2655">
            <v>3118220016392</v>
          </cell>
          <cell r="E2655" t="str">
            <v>FOURCHETTE ECUME OLIVE GREEN 5763C VRAC GENCOD</v>
          </cell>
          <cell r="F2655">
            <v>240</v>
          </cell>
          <cell r="G2655">
            <v>6</v>
          </cell>
          <cell r="H2655">
            <v>38.5</v>
          </cell>
          <cell r="I2655">
            <v>25.5</v>
          </cell>
          <cell r="J2655">
            <v>34</v>
          </cell>
          <cell r="K2655">
            <v>8.4</v>
          </cell>
          <cell r="L2655">
            <v>3.5000000000000003E-2</v>
          </cell>
          <cell r="M2655">
            <v>3.3379499999999999E-2</v>
          </cell>
        </row>
        <row r="2656">
          <cell r="A2656">
            <v>30970028</v>
          </cell>
          <cell r="B2656">
            <v>3118220016408</v>
          </cell>
          <cell r="E2656" t="str">
            <v>CUILLERE ECUME OLIVE GREEN 5763C VRAC GENCOD</v>
          </cell>
          <cell r="F2656">
            <v>240</v>
          </cell>
          <cell r="G2656">
            <v>6</v>
          </cell>
          <cell r="H2656">
            <v>38.5</v>
          </cell>
          <cell r="I2656">
            <v>25.5</v>
          </cell>
          <cell r="J2656">
            <v>34</v>
          </cell>
          <cell r="K2656">
            <v>10.278</v>
          </cell>
          <cell r="L2656">
            <v>4.2825000000000002E-2</v>
          </cell>
          <cell r="M2656">
            <v>3.3379499999999999E-2</v>
          </cell>
        </row>
        <row r="2657">
          <cell r="A2657">
            <v>30970029</v>
          </cell>
          <cell r="B2657">
            <v>3118220016415</v>
          </cell>
          <cell r="E2657" t="str">
            <v>CAFE ECUME OLIVE GREEN 5763C VRAC GENCOD</v>
          </cell>
          <cell r="F2657">
            <v>240</v>
          </cell>
          <cell r="G2657">
            <v>6</v>
          </cell>
          <cell r="H2657">
            <v>38.5</v>
          </cell>
          <cell r="I2657">
            <v>20.5</v>
          </cell>
          <cell r="J2657">
            <v>28.5</v>
          </cell>
          <cell r="K2657">
            <v>5.52</v>
          </cell>
          <cell r="L2657">
            <v>2.3E-2</v>
          </cell>
          <cell r="M2657">
            <v>2.2493624999999996E-2</v>
          </cell>
        </row>
        <row r="2658">
          <cell r="A2658">
            <v>30970030</v>
          </cell>
          <cell r="B2658">
            <v>3118220016422</v>
          </cell>
          <cell r="E2658" t="str">
            <v>COUTEAU ECUME TITANE BLUE 5405C VRAC GENCOD</v>
          </cell>
          <cell r="F2658">
            <v>240</v>
          </cell>
          <cell r="G2658">
            <v>6</v>
          </cell>
          <cell r="H2658">
            <v>34.5</v>
          </cell>
          <cell r="I2658">
            <v>28</v>
          </cell>
          <cell r="J2658">
            <v>33</v>
          </cell>
          <cell r="K2658">
            <v>9.5960000000000001</v>
          </cell>
          <cell r="L2658">
            <v>3.9983333333333336E-2</v>
          </cell>
          <cell r="M2658">
            <v>3.1878000000000004E-2</v>
          </cell>
        </row>
        <row r="2659">
          <cell r="A2659">
            <v>30970031</v>
          </cell>
          <cell r="B2659">
            <v>3118220016439</v>
          </cell>
          <cell r="E2659" t="str">
            <v>FOURCHETTE ECUME TITANE BLUE 5405C VRAC GENCOD</v>
          </cell>
          <cell r="F2659">
            <v>240</v>
          </cell>
          <cell r="G2659">
            <v>6</v>
          </cell>
          <cell r="H2659">
            <v>38.5</v>
          </cell>
          <cell r="I2659">
            <v>25.5</v>
          </cell>
          <cell r="J2659">
            <v>34</v>
          </cell>
          <cell r="K2659">
            <v>9.8919999999999995</v>
          </cell>
          <cell r="L2659">
            <v>4.1216666666666665E-2</v>
          </cell>
          <cell r="M2659">
            <v>3.3379499999999999E-2</v>
          </cell>
        </row>
        <row r="2660">
          <cell r="A2660">
            <v>30970032</v>
          </cell>
          <cell r="B2660">
            <v>3118220016446</v>
          </cell>
          <cell r="E2660" t="str">
            <v>CUILLERE ECUME TITANE BLUE 5405C VRAC GENCOD</v>
          </cell>
          <cell r="F2660">
            <v>240</v>
          </cell>
          <cell r="G2660">
            <v>6</v>
          </cell>
          <cell r="H2660">
            <v>38.5</v>
          </cell>
          <cell r="I2660">
            <v>25.5</v>
          </cell>
          <cell r="J2660">
            <v>34</v>
          </cell>
          <cell r="K2660">
            <v>10.278</v>
          </cell>
          <cell r="L2660">
            <v>4.2825000000000002E-2</v>
          </cell>
          <cell r="M2660">
            <v>3.3379499999999999E-2</v>
          </cell>
        </row>
        <row r="2661">
          <cell r="A2661">
            <v>30970033</v>
          </cell>
          <cell r="B2661">
            <v>3118220016453</v>
          </cell>
          <cell r="E2661" t="str">
            <v>CAFE ECUME TITANE BLUE 5405C VRAC GENCOD</v>
          </cell>
          <cell r="F2661">
            <v>240</v>
          </cell>
          <cell r="G2661">
            <v>6</v>
          </cell>
          <cell r="H2661">
            <v>38.5</v>
          </cell>
          <cell r="I2661">
            <v>20.5</v>
          </cell>
          <cell r="J2661">
            <v>28.5</v>
          </cell>
          <cell r="K2661">
            <v>6.08</v>
          </cell>
          <cell r="L2661">
            <v>2.5333333333333333E-2</v>
          </cell>
          <cell r="M2661">
            <v>2.2493624999999996E-2</v>
          </cell>
        </row>
        <row r="2662">
          <cell r="A2662">
            <v>30970034</v>
          </cell>
          <cell r="B2662">
            <v>3118220017160</v>
          </cell>
          <cell r="E2662" t="str">
            <v>COUTEAU ECUME VERT ANIS MOJITO 361C VRAC GENCOD</v>
          </cell>
          <cell r="F2662">
            <v>240</v>
          </cell>
          <cell r="G2662">
            <v>6</v>
          </cell>
          <cell r="H2662">
            <v>34.5</v>
          </cell>
          <cell r="I2662">
            <v>28</v>
          </cell>
          <cell r="J2662">
            <v>33</v>
          </cell>
          <cell r="K2662">
            <v>9.5960000000000001</v>
          </cell>
          <cell r="L2662">
            <v>3.9983333333333336E-2</v>
          </cell>
          <cell r="M2662">
            <v>3.1878000000000004E-2</v>
          </cell>
        </row>
        <row r="2663">
          <cell r="A2663">
            <v>30970035</v>
          </cell>
          <cell r="B2663">
            <v>3118220017177</v>
          </cell>
          <cell r="E2663" t="str">
            <v>FOURCHETTE ECUME VERT ANIS MOJITO 361C VRAC GENCOD</v>
          </cell>
          <cell r="F2663">
            <v>240</v>
          </cell>
          <cell r="G2663">
            <v>6</v>
          </cell>
          <cell r="H2663">
            <v>38.5</v>
          </cell>
          <cell r="I2663">
            <v>25.5</v>
          </cell>
          <cell r="J2663">
            <v>34</v>
          </cell>
          <cell r="K2663">
            <v>9.8919999999999995</v>
          </cell>
          <cell r="L2663">
            <v>4.1216666666666665E-2</v>
          </cell>
          <cell r="M2663">
            <v>3.3379499999999999E-2</v>
          </cell>
        </row>
        <row r="2664">
          <cell r="A2664">
            <v>30970036</v>
          </cell>
          <cell r="B2664">
            <v>3118220017184</v>
          </cell>
          <cell r="E2664" t="str">
            <v>CUILLERE ECUME VERT ANIS MOJITO 361C VRAC GENCOD</v>
          </cell>
          <cell r="F2664">
            <v>240</v>
          </cell>
          <cell r="G2664">
            <v>6</v>
          </cell>
          <cell r="H2664">
            <v>38.5</v>
          </cell>
          <cell r="I2664">
            <v>25.5</v>
          </cell>
          <cell r="J2664">
            <v>34</v>
          </cell>
          <cell r="K2664">
            <v>10.278</v>
          </cell>
          <cell r="L2664">
            <v>4.2825000000000002E-2</v>
          </cell>
          <cell r="M2664">
            <v>3.3379499999999999E-2</v>
          </cell>
        </row>
        <row r="2665">
          <cell r="A2665">
            <v>30970037</v>
          </cell>
          <cell r="B2665">
            <v>3118220017191</v>
          </cell>
          <cell r="E2665" t="str">
            <v>CAFE ECUME VERT ANIS MOJITO 361C VRAC GENCOD</v>
          </cell>
          <cell r="F2665">
            <v>240</v>
          </cell>
          <cell r="G2665">
            <v>6</v>
          </cell>
          <cell r="H2665">
            <v>38.5</v>
          </cell>
          <cell r="I2665">
            <v>20.5</v>
          </cell>
          <cell r="J2665">
            <v>28.5</v>
          </cell>
          <cell r="K2665">
            <v>6.5540000000000003</v>
          </cell>
          <cell r="L2665">
            <v>2.7308333333333334E-2</v>
          </cell>
          <cell r="M2665">
            <v>2.2493624999999996E-2</v>
          </cell>
        </row>
        <row r="2666">
          <cell r="A2666">
            <v>30970038</v>
          </cell>
          <cell r="B2666">
            <v>3118220030169</v>
          </cell>
          <cell r="E2666" t="str">
            <v>M24 ECUME CAMPARI ROUGE 485C VRAC</v>
          </cell>
          <cell r="F2666">
            <v>3</v>
          </cell>
          <cell r="G2666">
            <v>3</v>
          </cell>
          <cell r="H2666">
            <v>34.5</v>
          </cell>
          <cell r="I2666">
            <v>12</v>
          </cell>
          <cell r="J2666">
            <v>26</v>
          </cell>
          <cell r="K2666">
            <v>2.484</v>
          </cell>
          <cell r="L2666">
            <v>0.82799999999999996</v>
          </cell>
          <cell r="M2666">
            <v>1.0764000000000001E-2</v>
          </cell>
        </row>
        <row r="2667">
          <cell r="A2667">
            <v>30790002</v>
          </cell>
          <cell r="B2667">
            <v>3118220011892</v>
          </cell>
          <cell r="E2667" t="str">
            <v>M16 BOLERO IVOIRE BOITE DECO</v>
          </cell>
          <cell r="F2667">
            <v>3</v>
          </cell>
          <cell r="G2667">
            <v>3</v>
          </cell>
          <cell r="H2667">
            <v>0</v>
          </cell>
          <cell r="I2667">
            <v>0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</row>
        <row r="2668">
          <cell r="A2668">
            <v>30980001</v>
          </cell>
          <cell r="B2668">
            <v>3118220013469</v>
          </cell>
          <cell r="E2668" t="str">
            <v>STEAK POINTU INEDIT TIE AND DYE COUL ASSORTIES+GENCOD</v>
          </cell>
          <cell r="F2668">
            <v>240</v>
          </cell>
          <cell r="G2668">
            <v>12</v>
          </cell>
          <cell r="H2668">
            <v>33</v>
          </cell>
          <cell r="I2668">
            <v>26.5</v>
          </cell>
          <cell r="J2668">
            <v>27</v>
          </cell>
          <cell r="K2668">
            <v>10.84</v>
          </cell>
          <cell r="L2668">
            <v>4.5166666666666667E-2</v>
          </cell>
          <cell r="M2668">
            <v>2.3611500000000004E-2</v>
          </cell>
        </row>
        <row r="2669">
          <cell r="A2669">
            <v>31000001</v>
          </cell>
          <cell r="B2669">
            <v>3118220017948</v>
          </cell>
          <cell r="E2669" t="str">
            <v>COUTEAU TABLE SILICONE GALET 429C VRAC GENCOD</v>
          </cell>
          <cell r="F2669">
            <v>240</v>
          </cell>
          <cell r="G2669">
            <v>12</v>
          </cell>
          <cell r="H2669">
            <v>33</v>
          </cell>
          <cell r="I2669">
            <v>26.5</v>
          </cell>
          <cell r="J2669">
            <v>26</v>
          </cell>
          <cell r="K2669">
            <v>14.401</v>
          </cell>
          <cell r="L2669">
            <v>6.0004166666666664E-2</v>
          </cell>
          <cell r="M2669">
            <v>2.2737000000000004E-2</v>
          </cell>
        </row>
        <row r="2670">
          <cell r="A2670">
            <v>31000002</v>
          </cell>
          <cell r="B2670">
            <v>3118220017955</v>
          </cell>
          <cell r="E2670" t="str">
            <v>FOURCHETTE TABLE SILICONE GALET 429C VRAC GENCOD</v>
          </cell>
          <cell r="F2670">
            <v>240</v>
          </cell>
          <cell r="G2670">
            <v>12</v>
          </cell>
          <cell r="H2670">
            <v>33</v>
          </cell>
          <cell r="I2670">
            <v>26.5</v>
          </cell>
          <cell r="J2670">
            <v>26</v>
          </cell>
          <cell r="K2670">
            <v>11.62</v>
          </cell>
          <cell r="L2670">
            <v>4.8416666666666663E-2</v>
          </cell>
          <cell r="M2670">
            <v>2.2737000000000004E-2</v>
          </cell>
        </row>
        <row r="2671">
          <cell r="A2671">
            <v>31000003</v>
          </cell>
          <cell r="B2671">
            <v>3118220017962</v>
          </cell>
          <cell r="E2671" t="str">
            <v>CUILLERE TABLE SILICONE GALET 429C VRAC GENCOD</v>
          </cell>
          <cell r="F2671">
            <v>240</v>
          </cell>
          <cell r="G2671">
            <v>12</v>
          </cell>
          <cell r="H2671">
            <v>33</v>
          </cell>
          <cell r="I2671">
            <v>26.5</v>
          </cell>
          <cell r="J2671">
            <v>26</v>
          </cell>
          <cell r="K2671">
            <v>16.928000000000001</v>
          </cell>
          <cell r="L2671">
            <v>7.0533333333333337E-2</v>
          </cell>
          <cell r="M2671">
            <v>2.2737000000000004E-2</v>
          </cell>
        </row>
        <row r="2672">
          <cell r="A2672">
            <v>31000004</v>
          </cell>
          <cell r="B2672">
            <v>3118220017979</v>
          </cell>
          <cell r="E2672" t="str">
            <v>CAFE SILICONE GALET 429C VRAC GENCOD</v>
          </cell>
          <cell r="F2672">
            <v>240</v>
          </cell>
          <cell r="G2672">
            <v>12</v>
          </cell>
          <cell r="H2672">
            <v>31</v>
          </cell>
          <cell r="I2672">
            <v>17.5</v>
          </cell>
          <cell r="J2672">
            <v>25</v>
          </cell>
          <cell r="K2672">
            <v>5.9450000000000003</v>
          </cell>
          <cell r="L2672">
            <v>2.4770833333333336E-2</v>
          </cell>
          <cell r="M2672">
            <v>1.35625E-2</v>
          </cell>
        </row>
        <row r="2673">
          <cell r="A2673">
            <v>31010002</v>
          </cell>
          <cell r="B2673">
            <v>3118220014381</v>
          </cell>
          <cell r="E2673" t="str">
            <v>M16 REFLET METALLISE ARGENT BOITE DECO LISA</v>
          </cell>
          <cell r="F2673">
            <v>6</v>
          </cell>
          <cell r="G2673">
            <v>6</v>
          </cell>
          <cell r="H2673">
            <v>30</v>
          </cell>
          <cell r="I2673">
            <v>23.5</v>
          </cell>
          <cell r="J2673">
            <v>29</v>
          </cell>
          <cell r="K2673">
            <v>3.66</v>
          </cell>
          <cell r="L2673">
            <v>0.61</v>
          </cell>
          <cell r="M2673">
            <v>2.0444999999999998E-2</v>
          </cell>
        </row>
        <row r="2674">
          <cell r="A2674">
            <v>31010003</v>
          </cell>
          <cell r="B2674">
            <v>3118220014398</v>
          </cell>
          <cell r="E2674" t="str">
            <v>M16 REFLET METALLISE PLOMB BOITE DECO LISA</v>
          </cell>
          <cell r="F2674">
            <v>6</v>
          </cell>
          <cell r="G2674">
            <v>6</v>
          </cell>
          <cell r="H2674">
            <v>30</v>
          </cell>
          <cell r="I2674">
            <v>23.5</v>
          </cell>
          <cell r="J2674">
            <v>29</v>
          </cell>
          <cell r="K2674">
            <v>3.66</v>
          </cell>
          <cell r="L2674">
            <v>0.61</v>
          </cell>
          <cell r="M2674">
            <v>2.0444999999999998E-2</v>
          </cell>
        </row>
        <row r="2675">
          <cell r="A2675">
            <v>31010004</v>
          </cell>
          <cell r="B2675">
            <v>3118220016637</v>
          </cell>
          <cell r="E2675" t="str">
            <v>COUTEAU REFLET METALLISE PLOMB VRAC GENCOD</v>
          </cell>
          <cell r="F2675">
            <v>240</v>
          </cell>
          <cell r="G2675">
            <v>6</v>
          </cell>
          <cell r="H2675">
            <v>33.5</v>
          </cell>
          <cell r="I2675">
            <v>27</v>
          </cell>
          <cell r="J2675">
            <v>31.5</v>
          </cell>
          <cell r="K2675">
            <v>9.74</v>
          </cell>
          <cell r="L2675">
            <v>4.0583333333333332E-2</v>
          </cell>
          <cell r="M2675">
            <v>2.8491750000000003E-2</v>
          </cell>
        </row>
        <row r="2676">
          <cell r="A2676">
            <v>31010005</v>
          </cell>
          <cell r="B2676">
            <v>3118220016644</v>
          </cell>
          <cell r="E2676" t="str">
            <v>FOURCHETTE REFLET METALLISE PLOMB VRAC GENCOD</v>
          </cell>
          <cell r="F2676">
            <v>240</v>
          </cell>
          <cell r="G2676">
            <v>6</v>
          </cell>
          <cell r="H2676">
            <v>37.5</v>
          </cell>
          <cell r="I2676">
            <v>24</v>
          </cell>
          <cell r="J2676">
            <v>31.5</v>
          </cell>
          <cell r="K2676">
            <v>9.9789999999999992</v>
          </cell>
          <cell r="L2676">
            <v>4.157916666666666E-2</v>
          </cell>
          <cell r="M2676">
            <v>2.835E-2</v>
          </cell>
        </row>
        <row r="2677">
          <cell r="A2677">
            <v>31010006</v>
          </cell>
          <cell r="B2677">
            <v>3118220016651</v>
          </cell>
          <cell r="E2677" t="str">
            <v>CUILLERE REFLET METALLISE PLOMB VRAC GENCOD</v>
          </cell>
          <cell r="F2677">
            <v>240</v>
          </cell>
          <cell r="G2677">
            <v>6</v>
          </cell>
          <cell r="H2677">
            <v>37.5</v>
          </cell>
          <cell r="I2677">
            <v>24.5</v>
          </cell>
          <cell r="J2677">
            <v>31.5</v>
          </cell>
          <cell r="K2677">
            <v>10.382</v>
          </cell>
          <cell r="L2677">
            <v>4.3258333333333329E-2</v>
          </cell>
          <cell r="M2677">
            <v>2.8940625000000001E-2</v>
          </cell>
        </row>
        <row r="2678">
          <cell r="A2678">
            <v>31010008</v>
          </cell>
          <cell r="B2678">
            <v>3118220016675</v>
          </cell>
          <cell r="E2678" t="str">
            <v>COUTEAU REFLET METALLISE CUIVRE VRAC GENCOD</v>
          </cell>
          <cell r="F2678">
            <v>240</v>
          </cell>
          <cell r="G2678">
            <v>6</v>
          </cell>
          <cell r="H2678">
            <v>33.5</v>
          </cell>
          <cell r="I2678">
            <v>27</v>
          </cell>
          <cell r="J2678">
            <v>31.5</v>
          </cell>
          <cell r="K2678">
            <v>7.2</v>
          </cell>
          <cell r="L2678">
            <v>3.0000000000000002E-2</v>
          </cell>
          <cell r="M2678">
            <v>2.8491750000000003E-2</v>
          </cell>
        </row>
        <row r="2679">
          <cell r="A2679">
            <v>31010009</v>
          </cell>
          <cell r="B2679">
            <v>3118220016682</v>
          </cell>
          <cell r="E2679" t="str">
            <v>FOURCHETTE REFLET METALLISE CUIVRE VRAC GENCOD</v>
          </cell>
          <cell r="F2679">
            <v>240</v>
          </cell>
          <cell r="G2679">
            <v>6</v>
          </cell>
          <cell r="H2679">
            <v>36</v>
          </cell>
          <cell r="I2679">
            <v>27.5</v>
          </cell>
          <cell r="J2679">
            <v>19</v>
          </cell>
          <cell r="K2679">
            <v>8.9090000000000007</v>
          </cell>
          <cell r="L2679">
            <v>3.7120833333333339E-2</v>
          </cell>
          <cell r="M2679">
            <v>1.881E-2</v>
          </cell>
        </row>
        <row r="2680">
          <cell r="A2680">
            <v>31010010</v>
          </cell>
          <cell r="B2680">
            <v>3118220016699</v>
          </cell>
          <cell r="E2680" t="str">
            <v>CUILLERE REFLET METALLISE CUIVRE VRAC GENCOD</v>
          </cell>
          <cell r="F2680">
            <v>240</v>
          </cell>
          <cell r="G2680">
            <v>6</v>
          </cell>
          <cell r="H2680">
            <v>36</v>
          </cell>
          <cell r="I2680">
            <v>27.5</v>
          </cell>
          <cell r="J2680">
            <v>19</v>
          </cell>
          <cell r="K2680">
            <v>9.2680000000000007</v>
          </cell>
          <cell r="L2680">
            <v>3.8616666666666667E-2</v>
          </cell>
          <cell r="M2680">
            <v>1.881E-2</v>
          </cell>
        </row>
        <row r="2681">
          <cell r="A2681">
            <v>31010011</v>
          </cell>
          <cell r="B2681">
            <v>3118220016705</v>
          </cell>
          <cell r="E2681" t="str">
            <v>CAFE REFLET METALLISE CUIVRE VRAC GENCOD</v>
          </cell>
          <cell r="F2681">
            <v>240</v>
          </cell>
          <cell r="G2681">
            <v>6</v>
          </cell>
          <cell r="H2681">
            <v>38.5</v>
          </cell>
          <cell r="I2681">
            <v>19.5</v>
          </cell>
          <cell r="J2681">
            <v>26</v>
          </cell>
          <cell r="K2681">
            <v>5.52</v>
          </cell>
          <cell r="L2681">
            <v>2.3E-2</v>
          </cell>
          <cell r="M2681">
            <v>1.9519500000000002E-2</v>
          </cell>
        </row>
        <row r="2682">
          <cell r="A2682">
            <v>31010012</v>
          </cell>
          <cell r="B2682">
            <v>3614613272814</v>
          </cell>
          <cell r="E2682" t="str">
            <v>M16 REFLET METALLISE ARGENT BOITE CARREFOUR</v>
          </cell>
          <cell r="F2682">
            <v>3</v>
          </cell>
          <cell r="G2682">
            <v>3</v>
          </cell>
          <cell r="H2682">
            <v>24</v>
          </cell>
          <cell r="I2682">
            <v>16</v>
          </cell>
          <cell r="J2682">
            <v>28.5</v>
          </cell>
          <cell r="K2682">
            <v>2.1269999999999998</v>
          </cell>
          <cell r="L2682">
            <v>0.70899999999999996</v>
          </cell>
          <cell r="M2682">
            <v>1.0943999999999999E-2</v>
          </cell>
        </row>
        <row r="2683">
          <cell r="A2683">
            <v>31010014</v>
          </cell>
          <cell r="B2683">
            <v>3118220017528</v>
          </cell>
          <cell r="E2683" t="str">
            <v>COUTEAU REFLET METALLISE ARGENT VRAC GENCOD</v>
          </cell>
          <cell r="F2683">
            <v>240</v>
          </cell>
          <cell r="G2683">
            <v>6</v>
          </cell>
          <cell r="H2683">
            <v>33.5</v>
          </cell>
          <cell r="I2683">
            <v>27</v>
          </cell>
          <cell r="J2683">
            <v>31.5</v>
          </cell>
          <cell r="K2683">
            <v>9.74</v>
          </cell>
          <cell r="L2683">
            <v>4.0583333333333332E-2</v>
          </cell>
          <cell r="M2683">
            <v>2.8491750000000003E-2</v>
          </cell>
        </row>
        <row r="2684">
          <cell r="A2684">
            <v>31010015</v>
          </cell>
          <cell r="B2684">
            <v>3118220017535</v>
          </cell>
          <cell r="E2684" t="str">
            <v>FOURCHETTE REFLET METALLISE ARGENT VRAC GENCOD</v>
          </cell>
          <cell r="F2684">
            <v>240</v>
          </cell>
          <cell r="G2684">
            <v>6</v>
          </cell>
          <cell r="H2684">
            <v>37.5</v>
          </cell>
          <cell r="I2684">
            <v>24</v>
          </cell>
          <cell r="J2684">
            <v>31.5</v>
          </cell>
          <cell r="K2684">
            <v>9.9789999999999992</v>
          </cell>
          <cell r="L2684">
            <v>4.157916666666666E-2</v>
          </cell>
          <cell r="M2684">
            <v>2.835E-2</v>
          </cell>
        </row>
        <row r="2685">
          <cell r="A2685">
            <v>31010016</v>
          </cell>
          <cell r="B2685">
            <v>3118220017542</v>
          </cell>
          <cell r="E2685" t="str">
            <v>CUILLERE REFLET METALLISE ARGENT VRAC GENCOD</v>
          </cell>
          <cell r="F2685">
            <v>240</v>
          </cell>
          <cell r="G2685">
            <v>6</v>
          </cell>
          <cell r="H2685">
            <v>37.5</v>
          </cell>
          <cell r="I2685">
            <v>24.5</v>
          </cell>
          <cell r="J2685">
            <v>31.5</v>
          </cell>
          <cell r="K2685">
            <v>10.382</v>
          </cell>
          <cell r="L2685">
            <v>4.3258333333333329E-2</v>
          </cell>
          <cell r="M2685">
            <v>2.8940625000000001E-2</v>
          </cell>
        </row>
        <row r="2686">
          <cell r="A2686">
            <v>31010017</v>
          </cell>
          <cell r="B2686">
            <v>3118220017559</v>
          </cell>
          <cell r="E2686" t="str">
            <v>CAFE REFLET METALLISE ARGENT VRAC GENCOD</v>
          </cell>
          <cell r="F2686">
            <v>240</v>
          </cell>
          <cell r="G2686">
            <v>6</v>
          </cell>
          <cell r="H2686">
            <v>38.5</v>
          </cell>
          <cell r="I2686">
            <v>19.5</v>
          </cell>
          <cell r="J2686">
            <v>26</v>
          </cell>
          <cell r="K2686">
            <v>6.6079999999999997</v>
          </cell>
          <cell r="L2686">
            <v>2.7533333333333333E-2</v>
          </cell>
          <cell r="M2686">
            <v>1.9519500000000002E-2</v>
          </cell>
        </row>
        <row r="2687">
          <cell r="A2687">
            <v>31020001</v>
          </cell>
          <cell r="B2687">
            <v>3118220015159</v>
          </cell>
          <cell r="E2687" t="str">
            <v>M16 NUANCE BRUYERE VIOLINE BOITE LISA</v>
          </cell>
          <cell r="F2687">
            <v>6</v>
          </cell>
          <cell r="G2687">
            <v>6</v>
          </cell>
          <cell r="H2687">
            <v>32.5</v>
          </cell>
          <cell r="I2687">
            <v>24</v>
          </cell>
          <cell r="J2687">
            <v>30</v>
          </cell>
          <cell r="K2687">
            <v>5.76</v>
          </cell>
          <cell r="L2687">
            <v>0.96</v>
          </cell>
          <cell r="M2687">
            <v>2.3400000000000004E-2</v>
          </cell>
        </row>
        <row r="2688">
          <cell r="A2688">
            <v>31020002</v>
          </cell>
          <cell r="B2688">
            <v>3118220015166</v>
          </cell>
          <cell r="E2688" t="str">
            <v>M16 NUANCE BLANC BOITE LISA</v>
          </cell>
          <cell r="F2688">
            <v>6</v>
          </cell>
          <cell r="G2688">
            <v>6</v>
          </cell>
          <cell r="H2688">
            <v>32.5</v>
          </cell>
          <cell r="I2688">
            <v>24</v>
          </cell>
          <cell r="J2688">
            <v>30</v>
          </cell>
          <cell r="K2688">
            <v>5.76</v>
          </cell>
          <cell r="L2688">
            <v>0.96</v>
          </cell>
          <cell r="M2688">
            <v>2.3400000000000004E-2</v>
          </cell>
        </row>
        <row r="2689">
          <cell r="A2689">
            <v>31020003</v>
          </cell>
          <cell r="B2689">
            <v>3118220015173</v>
          </cell>
          <cell r="E2689" t="str">
            <v>M16 NUANCE CELADON BLEU BOITE LISA</v>
          </cell>
          <cell r="F2689">
            <v>6</v>
          </cell>
          <cell r="G2689">
            <v>6</v>
          </cell>
          <cell r="H2689">
            <v>32.5</v>
          </cell>
          <cell r="I2689">
            <v>24</v>
          </cell>
          <cell r="J2689">
            <v>30</v>
          </cell>
          <cell r="K2689">
            <v>5.76</v>
          </cell>
          <cell r="L2689">
            <v>0.96</v>
          </cell>
          <cell r="M2689">
            <v>2.3400000000000004E-2</v>
          </cell>
        </row>
        <row r="2690">
          <cell r="A2690">
            <v>31020004</v>
          </cell>
          <cell r="B2690">
            <v>3118220015180</v>
          </cell>
          <cell r="E2690" t="str">
            <v>M16 NUANCE OPALE VERT BOITE LISA</v>
          </cell>
          <cell r="F2690">
            <v>6</v>
          </cell>
          <cell r="G2690">
            <v>6</v>
          </cell>
          <cell r="H2690">
            <v>32.5</v>
          </cell>
          <cell r="I2690">
            <v>24</v>
          </cell>
          <cell r="J2690">
            <v>30</v>
          </cell>
          <cell r="K2690">
            <v>6.24</v>
          </cell>
          <cell r="L2690">
            <v>1.04</v>
          </cell>
          <cell r="M2690">
            <v>2.3400000000000004E-2</v>
          </cell>
        </row>
        <row r="2691">
          <cell r="A2691">
            <v>31020007</v>
          </cell>
          <cell r="B2691">
            <v>3614613272401</v>
          </cell>
          <cell r="E2691" t="str">
            <v>COUTEAU NUANCE BLANC VRAC GENCOD CARREFOUR</v>
          </cell>
          <cell r="F2691">
            <v>240</v>
          </cell>
          <cell r="G2691">
            <v>6</v>
          </cell>
          <cell r="H2691">
            <v>37</v>
          </cell>
          <cell r="I2691">
            <v>29</v>
          </cell>
          <cell r="J2691">
            <v>24</v>
          </cell>
          <cell r="K2691">
            <v>27.08</v>
          </cell>
          <cell r="L2691">
            <v>0.11283333333333333</v>
          </cell>
          <cell r="M2691">
            <v>2.5752000000000001E-2</v>
          </cell>
        </row>
        <row r="2692">
          <cell r="A2692">
            <v>31020008</v>
          </cell>
          <cell r="B2692">
            <v>3614613272418</v>
          </cell>
          <cell r="E2692" t="str">
            <v>FOURCHETTE NUANCE BLANC VRAC GENCOD CARREFOUR</v>
          </cell>
          <cell r="F2692">
            <v>240</v>
          </cell>
          <cell r="G2692">
            <v>6</v>
          </cell>
          <cell r="H2692">
            <v>24</v>
          </cell>
          <cell r="I2692">
            <v>24.5</v>
          </cell>
          <cell r="J2692">
            <v>28.5</v>
          </cell>
          <cell r="K2692">
            <v>11.683999999999999</v>
          </cell>
          <cell r="L2692">
            <v>4.8683333333333328E-2</v>
          </cell>
          <cell r="M2692">
            <v>1.6757999999999999E-2</v>
          </cell>
        </row>
        <row r="2693">
          <cell r="A2693">
            <v>31020010</v>
          </cell>
          <cell r="B2693">
            <v>3614613272432</v>
          </cell>
          <cell r="E2693" t="str">
            <v>CAFE NUANCE BLANC VRAC GENCOD CARREFOUR</v>
          </cell>
          <cell r="F2693">
            <v>240</v>
          </cell>
          <cell r="G2693">
            <v>6</v>
          </cell>
          <cell r="H2693">
            <v>21</v>
          </cell>
          <cell r="I2693">
            <v>18.5</v>
          </cell>
          <cell r="J2693">
            <v>20</v>
          </cell>
          <cell r="K2693">
            <v>6.0110000000000001</v>
          </cell>
          <cell r="L2693">
            <v>2.5045833333333333E-2</v>
          </cell>
          <cell r="M2693">
            <v>7.7699999999999991E-3</v>
          </cell>
        </row>
        <row r="2694">
          <cell r="A2694">
            <v>31020011</v>
          </cell>
          <cell r="B2694">
            <v>3614613272449</v>
          </cell>
          <cell r="E2694" t="str">
            <v>COUTEAU NUANCE OPALE VERT VRAC GENCOD CARREFOUR</v>
          </cell>
          <cell r="F2694">
            <v>240</v>
          </cell>
          <cell r="G2694">
            <v>6</v>
          </cell>
          <cell r="H2694">
            <v>37</v>
          </cell>
          <cell r="I2694">
            <v>29</v>
          </cell>
          <cell r="J2694">
            <v>24</v>
          </cell>
          <cell r="K2694">
            <v>27.08</v>
          </cell>
          <cell r="L2694">
            <v>0.11283333333333333</v>
          </cell>
          <cell r="M2694">
            <v>2.5752000000000001E-2</v>
          </cell>
        </row>
        <row r="2695">
          <cell r="A2695">
            <v>31020012</v>
          </cell>
          <cell r="B2695">
            <v>3614613272456</v>
          </cell>
          <cell r="E2695" t="str">
            <v>FOURCHETTE NUANCE OPALE VERT VRAC GENCOD CARREFOUR</v>
          </cell>
          <cell r="F2695">
            <v>240</v>
          </cell>
          <cell r="G2695">
            <v>6</v>
          </cell>
          <cell r="H2695">
            <v>24</v>
          </cell>
          <cell r="I2695">
            <v>24.5</v>
          </cell>
          <cell r="J2695">
            <v>28.5</v>
          </cell>
          <cell r="K2695">
            <v>11.683999999999999</v>
          </cell>
          <cell r="L2695">
            <v>4.8683333333333328E-2</v>
          </cell>
          <cell r="M2695">
            <v>1.6757999999999999E-2</v>
          </cell>
        </row>
        <row r="2696">
          <cell r="A2696">
            <v>31020014</v>
          </cell>
          <cell r="B2696">
            <v>3614613272470</v>
          </cell>
          <cell r="E2696" t="str">
            <v>CAFE NUANCE OPALE VERT VRAC GENCOD CARREFOUR</v>
          </cell>
          <cell r="F2696">
            <v>240</v>
          </cell>
          <cell r="G2696">
            <v>6</v>
          </cell>
          <cell r="H2696">
            <v>21</v>
          </cell>
          <cell r="I2696">
            <v>18.5</v>
          </cell>
          <cell r="J2696">
            <v>20</v>
          </cell>
          <cell r="K2696">
            <v>6.0110000000000001</v>
          </cell>
          <cell r="L2696">
            <v>2.5045833333333333E-2</v>
          </cell>
          <cell r="M2696">
            <v>7.7699999999999991E-3</v>
          </cell>
        </row>
        <row r="2697">
          <cell r="A2697">
            <v>30970039</v>
          </cell>
          <cell r="B2697">
            <v>3118220047242</v>
          </cell>
          <cell r="E2697" t="str">
            <v>ASSORTIMENT PANACHE 36* M24 ECUME POT PET</v>
          </cell>
          <cell r="F2697">
            <v>1</v>
          </cell>
          <cell r="G2697">
            <v>1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</row>
        <row r="2698">
          <cell r="A2698">
            <v>31020015</v>
          </cell>
          <cell r="B2698">
            <v>3118220020108</v>
          </cell>
          <cell r="E2698" t="str">
            <v>COUTEAU NUANCE ORANGE PASTEL PANTONE 475U</v>
          </cell>
          <cell r="F2698">
            <v>144</v>
          </cell>
          <cell r="G2698">
            <v>6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</row>
        <row r="2699">
          <cell r="A2699">
            <v>31020016</v>
          </cell>
          <cell r="B2699">
            <v>3118220020115</v>
          </cell>
          <cell r="E2699" t="str">
            <v>FOURCHETTE NUANCE ORANGE PASTEL PANTONE 475U</v>
          </cell>
          <cell r="F2699">
            <v>144</v>
          </cell>
          <cell r="G2699">
            <v>6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</row>
        <row r="2700">
          <cell r="A2700">
            <v>31020017</v>
          </cell>
          <cell r="B2700">
            <v>3118220020122</v>
          </cell>
          <cell r="E2700" t="str">
            <v>CUILLERE TABLE NUANCE ORANGE PASTEL PANTONE 475U</v>
          </cell>
          <cell r="F2700">
            <v>144</v>
          </cell>
          <cell r="G2700">
            <v>6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</row>
        <row r="2701">
          <cell r="A2701">
            <v>31020019</v>
          </cell>
          <cell r="B2701">
            <v>3118220020207</v>
          </cell>
          <cell r="E2701" t="str">
            <v>M16 NUANCE NUANCE ORANGE PASTEL PANTONE 475U BOITE LISA</v>
          </cell>
          <cell r="F2701">
            <v>6</v>
          </cell>
          <cell r="G2701">
            <v>6</v>
          </cell>
          <cell r="H2701">
            <v>30.5</v>
          </cell>
          <cell r="I2701">
            <v>24.5</v>
          </cell>
          <cell r="J2701">
            <v>30.5</v>
          </cell>
          <cell r="K2701">
            <v>6.1929999999999996</v>
          </cell>
          <cell r="L2701">
            <v>1.0321666666666667</v>
          </cell>
          <cell r="M2701">
            <v>2.2791125000000002E-2</v>
          </cell>
        </row>
        <row r="2702">
          <cell r="A2702">
            <v>31020018</v>
          </cell>
          <cell r="B2702">
            <v>3118220020139</v>
          </cell>
          <cell r="E2702" t="str">
            <v>CAFE NUANCE ORANGE PASTEL PANTONE 475U</v>
          </cell>
          <cell r="F2702">
            <v>144</v>
          </cell>
          <cell r="G2702">
            <v>6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</row>
        <row r="2703">
          <cell r="A2703">
            <v>31020020</v>
          </cell>
          <cell r="B2703">
            <v>3118220032767</v>
          </cell>
          <cell r="E2703" t="str">
            <v>COUTEAU NUANCE BLANC VRAC GENCOD</v>
          </cell>
          <cell r="F2703">
            <v>240</v>
          </cell>
          <cell r="G2703">
            <v>6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</row>
        <row r="2704">
          <cell r="A2704">
            <v>31020021</v>
          </cell>
          <cell r="B2704">
            <v>3118220032774</v>
          </cell>
          <cell r="E2704" t="str">
            <v>FOURCHETTE NUANCE BLANC VRAC GENCOD</v>
          </cell>
          <cell r="F2704">
            <v>240</v>
          </cell>
          <cell r="G2704">
            <v>6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</row>
        <row r="2705">
          <cell r="A2705">
            <v>31020022</v>
          </cell>
          <cell r="B2705">
            <v>3118220032781</v>
          </cell>
          <cell r="E2705" t="str">
            <v>CUILLERE NUANCE BLANC VRAC GENCOD</v>
          </cell>
          <cell r="F2705">
            <v>240</v>
          </cell>
          <cell r="G2705">
            <v>6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</row>
        <row r="2706">
          <cell r="A2706">
            <v>31020024</v>
          </cell>
          <cell r="B2706">
            <v>3118220032804</v>
          </cell>
          <cell r="E2706" t="str">
            <v>COUTEAU NUANCE BRUYERE VRAC GENCOD</v>
          </cell>
          <cell r="F2706">
            <v>240</v>
          </cell>
          <cell r="G2706">
            <v>6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</row>
        <row r="2707">
          <cell r="A2707">
            <v>31020025</v>
          </cell>
          <cell r="B2707">
            <v>3118220032811</v>
          </cell>
          <cell r="E2707" t="str">
            <v>FOURCHETTE NUANCE BRUYERE VRAC GENCOD</v>
          </cell>
          <cell r="F2707">
            <v>240</v>
          </cell>
          <cell r="G2707">
            <v>6</v>
          </cell>
          <cell r="H2707">
            <v>0</v>
          </cell>
          <cell r="I2707">
            <v>0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</row>
        <row r="2708">
          <cell r="A2708">
            <v>31020026</v>
          </cell>
          <cell r="B2708">
            <v>3118220032828</v>
          </cell>
          <cell r="E2708" t="str">
            <v>CUILLERE NUANCE BRUYERE VRAC GENCOD</v>
          </cell>
          <cell r="F2708">
            <v>240</v>
          </cell>
          <cell r="G2708">
            <v>6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</row>
        <row r="2709">
          <cell r="A2709">
            <v>31020028</v>
          </cell>
          <cell r="B2709">
            <v>3118220033993</v>
          </cell>
          <cell r="E2709" t="str">
            <v>COUTEAU NUANCE CELADON BLEU VRAC + GENCOD</v>
          </cell>
          <cell r="F2709">
            <v>240</v>
          </cell>
          <cell r="G2709">
            <v>6</v>
          </cell>
          <cell r="H2709">
            <v>37</v>
          </cell>
          <cell r="I2709">
            <v>29</v>
          </cell>
          <cell r="J2709">
            <v>24</v>
          </cell>
          <cell r="K2709">
            <v>27.08</v>
          </cell>
          <cell r="L2709">
            <v>0.11283333333333333</v>
          </cell>
          <cell r="M2709">
            <v>2.5752000000000001E-2</v>
          </cell>
        </row>
        <row r="2710">
          <cell r="A2710">
            <v>31020029</v>
          </cell>
          <cell r="B2710">
            <v>3118220034006</v>
          </cell>
          <cell r="E2710" t="str">
            <v>FOURCHETTE NUANCE CELADON BLEU VRAC + GENCOD</v>
          </cell>
          <cell r="F2710">
            <v>240</v>
          </cell>
          <cell r="G2710">
            <v>6</v>
          </cell>
          <cell r="H2710">
            <v>24</v>
          </cell>
          <cell r="I2710">
            <v>24.5</v>
          </cell>
          <cell r="J2710">
            <v>28.5</v>
          </cell>
          <cell r="K2710">
            <v>11.683999999999999</v>
          </cell>
          <cell r="L2710">
            <v>4.8683333333333328E-2</v>
          </cell>
          <cell r="M2710">
            <v>1.6757999999999999E-2</v>
          </cell>
        </row>
        <row r="2711">
          <cell r="A2711">
            <v>31020030</v>
          </cell>
          <cell r="B2711">
            <v>3118220034013</v>
          </cell>
          <cell r="E2711" t="str">
            <v>CUILLERE NUANCE CELADON BLEU VRAC + GENCOD</v>
          </cell>
          <cell r="F2711">
            <v>240</v>
          </cell>
          <cell r="G2711">
            <v>6</v>
          </cell>
          <cell r="H2711">
            <v>25.5</v>
          </cell>
          <cell r="I2711">
            <v>22</v>
          </cell>
          <cell r="J2711">
            <v>24</v>
          </cell>
          <cell r="K2711">
            <v>10.051</v>
          </cell>
          <cell r="L2711">
            <v>4.1879166666666669E-2</v>
          </cell>
          <cell r="M2711">
            <v>1.3464E-2</v>
          </cell>
        </row>
        <row r="2712">
          <cell r="A2712">
            <v>31020031</v>
          </cell>
          <cell r="B2712">
            <v>3118220034020</v>
          </cell>
          <cell r="E2712" t="str">
            <v>CAFE NUANCE CELADON BLEU VRAC + GENCOD</v>
          </cell>
          <cell r="F2712">
            <v>240</v>
          </cell>
          <cell r="G2712">
            <v>6</v>
          </cell>
          <cell r="H2712">
            <v>21</v>
          </cell>
          <cell r="I2712">
            <v>18.5</v>
          </cell>
          <cell r="J2712">
            <v>20</v>
          </cell>
          <cell r="K2712">
            <v>6.0110000000000001</v>
          </cell>
          <cell r="L2712">
            <v>2.5045833333333333E-2</v>
          </cell>
          <cell r="M2712">
            <v>7.7699999999999991E-3</v>
          </cell>
        </row>
        <row r="2713">
          <cell r="A2713">
            <v>31020032</v>
          </cell>
          <cell r="B2713">
            <v>3118220034037</v>
          </cell>
          <cell r="E2713" t="str">
            <v>COUTEAU NUANCE OPALE VERT VRAC + GENCOD</v>
          </cell>
          <cell r="F2713">
            <v>240</v>
          </cell>
          <cell r="G2713">
            <v>6</v>
          </cell>
          <cell r="H2713">
            <v>37</v>
          </cell>
          <cell r="I2713">
            <v>29</v>
          </cell>
          <cell r="J2713">
            <v>24</v>
          </cell>
          <cell r="K2713">
            <v>27.08</v>
          </cell>
          <cell r="L2713">
            <v>0.11283333333333333</v>
          </cell>
          <cell r="M2713">
            <v>2.5752000000000001E-2</v>
          </cell>
        </row>
        <row r="2714">
          <cell r="A2714">
            <v>31020033</v>
          </cell>
          <cell r="B2714">
            <v>3118220034044</v>
          </cell>
          <cell r="E2714" t="str">
            <v>FOURCHETTE NUANCE OPALE VERT VRAC + GENCOD</v>
          </cell>
          <cell r="F2714">
            <v>240</v>
          </cell>
          <cell r="G2714">
            <v>6</v>
          </cell>
          <cell r="H2714">
            <v>24</v>
          </cell>
          <cell r="I2714">
            <v>24.5</v>
          </cell>
          <cell r="J2714">
            <v>28.5</v>
          </cell>
          <cell r="K2714">
            <v>11.683999999999999</v>
          </cell>
          <cell r="L2714">
            <v>4.8683333333333328E-2</v>
          </cell>
          <cell r="M2714">
            <v>1.6757999999999999E-2</v>
          </cell>
        </row>
        <row r="2715">
          <cell r="A2715">
            <v>31020034</v>
          </cell>
          <cell r="B2715">
            <v>3118220034051</v>
          </cell>
          <cell r="E2715" t="str">
            <v>CUILLERE NUANCE OPALE VERT VRAC + GENCOD</v>
          </cell>
          <cell r="F2715">
            <v>240</v>
          </cell>
          <cell r="G2715">
            <v>6</v>
          </cell>
          <cell r="H2715">
            <v>25.5</v>
          </cell>
          <cell r="I2715">
            <v>22</v>
          </cell>
          <cell r="J2715">
            <v>24</v>
          </cell>
          <cell r="K2715">
            <v>10.051</v>
          </cell>
          <cell r="L2715">
            <v>4.1879166666666669E-2</v>
          </cell>
          <cell r="M2715">
            <v>1.3464E-2</v>
          </cell>
        </row>
        <row r="2716">
          <cell r="A2716">
            <v>31020035</v>
          </cell>
          <cell r="B2716">
            <v>3118220034068</v>
          </cell>
          <cell r="E2716" t="str">
            <v>CAFE NUANCE OPALE VERT VRAC + GENCOD</v>
          </cell>
          <cell r="F2716">
            <v>240</v>
          </cell>
          <cell r="G2716">
            <v>6</v>
          </cell>
          <cell r="H2716">
            <v>21</v>
          </cell>
          <cell r="I2716">
            <v>18.5</v>
          </cell>
          <cell r="J2716">
            <v>20</v>
          </cell>
          <cell r="K2716">
            <v>6.0110000000000001</v>
          </cell>
          <cell r="L2716">
            <v>2.5045833333333333E-2</v>
          </cell>
          <cell r="M2716">
            <v>7.7699999999999991E-3</v>
          </cell>
        </row>
        <row r="2717">
          <cell r="A2717">
            <v>31040001</v>
          </cell>
          <cell r="B2717">
            <v>3118220015500</v>
          </cell>
          <cell r="E2717" t="str">
            <v>M16 DROP FRAMBOISE 7641C EN BOITE LISA</v>
          </cell>
          <cell r="F2717">
            <v>3</v>
          </cell>
          <cell r="G2717">
            <v>3</v>
          </cell>
          <cell r="H2717">
            <v>23</v>
          </cell>
          <cell r="I2717">
            <v>16.5</v>
          </cell>
          <cell r="J2717">
            <v>29.5</v>
          </cell>
          <cell r="K2717">
            <v>2.31</v>
          </cell>
          <cell r="L2717">
            <v>0.77</v>
          </cell>
          <cell r="M2717">
            <v>1.119525E-2</v>
          </cell>
        </row>
        <row r="2718">
          <cell r="A2718">
            <v>31040002</v>
          </cell>
          <cell r="B2718">
            <v>3118220015517</v>
          </cell>
          <cell r="E2718" t="str">
            <v>M16 DROP BLEU GRANIT 5405C EN BOITE LISA</v>
          </cell>
          <cell r="F2718">
            <v>3</v>
          </cell>
          <cell r="G2718">
            <v>3</v>
          </cell>
          <cell r="H2718">
            <v>26</v>
          </cell>
          <cell r="I2718">
            <v>16</v>
          </cell>
          <cell r="J2718">
            <v>31</v>
          </cell>
          <cell r="K2718">
            <v>2.0880000000000001</v>
          </cell>
          <cell r="L2718">
            <v>0.69600000000000006</v>
          </cell>
          <cell r="M2718">
            <v>1.2895999999999998E-2</v>
          </cell>
        </row>
        <row r="2719">
          <cell r="A2719">
            <v>31040003</v>
          </cell>
          <cell r="B2719">
            <v>3118220015524</v>
          </cell>
          <cell r="E2719" t="str">
            <v>M16 DROP VERT 5487C EN BOITE LISA</v>
          </cell>
          <cell r="F2719">
            <v>3</v>
          </cell>
          <cell r="G2719">
            <v>3</v>
          </cell>
          <cell r="H2719">
            <v>36</v>
          </cell>
          <cell r="I2719">
            <v>28.5</v>
          </cell>
          <cell r="J2719">
            <v>18.5</v>
          </cell>
          <cell r="K2719">
            <v>2.58</v>
          </cell>
          <cell r="L2719">
            <v>0.86</v>
          </cell>
          <cell r="M2719">
            <v>1.8980999999999998E-2</v>
          </cell>
        </row>
        <row r="2720">
          <cell r="A2720">
            <v>31040004</v>
          </cell>
          <cell r="B2720">
            <v>3118220015531</v>
          </cell>
          <cell r="E2720" t="str">
            <v>M16 DROP BLANC PUR EN BOITE TB COLLECTION</v>
          </cell>
          <cell r="F2720">
            <v>3</v>
          </cell>
          <cell r="G2720">
            <v>3</v>
          </cell>
          <cell r="H2720">
            <v>26</v>
          </cell>
          <cell r="I2720">
            <v>17</v>
          </cell>
          <cell r="J2720">
            <v>31</v>
          </cell>
          <cell r="K2720">
            <v>2.3490000000000002</v>
          </cell>
          <cell r="L2720">
            <v>0.78300000000000003</v>
          </cell>
          <cell r="M2720">
            <v>1.3701999999999999E-2</v>
          </cell>
        </row>
        <row r="2721">
          <cell r="A2721">
            <v>31040005</v>
          </cell>
          <cell r="B2721">
            <v>3118220015548</v>
          </cell>
          <cell r="E2721" t="str">
            <v>M16 DROP CUMIN 7767C EN BOITE LISA</v>
          </cell>
          <cell r="F2721">
            <v>3</v>
          </cell>
          <cell r="G2721">
            <v>3</v>
          </cell>
          <cell r="H2721">
            <v>23</v>
          </cell>
          <cell r="I2721">
            <v>16.5</v>
          </cell>
          <cell r="J2721">
            <v>29.5</v>
          </cell>
          <cell r="K2721">
            <v>2.31</v>
          </cell>
          <cell r="L2721">
            <v>0.77</v>
          </cell>
          <cell r="M2721">
            <v>1.119525E-2</v>
          </cell>
        </row>
        <row r="2722">
          <cell r="A2722">
            <v>31040006</v>
          </cell>
          <cell r="B2722">
            <v>3118220023215</v>
          </cell>
          <cell r="E2722" t="str">
            <v>COUTEAU DROP BLEU ACIER 5405C VRAC + GENCOD</v>
          </cell>
          <cell r="F2722">
            <v>240</v>
          </cell>
          <cell r="G2722">
            <v>6</v>
          </cell>
          <cell r="H2722">
            <v>34.5</v>
          </cell>
          <cell r="I2722">
            <v>27.5</v>
          </cell>
          <cell r="J2722">
            <v>32</v>
          </cell>
          <cell r="K2722">
            <v>10.08</v>
          </cell>
          <cell r="L2722">
            <v>4.2000000000000003E-2</v>
          </cell>
          <cell r="M2722">
            <v>3.0359999999999995E-2</v>
          </cell>
        </row>
        <row r="2723">
          <cell r="A2723">
            <v>31040007</v>
          </cell>
          <cell r="B2723">
            <v>3118220023468</v>
          </cell>
          <cell r="E2723" t="str">
            <v>FOURCHETTE DROP BLEU ACIER 5405C VRAC + GENCOD</v>
          </cell>
          <cell r="F2723">
            <v>240</v>
          </cell>
          <cell r="G2723">
            <v>6</v>
          </cell>
          <cell r="H2723">
            <v>38</v>
          </cell>
          <cell r="I2723">
            <v>25</v>
          </cell>
          <cell r="J2723">
            <v>31.5</v>
          </cell>
          <cell r="K2723">
            <v>9.36</v>
          </cell>
          <cell r="L2723">
            <v>3.9E-2</v>
          </cell>
          <cell r="M2723">
            <v>2.9925E-2</v>
          </cell>
        </row>
        <row r="2724">
          <cell r="A2724">
            <v>31040008</v>
          </cell>
          <cell r="B2724">
            <v>3118220023475</v>
          </cell>
          <cell r="E2724" t="str">
            <v>CUILLERE DROP BLEU ACIER 5405C VRAC + GENCOD</v>
          </cell>
          <cell r="F2724">
            <v>240</v>
          </cell>
          <cell r="G2724">
            <v>6</v>
          </cell>
          <cell r="H2724">
            <v>38</v>
          </cell>
          <cell r="I2724">
            <v>24.5</v>
          </cell>
          <cell r="J2724">
            <v>33.5</v>
          </cell>
          <cell r="K2724">
            <v>9.84</v>
          </cell>
          <cell r="L2724">
            <v>4.1000000000000002E-2</v>
          </cell>
          <cell r="M2724">
            <v>3.1188500000000001E-2</v>
          </cell>
        </row>
        <row r="2725">
          <cell r="A2725">
            <v>31040009</v>
          </cell>
          <cell r="B2725">
            <v>3118220023482</v>
          </cell>
          <cell r="E2725" t="str">
            <v>CAFE DROP BLEU ACIER 5405C VRAC + GENCOD</v>
          </cell>
          <cell r="F2725">
            <v>240</v>
          </cell>
          <cell r="G2725">
            <v>6</v>
          </cell>
          <cell r="H2725">
            <v>38.5</v>
          </cell>
          <cell r="I2725">
            <v>20.5</v>
          </cell>
          <cell r="J2725">
            <v>29</v>
          </cell>
          <cell r="K2725">
            <v>4.76</v>
          </cell>
          <cell r="L2725">
            <v>1.9833333333333331E-2</v>
          </cell>
          <cell r="M2725">
            <v>2.2888249999999995E-2</v>
          </cell>
        </row>
        <row r="2726">
          <cell r="A2726">
            <v>31040010</v>
          </cell>
          <cell r="B2726">
            <v>3118220023499</v>
          </cell>
          <cell r="E2726" t="str">
            <v>COUTEAU DROP VERT 5487C VRAC + GENCOD</v>
          </cell>
          <cell r="F2726">
            <v>240</v>
          </cell>
          <cell r="G2726">
            <v>6</v>
          </cell>
          <cell r="H2726">
            <v>34.5</v>
          </cell>
          <cell r="I2726">
            <v>27.5</v>
          </cell>
          <cell r="J2726">
            <v>32</v>
          </cell>
          <cell r="K2726">
            <v>11.348000000000001</v>
          </cell>
          <cell r="L2726">
            <v>4.7283333333333337E-2</v>
          </cell>
          <cell r="M2726">
            <v>3.0359999999999995E-2</v>
          </cell>
        </row>
        <row r="2727">
          <cell r="A2727">
            <v>31040011</v>
          </cell>
          <cell r="B2727">
            <v>3118220023505</v>
          </cell>
          <cell r="E2727" t="str">
            <v>FOURCHETTE DROP VERT 5487C VRAC + GENCOD</v>
          </cell>
          <cell r="F2727">
            <v>240</v>
          </cell>
          <cell r="G2727">
            <v>6</v>
          </cell>
          <cell r="H2727">
            <v>37.5</v>
          </cell>
          <cell r="I2727">
            <v>24.5</v>
          </cell>
          <cell r="J2727">
            <v>32.5</v>
          </cell>
          <cell r="K2727">
            <v>11.875</v>
          </cell>
          <cell r="L2727">
            <v>4.9479166666666664E-2</v>
          </cell>
          <cell r="M2727">
            <v>2.9859375E-2</v>
          </cell>
        </row>
        <row r="2728">
          <cell r="A2728">
            <v>31040012</v>
          </cell>
          <cell r="B2728">
            <v>3118220023512</v>
          </cell>
          <cell r="E2728" t="str">
            <v>CUILLERE DROP VERT 5487C VRAC + GENCOD</v>
          </cell>
          <cell r="F2728">
            <v>240</v>
          </cell>
          <cell r="G2728">
            <v>6</v>
          </cell>
          <cell r="H2728">
            <v>38</v>
          </cell>
          <cell r="I2728">
            <v>24.5</v>
          </cell>
          <cell r="J2728">
            <v>33.5</v>
          </cell>
          <cell r="K2728">
            <v>13.807</v>
          </cell>
          <cell r="L2728">
            <v>5.7529166666666666E-2</v>
          </cell>
          <cell r="M2728">
            <v>3.1188500000000001E-2</v>
          </cell>
        </row>
        <row r="2729">
          <cell r="A2729">
            <v>31040013</v>
          </cell>
          <cell r="B2729">
            <v>3118220023529</v>
          </cell>
          <cell r="E2729" t="str">
            <v>CAFE DROP VERT 5487C VRAC + GENCOD</v>
          </cell>
          <cell r="F2729">
            <v>240</v>
          </cell>
          <cell r="G2729">
            <v>6</v>
          </cell>
          <cell r="H2729">
            <v>38.5</v>
          </cell>
          <cell r="I2729">
            <v>20.5</v>
          </cell>
          <cell r="J2729">
            <v>29</v>
          </cell>
          <cell r="K2729">
            <v>4.8</v>
          </cell>
          <cell r="L2729">
            <v>0.02</v>
          </cell>
          <cell r="M2729">
            <v>2.2888249999999995E-2</v>
          </cell>
        </row>
        <row r="2730">
          <cell r="A2730">
            <v>31040014</v>
          </cell>
          <cell r="B2730">
            <v>3118220023536</v>
          </cell>
          <cell r="E2730" t="str">
            <v>COUTEAU DROP BLANC TRANSPARENT VRAC + GENCOD</v>
          </cell>
          <cell r="F2730">
            <v>240</v>
          </cell>
          <cell r="G2730">
            <v>6</v>
          </cell>
          <cell r="H2730">
            <v>34.5</v>
          </cell>
          <cell r="I2730">
            <v>27.5</v>
          </cell>
          <cell r="J2730">
            <v>32</v>
          </cell>
          <cell r="K2730">
            <v>11.348000000000001</v>
          </cell>
          <cell r="L2730">
            <v>4.7283333333333337E-2</v>
          </cell>
          <cell r="M2730">
            <v>3.0359999999999995E-2</v>
          </cell>
        </row>
        <row r="2731">
          <cell r="A2731">
            <v>31040015</v>
          </cell>
          <cell r="B2731">
            <v>3118220023543</v>
          </cell>
          <cell r="E2731" t="str">
            <v>FOURCHETTE DROP BLANC TRANSPARENT VRAC + GENCOD</v>
          </cell>
          <cell r="F2731">
            <v>240</v>
          </cell>
          <cell r="G2731">
            <v>6</v>
          </cell>
          <cell r="H2731">
            <v>37.5</v>
          </cell>
          <cell r="I2731">
            <v>25.7</v>
          </cell>
          <cell r="J2731">
            <v>31.5</v>
          </cell>
          <cell r="K2731">
            <v>10.255000000000001</v>
          </cell>
          <cell r="L2731">
            <v>4.2729166666666672E-2</v>
          </cell>
          <cell r="M2731">
            <v>3.0358124999999996E-2</v>
          </cell>
        </row>
        <row r="2732">
          <cell r="A2732">
            <v>31040016</v>
          </cell>
          <cell r="B2732">
            <v>3118220023550</v>
          </cell>
          <cell r="E2732" t="str">
            <v>CUILLERE DROP BLANC TRANSPARENT VRAC + GENCOD</v>
          </cell>
          <cell r="F2732">
            <v>240</v>
          </cell>
          <cell r="G2732">
            <v>6</v>
          </cell>
          <cell r="H2732">
            <v>38</v>
          </cell>
          <cell r="I2732">
            <v>24.5</v>
          </cell>
          <cell r="J2732">
            <v>33.5</v>
          </cell>
          <cell r="K2732">
            <v>11.583</v>
          </cell>
          <cell r="L2732">
            <v>4.82625E-2</v>
          </cell>
          <cell r="M2732">
            <v>3.1188500000000001E-2</v>
          </cell>
        </row>
        <row r="2733">
          <cell r="A2733">
            <v>31040017</v>
          </cell>
          <cell r="B2733">
            <v>3118220023567</v>
          </cell>
          <cell r="E2733" t="str">
            <v>CAFE DROP BLANC TRANSPARENT VRAC + GENCOD</v>
          </cell>
          <cell r="F2733">
            <v>240</v>
          </cell>
          <cell r="G2733">
            <v>6</v>
          </cell>
          <cell r="H2733">
            <v>38.5</v>
          </cell>
          <cell r="I2733">
            <v>20.5</v>
          </cell>
          <cell r="J2733">
            <v>29</v>
          </cell>
          <cell r="K2733">
            <v>4.5599999999999996</v>
          </cell>
          <cell r="L2733">
            <v>1.9E-2</v>
          </cell>
          <cell r="M2733">
            <v>2.2888249999999995E-2</v>
          </cell>
        </row>
        <row r="2734">
          <cell r="A2734">
            <v>31040018</v>
          </cell>
          <cell r="B2734">
            <v>3118220023574</v>
          </cell>
          <cell r="E2734" t="str">
            <v>COUTEAU DROP FRAMBOISE 7641C VRAC + GENCOD</v>
          </cell>
          <cell r="F2734">
            <v>240</v>
          </cell>
          <cell r="G2734">
            <v>6</v>
          </cell>
          <cell r="H2734">
            <v>34.5</v>
          </cell>
          <cell r="I2734">
            <v>27.5</v>
          </cell>
          <cell r="J2734">
            <v>32</v>
          </cell>
          <cell r="K2734">
            <v>11.348000000000001</v>
          </cell>
          <cell r="L2734">
            <v>4.7283333333333337E-2</v>
          </cell>
          <cell r="M2734">
            <v>3.0359999999999995E-2</v>
          </cell>
        </row>
        <row r="2735">
          <cell r="A2735">
            <v>31040019</v>
          </cell>
          <cell r="B2735">
            <v>3118220023581</v>
          </cell>
          <cell r="E2735" t="str">
            <v>FOURCHETTE DROP FRAMBOISE 7641C VRAC + GENCOD</v>
          </cell>
          <cell r="F2735">
            <v>240</v>
          </cell>
          <cell r="G2735">
            <v>6</v>
          </cell>
          <cell r="H2735">
            <v>37.5</v>
          </cell>
          <cell r="I2735">
            <v>24.5</v>
          </cell>
          <cell r="J2735">
            <v>32.5</v>
          </cell>
          <cell r="K2735">
            <v>12.765000000000001</v>
          </cell>
          <cell r="L2735">
            <v>5.3187500000000006E-2</v>
          </cell>
          <cell r="M2735">
            <v>2.9859375E-2</v>
          </cell>
        </row>
        <row r="2736">
          <cell r="A2736">
            <v>31040020</v>
          </cell>
          <cell r="B2736">
            <v>3118220023598</v>
          </cell>
          <cell r="E2736" t="str">
            <v>CUILLERE DROP FRAMBOISE 7641C VRAC + GENCOD</v>
          </cell>
          <cell r="F2736">
            <v>240</v>
          </cell>
          <cell r="G2736">
            <v>6</v>
          </cell>
          <cell r="H2736">
            <v>38</v>
          </cell>
          <cell r="I2736">
            <v>24.5</v>
          </cell>
          <cell r="J2736">
            <v>33.5</v>
          </cell>
          <cell r="K2736">
            <v>13.807</v>
          </cell>
          <cell r="L2736">
            <v>5.7529166666666666E-2</v>
          </cell>
          <cell r="M2736">
            <v>3.1188500000000001E-2</v>
          </cell>
        </row>
        <row r="2737">
          <cell r="A2737">
            <v>31040021</v>
          </cell>
          <cell r="B2737">
            <v>3118220023604</v>
          </cell>
          <cell r="E2737" t="str">
            <v>CAFE DROP FRAMBOISE 7641C VRAC + GENCOD</v>
          </cell>
          <cell r="F2737">
            <v>240</v>
          </cell>
          <cell r="G2737">
            <v>6</v>
          </cell>
          <cell r="H2737">
            <v>38.5</v>
          </cell>
          <cell r="I2737">
            <v>20.5</v>
          </cell>
          <cell r="J2737">
            <v>29</v>
          </cell>
          <cell r="K2737">
            <v>6.0709999999999997</v>
          </cell>
          <cell r="L2737">
            <v>2.5295833333333333E-2</v>
          </cell>
          <cell r="M2737">
            <v>2.2888249999999995E-2</v>
          </cell>
        </row>
        <row r="2738">
          <cell r="A2738">
            <v>31040022</v>
          </cell>
          <cell r="B2738">
            <v>3118220035546</v>
          </cell>
          <cell r="E2738" t="str">
            <v>M24 DROP JAUNE 137C EN BOITE TB COLLECTION</v>
          </cell>
          <cell r="F2738">
            <v>6</v>
          </cell>
          <cell r="G2738">
            <v>6</v>
          </cell>
          <cell r="H2738">
            <v>27</v>
          </cell>
          <cell r="I2738">
            <v>29</v>
          </cell>
          <cell r="J2738">
            <v>30</v>
          </cell>
          <cell r="K2738">
            <v>6.2729999999999997</v>
          </cell>
          <cell r="L2738">
            <v>1.0454999999999999</v>
          </cell>
          <cell r="M2738">
            <v>2.3489999999999997E-2</v>
          </cell>
        </row>
        <row r="2739">
          <cell r="A2739">
            <v>31040023</v>
          </cell>
          <cell r="B2739">
            <v>3118220040076</v>
          </cell>
          <cell r="E2739" t="str">
            <v>M24 DROP VERT EN BOITE TB COLLECTION</v>
          </cell>
          <cell r="F2739">
            <v>6</v>
          </cell>
          <cell r="G2739">
            <v>6</v>
          </cell>
          <cell r="H2739">
            <v>27</v>
          </cell>
          <cell r="I2739">
            <v>29</v>
          </cell>
          <cell r="J2739">
            <v>30</v>
          </cell>
          <cell r="K2739">
            <v>5.8979999999999997</v>
          </cell>
          <cell r="L2739">
            <v>0.98299999999999998</v>
          </cell>
          <cell r="M2739">
            <v>2.3489999999999997E-2</v>
          </cell>
        </row>
        <row r="2740">
          <cell r="A2740">
            <v>31040024</v>
          </cell>
          <cell r="B2740">
            <v>3118220040892</v>
          </cell>
          <cell r="E2740" t="str">
            <v>M24 DROP ROSE 503 C EN BOITE TB COLLECTION</v>
          </cell>
          <cell r="F2740">
            <v>6</v>
          </cell>
          <cell r="G2740">
            <v>6</v>
          </cell>
          <cell r="H2740">
            <v>30.5</v>
          </cell>
          <cell r="I2740">
            <v>26</v>
          </cell>
          <cell r="J2740">
            <v>32</v>
          </cell>
          <cell r="K2740">
            <v>6.1740000000000004</v>
          </cell>
          <cell r="L2740">
            <v>1.0290000000000001</v>
          </cell>
          <cell r="M2740">
            <v>2.5375999999999999E-2</v>
          </cell>
        </row>
        <row r="2741">
          <cell r="A2741">
            <v>31040025</v>
          </cell>
          <cell r="B2741" t="str">
            <v>3118220054202</v>
          </cell>
          <cell r="C2741" t="str">
            <v>13118220054209</v>
          </cell>
          <cell r="D2741" t="str">
            <v>23118220054206</v>
          </cell>
          <cell r="E2741" t="str">
            <v>M24 DROP COLOR BLANC EN BOITE TB COLLECTION</v>
          </cell>
          <cell r="F2741">
            <v>3</v>
          </cell>
          <cell r="G2741">
            <v>3</v>
          </cell>
          <cell r="H2741">
            <v>26</v>
          </cell>
          <cell r="I2741">
            <v>17</v>
          </cell>
          <cell r="J2741">
            <v>31</v>
          </cell>
          <cell r="K2741">
            <v>1.06</v>
          </cell>
          <cell r="L2741">
            <v>0.35333333333333333</v>
          </cell>
          <cell r="M2741">
            <v>1.3701999999999999E-2</v>
          </cell>
        </row>
        <row r="2742">
          <cell r="A2742">
            <v>31040026</v>
          </cell>
          <cell r="B2742" t="str">
            <v>3118220054233</v>
          </cell>
          <cell r="C2742" t="str">
            <v>13118220054230</v>
          </cell>
          <cell r="D2742" t="str">
            <v>23118220054237</v>
          </cell>
          <cell r="E2742" t="str">
            <v>COUTEAU DROP COLOR BLEU VRAC + GENCOD</v>
          </cell>
          <cell r="F2742">
            <v>240</v>
          </cell>
          <cell r="G2742">
            <v>6</v>
          </cell>
          <cell r="H2742">
            <v>35</v>
          </cell>
          <cell r="I2742">
            <v>27.5</v>
          </cell>
          <cell r="J2742">
            <v>32</v>
          </cell>
          <cell r="K2742">
            <v>9.84</v>
          </cell>
          <cell r="L2742">
            <v>4.1000000000000002E-2</v>
          </cell>
          <cell r="M2742">
            <v>3.0800000000000001E-2</v>
          </cell>
        </row>
        <row r="2743">
          <cell r="A2743">
            <v>31040027</v>
          </cell>
          <cell r="B2743" t="str">
            <v>3118220054240</v>
          </cell>
          <cell r="C2743" t="str">
            <v>13118220054247</v>
          </cell>
          <cell r="D2743" t="str">
            <v>23118220054244</v>
          </cell>
          <cell r="E2743" t="str">
            <v>FOURCHETTE DROP COLOR BLEU VRAC + GENCOD</v>
          </cell>
          <cell r="F2743">
            <v>240</v>
          </cell>
          <cell r="G2743">
            <v>6</v>
          </cell>
          <cell r="H2743">
            <v>37.5</v>
          </cell>
          <cell r="I2743">
            <v>25.7</v>
          </cell>
          <cell r="J2743">
            <v>31.5</v>
          </cell>
          <cell r="K2743">
            <v>10.4</v>
          </cell>
          <cell r="L2743">
            <v>4.3333333333333335E-2</v>
          </cell>
          <cell r="M2743">
            <v>3.0358124999999996E-2</v>
          </cell>
        </row>
        <row r="2744">
          <cell r="A2744">
            <v>31040028</v>
          </cell>
          <cell r="B2744" t="str">
            <v>3118220054257</v>
          </cell>
          <cell r="C2744" t="str">
            <v>13118220054254</v>
          </cell>
          <cell r="D2744" t="str">
            <v>23118220054251</v>
          </cell>
          <cell r="E2744" t="str">
            <v>CUILLERE DROP COLOR BLEU VRAC + GENCOD</v>
          </cell>
          <cell r="F2744">
            <v>240</v>
          </cell>
          <cell r="G2744">
            <v>6</v>
          </cell>
          <cell r="H2744">
            <v>38</v>
          </cell>
          <cell r="I2744">
            <v>24.5</v>
          </cell>
          <cell r="J2744">
            <v>33.5</v>
          </cell>
          <cell r="K2744">
            <v>12</v>
          </cell>
          <cell r="L2744">
            <v>0.05</v>
          </cell>
          <cell r="M2744">
            <v>3.1188500000000001E-2</v>
          </cell>
        </row>
        <row r="2745">
          <cell r="A2745">
            <v>31040029</v>
          </cell>
          <cell r="B2745" t="str">
            <v>3118220054264</v>
          </cell>
          <cell r="C2745" t="str">
            <v>13118220054261</v>
          </cell>
          <cell r="D2745" t="str">
            <v>23118220054268</v>
          </cell>
          <cell r="E2745" t="str">
            <v>CAFE DROP COLOR BLEU VRAC + GENCOD</v>
          </cell>
          <cell r="F2745">
            <v>240</v>
          </cell>
          <cell r="G2745">
            <v>6</v>
          </cell>
          <cell r="H2745">
            <v>38.5</v>
          </cell>
          <cell r="I2745">
            <v>20.5</v>
          </cell>
          <cell r="J2745">
            <v>29</v>
          </cell>
          <cell r="K2745">
            <v>4.5599999999999996</v>
          </cell>
          <cell r="L2745">
            <v>1.9E-2</v>
          </cell>
          <cell r="M2745">
            <v>2.2888249999999995E-2</v>
          </cell>
        </row>
        <row r="2746">
          <cell r="A2746">
            <v>31040030</v>
          </cell>
          <cell r="B2746" t="str">
            <v>3118220054271</v>
          </cell>
          <cell r="C2746" t="str">
            <v>13118220054278</v>
          </cell>
          <cell r="D2746" t="str">
            <v>23118220054275</v>
          </cell>
          <cell r="E2746" t="str">
            <v>COUTEAU DROP COLOR NOIR VRAC + GENCOD</v>
          </cell>
          <cell r="F2746">
            <v>240</v>
          </cell>
          <cell r="G2746">
            <v>6</v>
          </cell>
          <cell r="H2746">
            <v>35</v>
          </cell>
          <cell r="I2746">
            <v>27.5</v>
          </cell>
          <cell r="J2746">
            <v>32</v>
          </cell>
          <cell r="K2746">
            <v>9.84</v>
          </cell>
          <cell r="L2746">
            <v>4.1000000000000002E-2</v>
          </cell>
          <cell r="M2746">
            <v>3.0800000000000001E-2</v>
          </cell>
        </row>
        <row r="2747">
          <cell r="A2747">
            <v>31040031</v>
          </cell>
          <cell r="B2747" t="str">
            <v>3118220054288</v>
          </cell>
          <cell r="C2747" t="str">
            <v>13118220054285</v>
          </cell>
          <cell r="D2747" t="str">
            <v>23118220054282</v>
          </cell>
          <cell r="E2747" t="str">
            <v>FOURCHETTE DROP COLOR NOIR VRAC + GENCOD</v>
          </cell>
          <cell r="F2747">
            <v>240</v>
          </cell>
          <cell r="G2747">
            <v>6</v>
          </cell>
          <cell r="H2747">
            <v>37.5</v>
          </cell>
          <cell r="I2747">
            <v>25.7</v>
          </cell>
          <cell r="J2747">
            <v>31.5</v>
          </cell>
          <cell r="K2747">
            <v>10.4</v>
          </cell>
          <cell r="L2747">
            <v>4.3333333333333335E-2</v>
          </cell>
          <cell r="M2747">
            <v>3.0358124999999996E-2</v>
          </cell>
        </row>
        <row r="2748">
          <cell r="A2748">
            <v>31040032</v>
          </cell>
          <cell r="B2748" t="str">
            <v>3118220054295</v>
          </cell>
          <cell r="C2748" t="str">
            <v>13118220054292</v>
          </cell>
          <cell r="D2748" t="str">
            <v>23118220054299</v>
          </cell>
          <cell r="E2748" t="str">
            <v>CUILLERE DROP COLOR NOIR VRAC + GENCOD</v>
          </cell>
          <cell r="F2748">
            <v>240</v>
          </cell>
          <cell r="G2748">
            <v>6</v>
          </cell>
          <cell r="H2748">
            <v>38</v>
          </cell>
          <cell r="I2748">
            <v>24.5</v>
          </cell>
          <cell r="J2748">
            <v>33.5</v>
          </cell>
          <cell r="K2748">
            <v>12</v>
          </cell>
          <cell r="L2748">
            <v>0.05</v>
          </cell>
          <cell r="M2748">
            <v>3.1188500000000001E-2</v>
          </cell>
        </row>
        <row r="2749">
          <cell r="A2749">
            <v>31040033</v>
          </cell>
          <cell r="B2749" t="str">
            <v>3118220054301</v>
          </cell>
          <cell r="C2749" t="str">
            <v>13118220054308</v>
          </cell>
          <cell r="D2749" t="str">
            <v>23118220054305</v>
          </cell>
          <cell r="E2749" t="str">
            <v>CAFE DROP COLOR NOIR VRAC + GENCOD</v>
          </cell>
          <cell r="F2749">
            <v>240</v>
          </cell>
          <cell r="G2749">
            <v>6</v>
          </cell>
          <cell r="H2749">
            <v>38.5</v>
          </cell>
          <cell r="I2749">
            <v>20.5</v>
          </cell>
          <cell r="J2749">
            <v>29</v>
          </cell>
          <cell r="K2749">
            <v>4.5599999999999996</v>
          </cell>
          <cell r="L2749">
            <v>1.9E-2</v>
          </cell>
          <cell r="M2749">
            <v>2.2888249999999995E-2</v>
          </cell>
        </row>
        <row r="2750">
          <cell r="A2750">
            <v>31050001</v>
          </cell>
          <cell r="B2750">
            <v>3118220015630</v>
          </cell>
          <cell r="E2750" t="str">
            <v>M16 FURTIF 7631C TERRE DE SIENNE COFFRET BI MAT</v>
          </cell>
          <cell r="F2750">
            <v>6</v>
          </cell>
          <cell r="G2750">
            <v>6</v>
          </cell>
          <cell r="H2750">
            <v>29</v>
          </cell>
          <cell r="I2750">
            <v>27.5</v>
          </cell>
          <cell r="J2750">
            <v>19</v>
          </cell>
          <cell r="K2750">
            <v>6.63</v>
          </cell>
          <cell r="L2750">
            <v>1.105</v>
          </cell>
          <cell r="M2750">
            <v>1.5152499999999999E-2</v>
          </cell>
        </row>
        <row r="2751">
          <cell r="A2751">
            <v>31050002</v>
          </cell>
          <cell r="B2751">
            <v>3118220015647</v>
          </cell>
          <cell r="E2751" t="str">
            <v>M16 FURTIF 432C BLUE GRAPHITE COFFRET BI MAT</v>
          </cell>
          <cell r="F2751">
            <v>6</v>
          </cell>
          <cell r="G2751">
            <v>6</v>
          </cell>
          <cell r="H2751">
            <v>29</v>
          </cell>
          <cell r="I2751">
            <v>27.5</v>
          </cell>
          <cell r="J2751">
            <v>19</v>
          </cell>
          <cell r="K2751">
            <v>6.3</v>
          </cell>
          <cell r="L2751">
            <v>1.05</v>
          </cell>
          <cell r="M2751">
            <v>1.5152499999999999E-2</v>
          </cell>
        </row>
        <row r="2752">
          <cell r="A2752">
            <v>31050003</v>
          </cell>
          <cell r="B2752">
            <v>3118220015654</v>
          </cell>
          <cell r="E2752" t="str">
            <v>M16 FURTIF 417C GREEN ETAIN COFFRET BI MAT</v>
          </cell>
          <cell r="F2752">
            <v>6</v>
          </cell>
          <cell r="G2752">
            <v>6</v>
          </cell>
          <cell r="H2752">
            <v>29</v>
          </cell>
          <cell r="I2752">
            <v>27.5</v>
          </cell>
          <cell r="J2752">
            <v>19</v>
          </cell>
          <cell r="K2752">
            <v>6.3</v>
          </cell>
          <cell r="L2752">
            <v>1.05</v>
          </cell>
          <cell r="M2752">
            <v>1.5152499999999999E-2</v>
          </cell>
        </row>
        <row r="2753">
          <cell r="A2753">
            <v>31050004</v>
          </cell>
          <cell r="B2753">
            <v>3118220015661</v>
          </cell>
          <cell r="E2753" t="str">
            <v>M16 FURTIF WARM GREY 4 GRIS CRAIE COFFRET BI MAT</v>
          </cell>
          <cell r="F2753">
            <v>6</v>
          </cell>
          <cell r="G2753">
            <v>6</v>
          </cell>
          <cell r="H2753">
            <v>29</v>
          </cell>
          <cell r="I2753">
            <v>27.5</v>
          </cell>
          <cell r="J2753">
            <v>19</v>
          </cell>
          <cell r="K2753">
            <v>6.3</v>
          </cell>
          <cell r="L2753">
            <v>1.05</v>
          </cell>
          <cell r="M2753">
            <v>1.5152499999999999E-2</v>
          </cell>
        </row>
        <row r="2754">
          <cell r="A2754">
            <v>31050005</v>
          </cell>
          <cell r="B2754">
            <v>3118220015678</v>
          </cell>
          <cell r="E2754" t="str">
            <v>M16 FURTIF WHITE TITANE EN BOITE TB COLLECTION</v>
          </cell>
          <cell r="F2754">
            <v>6</v>
          </cell>
          <cell r="G2754">
            <v>6</v>
          </cell>
          <cell r="H2754">
            <v>30.5</v>
          </cell>
          <cell r="I2754">
            <v>26.5</v>
          </cell>
          <cell r="J2754">
            <v>32</v>
          </cell>
          <cell r="K2754">
            <v>4.9509999999999996</v>
          </cell>
          <cell r="L2754">
            <v>0.8251666666666666</v>
          </cell>
          <cell r="M2754">
            <v>2.5863999999999998E-2</v>
          </cell>
        </row>
        <row r="2755">
          <cell r="A2755">
            <v>31050009</v>
          </cell>
          <cell r="B2755">
            <v>3614613272500</v>
          </cell>
          <cell r="E2755" t="str">
            <v>M16 ORIGAMI WARM 4 GREY CRAIE BOITE CARREFOUR</v>
          </cell>
          <cell r="F2755">
            <v>3</v>
          </cell>
          <cell r="G2755">
            <v>3</v>
          </cell>
          <cell r="H2755">
            <v>24</v>
          </cell>
          <cell r="I2755">
            <v>16</v>
          </cell>
          <cell r="J2755">
            <v>28.5</v>
          </cell>
          <cell r="K2755">
            <v>2.5670000000000002</v>
          </cell>
          <cell r="L2755">
            <v>0.85566666666666669</v>
          </cell>
          <cell r="M2755">
            <v>1.0943999999999999E-2</v>
          </cell>
        </row>
        <row r="2756">
          <cell r="A2756">
            <v>31050010</v>
          </cell>
          <cell r="B2756">
            <v>3118220017443</v>
          </cell>
          <cell r="C2756" t="str">
            <v>13118220017440</v>
          </cell>
          <cell r="D2756" t="str">
            <v>23118220017447</v>
          </cell>
          <cell r="E2756" t="str">
            <v>COUTEAU FURTIF BLANC VRAC GENCOD</v>
          </cell>
          <cell r="F2756">
            <v>240</v>
          </cell>
          <cell r="G2756">
            <v>6</v>
          </cell>
          <cell r="H2756">
            <v>34</v>
          </cell>
          <cell r="I2756">
            <v>27</v>
          </cell>
          <cell r="J2756">
            <v>31.5</v>
          </cell>
          <cell r="K2756">
            <v>11.28</v>
          </cell>
          <cell r="L2756">
            <v>4.7E-2</v>
          </cell>
          <cell r="M2756">
            <v>2.8917000000000005E-2</v>
          </cell>
        </row>
        <row r="2757">
          <cell r="A2757">
            <v>31050011</v>
          </cell>
          <cell r="B2757">
            <v>3118220017450</v>
          </cell>
          <cell r="C2757" t="str">
            <v>13118220017457</v>
          </cell>
          <cell r="D2757" t="str">
            <v>23118220017454</v>
          </cell>
          <cell r="E2757" t="str">
            <v>FOURCHETTE FURTIF BLANC VRAC GENCOD</v>
          </cell>
          <cell r="F2757">
            <v>240</v>
          </cell>
          <cell r="G2757">
            <v>6</v>
          </cell>
          <cell r="H2757">
            <v>38</v>
          </cell>
          <cell r="I2757">
            <v>24</v>
          </cell>
          <cell r="J2757">
            <v>31.5</v>
          </cell>
          <cell r="K2757">
            <v>11.250999999999999</v>
          </cell>
          <cell r="L2757">
            <v>4.6879166666666666E-2</v>
          </cell>
          <cell r="M2757">
            <v>2.8728000000000004E-2</v>
          </cell>
        </row>
        <row r="2758">
          <cell r="A2758">
            <v>31050012</v>
          </cell>
          <cell r="B2758">
            <v>3118220017467</v>
          </cell>
          <cell r="C2758" t="str">
            <v>13118220017464</v>
          </cell>
          <cell r="D2758" t="str">
            <v>23118220017461</v>
          </cell>
          <cell r="E2758" t="str">
            <v>CUILLERE FURTIF BLANC VRAC GENCOD</v>
          </cell>
          <cell r="F2758">
            <v>240</v>
          </cell>
          <cell r="G2758">
            <v>6</v>
          </cell>
          <cell r="H2758">
            <v>37</v>
          </cell>
          <cell r="I2758">
            <v>24</v>
          </cell>
          <cell r="J2758">
            <v>31.5</v>
          </cell>
          <cell r="K2758">
            <v>13.145</v>
          </cell>
          <cell r="L2758">
            <v>5.4770833333333331E-2</v>
          </cell>
          <cell r="M2758">
            <v>2.7971999999999997E-2</v>
          </cell>
        </row>
        <row r="2759">
          <cell r="A2759">
            <v>31050013</v>
          </cell>
          <cell r="B2759">
            <v>3118220017474</v>
          </cell>
          <cell r="C2759" t="str">
            <v>13118220017471</v>
          </cell>
          <cell r="D2759" t="str">
            <v>23118220017478</v>
          </cell>
          <cell r="E2759" t="str">
            <v>CAFE FURTIF BLANC VRAC GENCOD</v>
          </cell>
          <cell r="F2759">
            <v>240</v>
          </cell>
          <cell r="G2759">
            <v>6</v>
          </cell>
          <cell r="H2759">
            <v>38</v>
          </cell>
          <cell r="I2759">
            <v>20</v>
          </cell>
          <cell r="J2759">
            <v>28.5</v>
          </cell>
          <cell r="K2759">
            <v>6.05</v>
          </cell>
          <cell r="L2759">
            <v>2.5208333333333333E-2</v>
          </cell>
          <cell r="M2759">
            <v>2.1659999999999999E-2</v>
          </cell>
        </row>
        <row r="2760">
          <cell r="A2760">
            <v>31050014</v>
          </cell>
          <cell r="B2760">
            <v>3118220017481</v>
          </cell>
          <cell r="C2760" t="str">
            <v>13118220017488</v>
          </cell>
          <cell r="D2760" t="str">
            <v>23118220017485</v>
          </cell>
          <cell r="E2760" t="str">
            <v>COUTEAU FURTIF NOIR VRAC GENCOD</v>
          </cell>
          <cell r="F2760">
            <v>240</v>
          </cell>
          <cell r="G2760">
            <v>6</v>
          </cell>
          <cell r="H2760">
            <v>34</v>
          </cell>
          <cell r="I2760">
            <v>27</v>
          </cell>
          <cell r="J2760">
            <v>31.5</v>
          </cell>
          <cell r="K2760">
            <v>11.52</v>
          </cell>
          <cell r="L2760">
            <v>4.8000000000000001E-2</v>
          </cell>
          <cell r="M2760">
            <v>2.8917000000000005E-2</v>
          </cell>
        </row>
        <row r="2761">
          <cell r="A2761">
            <v>31050015</v>
          </cell>
          <cell r="B2761">
            <v>3118220017498</v>
          </cell>
          <cell r="C2761" t="str">
            <v>13118220017495</v>
          </cell>
          <cell r="D2761" t="str">
            <v>23118220017492</v>
          </cell>
          <cell r="E2761" t="str">
            <v>FOURCHETTE FURTIF NOIR VRAC GENCOD</v>
          </cell>
          <cell r="F2761">
            <v>240</v>
          </cell>
          <cell r="G2761">
            <v>6</v>
          </cell>
          <cell r="H2761">
            <v>38</v>
          </cell>
          <cell r="I2761">
            <v>24</v>
          </cell>
          <cell r="J2761">
            <v>31.5</v>
          </cell>
          <cell r="K2761">
            <v>11.218999999999999</v>
          </cell>
          <cell r="L2761">
            <v>4.6745833333333334E-2</v>
          </cell>
          <cell r="M2761">
            <v>2.8728000000000004E-2</v>
          </cell>
        </row>
        <row r="2762">
          <cell r="A2762">
            <v>31050016</v>
          </cell>
          <cell r="B2762">
            <v>3118220017504</v>
          </cell>
          <cell r="C2762" t="str">
            <v>13118220017501</v>
          </cell>
          <cell r="D2762" t="str">
            <v>23118220017508</v>
          </cell>
          <cell r="E2762" t="str">
            <v>CUILLERE FURTIF NOIR VRAC GENCOD</v>
          </cell>
          <cell r="F2762">
            <v>240</v>
          </cell>
          <cell r="G2762">
            <v>6</v>
          </cell>
          <cell r="H2762">
            <v>37</v>
          </cell>
          <cell r="I2762">
            <v>24</v>
          </cell>
          <cell r="J2762">
            <v>31.5</v>
          </cell>
          <cell r="K2762">
            <v>12.57</v>
          </cell>
          <cell r="L2762">
            <v>5.2374999999999998E-2</v>
          </cell>
          <cell r="M2762">
            <v>2.7971999999999997E-2</v>
          </cell>
        </row>
        <row r="2763">
          <cell r="A2763">
            <v>31050017</v>
          </cell>
          <cell r="B2763">
            <v>3118220017511</v>
          </cell>
          <cell r="C2763" t="str">
            <v>13118220017518</v>
          </cell>
          <cell r="D2763" t="str">
            <v>23118220017515</v>
          </cell>
          <cell r="E2763" t="str">
            <v>CAFE FURTIF NOIR VRAC GENCOD</v>
          </cell>
          <cell r="F2763">
            <v>240</v>
          </cell>
          <cell r="G2763">
            <v>6</v>
          </cell>
          <cell r="H2763">
            <v>38</v>
          </cell>
          <cell r="I2763">
            <v>20</v>
          </cell>
          <cell r="J2763">
            <v>28.5</v>
          </cell>
          <cell r="K2763">
            <v>5.52</v>
          </cell>
          <cell r="L2763">
            <v>2.3E-2</v>
          </cell>
          <cell r="M2763">
            <v>2.1659999999999999E-2</v>
          </cell>
        </row>
        <row r="2764">
          <cell r="A2764">
            <v>31050018</v>
          </cell>
          <cell r="B2764">
            <v>3118220023383</v>
          </cell>
          <cell r="E2764" t="str">
            <v>COUTEAU FURTIF TERRE DE SIENNE 7631C VRAC + GENCOD</v>
          </cell>
          <cell r="F2764">
            <v>240</v>
          </cell>
          <cell r="G2764">
            <v>6</v>
          </cell>
          <cell r="H2764">
            <v>34</v>
          </cell>
          <cell r="I2764">
            <v>27</v>
          </cell>
          <cell r="J2764">
            <v>31.5</v>
          </cell>
          <cell r="K2764">
            <v>13.696</v>
          </cell>
          <cell r="L2764">
            <v>5.7066666666666668E-2</v>
          </cell>
          <cell r="M2764">
            <v>2.8917000000000005E-2</v>
          </cell>
        </row>
        <row r="2765">
          <cell r="A2765">
            <v>31050019</v>
          </cell>
          <cell r="B2765">
            <v>3118220023390</v>
          </cell>
          <cell r="E2765" t="str">
            <v>FOURCHETTE FURTIF TERRE DE SIENNE 7631C VRAC + GENCOD</v>
          </cell>
          <cell r="F2765">
            <v>240</v>
          </cell>
          <cell r="G2765">
            <v>6</v>
          </cell>
          <cell r="H2765">
            <v>38</v>
          </cell>
          <cell r="I2765">
            <v>24</v>
          </cell>
          <cell r="J2765">
            <v>31.5</v>
          </cell>
          <cell r="K2765">
            <v>11.97</v>
          </cell>
          <cell r="L2765">
            <v>4.9875000000000003E-2</v>
          </cell>
          <cell r="M2765">
            <v>2.8728000000000004E-2</v>
          </cell>
        </row>
        <row r="2766">
          <cell r="A2766">
            <v>31050020</v>
          </cell>
          <cell r="B2766">
            <v>3118220023406</v>
          </cell>
          <cell r="E2766" t="str">
            <v>CUILLERE FURTIF TERRE DE SIENNE 7631C VRAC + GENCOD</v>
          </cell>
          <cell r="F2766">
            <v>240</v>
          </cell>
          <cell r="G2766">
            <v>6</v>
          </cell>
          <cell r="H2766">
            <v>37</v>
          </cell>
          <cell r="I2766">
            <v>24</v>
          </cell>
          <cell r="J2766">
            <v>31.5</v>
          </cell>
          <cell r="K2766">
            <v>13.145</v>
          </cell>
          <cell r="L2766">
            <v>5.4770833333333331E-2</v>
          </cell>
          <cell r="M2766">
            <v>2.7971999999999997E-2</v>
          </cell>
        </row>
        <row r="2767">
          <cell r="A2767">
            <v>31050021</v>
          </cell>
          <cell r="B2767">
            <v>3118220023413</v>
          </cell>
          <cell r="E2767" t="str">
            <v>CAFE FURTIF TERRE DE SIENNE 7631C VRAC + GENCOD</v>
          </cell>
          <cell r="F2767">
            <v>240</v>
          </cell>
          <cell r="G2767">
            <v>6</v>
          </cell>
          <cell r="H2767">
            <v>38</v>
          </cell>
          <cell r="I2767">
            <v>20</v>
          </cell>
          <cell r="J2767">
            <v>26.5</v>
          </cell>
          <cell r="K2767">
            <v>6.05</v>
          </cell>
          <cell r="L2767">
            <v>2.5208333333333333E-2</v>
          </cell>
          <cell r="M2767">
            <v>2.0139999999999998E-2</v>
          </cell>
        </row>
        <row r="2768">
          <cell r="A2768">
            <v>31080001</v>
          </cell>
          <cell r="B2768">
            <v>3118220016767</v>
          </cell>
          <cell r="E2768" t="str">
            <v>COUTEAU INEDIT PIXEL AVEC GENCOD</v>
          </cell>
          <cell r="F2768">
            <v>240</v>
          </cell>
          <cell r="G2768">
            <v>12</v>
          </cell>
          <cell r="H2768">
            <v>33</v>
          </cell>
          <cell r="I2768">
            <v>26</v>
          </cell>
          <cell r="J2768">
            <v>26</v>
          </cell>
          <cell r="K2768">
            <v>11.677</v>
          </cell>
          <cell r="L2768">
            <v>4.8654166666666665E-2</v>
          </cell>
          <cell r="M2768">
            <v>2.2307999999999998E-2</v>
          </cell>
        </row>
        <row r="2769">
          <cell r="A2769">
            <v>31080002</v>
          </cell>
          <cell r="B2769">
            <v>3118220016774</v>
          </cell>
          <cell r="E2769" t="str">
            <v>FOURCHETTE INEDIT PIXEL AVEC GENCOD</v>
          </cell>
          <cell r="F2769">
            <v>240</v>
          </cell>
          <cell r="G2769">
            <v>12</v>
          </cell>
          <cell r="H2769">
            <v>32.5</v>
          </cell>
          <cell r="I2769">
            <v>26</v>
          </cell>
          <cell r="J2769">
            <v>26</v>
          </cell>
          <cell r="K2769">
            <v>8.94</v>
          </cell>
          <cell r="L2769">
            <v>3.7249999999999998E-2</v>
          </cell>
          <cell r="M2769">
            <v>2.197E-2</v>
          </cell>
        </row>
        <row r="2770">
          <cell r="A2770">
            <v>31080003</v>
          </cell>
          <cell r="B2770">
            <v>3118220016781</v>
          </cell>
          <cell r="E2770" t="str">
            <v>CUILLERE INEDIT PIXEL AVEC GENCOD</v>
          </cell>
          <cell r="F2770">
            <v>240</v>
          </cell>
          <cell r="G2770">
            <v>12</v>
          </cell>
          <cell r="H2770">
            <v>32.5</v>
          </cell>
          <cell r="I2770">
            <v>26</v>
          </cell>
          <cell r="J2770">
            <v>26</v>
          </cell>
          <cell r="K2770">
            <v>12.1</v>
          </cell>
          <cell r="L2770">
            <v>5.0416666666666665E-2</v>
          </cell>
          <cell r="M2770">
            <v>2.197E-2</v>
          </cell>
        </row>
        <row r="2771">
          <cell r="A2771">
            <v>31080004</v>
          </cell>
          <cell r="B2771">
            <v>3118220016798</v>
          </cell>
          <cell r="E2771" t="str">
            <v>CAFE INEDIT PIXEL AVEC GENCOD</v>
          </cell>
          <cell r="F2771">
            <v>240</v>
          </cell>
          <cell r="G2771">
            <v>12</v>
          </cell>
          <cell r="H2771">
            <v>38</v>
          </cell>
          <cell r="I2771">
            <v>18</v>
          </cell>
          <cell r="J2771">
            <v>20</v>
          </cell>
          <cell r="K2771">
            <v>6.66</v>
          </cell>
          <cell r="L2771">
            <v>2.775E-2</v>
          </cell>
          <cell r="M2771">
            <v>1.3680000000000001E-2</v>
          </cell>
        </row>
        <row r="2772">
          <cell r="A2772">
            <v>31090001</v>
          </cell>
          <cell r="B2772">
            <v>3118220016514</v>
          </cell>
          <cell r="E2772" t="str">
            <v>COUTEAU INEDIT SCANDINAVE BLEU 5405C VRAC GENCOD</v>
          </cell>
          <cell r="F2772">
            <v>240</v>
          </cell>
          <cell r="G2772">
            <v>6</v>
          </cell>
          <cell r="H2772">
            <v>40.5</v>
          </cell>
          <cell r="I2772">
            <v>30</v>
          </cell>
          <cell r="J2772">
            <v>21</v>
          </cell>
          <cell r="K2772">
            <v>10.32</v>
          </cell>
          <cell r="L2772">
            <v>4.3000000000000003E-2</v>
          </cell>
          <cell r="M2772">
            <v>2.5514999999999999E-2</v>
          </cell>
        </row>
        <row r="2773">
          <cell r="A2773">
            <v>31090002</v>
          </cell>
          <cell r="B2773">
            <v>3118220016521</v>
          </cell>
          <cell r="E2773" t="str">
            <v>FOURCHETTE INEDIT SCANDINAVE BLEU 5405C VRAC GENCOD</v>
          </cell>
          <cell r="F2773">
            <v>240</v>
          </cell>
          <cell r="G2773">
            <v>6</v>
          </cell>
          <cell r="H2773">
            <v>43</v>
          </cell>
          <cell r="I2773">
            <v>28</v>
          </cell>
          <cell r="J2773">
            <v>28.5</v>
          </cell>
          <cell r="K2773">
            <v>7.2</v>
          </cell>
          <cell r="L2773">
            <v>3.0000000000000002E-2</v>
          </cell>
          <cell r="M2773">
            <v>3.4313999999999997E-2</v>
          </cell>
        </row>
        <row r="2774">
          <cell r="A2774">
            <v>31090003</v>
          </cell>
          <cell r="B2774">
            <v>3118220016538</v>
          </cell>
          <cell r="E2774" t="str">
            <v>CUILLERE INEDIT SCANDINAVE BLEU 5405C VRAC GENCOD</v>
          </cell>
          <cell r="F2774">
            <v>240</v>
          </cell>
          <cell r="G2774">
            <v>6</v>
          </cell>
          <cell r="H2774">
            <v>42</v>
          </cell>
          <cell r="I2774">
            <v>25.3</v>
          </cell>
          <cell r="J2774">
            <v>26</v>
          </cell>
          <cell r="K2774">
            <v>10.8</v>
          </cell>
          <cell r="L2774">
            <v>4.5000000000000005E-2</v>
          </cell>
          <cell r="M2774">
            <v>2.7627599999999995E-2</v>
          </cell>
        </row>
        <row r="2775">
          <cell r="A2775">
            <v>31090004</v>
          </cell>
          <cell r="B2775">
            <v>3118220016545</v>
          </cell>
          <cell r="E2775" t="str">
            <v>CAFE INEDIT SCANDINAVE BLEU 5405C VRAC GENCOD</v>
          </cell>
          <cell r="F2775">
            <v>240</v>
          </cell>
          <cell r="G2775">
            <v>6</v>
          </cell>
          <cell r="H2775">
            <v>36.5</v>
          </cell>
          <cell r="I2775">
            <v>18.5</v>
          </cell>
          <cell r="J2775">
            <v>28</v>
          </cell>
          <cell r="K2775">
            <v>6</v>
          </cell>
          <cell r="L2775">
            <v>2.5000000000000001E-2</v>
          </cell>
          <cell r="M2775">
            <v>1.8907E-2</v>
          </cell>
        </row>
        <row r="2776">
          <cell r="A2776">
            <v>31090005</v>
          </cell>
          <cell r="B2776">
            <v>3118220016552</v>
          </cell>
          <cell r="E2776" t="str">
            <v>COUTEAU INEDIT SCANDINAVE ROUGE 483C VRAC GENCOD</v>
          </cell>
          <cell r="F2776">
            <v>240</v>
          </cell>
          <cell r="G2776">
            <v>6</v>
          </cell>
          <cell r="H2776">
            <v>40.5</v>
          </cell>
          <cell r="I2776">
            <v>30</v>
          </cell>
          <cell r="J2776">
            <v>21</v>
          </cell>
          <cell r="K2776">
            <v>11.356999999999999</v>
          </cell>
          <cell r="L2776">
            <v>4.7320833333333333E-2</v>
          </cell>
          <cell r="M2776">
            <v>2.5514999999999999E-2</v>
          </cell>
        </row>
        <row r="2777">
          <cell r="A2777">
            <v>31090006</v>
          </cell>
          <cell r="B2777">
            <v>3118220016569</v>
          </cell>
          <cell r="E2777" t="str">
            <v>FOURCHETTE INEDIT SCANDINAVE ROUGE 483C VRAC GENCOD</v>
          </cell>
          <cell r="F2777">
            <v>240</v>
          </cell>
          <cell r="G2777">
            <v>6</v>
          </cell>
          <cell r="H2777">
            <v>43</v>
          </cell>
          <cell r="I2777">
            <v>28</v>
          </cell>
          <cell r="J2777">
            <v>28.5</v>
          </cell>
          <cell r="K2777">
            <v>10.728999999999999</v>
          </cell>
          <cell r="L2777">
            <v>4.4704166666666663E-2</v>
          </cell>
          <cell r="M2777">
            <v>3.4313999999999997E-2</v>
          </cell>
        </row>
        <row r="2778">
          <cell r="A2778">
            <v>31090007</v>
          </cell>
          <cell r="B2778">
            <v>3118220016576</v>
          </cell>
          <cell r="E2778" t="str">
            <v>CUILLERE INEDIT SCANDINAVE ROUGE 483C VRAC GENCOD</v>
          </cell>
          <cell r="F2778">
            <v>240</v>
          </cell>
          <cell r="G2778">
            <v>6</v>
          </cell>
          <cell r="H2778">
            <v>42</v>
          </cell>
          <cell r="I2778">
            <v>25.3</v>
          </cell>
          <cell r="J2778">
            <v>26</v>
          </cell>
          <cell r="K2778">
            <v>12.04</v>
          </cell>
          <cell r="L2778">
            <v>5.0166666666666665E-2</v>
          </cell>
          <cell r="M2778">
            <v>2.7627599999999995E-2</v>
          </cell>
        </row>
        <row r="2779">
          <cell r="A2779">
            <v>31090008</v>
          </cell>
          <cell r="B2779">
            <v>3118220016583</v>
          </cell>
          <cell r="E2779" t="str">
            <v>CAFE INEDIT SCANDINAVE ROUGE 483C VRAC GENCOD</v>
          </cell>
          <cell r="F2779">
            <v>240</v>
          </cell>
          <cell r="G2779">
            <v>6</v>
          </cell>
          <cell r="H2779">
            <v>34</v>
          </cell>
          <cell r="I2779">
            <v>18.5</v>
          </cell>
          <cell r="J2779">
            <v>27</v>
          </cell>
          <cell r="K2779">
            <v>7.4180000000000001</v>
          </cell>
          <cell r="L2779">
            <v>3.0908333333333333E-2</v>
          </cell>
          <cell r="M2779">
            <v>1.6982999999999998E-2</v>
          </cell>
        </row>
        <row r="2780">
          <cell r="A2780">
            <v>31090009</v>
          </cell>
          <cell r="B2780">
            <v>3118220016590</v>
          </cell>
          <cell r="C2780" t="str">
            <v>13118220016597</v>
          </cell>
          <cell r="D2780" t="str">
            <v>23118220016594</v>
          </cell>
          <cell r="E2780" t="str">
            <v>COUTEAU INEDIT SCANDINAVE NOIR VRAC GENCOD</v>
          </cell>
          <cell r="F2780">
            <v>240</v>
          </cell>
          <cell r="G2780">
            <v>6</v>
          </cell>
          <cell r="H2780">
            <v>35</v>
          </cell>
          <cell r="I2780">
            <v>28.5</v>
          </cell>
          <cell r="J2780">
            <v>27</v>
          </cell>
          <cell r="K2780">
            <v>11.641</v>
          </cell>
          <cell r="L2780">
            <v>4.8504166666666668E-2</v>
          </cell>
          <cell r="M2780">
            <v>2.6932499999999998E-2</v>
          </cell>
        </row>
        <row r="2781">
          <cell r="A2781">
            <v>31090010</v>
          </cell>
          <cell r="B2781">
            <v>3118220016606</v>
          </cell>
          <cell r="C2781" t="str">
            <v>13118220016603</v>
          </cell>
          <cell r="D2781" t="str">
            <v>23118220016600</v>
          </cell>
          <cell r="E2781" t="str">
            <v>FOURCHETTE INEDIT SCANDINAVE NOIR VRAC GENCOD</v>
          </cell>
          <cell r="F2781">
            <v>240</v>
          </cell>
          <cell r="G2781">
            <v>6</v>
          </cell>
          <cell r="H2781">
            <v>42.5</v>
          </cell>
          <cell r="I2781">
            <v>25</v>
          </cell>
          <cell r="J2781">
            <v>27.5</v>
          </cell>
          <cell r="K2781">
            <v>10.566000000000001</v>
          </cell>
          <cell r="L2781">
            <v>4.4025000000000002E-2</v>
          </cell>
          <cell r="M2781">
            <v>2.9218750000000002E-2</v>
          </cell>
        </row>
        <row r="2782">
          <cell r="A2782">
            <v>31090011</v>
          </cell>
          <cell r="B2782">
            <v>3118220016613</v>
          </cell>
          <cell r="C2782" t="str">
            <v>13118220016610</v>
          </cell>
          <cell r="D2782" t="str">
            <v>23118220016617</v>
          </cell>
          <cell r="E2782" t="str">
            <v>CUILLERE INEDIT SCANDINAVE NOIR VRAC GENCOD</v>
          </cell>
          <cell r="F2782">
            <v>240</v>
          </cell>
          <cell r="G2782">
            <v>6</v>
          </cell>
          <cell r="H2782">
            <v>42.5</v>
          </cell>
          <cell r="I2782">
            <v>25</v>
          </cell>
          <cell r="J2782">
            <v>27.5</v>
          </cell>
          <cell r="K2782">
            <v>14.311999999999999</v>
          </cell>
          <cell r="L2782">
            <v>5.963333333333333E-2</v>
          </cell>
          <cell r="M2782">
            <v>2.9218750000000002E-2</v>
          </cell>
        </row>
        <row r="2783">
          <cell r="A2783">
            <v>31090012</v>
          </cell>
          <cell r="B2783">
            <v>3118220016620</v>
          </cell>
          <cell r="C2783" t="str">
            <v>13118220016627</v>
          </cell>
          <cell r="D2783" t="str">
            <v>23118220016624</v>
          </cell>
          <cell r="E2783" t="str">
            <v>CAFE INEDIT SCANDINAVE NOIR VRAC GENCOD</v>
          </cell>
          <cell r="F2783">
            <v>240</v>
          </cell>
          <cell r="G2783">
            <v>6</v>
          </cell>
          <cell r="H2783">
            <v>34</v>
          </cell>
          <cell r="I2783">
            <v>18.5</v>
          </cell>
          <cell r="J2783">
            <v>27</v>
          </cell>
          <cell r="K2783">
            <v>7.1980000000000004</v>
          </cell>
          <cell r="L2783">
            <v>2.999166666666667E-2</v>
          </cell>
          <cell r="M2783">
            <v>1.6982999999999998E-2</v>
          </cell>
        </row>
        <row r="2784">
          <cell r="A2784">
            <v>31100001</v>
          </cell>
          <cell r="B2784">
            <v>3118220017207</v>
          </cell>
          <cell r="E2784" t="str">
            <v>COUTEAU CALICOT UNION JACK VRAC GENCOD</v>
          </cell>
          <cell r="F2784">
            <v>240</v>
          </cell>
          <cell r="G2784">
            <v>6</v>
          </cell>
          <cell r="H2784">
            <v>33.5</v>
          </cell>
          <cell r="I2784">
            <v>26.5</v>
          </cell>
          <cell r="J2784">
            <v>32</v>
          </cell>
          <cell r="K2784">
            <v>9.2799999999999994</v>
          </cell>
          <cell r="L2784">
            <v>3.8666666666666662E-2</v>
          </cell>
          <cell r="M2784">
            <v>2.8408000000000003E-2</v>
          </cell>
        </row>
        <row r="2785">
          <cell r="A2785">
            <v>31100002</v>
          </cell>
          <cell r="B2785">
            <v>3118220017214</v>
          </cell>
          <cell r="E2785" t="str">
            <v>FOURCHETTE CALICOT UNION JACK VRAC GENCOD</v>
          </cell>
          <cell r="F2785">
            <v>240</v>
          </cell>
          <cell r="G2785">
            <v>6</v>
          </cell>
          <cell r="H2785">
            <v>38</v>
          </cell>
          <cell r="I2785">
            <v>24</v>
          </cell>
          <cell r="J2785">
            <v>32</v>
          </cell>
          <cell r="K2785">
            <v>9.9870000000000001</v>
          </cell>
          <cell r="L2785">
            <v>4.1612500000000004E-2</v>
          </cell>
          <cell r="M2785">
            <v>2.9184000000000002E-2</v>
          </cell>
        </row>
        <row r="2786">
          <cell r="A2786">
            <v>31100003</v>
          </cell>
          <cell r="B2786">
            <v>3118220017221</v>
          </cell>
          <cell r="E2786" t="str">
            <v>CUILLERE CALICOT UNION JACK VRAC GENCOD</v>
          </cell>
          <cell r="F2786">
            <v>240</v>
          </cell>
          <cell r="G2786">
            <v>6</v>
          </cell>
          <cell r="H2786">
            <v>38</v>
          </cell>
          <cell r="I2786">
            <v>24</v>
          </cell>
          <cell r="J2786">
            <v>32</v>
          </cell>
          <cell r="K2786">
            <v>10.529</v>
          </cell>
          <cell r="L2786">
            <v>4.3870833333333331E-2</v>
          </cell>
          <cell r="M2786">
            <v>2.9184000000000002E-2</v>
          </cell>
        </row>
        <row r="2787">
          <cell r="A2787">
            <v>31100004</v>
          </cell>
          <cell r="B2787">
            <v>3118220017238</v>
          </cell>
          <cell r="E2787" t="str">
            <v>CAFE CALICOT UNION JACK VRAC GENCOD</v>
          </cell>
          <cell r="F2787">
            <v>240</v>
          </cell>
          <cell r="G2787">
            <v>6</v>
          </cell>
          <cell r="H2787">
            <v>38.5</v>
          </cell>
          <cell r="I2787">
            <v>20</v>
          </cell>
          <cell r="J2787">
            <v>26.5</v>
          </cell>
          <cell r="K2787">
            <v>6.5819999999999999</v>
          </cell>
          <cell r="L2787">
            <v>2.7424999999999998E-2</v>
          </cell>
          <cell r="M2787">
            <v>2.0404999999999996E-2</v>
          </cell>
        </row>
        <row r="2788">
          <cell r="A2788">
            <v>31100005</v>
          </cell>
          <cell r="B2788">
            <v>3118220017245</v>
          </cell>
          <cell r="E2788" t="str">
            <v>COUTEAU CALICOT USA VRAC GENCOD</v>
          </cell>
          <cell r="F2788">
            <v>240</v>
          </cell>
          <cell r="G2788">
            <v>6</v>
          </cell>
          <cell r="H2788">
            <v>33.5</v>
          </cell>
          <cell r="I2788">
            <v>26.5</v>
          </cell>
          <cell r="J2788">
            <v>32</v>
          </cell>
          <cell r="K2788">
            <v>9.7249999999999996</v>
          </cell>
          <cell r="L2788">
            <v>4.0520833333333332E-2</v>
          </cell>
          <cell r="M2788">
            <v>2.8408000000000003E-2</v>
          </cell>
        </row>
        <row r="2789">
          <cell r="A2789">
            <v>31100006</v>
          </cell>
          <cell r="B2789">
            <v>3118220017252</v>
          </cell>
          <cell r="E2789" t="str">
            <v>FOURCHETTE CALICOT USA VRAC GENCOD</v>
          </cell>
          <cell r="F2789">
            <v>240</v>
          </cell>
          <cell r="G2789">
            <v>6</v>
          </cell>
          <cell r="H2789">
            <v>38</v>
          </cell>
          <cell r="I2789">
            <v>24</v>
          </cell>
          <cell r="J2789">
            <v>32</v>
          </cell>
          <cell r="K2789">
            <v>9.9870000000000001</v>
          </cell>
          <cell r="L2789">
            <v>4.1612500000000004E-2</v>
          </cell>
          <cell r="M2789">
            <v>2.9184000000000002E-2</v>
          </cell>
        </row>
        <row r="2790">
          <cell r="A2790">
            <v>31100007</v>
          </cell>
          <cell r="B2790">
            <v>3118220017269</v>
          </cell>
          <cell r="E2790" t="str">
            <v>CUILLERE CALICOT USA VRAC GENCOD</v>
          </cell>
          <cell r="F2790">
            <v>240</v>
          </cell>
          <cell r="G2790">
            <v>6</v>
          </cell>
          <cell r="H2790">
            <v>38</v>
          </cell>
          <cell r="I2790">
            <v>24</v>
          </cell>
          <cell r="J2790">
            <v>32</v>
          </cell>
          <cell r="K2790">
            <v>10.529</v>
          </cell>
          <cell r="L2790">
            <v>4.3870833333333331E-2</v>
          </cell>
          <cell r="M2790">
            <v>2.9184000000000002E-2</v>
          </cell>
        </row>
        <row r="2791">
          <cell r="A2791">
            <v>31100008</v>
          </cell>
          <cell r="B2791">
            <v>3118220017276</v>
          </cell>
          <cell r="E2791" t="str">
            <v>CAFE CALICOT USA VRAC GENCOD</v>
          </cell>
          <cell r="F2791">
            <v>240</v>
          </cell>
          <cell r="G2791">
            <v>6</v>
          </cell>
          <cell r="H2791">
            <v>38.5</v>
          </cell>
          <cell r="I2791">
            <v>20</v>
          </cell>
          <cell r="J2791">
            <v>26.5</v>
          </cell>
          <cell r="K2791">
            <v>6.5819999999999999</v>
          </cell>
          <cell r="L2791">
            <v>2.7424999999999998E-2</v>
          </cell>
          <cell r="M2791">
            <v>2.0404999999999996E-2</v>
          </cell>
        </row>
        <row r="2792">
          <cell r="A2792">
            <v>31100009</v>
          </cell>
          <cell r="B2792">
            <v>3118220017283</v>
          </cell>
          <cell r="E2792" t="str">
            <v>COUTEAU CALICOT PIXEL VRAC GENCOD</v>
          </cell>
          <cell r="F2792">
            <v>240</v>
          </cell>
          <cell r="G2792">
            <v>6</v>
          </cell>
          <cell r="H2792">
            <v>33.5</v>
          </cell>
          <cell r="I2792">
            <v>26.5</v>
          </cell>
          <cell r="J2792">
            <v>32</v>
          </cell>
          <cell r="K2792">
            <v>9.7249999999999996</v>
          </cell>
          <cell r="L2792">
            <v>4.0520833333333332E-2</v>
          </cell>
          <cell r="M2792">
            <v>2.8408000000000003E-2</v>
          </cell>
        </row>
        <row r="2793">
          <cell r="A2793">
            <v>31100010</v>
          </cell>
          <cell r="B2793">
            <v>3118220017290</v>
          </cell>
          <cell r="E2793" t="str">
            <v>FOURCHETTE CALICOT PIXEL VRAC GENCOD</v>
          </cell>
          <cell r="F2793">
            <v>240</v>
          </cell>
          <cell r="G2793">
            <v>6</v>
          </cell>
          <cell r="H2793">
            <v>38</v>
          </cell>
          <cell r="I2793">
            <v>24</v>
          </cell>
          <cell r="J2793">
            <v>32</v>
          </cell>
          <cell r="K2793">
            <v>9.9870000000000001</v>
          </cell>
          <cell r="L2793">
            <v>4.1612500000000004E-2</v>
          </cell>
          <cell r="M2793">
            <v>2.9184000000000002E-2</v>
          </cell>
        </row>
        <row r="2794">
          <cell r="A2794">
            <v>31100011</v>
          </cell>
          <cell r="B2794">
            <v>3118220017306</v>
          </cell>
          <cell r="E2794" t="str">
            <v>CUILLERE CALICOT PIXEL VRAC GENCOD</v>
          </cell>
          <cell r="F2794">
            <v>240</v>
          </cell>
          <cell r="G2794">
            <v>6</v>
          </cell>
          <cell r="H2794">
            <v>38</v>
          </cell>
          <cell r="I2794">
            <v>24</v>
          </cell>
          <cell r="J2794">
            <v>32</v>
          </cell>
          <cell r="K2794">
            <v>10.529</v>
          </cell>
          <cell r="L2794">
            <v>4.3870833333333331E-2</v>
          </cell>
          <cell r="M2794">
            <v>2.9184000000000002E-2</v>
          </cell>
        </row>
        <row r="2795">
          <cell r="A2795">
            <v>31100012</v>
          </cell>
          <cell r="B2795">
            <v>3118220017313</v>
          </cell>
          <cell r="E2795" t="str">
            <v>CAFE CALICOT PIXEL VRAC GENCOD</v>
          </cell>
          <cell r="F2795">
            <v>240</v>
          </cell>
          <cell r="G2795">
            <v>6</v>
          </cell>
          <cell r="H2795">
            <v>38.5</v>
          </cell>
          <cell r="I2795">
            <v>20</v>
          </cell>
          <cell r="J2795">
            <v>26.5</v>
          </cell>
          <cell r="K2795">
            <v>6.5819999999999999</v>
          </cell>
          <cell r="L2795">
            <v>2.7424999999999998E-2</v>
          </cell>
          <cell r="M2795">
            <v>2.0404999999999996E-2</v>
          </cell>
        </row>
        <row r="2796">
          <cell r="A2796">
            <v>31100013</v>
          </cell>
          <cell r="B2796">
            <v>3118220017320</v>
          </cell>
          <cell r="E2796" t="str">
            <v>COUTEAU CALICOT SCANDINAVE NOIR VRAC GENCOD</v>
          </cell>
          <cell r="F2796">
            <v>240</v>
          </cell>
          <cell r="G2796">
            <v>6</v>
          </cell>
          <cell r="H2796">
            <v>33.5</v>
          </cell>
          <cell r="I2796">
            <v>26.5</v>
          </cell>
          <cell r="J2796">
            <v>32</v>
          </cell>
          <cell r="K2796">
            <v>9.7249999999999996</v>
          </cell>
          <cell r="L2796">
            <v>4.0520833333333332E-2</v>
          </cell>
          <cell r="M2796">
            <v>2.8408000000000003E-2</v>
          </cell>
        </row>
        <row r="2797">
          <cell r="A2797">
            <v>31100014</v>
          </cell>
          <cell r="B2797">
            <v>3118220017337</v>
          </cell>
          <cell r="E2797" t="str">
            <v>FOURCHETTE CALICOT SCANDINAVE NOIR VRAC GENCOD</v>
          </cell>
          <cell r="F2797">
            <v>240</v>
          </cell>
          <cell r="G2797">
            <v>6</v>
          </cell>
          <cell r="H2797">
            <v>38</v>
          </cell>
          <cell r="I2797">
            <v>24</v>
          </cell>
          <cell r="J2797">
            <v>32</v>
          </cell>
          <cell r="K2797">
            <v>9.9870000000000001</v>
          </cell>
          <cell r="L2797">
            <v>4.1612500000000004E-2</v>
          </cell>
          <cell r="M2797">
            <v>2.9184000000000002E-2</v>
          </cell>
        </row>
        <row r="2798">
          <cell r="A2798">
            <v>31100015</v>
          </cell>
          <cell r="B2798">
            <v>3118220017344</v>
          </cell>
          <cell r="E2798" t="str">
            <v>CUILLERE CALICOT SCANDINAVE NOIR VRAC GENCOD</v>
          </cell>
          <cell r="F2798">
            <v>240</v>
          </cell>
          <cell r="G2798">
            <v>6</v>
          </cell>
          <cell r="H2798">
            <v>38</v>
          </cell>
          <cell r="I2798">
            <v>24</v>
          </cell>
          <cell r="J2798">
            <v>32</v>
          </cell>
          <cell r="K2798">
            <v>10.529</v>
          </cell>
          <cell r="L2798">
            <v>4.3870833333333331E-2</v>
          </cell>
          <cell r="M2798">
            <v>2.9184000000000002E-2</v>
          </cell>
        </row>
        <row r="2799">
          <cell r="A2799">
            <v>31100016</v>
          </cell>
          <cell r="B2799">
            <v>3118220017351</v>
          </cell>
          <cell r="E2799" t="str">
            <v>CAFE CALICOT SCANDINAVE NOIR VRAC GENCOD</v>
          </cell>
          <cell r="F2799">
            <v>240</v>
          </cell>
          <cell r="G2799">
            <v>6</v>
          </cell>
          <cell r="H2799">
            <v>38.5</v>
          </cell>
          <cell r="I2799">
            <v>20</v>
          </cell>
          <cell r="J2799">
            <v>26.5</v>
          </cell>
          <cell r="K2799">
            <v>6.5819999999999999</v>
          </cell>
          <cell r="L2799">
            <v>2.7424999999999998E-2</v>
          </cell>
          <cell r="M2799">
            <v>2.0404999999999996E-2</v>
          </cell>
        </row>
        <row r="2800">
          <cell r="A2800">
            <v>31100017</v>
          </cell>
          <cell r="B2800">
            <v>3118220017368</v>
          </cell>
          <cell r="E2800" t="str">
            <v>COUTEAU CALICOT SCANDINAVE ROUGE 483C VRAC GENCOD</v>
          </cell>
          <cell r="F2800">
            <v>240</v>
          </cell>
          <cell r="G2800">
            <v>6</v>
          </cell>
          <cell r="H2800">
            <v>33.5</v>
          </cell>
          <cell r="I2800">
            <v>26.5</v>
          </cell>
          <cell r="J2800">
            <v>32</v>
          </cell>
          <cell r="K2800">
            <v>9.7249999999999996</v>
          </cell>
          <cell r="L2800">
            <v>4.0520833333333332E-2</v>
          </cell>
          <cell r="M2800">
            <v>2.8408000000000003E-2</v>
          </cell>
        </row>
        <row r="2801">
          <cell r="A2801">
            <v>31100018</v>
          </cell>
          <cell r="B2801">
            <v>3118220017375</v>
          </cell>
          <cell r="E2801" t="str">
            <v>FOURCHETTE CALICOT SCANDINAVE ROUGE 483C VRAC GENCOD</v>
          </cell>
          <cell r="F2801">
            <v>240</v>
          </cell>
          <cell r="G2801">
            <v>6</v>
          </cell>
          <cell r="H2801">
            <v>38</v>
          </cell>
          <cell r="I2801">
            <v>24</v>
          </cell>
          <cell r="J2801">
            <v>32</v>
          </cell>
          <cell r="K2801">
            <v>9.9870000000000001</v>
          </cell>
          <cell r="L2801">
            <v>4.1612500000000004E-2</v>
          </cell>
          <cell r="M2801">
            <v>2.9184000000000002E-2</v>
          </cell>
        </row>
        <row r="2802">
          <cell r="A2802">
            <v>31100019</v>
          </cell>
          <cell r="B2802">
            <v>3118220017382</v>
          </cell>
          <cell r="E2802" t="str">
            <v>CUILLERE CALICOT SCANDINAVE ROUGE 483C VRAC GENCOD</v>
          </cell>
          <cell r="F2802">
            <v>240</v>
          </cell>
          <cell r="G2802">
            <v>6</v>
          </cell>
          <cell r="H2802">
            <v>38</v>
          </cell>
          <cell r="I2802">
            <v>24</v>
          </cell>
          <cell r="J2802">
            <v>32</v>
          </cell>
          <cell r="K2802">
            <v>10.529</v>
          </cell>
          <cell r="L2802">
            <v>4.3870833333333331E-2</v>
          </cell>
          <cell r="M2802">
            <v>2.9184000000000002E-2</v>
          </cell>
        </row>
        <row r="2803">
          <cell r="A2803">
            <v>31100020</v>
          </cell>
          <cell r="B2803">
            <v>3118220017399</v>
          </cell>
          <cell r="E2803" t="str">
            <v>CAFE CALICOT SCANDINAVE ROUGE 483C VRAC GENCOD</v>
          </cell>
          <cell r="F2803">
            <v>240</v>
          </cell>
          <cell r="G2803">
            <v>6</v>
          </cell>
          <cell r="H2803">
            <v>38.5</v>
          </cell>
          <cell r="I2803">
            <v>20</v>
          </cell>
          <cell r="J2803">
            <v>26.5</v>
          </cell>
          <cell r="K2803">
            <v>6.5819999999999999</v>
          </cell>
          <cell r="L2803">
            <v>2.7424999999999998E-2</v>
          </cell>
          <cell r="M2803">
            <v>2.0404999999999996E-2</v>
          </cell>
        </row>
        <row r="2804">
          <cell r="A2804">
            <v>31100021</v>
          </cell>
          <cell r="B2804">
            <v>3118220017405</v>
          </cell>
          <cell r="E2804" t="str">
            <v>COUTEAU CALICOT GEOMETRIX SQUARE VRAC GENCOD</v>
          </cell>
          <cell r="F2804">
            <v>240</v>
          </cell>
          <cell r="G2804">
            <v>6</v>
          </cell>
          <cell r="H2804">
            <v>33.5</v>
          </cell>
          <cell r="I2804">
            <v>26.5</v>
          </cell>
          <cell r="J2804">
            <v>32</v>
          </cell>
          <cell r="K2804">
            <v>9.7249999999999996</v>
          </cell>
          <cell r="L2804">
            <v>4.0520833333333332E-2</v>
          </cell>
          <cell r="M2804">
            <v>2.8408000000000003E-2</v>
          </cell>
        </row>
        <row r="2805">
          <cell r="A2805">
            <v>31100022</v>
          </cell>
          <cell r="B2805">
            <v>3118220017412</v>
          </cell>
          <cell r="E2805" t="str">
            <v>FOURCHETTE CALICOT GEOMETRIX SQUARE VRAC GENCOD</v>
          </cell>
          <cell r="F2805">
            <v>240</v>
          </cell>
          <cell r="G2805">
            <v>6</v>
          </cell>
          <cell r="H2805">
            <v>38</v>
          </cell>
          <cell r="I2805">
            <v>24</v>
          </cell>
          <cell r="J2805">
            <v>32</v>
          </cell>
          <cell r="K2805">
            <v>9.9870000000000001</v>
          </cell>
          <cell r="L2805">
            <v>4.1612500000000004E-2</v>
          </cell>
          <cell r="M2805">
            <v>2.9184000000000002E-2</v>
          </cell>
        </row>
        <row r="2806">
          <cell r="A2806">
            <v>31100023</v>
          </cell>
          <cell r="B2806">
            <v>3118220017429</v>
          </cell>
          <cell r="E2806" t="str">
            <v>CUILLERE CALICOT GEOMETRIX SQUARE VRAC GENCOD</v>
          </cell>
          <cell r="F2806">
            <v>240</v>
          </cell>
          <cell r="G2806">
            <v>6</v>
          </cell>
          <cell r="H2806">
            <v>38</v>
          </cell>
          <cell r="I2806">
            <v>24</v>
          </cell>
          <cell r="J2806">
            <v>32</v>
          </cell>
          <cell r="K2806">
            <v>10.529</v>
          </cell>
          <cell r="L2806">
            <v>4.3870833333333331E-2</v>
          </cell>
          <cell r="M2806">
            <v>2.9184000000000002E-2</v>
          </cell>
        </row>
        <row r="2807">
          <cell r="A2807">
            <v>31100024</v>
          </cell>
          <cell r="B2807">
            <v>3118220017436</v>
          </cell>
          <cell r="E2807" t="str">
            <v>CAFE CALICOT GEOMETRIX SQUARE VRAC GENCOD</v>
          </cell>
          <cell r="F2807">
            <v>240</v>
          </cell>
          <cell r="G2807">
            <v>6</v>
          </cell>
          <cell r="H2807">
            <v>38.5</v>
          </cell>
          <cell r="I2807">
            <v>20</v>
          </cell>
          <cell r="J2807">
            <v>26.5</v>
          </cell>
          <cell r="K2807">
            <v>6.5819999999999999</v>
          </cell>
          <cell r="L2807">
            <v>2.7424999999999998E-2</v>
          </cell>
          <cell r="M2807">
            <v>2.0404999999999996E-2</v>
          </cell>
        </row>
        <row r="2808">
          <cell r="A2808">
            <v>31100025</v>
          </cell>
          <cell r="B2808">
            <v>3614614332395</v>
          </cell>
          <cell r="E2808" t="str">
            <v>M16 CALICOT LONDON UNION JACK BOITE MDD CARREFOUR</v>
          </cell>
          <cell r="F2808">
            <v>3</v>
          </cell>
          <cell r="G2808">
            <v>3</v>
          </cell>
          <cell r="H2808">
            <v>22</v>
          </cell>
          <cell r="I2808">
            <v>15.5</v>
          </cell>
          <cell r="J2808">
            <v>29</v>
          </cell>
          <cell r="K2808">
            <v>1.9710000000000001</v>
          </cell>
          <cell r="L2808">
            <v>0.65700000000000003</v>
          </cell>
          <cell r="M2808">
            <v>9.8890000000000002E-3</v>
          </cell>
        </row>
        <row r="2809">
          <cell r="A2809">
            <v>31100029</v>
          </cell>
          <cell r="B2809">
            <v>3118220018051</v>
          </cell>
          <cell r="E2809" t="str">
            <v>M16 CALICOT BRETAGNE BOITE DECO</v>
          </cell>
          <cell r="F2809">
            <v>6</v>
          </cell>
          <cell r="G2809">
            <v>6</v>
          </cell>
          <cell r="H2809">
            <v>31</v>
          </cell>
          <cell r="I2809">
            <v>29.5</v>
          </cell>
          <cell r="J2809">
            <v>23.5</v>
          </cell>
          <cell r="K2809">
            <v>4.24</v>
          </cell>
          <cell r="L2809">
            <v>0.70666666666666667</v>
          </cell>
          <cell r="M2809">
            <v>2.1490749999999999E-2</v>
          </cell>
        </row>
        <row r="2810">
          <cell r="A2810">
            <v>31100030</v>
          </cell>
          <cell r="B2810">
            <v>3118220018068</v>
          </cell>
          <cell r="E2810" t="str">
            <v>M16 CALICOT VENDEE BOITE DECO</v>
          </cell>
          <cell r="F2810">
            <v>6</v>
          </cell>
          <cell r="G2810">
            <v>6</v>
          </cell>
          <cell r="H2810">
            <v>31</v>
          </cell>
          <cell r="I2810">
            <v>29.5</v>
          </cell>
          <cell r="J2810">
            <v>23.5</v>
          </cell>
          <cell r="K2810">
            <v>4.24</v>
          </cell>
          <cell r="L2810">
            <v>0.70666666666666667</v>
          </cell>
          <cell r="M2810">
            <v>2.1490749999999999E-2</v>
          </cell>
        </row>
        <row r="2811">
          <cell r="A2811">
            <v>31100031</v>
          </cell>
          <cell r="B2811">
            <v>3118220018075</v>
          </cell>
          <cell r="E2811" t="str">
            <v>M16 CALICOT BASQUE BOITE DECO</v>
          </cell>
          <cell r="F2811">
            <v>6</v>
          </cell>
          <cell r="G2811">
            <v>6</v>
          </cell>
          <cell r="H2811">
            <v>31</v>
          </cell>
          <cell r="I2811">
            <v>29.5</v>
          </cell>
          <cell r="J2811">
            <v>23.5</v>
          </cell>
          <cell r="K2811">
            <v>4.24</v>
          </cell>
          <cell r="L2811">
            <v>0.70666666666666667</v>
          </cell>
          <cell r="M2811">
            <v>2.1490749999999999E-2</v>
          </cell>
        </row>
        <row r="2812">
          <cell r="A2812">
            <v>31100032</v>
          </cell>
          <cell r="B2812">
            <v>3118220018082</v>
          </cell>
          <cell r="E2812" t="str">
            <v>M16 CALICOT UNION JACK BOITE DECO</v>
          </cell>
          <cell r="F2812">
            <v>6</v>
          </cell>
          <cell r="G2812">
            <v>6</v>
          </cell>
          <cell r="H2812">
            <v>31</v>
          </cell>
          <cell r="I2812">
            <v>29.5</v>
          </cell>
          <cell r="J2812">
            <v>23.5</v>
          </cell>
          <cell r="K2812">
            <v>4.24</v>
          </cell>
          <cell r="L2812">
            <v>0.70666666666666667</v>
          </cell>
          <cell r="M2812">
            <v>2.1490749999999999E-2</v>
          </cell>
        </row>
        <row r="2813">
          <cell r="A2813">
            <v>31100033</v>
          </cell>
          <cell r="B2813">
            <v>3118220018099</v>
          </cell>
          <cell r="E2813" t="str">
            <v>M16 CALICOT USA BOITE DECO</v>
          </cell>
          <cell r="F2813">
            <v>6</v>
          </cell>
          <cell r="G2813">
            <v>6</v>
          </cell>
          <cell r="H2813">
            <v>31</v>
          </cell>
          <cell r="I2813">
            <v>29.5</v>
          </cell>
          <cell r="J2813">
            <v>23.5</v>
          </cell>
          <cell r="K2813">
            <v>4.24</v>
          </cell>
          <cell r="L2813">
            <v>0.70666666666666667</v>
          </cell>
          <cell r="M2813">
            <v>2.1490749999999999E-2</v>
          </cell>
        </row>
        <row r="2814">
          <cell r="A2814">
            <v>31100035</v>
          </cell>
          <cell r="B2814">
            <v>3118220018396</v>
          </cell>
          <cell r="E2814" t="str">
            <v>M16 CALICOT SCANDINAVE ROUGE 483C BOITE DECO</v>
          </cell>
          <cell r="F2814">
            <v>6</v>
          </cell>
          <cell r="G2814">
            <v>6</v>
          </cell>
          <cell r="H2814">
            <v>31</v>
          </cell>
          <cell r="I2814">
            <v>29.5</v>
          </cell>
          <cell r="J2814">
            <v>23.5</v>
          </cell>
          <cell r="K2814">
            <v>4.24</v>
          </cell>
          <cell r="L2814">
            <v>0.70666666666666667</v>
          </cell>
          <cell r="M2814">
            <v>2.1490749999999999E-2</v>
          </cell>
        </row>
        <row r="2815">
          <cell r="A2815">
            <v>31100037</v>
          </cell>
          <cell r="B2815">
            <v>3118220018419</v>
          </cell>
          <cell r="E2815" t="str">
            <v>M16 CALICOT GEOMETRIX SQUARE BOITE DECO</v>
          </cell>
          <cell r="F2815">
            <v>6</v>
          </cell>
          <cell r="G2815">
            <v>6</v>
          </cell>
          <cell r="H2815">
            <v>31</v>
          </cell>
          <cell r="I2815">
            <v>29.5</v>
          </cell>
          <cell r="J2815">
            <v>23.5</v>
          </cell>
          <cell r="K2815">
            <v>4.24</v>
          </cell>
          <cell r="L2815">
            <v>0.70666666666666667</v>
          </cell>
          <cell r="M2815">
            <v>2.1490749999999999E-2</v>
          </cell>
        </row>
        <row r="2816">
          <cell r="A2816">
            <v>31100039</v>
          </cell>
          <cell r="B2816">
            <v>3222476922045</v>
          </cell>
          <cell r="E2816" t="str">
            <v>M16 CALICOT PIXEL FINLANDEK</v>
          </cell>
          <cell r="F2816">
            <v>6</v>
          </cell>
          <cell r="G2816">
            <v>6</v>
          </cell>
          <cell r="H2816">
            <v>30.5</v>
          </cell>
          <cell r="I2816">
            <v>24</v>
          </cell>
          <cell r="J2816">
            <v>30</v>
          </cell>
          <cell r="K2816">
            <v>3.8159999999999998</v>
          </cell>
          <cell r="L2816">
            <v>0.63600000000000001</v>
          </cell>
          <cell r="M2816">
            <v>2.196E-2</v>
          </cell>
        </row>
        <row r="2817">
          <cell r="A2817">
            <v>31220001</v>
          </cell>
          <cell r="B2817">
            <v>3118220023673</v>
          </cell>
          <cell r="E2817" t="str">
            <v>M16 PANAME GRIS 427C BOITE TB COLLECTION</v>
          </cell>
          <cell r="F2817">
            <v>6</v>
          </cell>
          <cell r="G2817">
            <v>6</v>
          </cell>
          <cell r="H2817">
            <v>29</v>
          </cell>
          <cell r="I2817">
            <v>23</v>
          </cell>
          <cell r="J2817">
            <v>29</v>
          </cell>
          <cell r="K2817">
            <v>4.7</v>
          </cell>
          <cell r="L2817">
            <v>0.78333333333333333</v>
          </cell>
          <cell r="M2817">
            <v>1.9342999999999999E-2</v>
          </cell>
        </row>
        <row r="2818">
          <cell r="A2818">
            <v>31220002</v>
          </cell>
          <cell r="B2818">
            <v>3118220023680</v>
          </cell>
          <cell r="E2818" t="str">
            <v>M16 PANAME ROUGE TERRACOTA 7427C BOITE TB COLLECTION</v>
          </cell>
          <cell r="F2818">
            <v>6</v>
          </cell>
          <cell r="G2818">
            <v>6</v>
          </cell>
          <cell r="H2818">
            <v>29</v>
          </cell>
          <cell r="I2818">
            <v>23</v>
          </cell>
          <cell r="J2818">
            <v>29</v>
          </cell>
          <cell r="K2818">
            <v>4.7</v>
          </cell>
          <cell r="L2818">
            <v>0.78333333333333333</v>
          </cell>
          <cell r="M2818">
            <v>1.9342999999999999E-2</v>
          </cell>
        </row>
        <row r="2819">
          <cell r="A2819">
            <v>31220003</v>
          </cell>
          <cell r="B2819">
            <v>3118220023697</v>
          </cell>
          <cell r="E2819" t="str">
            <v>M16 PANAME BLEU NUIT 2380C BOITE TB COLLECTION</v>
          </cell>
          <cell r="F2819">
            <v>6</v>
          </cell>
          <cell r="G2819">
            <v>6</v>
          </cell>
          <cell r="H2819">
            <v>29</v>
          </cell>
          <cell r="I2819">
            <v>23</v>
          </cell>
          <cell r="J2819">
            <v>29</v>
          </cell>
          <cell r="K2819">
            <v>4.7</v>
          </cell>
          <cell r="L2819">
            <v>0.78333333333333333</v>
          </cell>
          <cell r="M2819">
            <v>1.9342999999999999E-2</v>
          </cell>
        </row>
        <row r="2820">
          <cell r="A2820">
            <v>31250001</v>
          </cell>
          <cell r="B2820">
            <v>3118220023703</v>
          </cell>
          <cell r="E2820" t="str">
            <v>M24 ODYSSEE FOUGERE 7747C</v>
          </cell>
          <cell r="F2820">
            <v>6</v>
          </cell>
          <cell r="G2820">
            <v>6</v>
          </cell>
          <cell r="H2820">
            <v>30</v>
          </cell>
          <cell r="I2820">
            <v>23.5</v>
          </cell>
          <cell r="J2820">
            <v>29</v>
          </cell>
          <cell r="K2820">
            <v>4.6559999999999997</v>
          </cell>
          <cell r="L2820">
            <v>0.77599999999999991</v>
          </cell>
          <cell r="M2820">
            <v>2.0444999999999998E-2</v>
          </cell>
        </row>
        <row r="2821">
          <cell r="A2821">
            <v>31250002</v>
          </cell>
          <cell r="B2821">
            <v>3118220023710</v>
          </cell>
          <cell r="E2821" t="str">
            <v>M24 ODYSSEE COMETE BLEU 7699C</v>
          </cell>
          <cell r="F2821">
            <v>6</v>
          </cell>
          <cell r="G2821">
            <v>6</v>
          </cell>
          <cell r="H2821">
            <v>30.5</v>
          </cell>
          <cell r="I2821">
            <v>26.5</v>
          </cell>
          <cell r="J2821">
            <v>31</v>
          </cell>
          <cell r="K2821">
            <v>5.1689999999999996</v>
          </cell>
          <cell r="L2821">
            <v>0.86149999999999993</v>
          </cell>
          <cell r="M2821">
            <v>2.5055749999999998E-2</v>
          </cell>
        </row>
        <row r="2822">
          <cell r="A2822">
            <v>31250003</v>
          </cell>
          <cell r="B2822">
            <v>3118220023727</v>
          </cell>
          <cell r="E2822" t="str">
            <v>M24 ODYSSEE MYRTILLE 7666C</v>
          </cell>
          <cell r="F2822">
            <v>6</v>
          </cell>
          <cell r="G2822">
            <v>6</v>
          </cell>
          <cell r="H2822">
            <v>30</v>
          </cell>
          <cell r="I2822">
            <v>23.5</v>
          </cell>
          <cell r="J2822">
            <v>29</v>
          </cell>
          <cell r="K2822">
            <v>4.6559999999999997</v>
          </cell>
          <cell r="L2822">
            <v>0.77599999999999991</v>
          </cell>
          <cell r="M2822">
            <v>2.0444999999999998E-2</v>
          </cell>
        </row>
        <row r="2823">
          <cell r="A2823">
            <v>31250004</v>
          </cell>
          <cell r="B2823">
            <v>3118220023734</v>
          </cell>
          <cell r="E2823" t="str">
            <v>M24 ODYSSEE TANIN 696C</v>
          </cell>
          <cell r="F2823">
            <v>6</v>
          </cell>
          <cell r="G2823">
            <v>6</v>
          </cell>
          <cell r="H2823">
            <v>30</v>
          </cell>
          <cell r="I2823">
            <v>23.5</v>
          </cell>
          <cell r="J2823">
            <v>29</v>
          </cell>
          <cell r="K2823">
            <v>4.6559999999999997</v>
          </cell>
          <cell r="L2823">
            <v>0.77599999999999991</v>
          </cell>
          <cell r="M2823">
            <v>2.0444999999999998E-2</v>
          </cell>
        </row>
        <row r="2824">
          <cell r="A2824">
            <v>31260002</v>
          </cell>
          <cell r="B2824">
            <v>3615005728391</v>
          </cell>
          <cell r="E2824" t="str">
            <v>M24 COTTAGE CUIR CARREFOUR</v>
          </cell>
          <cell r="F2824">
            <v>3</v>
          </cell>
          <cell r="G2824">
            <v>3</v>
          </cell>
          <cell r="H2824">
            <v>23.5</v>
          </cell>
          <cell r="I2824">
            <v>16.5</v>
          </cell>
          <cell r="J2824">
            <v>30</v>
          </cell>
          <cell r="K2824">
            <v>2.649</v>
          </cell>
          <cell r="L2824">
            <v>0.88300000000000001</v>
          </cell>
          <cell r="M2824">
            <v>1.1632499999999999E-2</v>
          </cell>
        </row>
        <row r="2825">
          <cell r="A2825">
            <v>31260003</v>
          </cell>
          <cell r="B2825">
            <v>3615005728384</v>
          </cell>
          <cell r="E2825" t="str">
            <v>M24 COTTAGE RUBIS CARREFOUR</v>
          </cell>
          <cell r="F2825">
            <v>3</v>
          </cell>
          <cell r="G2825">
            <v>3</v>
          </cell>
          <cell r="H2825">
            <v>23.5</v>
          </cell>
          <cell r="I2825">
            <v>16.5</v>
          </cell>
          <cell r="J2825">
            <v>30</v>
          </cell>
          <cell r="K2825">
            <v>2.6520000000000001</v>
          </cell>
          <cell r="L2825">
            <v>0.88400000000000001</v>
          </cell>
          <cell r="M2825">
            <v>1.1632499999999999E-2</v>
          </cell>
        </row>
        <row r="2826">
          <cell r="A2826">
            <v>31260004</v>
          </cell>
          <cell r="B2826">
            <v>3118220024205</v>
          </cell>
          <cell r="E2826" t="str">
            <v>M24 COTTAGE NOIR BOITE TB COLLECTION SUP COOL GREY</v>
          </cell>
          <cell r="F2826">
            <v>6</v>
          </cell>
          <cell r="G2826">
            <v>6</v>
          </cell>
          <cell r="H2826">
            <v>30</v>
          </cell>
          <cell r="I2826">
            <v>26.5</v>
          </cell>
          <cell r="J2826">
            <v>31</v>
          </cell>
          <cell r="K2826">
            <v>5.28</v>
          </cell>
          <cell r="L2826">
            <v>0.88</v>
          </cell>
          <cell r="M2826">
            <v>2.4644999999999997E-2</v>
          </cell>
        </row>
        <row r="2827">
          <cell r="A2827">
            <v>31260005</v>
          </cell>
          <cell r="B2827">
            <v>3118220024212</v>
          </cell>
          <cell r="C2827" t="str">
            <v>13118220024219</v>
          </cell>
          <cell r="D2827" t="str">
            <v>23118220024216</v>
          </cell>
          <cell r="E2827" t="str">
            <v>M24 COTTAGE BOIS DE ROSE BOITE TB COLLECTION SUP COOL GREY</v>
          </cell>
          <cell r="F2827">
            <v>6</v>
          </cell>
          <cell r="G2827">
            <v>6</v>
          </cell>
          <cell r="H2827">
            <v>30</v>
          </cell>
          <cell r="I2827">
            <v>26.5</v>
          </cell>
          <cell r="J2827">
            <v>31</v>
          </cell>
          <cell r="K2827">
            <v>5.6920000000000002</v>
          </cell>
          <cell r="L2827">
            <v>0.94866666666666666</v>
          </cell>
          <cell r="M2827">
            <v>2.4644999999999997E-2</v>
          </cell>
        </row>
        <row r="2828">
          <cell r="A2828">
            <v>31260006</v>
          </cell>
          <cell r="B2828">
            <v>3118220024229</v>
          </cell>
          <cell r="C2828" t="str">
            <v>13118220024226</v>
          </cell>
          <cell r="D2828" t="str">
            <v>23118220024223</v>
          </cell>
          <cell r="E2828" t="str">
            <v>M24 COTTAGE FRAMBOISE BOITE TB COLLECTION SUP COOL GREY</v>
          </cell>
          <cell r="F2828">
            <v>6</v>
          </cell>
          <cell r="G2828">
            <v>6</v>
          </cell>
          <cell r="H2828">
            <v>30</v>
          </cell>
          <cell r="I2828">
            <v>26.5</v>
          </cell>
          <cell r="J2828">
            <v>31</v>
          </cell>
          <cell r="K2828">
            <v>5.6920000000000002</v>
          </cell>
          <cell r="L2828">
            <v>0.94866666666666666</v>
          </cell>
          <cell r="M2828">
            <v>2.4644999999999997E-2</v>
          </cell>
        </row>
        <row r="2829">
          <cell r="A2829">
            <v>31260007</v>
          </cell>
          <cell r="B2829">
            <v>3118220024908</v>
          </cell>
          <cell r="C2829" t="str">
            <v>13118220024905</v>
          </cell>
          <cell r="D2829" t="str">
            <v>23118220024902</v>
          </cell>
          <cell r="E2829" t="str">
            <v>COUTEAU COTTAGE EBENE + GENCOD</v>
          </cell>
          <cell r="F2829">
            <v>240</v>
          </cell>
          <cell r="G2829">
            <v>6</v>
          </cell>
          <cell r="H2829">
            <v>35.5</v>
          </cell>
          <cell r="I2829">
            <v>27</v>
          </cell>
          <cell r="J2829">
            <v>32</v>
          </cell>
          <cell r="K2829">
            <v>9.4670000000000005</v>
          </cell>
          <cell r="L2829">
            <v>3.9445833333333333E-2</v>
          </cell>
          <cell r="M2829">
            <v>3.0671999999999998E-2</v>
          </cell>
        </row>
        <row r="2830">
          <cell r="A2830">
            <v>31260008</v>
          </cell>
          <cell r="B2830">
            <v>3118220024915</v>
          </cell>
          <cell r="C2830" t="str">
            <v>13118220024912</v>
          </cell>
          <cell r="D2830" t="str">
            <v>23118220024919</v>
          </cell>
          <cell r="E2830" t="str">
            <v>FOURCHETTE COTTAGE EBENE + GENCOD</v>
          </cell>
          <cell r="F2830">
            <v>240</v>
          </cell>
          <cell r="G2830">
            <v>6</v>
          </cell>
          <cell r="H2830">
            <v>38</v>
          </cell>
          <cell r="I2830">
            <v>25.5</v>
          </cell>
          <cell r="J2830">
            <v>32.5</v>
          </cell>
          <cell r="K2830">
            <v>9.6020000000000003</v>
          </cell>
          <cell r="L2830">
            <v>4.0008333333333333E-2</v>
          </cell>
          <cell r="M2830">
            <v>3.14925E-2</v>
          </cell>
        </row>
        <row r="2831">
          <cell r="A2831">
            <v>31260009</v>
          </cell>
          <cell r="B2831">
            <v>3118220024922</v>
          </cell>
          <cell r="C2831" t="str">
            <v>13118220024929</v>
          </cell>
          <cell r="D2831" t="str">
            <v>23118220024926</v>
          </cell>
          <cell r="E2831" t="str">
            <v>CUILLERE COTTAGE EBENE + GENCOD</v>
          </cell>
          <cell r="F2831">
            <v>240</v>
          </cell>
          <cell r="G2831">
            <v>6</v>
          </cell>
          <cell r="H2831">
            <v>39</v>
          </cell>
          <cell r="I2831">
            <v>24.5</v>
          </cell>
          <cell r="J2831">
            <v>32</v>
          </cell>
          <cell r="K2831">
            <v>9.6</v>
          </cell>
          <cell r="L2831">
            <v>0.04</v>
          </cell>
          <cell r="M2831">
            <v>3.0575999999999999E-2</v>
          </cell>
        </row>
        <row r="2832">
          <cell r="A2832">
            <v>31260010</v>
          </cell>
          <cell r="B2832">
            <v>3118220024939</v>
          </cell>
          <cell r="C2832" t="str">
            <v>13118220024936</v>
          </cell>
          <cell r="D2832" t="str">
            <v>23118220024933</v>
          </cell>
          <cell r="E2832" t="str">
            <v>CAFE COTTAGE EBENE + GENCOD</v>
          </cell>
          <cell r="F2832">
            <v>240</v>
          </cell>
          <cell r="G2832">
            <v>6</v>
          </cell>
          <cell r="H2832">
            <v>39.5</v>
          </cell>
          <cell r="I2832">
            <v>20</v>
          </cell>
          <cell r="J2832">
            <v>27</v>
          </cell>
          <cell r="K2832">
            <v>5.32</v>
          </cell>
          <cell r="L2832">
            <v>2.2166666666666668E-2</v>
          </cell>
          <cell r="M2832">
            <v>2.1330000000000002E-2</v>
          </cell>
        </row>
        <row r="2833">
          <cell r="A2833">
            <v>31260011</v>
          </cell>
          <cell r="B2833">
            <v>3118220024946</v>
          </cell>
          <cell r="C2833">
            <v>13118220024943</v>
          </cell>
          <cell r="D2833">
            <v>23118220024940</v>
          </cell>
          <cell r="E2833" t="str">
            <v>COUTEAU COTTAGE RUBIS + GENCOD</v>
          </cell>
          <cell r="F2833">
            <v>240</v>
          </cell>
          <cell r="G2833">
            <v>6</v>
          </cell>
          <cell r="H2833">
            <v>35</v>
          </cell>
          <cell r="I2833">
            <v>27.5</v>
          </cell>
          <cell r="J2833">
            <v>32</v>
          </cell>
          <cell r="K2833">
            <v>7.92</v>
          </cell>
          <cell r="L2833">
            <v>3.3000000000000002E-2</v>
          </cell>
          <cell r="M2833">
            <v>3.0800000000000001E-2</v>
          </cell>
        </row>
        <row r="2834">
          <cell r="A2834">
            <v>31260012</v>
          </cell>
          <cell r="B2834">
            <v>3118220024953</v>
          </cell>
          <cell r="C2834">
            <v>13118220024950</v>
          </cell>
          <cell r="D2834">
            <v>23118220024957</v>
          </cell>
          <cell r="E2834" t="str">
            <v>FOURCHETTE COTTAGE RUBIS + GENCOD</v>
          </cell>
          <cell r="F2834">
            <v>240</v>
          </cell>
          <cell r="G2834">
            <v>6</v>
          </cell>
          <cell r="H2834">
            <v>39</v>
          </cell>
          <cell r="I2834">
            <v>24</v>
          </cell>
          <cell r="J2834">
            <v>32</v>
          </cell>
          <cell r="K2834">
            <v>9.36</v>
          </cell>
          <cell r="L2834">
            <v>3.9E-2</v>
          </cell>
          <cell r="M2834">
            <v>2.9951999999999996E-2</v>
          </cell>
        </row>
        <row r="2835">
          <cell r="A2835">
            <v>31260013</v>
          </cell>
          <cell r="B2835">
            <v>3118220024960</v>
          </cell>
          <cell r="C2835">
            <v>13118220024967</v>
          </cell>
          <cell r="D2835">
            <v>23118220024964</v>
          </cell>
          <cell r="E2835" t="str">
            <v>CUILLERE COTTAGE RUBIS + GENCOD</v>
          </cell>
          <cell r="F2835">
            <v>240</v>
          </cell>
          <cell r="G2835">
            <v>6</v>
          </cell>
          <cell r="H2835">
            <v>39</v>
          </cell>
          <cell r="I2835">
            <v>24.5</v>
          </cell>
          <cell r="J2835">
            <v>32</v>
          </cell>
          <cell r="K2835">
            <v>11.02</v>
          </cell>
          <cell r="L2835">
            <v>4.5916666666666668E-2</v>
          </cell>
          <cell r="M2835">
            <v>3.0575999999999999E-2</v>
          </cell>
        </row>
        <row r="2836">
          <cell r="A2836">
            <v>31260014</v>
          </cell>
          <cell r="B2836">
            <v>3118220024977</v>
          </cell>
          <cell r="C2836">
            <v>13118220024974</v>
          </cell>
          <cell r="D2836">
            <v>23118220024971</v>
          </cell>
          <cell r="E2836" t="str">
            <v>CAFE COTTAGE RUBIS + GENCOD</v>
          </cell>
          <cell r="F2836">
            <v>240</v>
          </cell>
          <cell r="G2836">
            <v>6</v>
          </cell>
          <cell r="H2836">
            <v>38.5</v>
          </cell>
          <cell r="I2836">
            <v>20.5</v>
          </cell>
          <cell r="J2836">
            <v>27.5</v>
          </cell>
          <cell r="K2836">
            <v>4.32</v>
          </cell>
          <cell r="L2836">
            <v>1.8000000000000002E-2</v>
          </cell>
          <cell r="M2836">
            <v>2.1704374999999998E-2</v>
          </cell>
        </row>
        <row r="2837">
          <cell r="A2837">
            <v>31260015</v>
          </cell>
          <cell r="B2837">
            <v>3118220024984</v>
          </cell>
          <cell r="C2837" t="str">
            <v>13118220024981</v>
          </cell>
          <cell r="D2837" t="str">
            <v>23118220024988</v>
          </cell>
          <cell r="E2837" t="str">
            <v>COUTEAU COTTAGE CUIR + GENCOD</v>
          </cell>
          <cell r="F2837">
            <v>240</v>
          </cell>
          <cell r="G2837">
            <v>6</v>
          </cell>
          <cell r="H2837">
            <v>35</v>
          </cell>
          <cell r="I2837">
            <v>27.5</v>
          </cell>
          <cell r="J2837">
            <v>32</v>
          </cell>
          <cell r="K2837">
            <v>8.4</v>
          </cell>
          <cell r="L2837">
            <v>3.5000000000000003E-2</v>
          </cell>
          <cell r="M2837">
            <v>3.0800000000000001E-2</v>
          </cell>
        </row>
        <row r="2838">
          <cell r="A2838">
            <v>31260016</v>
          </cell>
          <cell r="B2838">
            <v>3118220024991</v>
          </cell>
          <cell r="C2838" t="str">
            <v>13118220024998</v>
          </cell>
          <cell r="D2838" t="str">
            <v>23118220024995</v>
          </cell>
          <cell r="E2838" t="str">
            <v>FOURCHETTE COTTAGE CUIR + GENCOD</v>
          </cell>
          <cell r="F2838">
            <v>240</v>
          </cell>
          <cell r="G2838">
            <v>6</v>
          </cell>
          <cell r="H2838">
            <v>39</v>
          </cell>
          <cell r="I2838">
            <v>24.5</v>
          </cell>
          <cell r="J2838">
            <v>32</v>
          </cell>
          <cell r="K2838">
            <v>8.4</v>
          </cell>
          <cell r="L2838">
            <v>3.5000000000000003E-2</v>
          </cell>
          <cell r="M2838">
            <v>3.0575999999999999E-2</v>
          </cell>
        </row>
        <row r="2839">
          <cell r="A2839">
            <v>31260017</v>
          </cell>
          <cell r="B2839">
            <v>3118220025004</v>
          </cell>
          <cell r="C2839" t="str">
            <v>13118220025001</v>
          </cell>
          <cell r="D2839" t="str">
            <v>23118220025008</v>
          </cell>
          <cell r="E2839" t="str">
            <v>CUILLERE COTTAGE CUIR + GENCOD</v>
          </cell>
          <cell r="F2839">
            <v>240</v>
          </cell>
          <cell r="G2839">
            <v>6</v>
          </cell>
          <cell r="H2839">
            <v>39</v>
          </cell>
          <cell r="I2839">
            <v>24.5</v>
          </cell>
          <cell r="J2839">
            <v>32</v>
          </cell>
          <cell r="K2839">
            <v>10.97</v>
          </cell>
          <cell r="L2839">
            <v>4.5708333333333337E-2</v>
          </cell>
          <cell r="M2839">
            <v>3.0575999999999999E-2</v>
          </cell>
        </row>
        <row r="2840">
          <cell r="A2840">
            <v>31260018</v>
          </cell>
          <cell r="B2840">
            <v>3118220025011</v>
          </cell>
          <cell r="C2840" t="str">
            <v>13118220025018</v>
          </cell>
          <cell r="D2840" t="str">
            <v>23118220025015</v>
          </cell>
          <cell r="E2840" t="str">
            <v>CAFE COTTAGE CUIR + GENCOD</v>
          </cell>
          <cell r="F2840">
            <v>240</v>
          </cell>
          <cell r="G2840">
            <v>6</v>
          </cell>
          <cell r="H2840">
            <v>38.5</v>
          </cell>
          <cell r="I2840">
            <v>20.5</v>
          </cell>
          <cell r="J2840">
            <v>27.5</v>
          </cell>
          <cell r="K2840">
            <v>4.32</v>
          </cell>
          <cell r="L2840">
            <v>1.8000000000000002E-2</v>
          </cell>
          <cell r="M2840">
            <v>2.1704374999999998E-2</v>
          </cell>
        </row>
        <row r="2841">
          <cell r="A2841">
            <v>31020027</v>
          </cell>
          <cell r="B2841">
            <v>3118220032835</v>
          </cell>
          <cell r="E2841" t="str">
            <v>CAFE NUANCE BRUYERE VRAC GENCOD</v>
          </cell>
          <cell r="F2841">
            <v>240</v>
          </cell>
          <cell r="G2841">
            <v>6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</row>
        <row r="2842">
          <cell r="A2842">
            <v>31260020</v>
          </cell>
          <cell r="B2842">
            <v>3118220028395</v>
          </cell>
          <cell r="E2842" t="str">
            <v>COUTEAU COTTAGE RUBIS VRAC</v>
          </cell>
          <cell r="F2842">
            <v>600</v>
          </cell>
          <cell r="G2842">
            <v>600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</row>
        <row r="2843">
          <cell r="A2843">
            <v>31260022</v>
          </cell>
          <cell r="B2843">
            <v>3118220030268</v>
          </cell>
          <cell r="C2843" t="str">
            <v>13118220030265</v>
          </cell>
          <cell r="D2843" t="str">
            <v>23118220030262</v>
          </cell>
          <cell r="E2843" t="str">
            <v>M16 COTTAGE NOIR BLACK C BOITE TB COLLECTION</v>
          </cell>
          <cell r="F2843">
            <v>6</v>
          </cell>
          <cell r="G2843">
            <v>6</v>
          </cell>
          <cell r="H2843">
            <v>30</v>
          </cell>
          <cell r="I2843">
            <v>27</v>
          </cell>
          <cell r="J2843">
            <v>32</v>
          </cell>
          <cell r="K2843">
            <v>4.2130000000000001</v>
          </cell>
          <cell r="L2843">
            <v>0.70216666666666672</v>
          </cell>
          <cell r="M2843">
            <v>2.5920000000000002E-2</v>
          </cell>
        </row>
        <row r="2844">
          <cell r="A2844">
            <v>31260023</v>
          </cell>
          <cell r="B2844">
            <v>3118220030275</v>
          </cell>
          <cell r="C2844" t="str">
            <v>13118220030272</v>
          </cell>
          <cell r="D2844" t="str">
            <v>23118220030279</v>
          </cell>
          <cell r="E2844" t="str">
            <v>M16 COTTAGE IVOIRE P1013 BOITE TB COLLECTION</v>
          </cell>
          <cell r="F2844">
            <v>6</v>
          </cell>
          <cell r="G2844">
            <v>6</v>
          </cell>
          <cell r="H2844">
            <v>30</v>
          </cell>
          <cell r="I2844">
            <v>27</v>
          </cell>
          <cell r="J2844">
            <v>32</v>
          </cell>
          <cell r="K2844">
            <v>3.7440000000000002</v>
          </cell>
          <cell r="L2844">
            <v>0.624</v>
          </cell>
          <cell r="M2844">
            <v>2.5920000000000002E-2</v>
          </cell>
        </row>
        <row r="2845">
          <cell r="A2845">
            <v>31260024</v>
          </cell>
          <cell r="B2845">
            <v>3118220036529</v>
          </cell>
          <cell r="C2845" t="str">
            <v>13118220036526</v>
          </cell>
          <cell r="D2845" t="str">
            <v>23118220036523</v>
          </cell>
          <cell r="E2845" t="str">
            <v>M16 COTTAGE BOIS DE ROSE BOITE TB COLLECTION</v>
          </cell>
          <cell r="F2845">
            <v>6</v>
          </cell>
          <cell r="G2845">
            <v>6</v>
          </cell>
          <cell r="H2845">
            <v>44</v>
          </cell>
          <cell r="I2845">
            <v>28</v>
          </cell>
          <cell r="J2845">
            <v>29</v>
          </cell>
          <cell r="K2845">
            <v>3.72</v>
          </cell>
          <cell r="L2845">
            <v>0.62</v>
          </cell>
          <cell r="M2845">
            <v>3.5728000000000003E-2</v>
          </cell>
        </row>
        <row r="2846">
          <cell r="A2846">
            <v>31270001</v>
          </cell>
          <cell r="B2846">
            <v>3118220024168</v>
          </cell>
          <cell r="E2846" t="str">
            <v>COUTEAU INEDIT CARREAUX DE CIMENT+GENCOD</v>
          </cell>
          <cell r="F2846">
            <v>240</v>
          </cell>
          <cell r="G2846">
            <v>6</v>
          </cell>
          <cell r="H2846">
            <v>35.5</v>
          </cell>
          <cell r="I2846">
            <v>28.5</v>
          </cell>
          <cell r="J2846">
            <v>27</v>
          </cell>
          <cell r="K2846">
            <v>10.32</v>
          </cell>
          <cell r="L2846">
            <v>4.3000000000000003E-2</v>
          </cell>
          <cell r="M2846">
            <v>2.7317250000000001E-2</v>
          </cell>
        </row>
        <row r="2847">
          <cell r="A2847">
            <v>31270002</v>
          </cell>
          <cell r="B2847">
            <v>3118220024175</v>
          </cell>
          <cell r="E2847" t="str">
            <v>FOURCHETTE INEDIT CARREAUX DE CIMENT+GENCOD</v>
          </cell>
          <cell r="F2847">
            <v>240</v>
          </cell>
          <cell r="G2847">
            <v>6</v>
          </cell>
          <cell r="H2847">
            <v>42.5</v>
          </cell>
          <cell r="I2847">
            <v>25</v>
          </cell>
          <cell r="J2847">
            <v>27.5</v>
          </cell>
          <cell r="K2847">
            <v>9.1199999999999992</v>
          </cell>
          <cell r="L2847">
            <v>3.7999999999999999E-2</v>
          </cell>
          <cell r="M2847">
            <v>2.9218750000000002E-2</v>
          </cell>
        </row>
        <row r="2848">
          <cell r="A2848">
            <v>31270003</v>
          </cell>
          <cell r="B2848">
            <v>3118220024182</v>
          </cell>
          <cell r="E2848" t="str">
            <v>CUILLERE INEDIT CARREAUX DE CIMENT+GENCOD</v>
          </cell>
          <cell r="F2848">
            <v>240</v>
          </cell>
          <cell r="G2848">
            <v>6</v>
          </cell>
          <cell r="H2848">
            <v>42.5</v>
          </cell>
          <cell r="I2848">
            <v>25</v>
          </cell>
          <cell r="J2848">
            <v>27.5</v>
          </cell>
          <cell r="K2848">
            <v>14.5</v>
          </cell>
          <cell r="L2848">
            <v>6.0416666666666667E-2</v>
          </cell>
          <cell r="M2848">
            <v>2.9218750000000002E-2</v>
          </cell>
        </row>
        <row r="2849">
          <cell r="A2849">
            <v>31270004</v>
          </cell>
          <cell r="B2849">
            <v>3118220024199</v>
          </cell>
          <cell r="E2849" t="str">
            <v>CAFE INÉDIT CARREAUX DE CIMENT+GENCOD</v>
          </cell>
          <cell r="F2849">
            <v>240</v>
          </cell>
          <cell r="G2849">
            <v>6</v>
          </cell>
          <cell r="H2849">
            <v>34</v>
          </cell>
          <cell r="I2849">
            <v>18.5</v>
          </cell>
          <cell r="J2849">
            <v>29</v>
          </cell>
          <cell r="K2849">
            <v>6.24</v>
          </cell>
          <cell r="L2849">
            <v>2.6000000000000002E-2</v>
          </cell>
          <cell r="M2849">
            <v>1.8240999999999997E-2</v>
          </cell>
        </row>
        <row r="2850">
          <cell r="A2850">
            <v>31340001</v>
          </cell>
          <cell r="B2850">
            <v>3118220025875</v>
          </cell>
          <cell r="E2850" t="str">
            <v>M16 INEDIT LIANE VERTE FOND BLANC BOITE TB COLLECTION</v>
          </cell>
          <cell r="F2850">
            <v>9</v>
          </cell>
          <cell r="G2850">
            <v>9</v>
          </cell>
          <cell r="H2850">
            <v>44</v>
          </cell>
          <cell r="I2850">
            <v>27</v>
          </cell>
          <cell r="J2850">
            <v>30.5</v>
          </cell>
          <cell r="K2850">
            <v>7.2240000000000002</v>
          </cell>
          <cell r="L2850">
            <v>0.80266666666666664</v>
          </cell>
          <cell r="M2850">
            <v>3.6234000000000002E-2</v>
          </cell>
        </row>
        <row r="2851">
          <cell r="A2851">
            <v>31550001</v>
          </cell>
          <cell r="B2851">
            <v>3118220030541</v>
          </cell>
          <cell r="E2851" t="str">
            <v>COUTEAU POINTU INEDIT HANNI MAELISS 2020 P2117C</v>
          </cell>
          <cell r="F2851">
            <v>240</v>
          </cell>
          <cell r="G2851">
            <v>6</v>
          </cell>
          <cell r="H2851">
            <v>40.5</v>
          </cell>
          <cell r="I2851">
            <v>30</v>
          </cell>
          <cell r="J2851">
            <v>21</v>
          </cell>
          <cell r="K2851">
            <v>11.356999999999999</v>
          </cell>
          <cell r="L2851">
            <v>4.7320833333333333E-2</v>
          </cell>
          <cell r="M2851">
            <v>2.5514999999999999E-2</v>
          </cell>
        </row>
        <row r="2852">
          <cell r="A2852">
            <v>31550002</v>
          </cell>
          <cell r="B2852">
            <v>3118220030558</v>
          </cell>
          <cell r="E2852" t="str">
            <v>FOURCHETTE INEDIT HANNI MAELISS 2020 P2117C</v>
          </cell>
          <cell r="F2852">
            <v>240</v>
          </cell>
          <cell r="G2852">
            <v>6</v>
          </cell>
          <cell r="H2852">
            <v>43</v>
          </cell>
          <cell r="I2852">
            <v>28</v>
          </cell>
          <cell r="J2852">
            <v>28.5</v>
          </cell>
          <cell r="K2852">
            <v>10.728999999999999</v>
          </cell>
          <cell r="L2852">
            <v>4.4704166666666663E-2</v>
          </cell>
          <cell r="M2852">
            <v>3.4313999999999997E-2</v>
          </cell>
        </row>
        <row r="2853">
          <cell r="A2853">
            <v>31550003</v>
          </cell>
          <cell r="B2853">
            <v>3118220030565</v>
          </cell>
          <cell r="E2853" t="str">
            <v>CUILLERE INEDIT HANNI MAELISS 2020 P2117C</v>
          </cell>
          <cell r="F2853">
            <v>240</v>
          </cell>
          <cell r="G2853">
            <v>6</v>
          </cell>
          <cell r="H2853">
            <v>42</v>
          </cell>
          <cell r="I2853">
            <v>25.3</v>
          </cell>
          <cell r="J2853">
            <v>26</v>
          </cell>
          <cell r="K2853">
            <v>12.972</v>
          </cell>
          <cell r="L2853">
            <v>5.4050000000000001E-2</v>
          </cell>
          <cell r="M2853">
            <v>2.7627599999999995E-2</v>
          </cell>
        </row>
        <row r="2854">
          <cell r="A2854">
            <v>31560001</v>
          </cell>
          <cell r="B2854">
            <v>3118220030718</v>
          </cell>
          <cell r="E2854" t="str">
            <v>COUTEAU INEDIT CHAT NEGATIF BLACK 6 C VRAC + GENCOD</v>
          </cell>
          <cell r="F2854">
            <v>240</v>
          </cell>
          <cell r="G2854">
            <v>6</v>
          </cell>
          <cell r="H2854">
            <v>35</v>
          </cell>
          <cell r="I2854">
            <v>28</v>
          </cell>
          <cell r="J2854">
            <v>28</v>
          </cell>
          <cell r="K2854">
            <v>11.725</v>
          </cell>
          <cell r="L2854">
            <v>4.8854166666666664E-2</v>
          </cell>
          <cell r="M2854">
            <v>2.7439999999999999E-2</v>
          </cell>
        </row>
        <row r="2855">
          <cell r="A2855">
            <v>31560002</v>
          </cell>
          <cell r="B2855">
            <v>3118220030725</v>
          </cell>
          <cell r="E2855" t="str">
            <v>FOURCHETTE INEDIT CHAT NEGATIF BLACK 6 C VRAC + GENCOD</v>
          </cell>
          <cell r="F2855">
            <v>240</v>
          </cell>
          <cell r="G2855">
            <v>6</v>
          </cell>
          <cell r="H2855">
            <v>42</v>
          </cell>
          <cell r="I2855">
            <v>25</v>
          </cell>
          <cell r="J2855">
            <v>27</v>
          </cell>
          <cell r="K2855">
            <v>10.253</v>
          </cell>
          <cell r="L2855">
            <v>4.2720833333333333E-2</v>
          </cell>
          <cell r="M2855">
            <v>2.835E-2</v>
          </cell>
        </row>
        <row r="2856">
          <cell r="A2856">
            <v>31560003</v>
          </cell>
          <cell r="B2856">
            <v>3118220030732</v>
          </cell>
          <cell r="E2856" t="str">
            <v>CUILLERE INEDIT CHAT NEGATIF BLACK 6 C VRAC + GENCOD</v>
          </cell>
          <cell r="F2856">
            <v>240</v>
          </cell>
          <cell r="G2856">
            <v>6</v>
          </cell>
          <cell r="H2856">
            <v>42</v>
          </cell>
          <cell r="I2856">
            <v>25</v>
          </cell>
          <cell r="J2856">
            <v>27</v>
          </cell>
          <cell r="K2856">
            <v>14.025</v>
          </cell>
          <cell r="L2856">
            <v>5.8437500000000003E-2</v>
          </cell>
          <cell r="M2856">
            <v>2.835E-2</v>
          </cell>
        </row>
        <row r="2857">
          <cell r="A2857">
            <v>31560004</v>
          </cell>
          <cell r="B2857">
            <v>3118220030749</v>
          </cell>
          <cell r="E2857" t="str">
            <v>CAFE INEDIT CHAT NEGATIF BLACK 6 C VRAC + GENCOD</v>
          </cell>
          <cell r="F2857">
            <v>240</v>
          </cell>
          <cell r="G2857">
            <v>6</v>
          </cell>
          <cell r="H2857">
            <v>34.5</v>
          </cell>
          <cell r="I2857">
            <v>19</v>
          </cell>
          <cell r="J2857">
            <v>29</v>
          </cell>
          <cell r="K2857">
            <v>7.149</v>
          </cell>
          <cell r="L2857">
            <v>2.9787500000000001E-2</v>
          </cell>
          <cell r="M2857">
            <v>1.9009499999999999E-2</v>
          </cell>
        </row>
        <row r="2858">
          <cell r="A2858">
            <v>31560005</v>
          </cell>
          <cell r="B2858">
            <v>3118220030756</v>
          </cell>
          <cell r="E2858" t="str">
            <v>COUTEAU INEDIT CHAT GRIS 4292C VRAC + GENCOD</v>
          </cell>
          <cell r="F2858">
            <v>240</v>
          </cell>
          <cell r="G2858">
            <v>6</v>
          </cell>
          <cell r="H2858">
            <v>35</v>
          </cell>
          <cell r="I2858">
            <v>28</v>
          </cell>
          <cell r="J2858">
            <v>28</v>
          </cell>
          <cell r="K2858">
            <v>11.725</v>
          </cell>
          <cell r="L2858">
            <v>4.8854166666666664E-2</v>
          </cell>
          <cell r="M2858">
            <v>2.7439999999999999E-2</v>
          </cell>
        </row>
        <row r="2859">
          <cell r="A2859">
            <v>31560006</v>
          </cell>
          <cell r="B2859">
            <v>3118220030763</v>
          </cell>
          <cell r="E2859" t="str">
            <v>FOURCHETTE INEDIT CHAT GRIS 4292C VRAC + GENCOD</v>
          </cell>
          <cell r="F2859">
            <v>240</v>
          </cell>
          <cell r="G2859">
            <v>6</v>
          </cell>
          <cell r="H2859">
            <v>42</v>
          </cell>
          <cell r="I2859">
            <v>25</v>
          </cell>
          <cell r="J2859">
            <v>27</v>
          </cell>
          <cell r="K2859">
            <v>10.253</v>
          </cell>
          <cell r="L2859">
            <v>4.2720833333333333E-2</v>
          </cell>
          <cell r="M2859">
            <v>2.835E-2</v>
          </cell>
        </row>
        <row r="2860">
          <cell r="A2860">
            <v>31560007</v>
          </cell>
          <cell r="B2860">
            <v>3118220030770</v>
          </cell>
          <cell r="E2860" t="str">
            <v>CUILLERE INEDIT CHAT GRIS 4292C VRAC + GENCOD</v>
          </cell>
          <cell r="F2860">
            <v>240</v>
          </cell>
          <cell r="G2860">
            <v>6</v>
          </cell>
          <cell r="H2860">
            <v>42</v>
          </cell>
          <cell r="I2860">
            <v>25</v>
          </cell>
          <cell r="J2860">
            <v>27</v>
          </cell>
          <cell r="K2860">
            <v>14.025</v>
          </cell>
          <cell r="L2860">
            <v>5.8437500000000003E-2</v>
          </cell>
          <cell r="M2860">
            <v>2.835E-2</v>
          </cell>
        </row>
        <row r="2861">
          <cell r="A2861">
            <v>31560008</v>
          </cell>
          <cell r="B2861">
            <v>3118220030787</v>
          </cell>
          <cell r="E2861" t="str">
            <v>CAFE INEDIT CHAT GRIS 4292C VRAC + GENCOD</v>
          </cell>
          <cell r="F2861">
            <v>240</v>
          </cell>
          <cell r="G2861">
            <v>6</v>
          </cell>
          <cell r="H2861">
            <v>34.5</v>
          </cell>
          <cell r="I2861">
            <v>19</v>
          </cell>
          <cell r="J2861">
            <v>29</v>
          </cell>
          <cell r="K2861">
            <v>6</v>
          </cell>
          <cell r="L2861">
            <v>2.5000000000000001E-2</v>
          </cell>
          <cell r="M2861">
            <v>1.9009499999999999E-2</v>
          </cell>
        </row>
        <row r="2862">
          <cell r="A2862">
            <v>31560009</v>
          </cell>
          <cell r="B2862">
            <v>3118220034426</v>
          </cell>
          <cell r="E2862" t="str">
            <v>M16 INEDIT CHAT NEGATIF NOIR EN BOITE TB COLLECTION</v>
          </cell>
          <cell r="F2862">
            <v>6</v>
          </cell>
          <cell r="G2862">
            <v>6</v>
          </cell>
          <cell r="H2862">
            <v>28</v>
          </cell>
          <cell r="I2862">
            <v>28</v>
          </cell>
          <cell r="J2862">
            <v>43.5</v>
          </cell>
          <cell r="K2862">
            <v>4.7300000000000004</v>
          </cell>
          <cell r="L2862">
            <v>0.78833333333333344</v>
          </cell>
          <cell r="M2862">
            <v>3.4104000000000002E-2</v>
          </cell>
        </row>
        <row r="2863">
          <cell r="A2863">
            <v>31560010</v>
          </cell>
          <cell r="B2863">
            <v>3118220034433</v>
          </cell>
          <cell r="E2863" t="str">
            <v>M16 INEDIT CHAT GRIS EN BOITE TB COLLECTION</v>
          </cell>
          <cell r="F2863">
            <v>6</v>
          </cell>
          <cell r="G2863">
            <v>6</v>
          </cell>
          <cell r="H2863">
            <v>28.5</v>
          </cell>
          <cell r="I2863">
            <v>28</v>
          </cell>
          <cell r="J2863">
            <v>43.5</v>
          </cell>
          <cell r="K2863">
            <v>4.7300000000000004</v>
          </cell>
          <cell r="L2863">
            <v>0.78833333333333344</v>
          </cell>
          <cell r="M2863">
            <v>3.4713000000000001E-2</v>
          </cell>
        </row>
        <row r="2864">
          <cell r="A2864">
            <v>31570001</v>
          </cell>
          <cell r="B2864">
            <v>3118220030794</v>
          </cell>
          <cell r="E2864" t="str">
            <v>COUTEAU INEDIT BAMBOU ROUGE 7623C VRAC + GENCOD</v>
          </cell>
          <cell r="F2864">
            <v>240</v>
          </cell>
          <cell r="G2864">
            <v>6</v>
          </cell>
          <cell r="H2864">
            <v>40.5</v>
          </cell>
          <cell r="I2864">
            <v>30</v>
          </cell>
          <cell r="J2864">
            <v>21</v>
          </cell>
          <cell r="K2864">
            <v>11.356999999999999</v>
          </cell>
          <cell r="L2864">
            <v>4.7320833333333333E-2</v>
          </cell>
          <cell r="M2864">
            <v>2.5514999999999999E-2</v>
          </cell>
        </row>
        <row r="2865">
          <cell r="A2865">
            <v>31570002</v>
          </cell>
          <cell r="B2865">
            <v>3118220030800</v>
          </cell>
          <cell r="E2865" t="str">
            <v>FOURCHETTE INEDIT BAMBOU ROUGE 7623C VRAC + GENCOD</v>
          </cell>
          <cell r="F2865">
            <v>240</v>
          </cell>
          <cell r="G2865">
            <v>6</v>
          </cell>
          <cell r="H2865">
            <v>43</v>
          </cell>
          <cell r="I2865">
            <v>28</v>
          </cell>
          <cell r="J2865">
            <v>28.5</v>
          </cell>
          <cell r="K2865">
            <v>10.728999999999999</v>
          </cell>
          <cell r="L2865">
            <v>4.4704166666666663E-2</v>
          </cell>
          <cell r="M2865">
            <v>3.4313999999999997E-2</v>
          </cell>
        </row>
        <row r="2866">
          <cell r="A2866">
            <v>31570003</v>
          </cell>
          <cell r="B2866">
            <v>3118220030817</v>
          </cell>
          <cell r="E2866" t="str">
            <v>CUILLERE INEDIT BAMBOU ROUGE 7623C VRAC + GENCOD</v>
          </cell>
          <cell r="F2866">
            <v>240</v>
          </cell>
          <cell r="G2866">
            <v>6</v>
          </cell>
          <cell r="H2866">
            <v>42</v>
          </cell>
          <cell r="I2866">
            <v>25.3</v>
          </cell>
          <cell r="J2866">
            <v>26</v>
          </cell>
          <cell r="K2866">
            <v>12.972</v>
          </cell>
          <cell r="L2866">
            <v>5.4050000000000001E-2</v>
          </cell>
          <cell r="M2866">
            <v>2.7627599999999995E-2</v>
          </cell>
        </row>
        <row r="2867">
          <cell r="A2867">
            <v>31570004</v>
          </cell>
          <cell r="B2867">
            <v>3118220030824</v>
          </cell>
          <cell r="E2867" t="str">
            <v>CAFE INEDIT BAMBOU ROUGE 7623C VRAC + GENCOD</v>
          </cell>
          <cell r="F2867">
            <v>240</v>
          </cell>
          <cell r="G2867">
            <v>6</v>
          </cell>
          <cell r="H2867">
            <v>36.5</v>
          </cell>
          <cell r="I2867">
            <v>18.5</v>
          </cell>
          <cell r="J2867">
            <v>28</v>
          </cell>
          <cell r="K2867">
            <v>7.6109999999999998</v>
          </cell>
          <cell r="L2867">
            <v>3.1712499999999998E-2</v>
          </cell>
          <cell r="M2867">
            <v>1.8907E-2</v>
          </cell>
        </row>
        <row r="2868">
          <cell r="A2868">
            <v>31570005</v>
          </cell>
          <cell r="B2868">
            <v>3118220030831</v>
          </cell>
          <cell r="C2868" t="str">
            <v>13118220030838</v>
          </cell>
          <cell r="D2868" t="str">
            <v>23118220030835</v>
          </cell>
          <cell r="E2868" t="str">
            <v>COUTEAU INEDIT BAMBOU VERT 3308C VRAC + GENCOD</v>
          </cell>
          <cell r="F2868">
            <v>240</v>
          </cell>
          <cell r="G2868">
            <v>6</v>
          </cell>
          <cell r="H2868">
            <v>40.5</v>
          </cell>
          <cell r="I2868">
            <v>30</v>
          </cell>
          <cell r="J2868">
            <v>21</v>
          </cell>
          <cell r="K2868">
            <v>9.6</v>
          </cell>
          <cell r="L2868">
            <v>0.04</v>
          </cell>
          <cell r="M2868">
            <v>2.5514999999999999E-2</v>
          </cell>
        </row>
        <row r="2869">
          <cell r="A2869">
            <v>31570006</v>
          </cell>
          <cell r="B2869">
            <v>3118220030848</v>
          </cell>
          <cell r="C2869" t="str">
            <v>13118220030845</v>
          </cell>
          <cell r="D2869" t="str">
            <v>23118220030842</v>
          </cell>
          <cell r="E2869" t="str">
            <v>FOURCHETTE INEDIT BAMBOU VERT 3308C VRAC + GENCOD</v>
          </cell>
          <cell r="F2869">
            <v>240</v>
          </cell>
          <cell r="G2869">
            <v>6</v>
          </cell>
          <cell r="H2869">
            <v>43</v>
          </cell>
          <cell r="I2869">
            <v>28</v>
          </cell>
          <cell r="J2869">
            <v>28.5</v>
          </cell>
          <cell r="K2869">
            <v>8.44</v>
          </cell>
          <cell r="L2869">
            <v>3.5166666666666666E-2</v>
          </cell>
          <cell r="M2869">
            <v>3.4313999999999997E-2</v>
          </cell>
        </row>
        <row r="2870">
          <cell r="A2870">
            <v>31570007</v>
          </cell>
          <cell r="B2870">
            <v>3118220030855</v>
          </cell>
          <cell r="C2870" t="str">
            <v>13118220030852</v>
          </cell>
          <cell r="D2870" t="str">
            <v>23118220030859</v>
          </cell>
          <cell r="E2870" t="str">
            <v>CUILLERE INEDIT BAMBOU VERT 3308C VRAC + GENCOD</v>
          </cell>
          <cell r="F2870">
            <v>240</v>
          </cell>
          <cell r="G2870">
            <v>6</v>
          </cell>
          <cell r="H2870">
            <v>42</v>
          </cell>
          <cell r="I2870">
            <v>25.3</v>
          </cell>
          <cell r="J2870">
            <v>26</v>
          </cell>
          <cell r="K2870">
            <v>11.76</v>
          </cell>
          <cell r="L2870">
            <v>4.9000000000000002E-2</v>
          </cell>
          <cell r="M2870">
            <v>2.7627599999999995E-2</v>
          </cell>
        </row>
        <row r="2871">
          <cell r="A2871">
            <v>31570008</v>
          </cell>
          <cell r="B2871">
            <v>3118220030862</v>
          </cell>
          <cell r="C2871" t="str">
            <v>13118220030869</v>
          </cell>
          <cell r="D2871" t="str">
            <v>23118220030866</v>
          </cell>
          <cell r="E2871" t="str">
            <v>CAFE INEDIT BAMBOU VERT 3308C VRAC + GENCOD</v>
          </cell>
          <cell r="F2871">
            <v>240</v>
          </cell>
          <cell r="G2871">
            <v>6</v>
          </cell>
          <cell r="H2871">
            <v>36.5</v>
          </cell>
          <cell r="I2871">
            <v>18.5</v>
          </cell>
          <cell r="J2871">
            <v>28</v>
          </cell>
          <cell r="K2871">
            <v>6.76</v>
          </cell>
          <cell r="L2871">
            <v>2.8166666666666666E-2</v>
          </cell>
          <cell r="M2871">
            <v>1.8907E-2</v>
          </cell>
        </row>
        <row r="2872">
          <cell r="A2872">
            <v>31570010</v>
          </cell>
          <cell r="B2872">
            <v>3118220034457</v>
          </cell>
          <cell r="E2872" t="str">
            <v>M16 INEDIT BAMBOU VERT EN BOITE TB COLLECTION</v>
          </cell>
          <cell r="F2872">
            <v>6</v>
          </cell>
          <cell r="G2872">
            <v>6</v>
          </cell>
          <cell r="H2872">
            <v>28</v>
          </cell>
          <cell r="I2872">
            <v>28</v>
          </cell>
          <cell r="J2872">
            <v>43.5</v>
          </cell>
          <cell r="K2872">
            <v>4.68</v>
          </cell>
          <cell r="L2872">
            <v>0.77999999999999992</v>
          </cell>
          <cell r="M2872">
            <v>3.4104000000000002E-2</v>
          </cell>
        </row>
        <row r="2873">
          <cell r="A2873">
            <v>31580001</v>
          </cell>
          <cell r="B2873">
            <v>3118220030879</v>
          </cell>
          <cell r="C2873" t="str">
            <v>13118220030876</v>
          </cell>
          <cell r="D2873" t="str">
            <v>23118220030873</v>
          </cell>
          <cell r="E2873" t="str">
            <v>COUTEAU INEDIT CANNAGE CUMIN 457C VRAC + GENCOD</v>
          </cell>
          <cell r="F2873">
            <v>240</v>
          </cell>
          <cell r="G2873">
            <v>6</v>
          </cell>
          <cell r="H2873">
            <v>35</v>
          </cell>
          <cell r="I2873">
            <v>28</v>
          </cell>
          <cell r="J2873">
            <v>28</v>
          </cell>
          <cell r="K2873">
            <v>11.725</v>
          </cell>
          <cell r="L2873">
            <v>4.8854166666666664E-2</v>
          </cell>
          <cell r="M2873">
            <v>2.7439999999999999E-2</v>
          </cell>
        </row>
        <row r="2874">
          <cell r="A2874">
            <v>31580002</v>
          </cell>
          <cell r="B2874">
            <v>3118220030886</v>
          </cell>
          <cell r="C2874" t="str">
            <v>13118220030883</v>
          </cell>
          <cell r="D2874" t="str">
            <v>23118220030880</v>
          </cell>
          <cell r="E2874" t="str">
            <v>FOURCHETTE INEDIT CANNAGE CUMIN 457C VRAC + GENCOD</v>
          </cell>
          <cell r="F2874">
            <v>240</v>
          </cell>
          <cell r="G2874">
            <v>6</v>
          </cell>
          <cell r="H2874">
            <v>42</v>
          </cell>
          <cell r="I2874">
            <v>25</v>
          </cell>
          <cell r="J2874">
            <v>27</v>
          </cell>
          <cell r="K2874">
            <v>10.253</v>
          </cell>
          <cell r="L2874">
            <v>4.2720833333333333E-2</v>
          </cell>
          <cell r="M2874">
            <v>2.835E-2</v>
          </cell>
        </row>
        <row r="2875">
          <cell r="A2875">
            <v>31580003</v>
          </cell>
          <cell r="B2875">
            <v>3118220030893</v>
          </cell>
          <cell r="C2875" t="str">
            <v>13118220030890</v>
          </cell>
          <cell r="D2875" t="str">
            <v>23118220030897</v>
          </cell>
          <cell r="E2875" t="str">
            <v>CUILLERE INEDIT CANNAGE CUMIN 457C VRAC + GENCOD</v>
          </cell>
          <cell r="F2875">
            <v>240</v>
          </cell>
          <cell r="G2875">
            <v>6</v>
          </cell>
          <cell r="H2875">
            <v>42</v>
          </cell>
          <cell r="I2875">
            <v>25</v>
          </cell>
          <cell r="J2875">
            <v>27</v>
          </cell>
          <cell r="K2875">
            <v>14.025</v>
          </cell>
          <cell r="L2875">
            <v>5.8437500000000003E-2</v>
          </cell>
          <cell r="M2875">
            <v>2.835E-2</v>
          </cell>
        </row>
        <row r="2876">
          <cell r="A2876">
            <v>31580004</v>
          </cell>
          <cell r="B2876">
            <v>3118220030909</v>
          </cell>
          <cell r="C2876" t="str">
            <v>13118220030906</v>
          </cell>
          <cell r="D2876" t="str">
            <v>23118220030903</v>
          </cell>
          <cell r="E2876" t="str">
            <v>CAFE INEDIT CANNAGE CUMIN 457C VRAC + GENCOD</v>
          </cell>
          <cell r="F2876">
            <v>240</v>
          </cell>
          <cell r="G2876">
            <v>6</v>
          </cell>
          <cell r="H2876">
            <v>34.5</v>
          </cell>
          <cell r="I2876">
            <v>19</v>
          </cell>
          <cell r="J2876">
            <v>29</v>
          </cell>
          <cell r="K2876">
            <v>7.149</v>
          </cell>
          <cell r="L2876">
            <v>2.9787500000000001E-2</v>
          </cell>
          <cell r="M2876">
            <v>1.9009499999999999E-2</v>
          </cell>
        </row>
        <row r="2877">
          <cell r="A2877">
            <v>31580005</v>
          </cell>
          <cell r="B2877">
            <v>3118220030916</v>
          </cell>
          <cell r="C2877" t="str">
            <v>13118220030913</v>
          </cell>
          <cell r="D2877" t="str">
            <v>23118220030910</v>
          </cell>
          <cell r="E2877" t="str">
            <v>COUTEAU INEDIT CANNAGE ROUGE 7623C VRAC + GENCOD</v>
          </cell>
          <cell r="F2877">
            <v>240</v>
          </cell>
          <cell r="G2877">
            <v>6</v>
          </cell>
          <cell r="H2877">
            <v>35</v>
          </cell>
          <cell r="I2877">
            <v>28</v>
          </cell>
          <cell r="J2877">
            <v>28</v>
          </cell>
          <cell r="K2877">
            <v>10.32</v>
          </cell>
          <cell r="L2877">
            <v>4.3000000000000003E-2</v>
          </cell>
          <cell r="M2877">
            <v>2.7439999999999999E-2</v>
          </cell>
        </row>
        <row r="2878">
          <cell r="A2878">
            <v>31580006</v>
          </cell>
          <cell r="B2878">
            <v>3118220030923</v>
          </cell>
          <cell r="C2878" t="str">
            <v>13118220030920</v>
          </cell>
          <cell r="D2878" t="str">
            <v>23118220030927</v>
          </cell>
          <cell r="E2878" t="str">
            <v>FOURCHETTE INEDIT CANNAGE ROUGE 7623C VRAC + GENCOD</v>
          </cell>
          <cell r="F2878">
            <v>240</v>
          </cell>
          <cell r="G2878">
            <v>6</v>
          </cell>
          <cell r="H2878">
            <v>42</v>
          </cell>
          <cell r="I2878">
            <v>25</v>
          </cell>
          <cell r="J2878">
            <v>27</v>
          </cell>
          <cell r="K2878">
            <v>8.64</v>
          </cell>
          <cell r="L2878">
            <v>3.6000000000000004E-2</v>
          </cell>
          <cell r="M2878">
            <v>2.835E-2</v>
          </cell>
        </row>
        <row r="2879">
          <cell r="A2879">
            <v>31580007</v>
          </cell>
          <cell r="B2879">
            <v>3118220030930</v>
          </cell>
          <cell r="C2879" t="str">
            <v>13118220030937</v>
          </cell>
          <cell r="D2879" t="str">
            <v>23118220030934</v>
          </cell>
          <cell r="E2879" t="str">
            <v>CUILLERE INEDIT CANNAGE ROUGE 7623C VRAC + GENCOD</v>
          </cell>
          <cell r="F2879">
            <v>240</v>
          </cell>
          <cell r="G2879">
            <v>6</v>
          </cell>
          <cell r="H2879">
            <v>42</v>
          </cell>
          <cell r="I2879">
            <v>25</v>
          </cell>
          <cell r="J2879">
            <v>27</v>
          </cell>
          <cell r="K2879">
            <v>12.48</v>
          </cell>
          <cell r="L2879">
            <v>5.2000000000000005E-2</v>
          </cell>
          <cell r="M2879">
            <v>2.835E-2</v>
          </cell>
        </row>
        <row r="2880">
          <cell r="A2880">
            <v>31580008</v>
          </cell>
          <cell r="B2880">
            <v>3118220030947</v>
          </cell>
          <cell r="C2880" t="str">
            <v>13118220030944</v>
          </cell>
          <cell r="D2880" t="str">
            <v>23118220030941</v>
          </cell>
          <cell r="E2880" t="str">
            <v>CAFE INEDIT CANNAGE ROUGE 7623C VRAC + GENCOD</v>
          </cell>
          <cell r="F2880">
            <v>240</v>
          </cell>
          <cell r="G2880">
            <v>6</v>
          </cell>
          <cell r="H2880">
            <v>34.5</v>
          </cell>
          <cell r="I2880">
            <v>19</v>
          </cell>
          <cell r="J2880">
            <v>29</v>
          </cell>
          <cell r="K2880">
            <v>6</v>
          </cell>
          <cell r="L2880">
            <v>2.5000000000000001E-2</v>
          </cell>
          <cell r="M2880">
            <v>1.9009499999999999E-2</v>
          </cell>
        </row>
        <row r="2881">
          <cell r="A2881">
            <v>31580009</v>
          </cell>
          <cell r="B2881">
            <v>3118220034464</v>
          </cell>
          <cell r="E2881" t="str">
            <v>M16 INEDIT CANNAGE BISTROT CUMIN EN BOITE TB COLLECTION</v>
          </cell>
          <cell r="F2881">
            <v>6</v>
          </cell>
          <cell r="G2881">
            <v>6</v>
          </cell>
          <cell r="H2881">
            <v>28</v>
          </cell>
          <cell r="I2881">
            <v>14</v>
          </cell>
          <cell r="J2881">
            <v>28.5</v>
          </cell>
          <cell r="K2881">
            <v>4.68</v>
          </cell>
          <cell r="L2881">
            <v>0.77999999999999992</v>
          </cell>
          <cell r="M2881">
            <v>1.1172000000000001E-2</v>
          </cell>
        </row>
        <row r="2882">
          <cell r="A2882">
            <v>31580010</v>
          </cell>
          <cell r="B2882">
            <v>3118220034471</v>
          </cell>
          <cell r="E2882" t="str">
            <v>M16 INEDIT CANNAGE BISTROT ROUGE EN BOITE TB COLLECTION</v>
          </cell>
          <cell r="F2882">
            <v>6</v>
          </cell>
          <cell r="G2882">
            <v>6</v>
          </cell>
          <cell r="H2882">
            <v>28.5</v>
          </cell>
          <cell r="I2882">
            <v>28</v>
          </cell>
          <cell r="J2882">
            <v>43.5</v>
          </cell>
          <cell r="K2882">
            <v>4.68</v>
          </cell>
          <cell r="L2882">
            <v>0.77999999999999992</v>
          </cell>
          <cell r="M2882">
            <v>3.4713000000000001E-2</v>
          </cell>
        </row>
        <row r="2883">
          <cell r="A2883">
            <v>31750001</v>
          </cell>
          <cell r="B2883">
            <v>3118220039834</v>
          </cell>
          <cell r="C2883" t="str">
            <v>13118220039831</v>
          </cell>
          <cell r="D2883" t="str">
            <v>23118220039838</v>
          </cell>
          <cell r="E2883" t="str">
            <v>M24 STUDIO BLEU ABYSSE PANTONE 533C</v>
          </cell>
          <cell r="F2883">
            <v>6</v>
          </cell>
          <cell r="G2883">
            <v>6</v>
          </cell>
          <cell r="H2883">
            <v>27</v>
          </cell>
          <cell r="I2883">
            <v>20</v>
          </cell>
          <cell r="J2883">
            <v>25</v>
          </cell>
          <cell r="K2883">
            <v>4.843</v>
          </cell>
          <cell r="L2883">
            <v>0.8071666666666667</v>
          </cell>
          <cell r="M2883">
            <v>1.3500000000000002E-2</v>
          </cell>
        </row>
        <row r="2884">
          <cell r="A2884">
            <v>31750002</v>
          </cell>
          <cell r="B2884">
            <v>3118220039827</v>
          </cell>
          <cell r="C2884" t="str">
            <v>13118220039824</v>
          </cell>
          <cell r="D2884" t="str">
            <v>23118220039821</v>
          </cell>
          <cell r="E2884" t="str">
            <v>M24 STUDIO TERRACOTTA PANTONE 1807C</v>
          </cell>
          <cell r="F2884">
            <v>6</v>
          </cell>
          <cell r="G2884">
            <v>6</v>
          </cell>
          <cell r="H2884">
            <v>27</v>
          </cell>
          <cell r="I2884">
            <v>20</v>
          </cell>
          <cell r="J2884">
            <v>25</v>
          </cell>
          <cell r="K2884">
            <v>4.843</v>
          </cell>
          <cell r="L2884">
            <v>0.8071666666666667</v>
          </cell>
          <cell r="M2884">
            <v>1.3500000000000002E-2</v>
          </cell>
        </row>
        <row r="2885">
          <cell r="A2885">
            <v>31750003</v>
          </cell>
          <cell r="B2885">
            <v>3118220039841</v>
          </cell>
          <cell r="C2885" t="str">
            <v>13118220039848</v>
          </cell>
          <cell r="D2885" t="str">
            <v>23118220039845</v>
          </cell>
          <cell r="E2885" t="str">
            <v>M24 STUDIO JAUNE SOLEIL PANTONE 113C</v>
          </cell>
          <cell r="F2885">
            <v>6</v>
          </cell>
          <cell r="G2885">
            <v>6</v>
          </cell>
          <cell r="H2885">
            <v>27</v>
          </cell>
          <cell r="I2885">
            <v>20</v>
          </cell>
          <cell r="J2885">
            <v>25</v>
          </cell>
          <cell r="K2885">
            <v>4.843</v>
          </cell>
          <cell r="L2885">
            <v>0.8071666666666667</v>
          </cell>
          <cell r="M2885">
            <v>1.3500000000000002E-2</v>
          </cell>
        </row>
        <row r="2886">
          <cell r="A2886">
            <v>31750004</v>
          </cell>
          <cell r="B2886">
            <v>3118220039858</v>
          </cell>
          <cell r="C2886" t="str">
            <v>13118220039855</v>
          </cell>
          <cell r="D2886" t="str">
            <v>23118220039852</v>
          </cell>
          <cell r="E2886" t="str">
            <v>M24 STUDIO VERT DE GRIS PANTONE 5575C</v>
          </cell>
          <cell r="F2886">
            <v>6</v>
          </cell>
          <cell r="G2886">
            <v>6</v>
          </cell>
          <cell r="H2886">
            <v>27</v>
          </cell>
          <cell r="I2886">
            <v>20</v>
          </cell>
          <cell r="J2886">
            <v>25</v>
          </cell>
          <cell r="K2886">
            <v>4.843</v>
          </cell>
          <cell r="L2886">
            <v>0.8071666666666667</v>
          </cell>
          <cell r="M2886">
            <v>1.3500000000000002E-2</v>
          </cell>
        </row>
        <row r="2887">
          <cell r="A2887">
            <v>31260021</v>
          </cell>
          <cell r="B2887">
            <v>3118220028401</v>
          </cell>
          <cell r="E2887" t="str">
            <v>COUTEAU COTTAGE CUIR VRAC</v>
          </cell>
          <cell r="F2887">
            <v>600</v>
          </cell>
          <cell r="G2887">
            <v>600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</row>
        <row r="2888">
          <cell r="A2888">
            <v>31760001</v>
          </cell>
          <cell r="B2888">
            <v>3118220040656</v>
          </cell>
          <cell r="E2888" t="str">
            <v>COUTEAU IVOIRE TB COLLECTION ST GERMAIN VRAC + GENCOD</v>
          </cell>
          <cell r="F2888">
            <v>0</v>
          </cell>
          <cell r="G2888">
            <v>0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 t="e">
            <v>#DIV/0!</v>
          </cell>
          <cell r="M2888">
            <v>0</v>
          </cell>
        </row>
        <row r="2889">
          <cell r="A2889">
            <v>31760002</v>
          </cell>
          <cell r="B2889">
            <v>3118220040663</v>
          </cell>
          <cell r="E2889" t="str">
            <v>FOURCHETTE IVOIRE TB COLLECTION ST GERMAIN VRAC + GENCOD</v>
          </cell>
          <cell r="F2889">
            <v>0</v>
          </cell>
          <cell r="G2889">
            <v>0</v>
          </cell>
          <cell r="H2889">
            <v>0</v>
          </cell>
          <cell r="I2889">
            <v>0</v>
          </cell>
          <cell r="J2889">
            <v>0</v>
          </cell>
          <cell r="K2889">
            <v>0</v>
          </cell>
          <cell r="L2889" t="e">
            <v>#DIV/0!</v>
          </cell>
          <cell r="M2889">
            <v>0</v>
          </cell>
        </row>
        <row r="2890">
          <cell r="A2890">
            <v>31760003</v>
          </cell>
          <cell r="B2890">
            <v>3118220040670</v>
          </cell>
          <cell r="E2890" t="str">
            <v>CUILLERE IVOIRE TB COLLECTION ST GERMAIN VRAC + GENCOD</v>
          </cell>
          <cell r="F2890">
            <v>0</v>
          </cell>
          <cell r="G2890">
            <v>0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 t="e">
            <v>#DIV/0!</v>
          </cell>
          <cell r="M2890">
            <v>0</v>
          </cell>
        </row>
        <row r="2891">
          <cell r="A2891">
            <v>31760004</v>
          </cell>
          <cell r="B2891">
            <v>3118220040687</v>
          </cell>
          <cell r="E2891" t="str">
            <v>CAFE IVOIRE TB COLLECTION ST GERMAIN VRAC + GENCOD</v>
          </cell>
          <cell r="F2891">
            <v>0</v>
          </cell>
          <cell r="G2891">
            <v>0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 t="e">
            <v>#DIV/0!</v>
          </cell>
          <cell r="M2891">
            <v>0</v>
          </cell>
        </row>
        <row r="2892">
          <cell r="A2892">
            <v>31760005</v>
          </cell>
          <cell r="B2892">
            <v>3118220040694</v>
          </cell>
          <cell r="E2892" t="str">
            <v>COUTEAU NOIR BLEUTE TB COLLECTION ST GERMAIN VRAC +GENCOD</v>
          </cell>
          <cell r="F2892">
            <v>0</v>
          </cell>
          <cell r="G2892">
            <v>0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 t="e">
            <v>#DIV/0!</v>
          </cell>
          <cell r="M2892">
            <v>0</v>
          </cell>
        </row>
        <row r="2893">
          <cell r="A2893">
            <v>31760006</v>
          </cell>
          <cell r="B2893">
            <v>3118220040700</v>
          </cell>
          <cell r="E2893" t="str">
            <v>FOURCHETTE NOIR BLEUTE TB COLLECTION ST GERMAIN VRAC+GENCOD</v>
          </cell>
          <cell r="F2893">
            <v>0</v>
          </cell>
          <cell r="G2893">
            <v>0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 t="e">
            <v>#DIV/0!</v>
          </cell>
          <cell r="M2893">
            <v>0</v>
          </cell>
        </row>
        <row r="2894">
          <cell r="A2894">
            <v>31760007</v>
          </cell>
          <cell r="B2894">
            <v>3118220040717</v>
          </cell>
          <cell r="E2894" t="str">
            <v>CUILLERE NOIR BLEUTE TB COLLECTION ST GERMAIN VRAC + GENCOD</v>
          </cell>
          <cell r="F2894">
            <v>0</v>
          </cell>
          <cell r="G2894">
            <v>0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 t="e">
            <v>#DIV/0!</v>
          </cell>
          <cell r="M2894">
            <v>0</v>
          </cell>
        </row>
        <row r="2895">
          <cell r="A2895">
            <v>31760008</v>
          </cell>
          <cell r="B2895">
            <v>3118220040724</v>
          </cell>
          <cell r="E2895" t="str">
            <v>CAFE NOIR BLEUTE TB COLLECTION ST GERMAIN VRAC + GENCOD</v>
          </cell>
          <cell r="F2895">
            <v>0</v>
          </cell>
          <cell r="G2895">
            <v>0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 t="e">
            <v>#DIV/0!</v>
          </cell>
          <cell r="M2895">
            <v>0</v>
          </cell>
        </row>
        <row r="2896">
          <cell r="A2896">
            <v>31760009</v>
          </cell>
          <cell r="B2896">
            <v>3118220042643</v>
          </cell>
          <cell r="E2896" t="str">
            <v>M16 SAINT GERMAIN IVOIRE EN BOITE TB PREMIUM</v>
          </cell>
          <cell r="F2896">
            <v>6</v>
          </cell>
          <cell r="G2896">
            <v>6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</row>
        <row r="2897">
          <cell r="A2897">
            <v>31930001</v>
          </cell>
          <cell r="B2897">
            <v>3616957760934</v>
          </cell>
          <cell r="C2897" t="str">
            <v xml:space="preserve"> /</v>
          </cell>
          <cell r="D2897" t="str">
            <v>03616954319708</v>
          </cell>
          <cell r="E2897" t="str">
            <v>M24 LIGHT WOOD EN BOITE CARREFOUR HOME</v>
          </cell>
          <cell r="F2897">
            <v>3</v>
          </cell>
          <cell r="G2897">
            <v>3</v>
          </cell>
          <cell r="H2897">
            <v>25.5</v>
          </cell>
          <cell r="I2897">
            <v>16</v>
          </cell>
          <cell r="J2897">
            <v>29.5</v>
          </cell>
          <cell r="K2897">
            <v>3.54</v>
          </cell>
          <cell r="L2897">
            <v>1.18</v>
          </cell>
          <cell r="M2897">
            <v>1.2036E-2</v>
          </cell>
        </row>
        <row r="2898">
          <cell r="A2898">
            <v>31760010</v>
          </cell>
          <cell r="B2898">
            <v>3118220042650</v>
          </cell>
          <cell r="E2898" t="str">
            <v>M16 SAINT GERMAIN NOIR BLEUTE EN BOITE TB PREMIUM</v>
          </cell>
          <cell r="F2898">
            <v>6</v>
          </cell>
          <cell r="G2898">
            <v>6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</row>
        <row r="2899">
          <cell r="A2899">
            <v>31930002</v>
          </cell>
          <cell r="B2899">
            <v>3616957761245</v>
          </cell>
          <cell r="C2899" t="str">
            <v>03616955895034</v>
          </cell>
          <cell r="D2899" t="str">
            <v>03616954320018</v>
          </cell>
          <cell r="E2899" t="str">
            <v>COUTEAU LIGHT WOOD  CARREFOUR HOME</v>
          </cell>
          <cell r="F2899">
            <v>240</v>
          </cell>
          <cell r="G2899">
            <v>6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</row>
        <row r="2900">
          <cell r="A2900">
            <v>31930003</v>
          </cell>
          <cell r="B2900">
            <v>3616957761238</v>
          </cell>
          <cell r="C2900" t="str">
            <v>03616955895027</v>
          </cell>
          <cell r="D2900" t="str">
            <v>03616954320001</v>
          </cell>
          <cell r="E2900" t="str">
            <v>FOURCHETTE LIGHT WOOD  CARREFOUR HOME</v>
          </cell>
          <cell r="F2900">
            <v>240</v>
          </cell>
          <cell r="G2900">
            <v>6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</row>
        <row r="2901">
          <cell r="A2901">
            <v>31930004</v>
          </cell>
          <cell r="B2901">
            <v>3616957761269</v>
          </cell>
          <cell r="C2901" t="str">
            <v>03616955895058</v>
          </cell>
          <cell r="D2901" t="str">
            <v>03616954320032</v>
          </cell>
          <cell r="E2901" t="str">
            <v>CUILLERE LIGHT WOOD  CARREFOUR HOME</v>
          </cell>
          <cell r="F2901">
            <v>240</v>
          </cell>
          <cell r="G2901">
            <v>6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</row>
        <row r="2902">
          <cell r="A2902">
            <v>31930006</v>
          </cell>
          <cell r="B2902">
            <v>3118220048294</v>
          </cell>
          <cell r="C2902" t="str">
            <v>13118220048291</v>
          </cell>
          <cell r="D2902" t="str">
            <v>23118220048298</v>
          </cell>
          <cell r="E2902" t="str">
            <v>M24 DROP GREY WOOD EN BOITE TB COLLECTION</v>
          </cell>
          <cell r="F2902">
            <v>3</v>
          </cell>
          <cell r="G2902">
            <v>3</v>
          </cell>
          <cell r="H2902">
            <v>26</v>
          </cell>
          <cell r="I2902">
            <v>16</v>
          </cell>
          <cell r="J2902">
            <v>30</v>
          </cell>
          <cell r="K2902">
            <v>2.8769999999999998</v>
          </cell>
          <cell r="L2902">
            <v>0.95899999999999996</v>
          </cell>
          <cell r="M2902">
            <v>1.248E-2</v>
          </cell>
        </row>
        <row r="2903">
          <cell r="A2903">
            <v>31930007</v>
          </cell>
          <cell r="B2903">
            <v>3118220048300</v>
          </cell>
          <cell r="C2903" t="str">
            <v>13118220048307</v>
          </cell>
          <cell r="D2903" t="str">
            <v>23118220048304</v>
          </cell>
          <cell r="E2903" t="str">
            <v>COUTEAU DROP GREY WOOD</v>
          </cell>
          <cell r="F2903">
            <v>240</v>
          </cell>
          <cell r="G2903">
            <v>6</v>
          </cell>
          <cell r="H2903">
            <v>34.5</v>
          </cell>
          <cell r="I2903">
            <v>27.5</v>
          </cell>
          <cell r="J2903">
            <v>33</v>
          </cell>
          <cell r="K2903">
            <v>9.6</v>
          </cell>
          <cell r="L2903">
            <v>0.04</v>
          </cell>
          <cell r="M2903">
            <v>3.1308749999999996E-2</v>
          </cell>
        </row>
        <row r="2904">
          <cell r="A2904">
            <v>31930008</v>
          </cell>
          <cell r="B2904">
            <v>3118220048317</v>
          </cell>
          <cell r="C2904" t="str">
            <v>13118220048314</v>
          </cell>
          <cell r="D2904" t="str">
            <v>23118220048311</v>
          </cell>
          <cell r="E2904" t="str">
            <v>FOURCHETTE DROP GREY WOOD</v>
          </cell>
          <cell r="F2904">
            <v>240</v>
          </cell>
          <cell r="G2904">
            <v>6</v>
          </cell>
          <cell r="H2904">
            <v>38.5</v>
          </cell>
          <cell r="I2904">
            <v>25</v>
          </cell>
          <cell r="J2904">
            <v>32</v>
          </cell>
          <cell r="K2904">
            <v>9.6</v>
          </cell>
          <cell r="L2904">
            <v>0.04</v>
          </cell>
          <cell r="M2904">
            <v>3.0800000000000001E-2</v>
          </cell>
        </row>
        <row r="2905">
          <cell r="A2905">
            <v>31930009</v>
          </cell>
          <cell r="B2905">
            <v>3118220048324</v>
          </cell>
          <cell r="C2905" t="str">
            <v>13118220048321</v>
          </cell>
          <cell r="D2905" t="str">
            <v>23118220048328</v>
          </cell>
          <cell r="E2905" t="str">
            <v>CUILLERE DROP GREY WOOD</v>
          </cell>
          <cell r="F2905">
            <v>240</v>
          </cell>
          <cell r="G2905">
            <v>6</v>
          </cell>
          <cell r="H2905">
            <v>38</v>
          </cell>
          <cell r="I2905">
            <v>25</v>
          </cell>
          <cell r="J2905">
            <v>32</v>
          </cell>
          <cell r="K2905">
            <v>9.6</v>
          </cell>
          <cell r="L2905">
            <v>0.04</v>
          </cell>
          <cell r="M2905">
            <v>3.04E-2</v>
          </cell>
        </row>
        <row r="2906">
          <cell r="A2906">
            <v>31930010</v>
          </cell>
          <cell r="B2906">
            <v>3118220048331</v>
          </cell>
          <cell r="C2906" t="str">
            <v>13118220048338</v>
          </cell>
          <cell r="D2906" t="str">
            <v>23118220048335</v>
          </cell>
          <cell r="E2906" t="str">
            <v>CAFE DROP GREY WOOD</v>
          </cell>
          <cell r="F2906">
            <v>240</v>
          </cell>
          <cell r="G2906">
            <v>6</v>
          </cell>
          <cell r="H2906">
            <v>39</v>
          </cell>
          <cell r="I2906">
            <v>20</v>
          </cell>
          <cell r="J2906">
            <v>27</v>
          </cell>
          <cell r="K2906">
            <v>4.8</v>
          </cell>
          <cell r="L2906">
            <v>0.02</v>
          </cell>
          <cell r="M2906">
            <v>2.1060000000000002E-2</v>
          </cell>
        </row>
        <row r="2907">
          <cell r="A2907">
            <v>31930005</v>
          </cell>
          <cell r="B2907">
            <v>3616957761252</v>
          </cell>
          <cell r="C2907" t="str">
            <v>03616955895041</v>
          </cell>
          <cell r="D2907" t="str">
            <v>03616954320025</v>
          </cell>
          <cell r="E2907" t="str">
            <v>CAFE LIGHT WOOD CARREFOUR HOME</v>
          </cell>
          <cell r="F2907">
            <v>240</v>
          </cell>
          <cell r="G2907">
            <v>6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</row>
        <row r="2908">
          <cell r="A2908">
            <v>31930012</v>
          </cell>
          <cell r="B2908">
            <v>3616957761542</v>
          </cell>
          <cell r="C2908" t="str">
            <v>03616955895256</v>
          </cell>
          <cell r="D2908" t="str">
            <v>03616954320254</v>
          </cell>
          <cell r="E2908" t="str">
            <v>COUTEAU DARK WOOD CARREFOUR HOME</v>
          </cell>
          <cell r="F2908">
            <v>240</v>
          </cell>
          <cell r="G2908">
            <v>6</v>
          </cell>
          <cell r="H2908">
            <v>35</v>
          </cell>
          <cell r="I2908">
            <v>28</v>
          </cell>
          <cell r="J2908">
            <v>33</v>
          </cell>
          <cell r="K2908">
            <v>0</v>
          </cell>
          <cell r="L2908">
            <v>0</v>
          </cell>
          <cell r="M2908">
            <v>3.2339999999999994E-2</v>
          </cell>
        </row>
        <row r="2909">
          <cell r="A2909">
            <v>31930013</v>
          </cell>
          <cell r="B2909">
            <v>3616957761535</v>
          </cell>
          <cell r="C2909" t="str">
            <v>03616955895249</v>
          </cell>
          <cell r="D2909" t="str">
            <v>03616954320247</v>
          </cell>
          <cell r="E2909" t="str">
            <v>FOURCHETTE DARK WOOD CARREFOUR HOME</v>
          </cell>
          <cell r="F2909">
            <v>240</v>
          </cell>
          <cell r="G2909">
            <v>6</v>
          </cell>
          <cell r="H2909">
            <v>38</v>
          </cell>
          <cell r="I2909">
            <v>24.5</v>
          </cell>
          <cell r="J2909">
            <v>32</v>
          </cell>
          <cell r="K2909">
            <v>0</v>
          </cell>
          <cell r="L2909">
            <v>0</v>
          </cell>
          <cell r="M2909">
            <v>2.9791999999999999E-2</v>
          </cell>
        </row>
        <row r="2910">
          <cell r="A2910">
            <v>31930014</v>
          </cell>
          <cell r="B2910">
            <v>3616957761566</v>
          </cell>
          <cell r="C2910" t="str">
            <v>03616955895270</v>
          </cell>
          <cell r="D2910" t="str">
            <v>03616954320278</v>
          </cell>
          <cell r="E2910" t="str">
            <v>CUILLERE DARK WOOD CARREFOUR HOME</v>
          </cell>
          <cell r="F2910">
            <v>240</v>
          </cell>
          <cell r="G2910">
            <v>6</v>
          </cell>
          <cell r="H2910">
            <v>38.5</v>
          </cell>
          <cell r="I2910">
            <v>25</v>
          </cell>
          <cell r="J2910">
            <v>32</v>
          </cell>
          <cell r="K2910">
            <v>0</v>
          </cell>
          <cell r="L2910">
            <v>0</v>
          </cell>
          <cell r="M2910">
            <v>3.0800000000000001E-2</v>
          </cell>
        </row>
        <row r="2911">
          <cell r="A2911">
            <v>31930015</v>
          </cell>
          <cell r="B2911">
            <v>3616957761559</v>
          </cell>
          <cell r="C2911" t="str">
            <v>03616955895263</v>
          </cell>
          <cell r="D2911" t="str">
            <v>03616954320261</v>
          </cell>
          <cell r="E2911" t="str">
            <v>CAFE DARK WOOD CARREFOUR HOME</v>
          </cell>
          <cell r="F2911">
            <v>240</v>
          </cell>
          <cell r="G2911">
            <v>6</v>
          </cell>
          <cell r="H2911">
            <v>37.5</v>
          </cell>
          <cell r="I2911">
            <v>20</v>
          </cell>
          <cell r="J2911">
            <v>27.5</v>
          </cell>
          <cell r="K2911">
            <v>0</v>
          </cell>
          <cell r="L2911">
            <v>0</v>
          </cell>
          <cell r="M2911">
            <v>2.0625000000000001E-2</v>
          </cell>
        </row>
        <row r="2912">
          <cell r="A2912">
            <v>31930016</v>
          </cell>
          <cell r="B2912">
            <v>3118220048195</v>
          </cell>
          <cell r="C2912" t="str">
            <v>13118220048192</v>
          </cell>
          <cell r="D2912" t="str">
            <v>23118220048199</v>
          </cell>
          <cell r="E2912" t="str">
            <v>COUTEAU DROP LIGHT WOOD</v>
          </cell>
          <cell r="F2912">
            <v>240</v>
          </cell>
          <cell r="G2912">
            <v>6</v>
          </cell>
          <cell r="H2912">
            <v>34.5</v>
          </cell>
          <cell r="I2912">
            <v>27</v>
          </cell>
          <cell r="J2912">
            <v>32</v>
          </cell>
          <cell r="K2912">
            <v>0</v>
          </cell>
          <cell r="L2912">
            <v>0</v>
          </cell>
          <cell r="M2912">
            <v>2.9807999999999998E-2</v>
          </cell>
        </row>
        <row r="2913">
          <cell r="A2913">
            <v>31930017</v>
          </cell>
          <cell r="B2913">
            <v>3118220048201</v>
          </cell>
          <cell r="C2913" t="str">
            <v>13118220048208</v>
          </cell>
          <cell r="D2913" t="str">
            <v>23118220048205</v>
          </cell>
          <cell r="E2913" t="str">
            <v>FOURCHETTE DROP LIGHT WOOD</v>
          </cell>
          <cell r="F2913">
            <v>240</v>
          </cell>
          <cell r="G2913">
            <v>6</v>
          </cell>
          <cell r="H2913">
            <v>39</v>
          </cell>
          <cell r="I2913">
            <v>25</v>
          </cell>
          <cell r="J2913">
            <v>32</v>
          </cell>
          <cell r="K2913">
            <v>0</v>
          </cell>
          <cell r="L2913">
            <v>0</v>
          </cell>
          <cell r="M2913">
            <v>3.1200000000000002E-2</v>
          </cell>
        </row>
        <row r="2914">
          <cell r="A2914">
            <v>31930018</v>
          </cell>
          <cell r="B2914">
            <v>3118220048218</v>
          </cell>
          <cell r="C2914" t="str">
            <v>13118220048215</v>
          </cell>
          <cell r="D2914" t="str">
            <v>23118220048212</v>
          </cell>
          <cell r="E2914" t="str">
            <v>CUILLERE DROP LIGHT WOOD</v>
          </cell>
          <cell r="F2914">
            <v>240</v>
          </cell>
          <cell r="G2914">
            <v>6</v>
          </cell>
          <cell r="H2914">
            <v>38.5</v>
          </cell>
          <cell r="I2914">
            <v>25</v>
          </cell>
          <cell r="J2914">
            <v>32</v>
          </cell>
          <cell r="K2914">
            <v>0</v>
          </cell>
          <cell r="L2914">
            <v>0</v>
          </cell>
          <cell r="M2914">
            <v>3.0800000000000001E-2</v>
          </cell>
        </row>
        <row r="2915">
          <cell r="A2915">
            <v>31930019</v>
          </cell>
          <cell r="B2915">
            <v>3118220048225</v>
          </cell>
          <cell r="C2915" t="str">
            <v>13118220048222</v>
          </cell>
          <cell r="D2915" t="str">
            <v>23118220048229</v>
          </cell>
          <cell r="E2915" t="str">
            <v>CAFE DROP LIGHT WOOD</v>
          </cell>
          <cell r="F2915">
            <v>240</v>
          </cell>
          <cell r="G2915">
            <v>6</v>
          </cell>
          <cell r="H2915">
            <v>38.5</v>
          </cell>
          <cell r="I2915">
            <v>20.5</v>
          </cell>
          <cell r="J2915">
            <v>27</v>
          </cell>
          <cell r="K2915">
            <v>0</v>
          </cell>
          <cell r="L2915">
            <v>0</v>
          </cell>
          <cell r="M2915">
            <v>2.1309749999999999E-2</v>
          </cell>
        </row>
        <row r="2916">
          <cell r="A2916">
            <v>31930020</v>
          </cell>
          <cell r="B2916">
            <v>3118220048232</v>
          </cell>
          <cell r="C2916" t="str">
            <v>13118220048239</v>
          </cell>
          <cell r="D2916" t="str">
            <v>23118220048236</v>
          </cell>
          <cell r="E2916" t="str">
            <v>M24 DROP LIGHT WOOD EN BOITE</v>
          </cell>
          <cell r="F2916">
            <v>3</v>
          </cell>
          <cell r="G2916">
            <v>3</v>
          </cell>
          <cell r="H2916">
            <v>26.5</v>
          </cell>
          <cell r="I2916">
            <v>16.5</v>
          </cell>
          <cell r="J2916">
            <v>30.5</v>
          </cell>
          <cell r="K2916">
            <v>0</v>
          </cell>
          <cell r="L2916">
            <v>0</v>
          </cell>
          <cell r="M2916">
            <v>1.3336125000000002E-2</v>
          </cell>
        </row>
        <row r="2917">
          <cell r="A2917">
            <v>31930021</v>
          </cell>
          <cell r="B2917">
            <v>3118220048249</v>
          </cell>
          <cell r="C2917" t="str">
            <v>13118220048246</v>
          </cell>
          <cell r="D2917" t="str">
            <v>23118220048243</v>
          </cell>
          <cell r="E2917" t="str">
            <v>COUTEAU DROP DARK WOOD</v>
          </cell>
          <cell r="F2917">
            <v>240</v>
          </cell>
          <cell r="G2917">
            <v>6</v>
          </cell>
          <cell r="H2917">
            <v>35</v>
          </cell>
          <cell r="I2917">
            <v>28</v>
          </cell>
          <cell r="J2917">
            <v>33</v>
          </cell>
          <cell r="K2917">
            <v>0</v>
          </cell>
          <cell r="L2917">
            <v>0</v>
          </cell>
          <cell r="M2917">
            <v>3.2339999999999994E-2</v>
          </cell>
        </row>
        <row r="2918">
          <cell r="A2918">
            <v>31930022</v>
          </cell>
          <cell r="B2918">
            <v>3118220048256</v>
          </cell>
          <cell r="C2918" t="str">
            <v>13118220048253</v>
          </cell>
          <cell r="D2918" t="str">
            <v>23118220048250</v>
          </cell>
          <cell r="E2918" t="str">
            <v>FOURCHETTE DROP DARK WOOD</v>
          </cell>
          <cell r="F2918">
            <v>240</v>
          </cell>
          <cell r="G2918">
            <v>6</v>
          </cell>
          <cell r="H2918">
            <v>38</v>
          </cell>
          <cell r="I2918">
            <v>24.5</v>
          </cell>
          <cell r="J2918">
            <v>32</v>
          </cell>
          <cell r="K2918">
            <v>0</v>
          </cell>
          <cell r="L2918">
            <v>0</v>
          </cell>
          <cell r="M2918">
            <v>2.9791999999999999E-2</v>
          </cell>
        </row>
        <row r="2919">
          <cell r="A2919">
            <v>31930023</v>
          </cell>
          <cell r="B2919">
            <v>3118220048263</v>
          </cell>
          <cell r="C2919" t="str">
            <v>13118220048260</v>
          </cell>
          <cell r="D2919" t="str">
            <v>23118220048267</v>
          </cell>
          <cell r="E2919" t="str">
            <v>CUILLERE DROP DARK WOOD</v>
          </cell>
          <cell r="F2919">
            <v>240</v>
          </cell>
          <cell r="G2919">
            <v>6</v>
          </cell>
          <cell r="H2919">
            <v>38.5</v>
          </cell>
          <cell r="I2919">
            <v>25</v>
          </cell>
          <cell r="J2919">
            <v>32</v>
          </cell>
          <cell r="K2919">
            <v>0</v>
          </cell>
          <cell r="L2919">
            <v>0</v>
          </cell>
          <cell r="M2919">
            <v>3.0800000000000001E-2</v>
          </cell>
        </row>
        <row r="2920">
          <cell r="A2920">
            <v>31930024</v>
          </cell>
          <cell r="B2920">
            <v>3118220048270</v>
          </cell>
          <cell r="C2920" t="str">
            <v>13118220048277</v>
          </cell>
          <cell r="D2920" t="str">
            <v>23118220048274</v>
          </cell>
          <cell r="E2920" t="str">
            <v>CAFE DROP DARK WOOD</v>
          </cell>
          <cell r="F2920">
            <v>240</v>
          </cell>
          <cell r="G2920">
            <v>6</v>
          </cell>
          <cell r="H2920">
            <v>37.5</v>
          </cell>
          <cell r="I2920">
            <v>20</v>
          </cell>
          <cell r="J2920">
            <v>27.5</v>
          </cell>
          <cell r="K2920">
            <v>0</v>
          </cell>
          <cell r="L2920">
            <v>0</v>
          </cell>
          <cell r="M2920">
            <v>2.0625000000000001E-2</v>
          </cell>
        </row>
        <row r="2921">
          <cell r="A2921">
            <v>31930025</v>
          </cell>
          <cell r="B2921">
            <v>3118220048287</v>
          </cell>
          <cell r="C2921" t="str">
            <v>13118220048284</v>
          </cell>
          <cell r="D2921" t="str">
            <v>23118220048281</v>
          </cell>
          <cell r="E2921" t="str">
            <v>M24 DROP DARK WOOD EN BOITE</v>
          </cell>
          <cell r="F2921">
            <v>3</v>
          </cell>
          <cell r="G2921">
            <v>3</v>
          </cell>
          <cell r="H2921">
            <v>25.5</v>
          </cell>
          <cell r="I2921">
            <v>16.5</v>
          </cell>
          <cell r="J2921">
            <v>30</v>
          </cell>
          <cell r="K2921">
            <v>3.14</v>
          </cell>
          <cell r="L2921">
            <v>1.0466666666666666</v>
          </cell>
          <cell r="M2921">
            <v>1.2622500000000002E-2</v>
          </cell>
        </row>
        <row r="2922">
          <cell r="A2922">
            <v>31930026</v>
          </cell>
          <cell r="B2922">
            <v>3118220049604</v>
          </cell>
          <cell r="C2922" t="str">
            <v>13118220049601</v>
          </cell>
          <cell r="D2922" t="str">
            <v>23118220049608</v>
          </cell>
          <cell r="E2922" t="str">
            <v>M24 DROP  LIGHT WOOD EN BOITE TB COLLECTION</v>
          </cell>
          <cell r="F2922">
            <v>3</v>
          </cell>
          <cell r="G2922">
            <v>3</v>
          </cell>
          <cell r="H2922">
            <v>25.5</v>
          </cell>
          <cell r="I2922">
            <v>16.5</v>
          </cell>
          <cell r="J2922">
            <v>30</v>
          </cell>
          <cell r="K2922">
            <v>3.14</v>
          </cell>
          <cell r="L2922">
            <v>1.0466666666666666</v>
          </cell>
          <cell r="M2922">
            <v>1.2622500000000002E-2</v>
          </cell>
        </row>
        <row r="2923">
          <cell r="A2923">
            <v>31930027</v>
          </cell>
          <cell r="B2923">
            <v>3118220049611</v>
          </cell>
          <cell r="C2923" t="str">
            <v>13118220049618</v>
          </cell>
          <cell r="D2923" t="str">
            <v>23118220049615</v>
          </cell>
          <cell r="E2923" t="str">
            <v>M24 DROP DARK WOOD EN BOITE TB COLLECTION</v>
          </cell>
          <cell r="F2923">
            <v>3</v>
          </cell>
          <cell r="G2923">
            <v>3</v>
          </cell>
          <cell r="H2923">
            <v>26</v>
          </cell>
          <cell r="I2923">
            <v>16</v>
          </cell>
          <cell r="J2923">
            <v>30</v>
          </cell>
          <cell r="K2923">
            <v>3.13</v>
          </cell>
          <cell r="L2923">
            <v>1.0433333333333332</v>
          </cell>
          <cell r="M2923">
            <v>1.248E-2</v>
          </cell>
        </row>
        <row r="2924">
          <cell r="A2924">
            <v>32000001</v>
          </cell>
          <cell r="B2924">
            <v>3118220051324</v>
          </cell>
          <cell r="C2924">
            <v>13118220051321</v>
          </cell>
          <cell r="D2924">
            <v>23118220051328</v>
          </cell>
          <cell r="E2924" t="str">
            <v>M24 PASSION NOIR 6C BOITE LAGUIOLE HERITAGE</v>
          </cell>
          <cell r="F2924">
            <v>6</v>
          </cell>
          <cell r="G2924">
            <v>6</v>
          </cell>
          <cell r="H2924">
            <v>30</v>
          </cell>
          <cell r="I2924">
            <v>26</v>
          </cell>
          <cell r="J2924">
            <v>30.5</v>
          </cell>
          <cell r="K2924">
            <v>6.6</v>
          </cell>
          <cell r="L2924">
            <v>1.0999999999999999</v>
          </cell>
          <cell r="M2924">
            <v>2.3789999999999999E-2</v>
          </cell>
        </row>
        <row r="2925">
          <cell r="A2925">
            <v>32000002</v>
          </cell>
          <cell r="B2925">
            <v>3118220051331</v>
          </cell>
          <cell r="C2925">
            <v>13118220051338</v>
          </cell>
          <cell r="D2925">
            <v>23118220051335</v>
          </cell>
          <cell r="E2925" t="str">
            <v>M24 PASSION BLANC BOITE LAGUIOLE HERITAGE</v>
          </cell>
          <cell r="F2925">
            <v>6</v>
          </cell>
          <cell r="G2925">
            <v>6</v>
          </cell>
          <cell r="H2925">
            <v>30</v>
          </cell>
          <cell r="I2925">
            <v>26</v>
          </cell>
          <cell r="J2925">
            <v>30.5</v>
          </cell>
          <cell r="K2925">
            <v>6.6</v>
          </cell>
          <cell r="L2925">
            <v>1.0999999999999999</v>
          </cell>
          <cell r="M2925">
            <v>2.3789999999999999E-2</v>
          </cell>
        </row>
        <row r="2926">
          <cell r="A2926">
            <v>32000003</v>
          </cell>
          <cell r="B2926">
            <v>3118220051348</v>
          </cell>
          <cell r="C2926">
            <v>13118220051345</v>
          </cell>
          <cell r="D2926">
            <v>23118220051342</v>
          </cell>
          <cell r="E2926" t="str">
            <v>M24 PASSION GRIS 7C BOITE LAGUIOLE HERITAGE</v>
          </cell>
          <cell r="F2926">
            <v>6</v>
          </cell>
          <cell r="G2926">
            <v>6</v>
          </cell>
          <cell r="H2926">
            <v>30</v>
          </cell>
          <cell r="I2926">
            <v>26</v>
          </cell>
          <cell r="J2926">
            <v>30.5</v>
          </cell>
          <cell r="K2926">
            <v>6.6</v>
          </cell>
          <cell r="L2926">
            <v>1.0999999999999999</v>
          </cell>
          <cell r="M2926">
            <v>2.3789999999999999E-2</v>
          </cell>
        </row>
        <row r="2927">
          <cell r="A2927">
            <v>32000004</v>
          </cell>
          <cell r="B2927">
            <v>3118220051355</v>
          </cell>
          <cell r="C2927">
            <v>13118220051352</v>
          </cell>
          <cell r="D2927">
            <v>23118220051359</v>
          </cell>
          <cell r="E2927" t="str">
            <v>M24 PASSION BLEU 432C BOITE LAGUIOLE HERITAGE</v>
          </cell>
          <cell r="F2927">
            <v>6</v>
          </cell>
          <cell r="G2927">
            <v>6</v>
          </cell>
          <cell r="H2927">
            <v>30</v>
          </cell>
          <cell r="I2927">
            <v>26</v>
          </cell>
          <cell r="J2927">
            <v>30.5</v>
          </cell>
          <cell r="K2927">
            <v>6.6</v>
          </cell>
          <cell r="L2927">
            <v>1.0999999999999999</v>
          </cell>
          <cell r="M2927">
            <v>2.3789999999999999E-2</v>
          </cell>
        </row>
        <row r="2928">
          <cell r="A2928">
            <v>32000005</v>
          </cell>
          <cell r="B2928">
            <v>3118220051362</v>
          </cell>
          <cell r="C2928">
            <v>13118220051369</v>
          </cell>
          <cell r="D2928">
            <v>23118220051366</v>
          </cell>
          <cell r="E2928" t="str">
            <v>M24 PASSION ROUGE 187C BOITE LAGUIOLE HERITAGE</v>
          </cell>
          <cell r="F2928">
            <v>6</v>
          </cell>
          <cell r="G2928">
            <v>6</v>
          </cell>
          <cell r="H2928">
            <v>30</v>
          </cell>
          <cell r="I2928">
            <v>26</v>
          </cell>
          <cell r="J2928">
            <v>30.5</v>
          </cell>
          <cell r="K2928">
            <v>6.6</v>
          </cell>
          <cell r="L2928">
            <v>1.0999999999999999</v>
          </cell>
          <cell r="M2928">
            <v>2.3789999999999999E-2</v>
          </cell>
        </row>
        <row r="2929">
          <cell r="A2929">
            <v>32000006</v>
          </cell>
          <cell r="B2929">
            <v>3118220051379</v>
          </cell>
          <cell r="C2929">
            <v>13118220051376</v>
          </cell>
          <cell r="D2929">
            <v>23118220051373</v>
          </cell>
          <cell r="E2929" t="str">
            <v>M24 PASSION VERT 5635C BOITE LAGUIOLE HERITAGE</v>
          </cell>
          <cell r="F2929">
            <v>6</v>
          </cell>
          <cell r="G2929">
            <v>6</v>
          </cell>
          <cell r="H2929">
            <v>30</v>
          </cell>
          <cell r="I2929">
            <v>26</v>
          </cell>
          <cell r="J2929">
            <v>30.5</v>
          </cell>
          <cell r="K2929">
            <v>6.6</v>
          </cell>
          <cell r="L2929">
            <v>1.0999999999999999</v>
          </cell>
          <cell r="M2929">
            <v>2.3789999999999999E-2</v>
          </cell>
        </row>
        <row r="2930">
          <cell r="A2930">
            <v>32000007</v>
          </cell>
          <cell r="B2930">
            <v>3118220051386</v>
          </cell>
          <cell r="C2930">
            <v>13118220051383</v>
          </cell>
          <cell r="D2930">
            <v>23118220051380</v>
          </cell>
          <cell r="E2930" t="str">
            <v>M24 PASSION IMIT BOIS CLAIR BOITE LAGUIOLE HERITAGE</v>
          </cell>
          <cell r="F2930">
            <v>6</v>
          </cell>
          <cell r="G2930">
            <v>6</v>
          </cell>
          <cell r="H2930">
            <v>30</v>
          </cell>
          <cell r="I2930">
            <v>26</v>
          </cell>
          <cell r="J2930">
            <v>30.5</v>
          </cell>
          <cell r="K2930">
            <v>6.6</v>
          </cell>
          <cell r="L2930">
            <v>1.0999999999999999</v>
          </cell>
          <cell r="M2930">
            <v>2.3789999999999999E-2</v>
          </cell>
        </row>
        <row r="2931">
          <cell r="A2931">
            <v>32000008</v>
          </cell>
          <cell r="B2931">
            <v>3118220051393</v>
          </cell>
          <cell r="C2931">
            <v>13118220051390</v>
          </cell>
          <cell r="D2931">
            <v>23118220051397</v>
          </cell>
          <cell r="E2931" t="str">
            <v>M24 PASSION IMIT BOIS GRIS BOITE LAGUIOLE HERITAGE</v>
          </cell>
          <cell r="F2931">
            <v>6</v>
          </cell>
          <cell r="G2931">
            <v>6</v>
          </cell>
          <cell r="H2931">
            <v>30</v>
          </cell>
          <cell r="I2931">
            <v>26</v>
          </cell>
          <cell r="J2931">
            <v>30.5</v>
          </cell>
          <cell r="K2931">
            <v>6.6</v>
          </cell>
          <cell r="L2931">
            <v>1.0999999999999999</v>
          </cell>
          <cell r="M2931">
            <v>2.3789999999999999E-2</v>
          </cell>
        </row>
        <row r="2932">
          <cell r="A2932">
            <v>32000009</v>
          </cell>
          <cell r="B2932">
            <v>3118220051409</v>
          </cell>
          <cell r="C2932">
            <v>13118220051406</v>
          </cell>
          <cell r="D2932">
            <v>23118220051403</v>
          </cell>
          <cell r="E2932" t="str">
            <v>M24 PASSION IMIT BOIS FONCE BOITE LAGUIOLE HERITAGE</v>
          </cell>
          <cell r="F2932">
            <v>6</v>
          </cell>
          <cell r="G2932">
            <v>6</v>
          </cell>
          <cell r="H2932">
            <v>30</v>
          </cell>
          <cell r="I2932">
            <v>26</v>
          </cell>
          <cell r="J2932">
            <v>30.5</v>
          </cell>
          <cell r="K2932">
            <v>6.6</v>
          </cell>
          <cell r="L2932">
            <v>1.0999999999999999</v>
          </cell>
          <cell r="M2932">
            <v>2.3789999999999999E-2</v>
          </cell>
        </row>
        <row r="2933">
          <cell r="A2933">
            <v>32000010</v>
          </cell>
          <cell r="B2933">
            <v>3118220051416</v>
          </cell>
          <cell r="C2933" t="str">
            <v>13118220051413</v>
          </cell>
          <cell r="D2933" t="str">
            <v>23118220051410</v>
          </cell>
          <cell r="E2933" t="str">
            <v>COUTEAU LAGUIOLE PASSION ABS GRIS 7C + GENCOD</v>
          </cell>
          <cell r="F2933">
            <v>240</v>
          </cell>
          <cell r="G2933">
            <v>6</v>
          </cell>
          <cell r="H2933">
            <v>34</v>
          </cell>
          <cell r="I2933">
            <v>27</v>
          </cell>
          <cell r="J2933">
            <v>32</v>
          </cell>
          <cell r="K2933">
            <v>0</v>
          </cell>
          <cell r="L2933">
            <v>0</v>
          </cell>
          <cell r="M2933">
            <v>2.9376000000000006E-2</v>
          </cell>
        </row>
        <row r="2934">
          <cell r="A2934">
            <v>32000011</v>
          </cell>
          <cell r="B2934">
            <v>3118220051423</v>
          </cell>
          <cell r="C2934" t="str">
            <v>13118220051420</v>
          </cell>
          <cell r="D2934" t="str">
            <v>23118220051427</v>
          </cell>
          <cell r="E2934" t="str">
            <v>FOURCHETTE LAGUIOLE PASSION ABS GRIS 7C + GENCOD</v>
          </cell>
          <cell r="F2934">
            <v>240</v>
          </cell>
          <cell r="G2934">
            <v>6</v>
          </cell>
          <cell r="H2934">
            <v>38</v>
          </cell>
          <cell r="I2934">
            <v>24.5</v>
          </cell>
          <cell r="J2934">
            <v>32</v>
          </cell>
          <cell r="K2934">
            <v>0</v>
          </cell>
          <cell r="L2934">
            <v>0</v>
          </cell>
          <cell r="M2934">
            <v>2.9791999999999999E-2</v>
          </cell>
        </row>
        <row r="2935">
          <cell r="A2935">
            <v>32000012</v>
          </cell>
          <cell r="B2935">
            <v>3118220051430</v>
          </cell>
          <cell r="C2935" t="str">
            <v>13118220051437</v>
          </cell>
          <cell r="D2935" t="str">
            <v>23118220051434</v>
          </cell>
          <cell r="E2935" t="str">
            <v>CUILLERE LAGUIOLE PASSION ABS GRIS 7C + GENCOD</v>
          </cell>
          <cell r="F2935">
            <v>240</v>
          </cell>
          <cell r="G2935">
            <v>6</v>
          </cell>
          <cell r="H2935">
            <v>38</v>
          </cell>
          <cell r="I2935">
            <v>24.5</v>
          </cell>
          <cell r="J2935">
            <v>32</v>
          </cell>
          <cell r="K2935">
            <v>0</v>
          </cell>
          <cell r="L2935">
            <v>0</v>
          </cell>
          <cell r="M2935">
            <v>2.9791999999999999E-2</v>
          </cell>
        </row>
        <row r="2936">
          <cell r="A2936">
            <v>32000013</v>
          </cell>
          <cell r="B2936">
            <v>3118220051447</v>
          </cell>
          <cell r="C2936" t="str">
            <v>13118220051444</v>
          </cell>
          <cell r="D2936" t="str">
            <v>23118220051441</v>
          </cell>
          <cell r="E2936" t="str">
            <v>CAFE LAGUIOLE PASSION ABS GRIS 7C + GENCOD</v>
          </cell>
          <cell r="F2936">
            <v>240</v>
          </cell>
          <cell r="G2936">
            <v>6</v>
          </cell>
          <cell r="H2936">
            <v>38</v>
          </cell>
          <cell r="I2936">
            <v>20</v>
          </cell>
          <cell r="J2936">
            <v>27</v>
          </cell>
          <cell r="K2936">
            <v>0</v>
          </cell>
          <cell r="L2936">
            <v>0</v>
          </cell>
          <cell r="M2936">
            <v>2.052E-2</v>
          </cell>
        </row>
        <row r="2937">
          <cell r="A2937">
            <v>32000014</v>
          </cell>
          <cell r="B2937">
            <v>3118220051454</v>
          </cell>
          <cell r="C2937" t="str">
            <v>13118220051451</v>
          </cell>
          <cell r="D2937" t="str">
            <v>23118220051458</v>
          </cell>
          <cell r="E2937" t="str">
            <v>COUTEAU LAGUIOLE PASSION ABS ROUGE 187C + GENCOD</v>
          </cell>
          <cell r="F2937">
            <v>240</v>
          </cell>
          <cell r="G2937">
            <v>6</v>
          </cell>
          <cell r="H2937">
            <v>34</v>
          </cell>
          <cell r="I2937">
            <v>27</v>
          </cell>
          <cell r="J2937">
            <v>32</v>
          </cell>
          <cell r="K2937">
            <v>0</v>
          </cell>
          <cell r="L2937">
            <v>0</v>
          </cell>
          <cell r="M2937">
            <v>2.9376000000000006E-2</v>
          </cell>
        </row>
        <row r="2938">
          <cell r="A2938">
            <v>32000015</v>
          </cell>
          <cell r="B2938">
            <v>3118220051461</v>
          </cell>
          <cell r="C2938" t="str">
            <v>13118220051468</v>
          </cell>
          <cell r="D2938" t="str">
            <v>23118220051465</v>
          </cell>
          <cell r="E2938" t="str">
            <v>FOURCHETTE LAGUIOLE PASSION ABS ROUGE 187C + GENCOD</v>
          </cell>
          <cell r="F2938">
            <v>240</v>
          </cell>
          <cell r="G2938">
            <v>6</v>
          </cell>
          <cell r="H2938">
            <v>38</v>
          </cell>
          <cell r="I2938">
            <v>24.5</v>
          </cell>
          <cell r="J2938">
            <v>32</v>
          </cell>
          <cell r="K2938">
            <v>0</v>
          </cell>
          <cell r="L2938">
            <v>0</v>
          </cell>
          <cell r="M2938">
            <v>2.9791999999999999E-2</v>
          </cell>
        </row>
        <row r="2939">
          <cell r="A2939">
            <v>32000016</v>
          </cell>
          <cell r="B2939">
            <v>3118220051478</v>
          </cell>
          <cell r="C2939" t="str">
            <v>13118220051475</v>
          </cell>
          <cell r="D2939" t="str">
            <v>23118220051472</v>
          </cell>
          <cell r="E2939" t="str">
            <v>CUILLERE LAGUIOLE PASSION ABS ROUGE 187C + GENCOD</v>
          </cell>
          <cell r="F2939">
            <v>240</v>
          </cell>
          <cell r="G2939">
            <v>6</v>
          </cell>
          <cell r="H2939">
            <v>38</v>
          </cell>
          <cell r="I2939">
            <v>24.5</v>
          </cell>
          <cell r="J2939">
            <v>32</v>
          </cell>
          <cell r="K2939">
            <v>0</v>
          </cell>
          <cell r="L2939">
            <v>0</v>
          </cell>
          <cell r="M2939">
            <v>2.9791999999999999E-2</v>
          </cell>
        </row>
        <row r="2940">
          <cell r="A2940">
            <v>32000017</v>
          </cell>
          <cell r="B2940">
            <v>3118220051485</v>
          </cell>
          <cell r="C2940" t="str">
            <v>13118220051482</v>
          </cell>
          <cell r="D2940" t="str">
            <v>23118220051489</v>
          </cell>
          <cell r="E2940" t="str">
            <v>CAFE LAGUIOLE PASSION ABS ROUGE 187C + GENCOD</v>
          </cell>
          <cell r="F2940">
            <v>240</v>
          </cell>
          <cell r="G2940">
            <v>6</v>
          </cell>
          <cell r="H2940">
            <v>38</v>
          </cell>
          <cell r="I2940">
            <v>20</v>
          </cell>
          <cell r="J2940">
            <v>27</v>
          </cell>
          <cell r="K2940">
            <v>0</v>
          </cell>
          <cell r="L2940">
            <v>0</v>
          </cell>
          <cell r="M2940">
            <v>2.052E-2</v>
          </cell>
        </row>
        <row r="2941">
          <cell r="A2941">
            <v>32000018</v>
          </cell>
          <cell r="B2941">
            <v>3118220051492</v>
          </cell>
          <cell r="C2941" t="str">
            <v>13118220051499</v>
          </cell>
          <cell r="D2941" t="str">
            <v>23118220051496</v>
          </cell>
          <cell r="E2941" t="str">
            <v>COUTEAU LAGUIOLE PASSION ABS VERT 5635C + GENCOD</v>
          </cell>
          <cell r="F2941">
            <v>240</v>
          </cell>
          <cell r="G2941">
            <v>6</v>
          </cell>
          <cell r="H2941">
            <v>34</v>
          </cell>
          <cell r="I2941">
            <v>27</v>
          </cell>
          <cell r="J2941">
            <v>32</v>
          </cell>
          <cell r="K2941">
            <v>0</v>
          </cell>
          <cell r="L2941">
            <v>0</v>
          </cell>
          <cell r="M2941">
            <v>2.9376000000000006E-2</v>
          </cell>
        </row>
        <row r="2942">
          <cell r="A2942">
            <v>32000019</v>
          </cell>
          <cell r="B2942">
            <v>3118220051508</v>
          </cell>
          <cell r="C2942" t="str">
            <v>13118220051505</v>
          </cell>
          <cell r="D2942" t="str">
            <v>23118220051502</v>
          </cell>
          <cell r="E2942" t="str">
            <v>FOURCHETTE LAGUIOLE PASSION ABS VERT 5635C + GENCOD</v>
          </cell>
          <cell r="F2942">
            <v>240</v>
          </cell>
          <cell r="G2942">
            <v>6</v>
          </cell>
          <cell r="H2942">
            <v>38</v>
          </cell>
          <cell r="I2942">
            <v>24.5</v>
          </cell>
          <cell r="J2942">
            <v>32</v>
          </cell>
          <cell r="K2942">
            <v>0</v>
          </cell>
          <cell r="L2942">
            <v>0</v>
          </cell>
          <cell r="M2942">
            <v>2.9791999999999999E-2</v>
          </cell>
        </row>
        <row r="2943">
          <cell r="A2943">
            <v>32000020</v>
          </cell>
          <cell r="B2943">
            <v>3118220051515</v>
          </cell>
          <cell r="C2943" t="str">
            <v>13118220051512</v>
          </cell>
          <cell r="D2943" t="str">
            <v>23118220051519</v>
          </cell>
          <cell r="E2943" t="str">
            <v>CUILLERE LAGUIOLE PASSION ABS VERT 5635C + GENCOD</v>
          </cell>
          <cell r="F2943">
            <v>240</v>
          </cell>
          <cell r="G2943">
            <v>6</v>
          </cell>
          <cell r="H2943">
            <v>38</v>
          </cell>
          <cell r="I2943">
            <v>24.5</v>
          </cell>
          <cell r="J2943">
            <v>32</v>
          </cell>
          <cell r="K2943">
            <v>0</v>
          </cell>
          <cell r="L2943">
            <v>0</v>
          </cell>
          <cell r="M2943">
            <v>2.9791999999999999E-2</v>
          </cell>
        </row>
        <row r="2944">
          <cell r="A2944">
            <v>32000021</v>
          </cell>
          <cell r="B2944">
            <v>3118220051522</v>
          </cell>
          <cell r="C2944" t="str">
            <v>13118220051529</v>
          </cell>
          <cell r="D2944" t="str">
            <v>23118220051526</v>
          </cell>
          <cell r="E2944" t="str">
            <v>CAFE LAGUIOLE PASSION ABS VERT 5635C + GENCOD</v>
          </cell>
          <cell r="F2944">
            <v>240</v>
          </cell>
          <cell r="G2944">
            <v>6</v>
          </cell>
          <cell r="H2944">
            <v>38</v>
          </cell>
          <cell r="I2944">
            <v>20</v>
          </cell>
          <cell r="J2944">
            <v>27</v>
          </cell>
          <cell r="K2944">
            <v>0</v>
          </cell>
          <cell r="L2944">
            <v>0</v>
          </cell>
          <cell r="M2944">
            <v>2.052E-2</v>
          </cell>
        </row>
        <row r="2945">
          <cell r="A2945">
            <v>32000022</v>
          </cell>
          <cell r="B2945">
            <v>3118220052420</v>
          </cell>
          <cell r="C2945" t="str">
            <v>13118220052427</v>
          </cell>
          <cell r="D2945" t="str">
            <v>23118220052424</v>
          </cell>
          <cell r="E2945" t="str">
            <v>COUTEAU LAGUIOLE PASSION ABS NOIR 6C + GENCOD</v>
          </cell>
          <cell r="F2945">
            <v>240</v>
          </cell>
          <cell r="G2945">
            <v>6</v>
          </cell>
          <cell r="H2945">
            <v>34</v>
          </cell>
          <cell r="I2945">
            <v>27</v>
          </cell>
          <cell r="J2945">
            <v>32</v>
          </cell>
          <cell r="K2945">
            <v>0</v>
          </cell>
          <cell r="L2945">
            <v>0</v>
          </cell>
          <cell r="M2945">
            <v>2.9376000000000006E-2</v>
          </cell>
        </row>
        <row r="2946">
          <cell r="A2946">
            <v>32000023</v>
          </cell>
          <cell r="B2946">
            <v>3118220052437</v>
          </cell>
          <cell r="C2946" t="str">
            <v>13118220052434</v>
          </cell>
          <cell r="D2946" t="str">
            <v>23118220052431</v>
          </cell>
          <cell r="E2946" t="str">
            <v>FOURCHETTE LAGUIOLE PASSION ABS NOIR 6C + GENCOD</v>
          </cell>
          <cell r="F2946">
            <v>240</v>
          </cell>
          <cell r="G2946">
            <v>6</v>
          </cell>
          <cell r="H2946">
            <v>38</v>
          </cell>
          <cell r="I2946">
            <v>24.5</v>
          </cell>
          <cell r="J2946">
            <v>32</v>
          </cell>
          <cell r="K2946">
            <v>0</v>
          </cell>
          <cell r="L2946">
            <v>0</v>
          </cell>
          <cell r="M2946">
            <v>2.9791999999999999E-2</v>
          </cell>
        </row>
        <row r="2947">
          <cell r="A2947">
            <v>32000024</v>
          </cell>
          <cell r="B2947">
            <v>3118220052444</v>
          </cell>
          <cell r="C2947" t="str">
            <v>13118220052441</v>
          </cell>
          <cell r="D2947" t="str">
            <v>23118220052448</v>
          </cell>
          <cell r="E2947" t="str">
            <v>CUILLERE LAGUIOLE PASSION ABS NOIR 6C + GENCOD</v>
          </cell>
          <cell r="F2947">
            <v>240</v>
          </cell>
          <cell r="G2947">
            <v>6</v>
          </cell>
          <cell r="H2947">
            <v>38</v>
          </cell>
          <cell r="I2947">
            <v>24.5</v>
          </cell>
          <cell r="J2947">
            <v>32</v>
          </cell>
          <cell r="K2947">
            <v>0</v>
          </cell>
          <cell r="L2947">
            <v>0</v>
          </cell>
          <cell r="M2947">
            <v>2.9791999999999999E-2</v>
          </cell>
        </row>
        <row r="2948">
          <cell r="A2948">
            <v>32000025</v>
          </cell>
          <cell r="B2948">
            <v>3118220052451</v>
          </cell>
          <cell r="C2948" t="str">
            <v>13118220052458</v>
          </cell>
          <cell r="D2948" t="str">
            <v>23118220052455</v>
          </cell>
          <cell r="E2948" t="str">
            <v>CAFE LAGUIOLE PASSION ABS NOIR 6C + GENCOD</v>
          </cell>
          <cell r="F2948">
            <v>240</v>
          </cell>
          <cell r="G2948">
            <v>6</v>
          </cell>
          <cell r="H2948">
            <v>38</v>
          </cell>
          <cell r="I2948">
            <v>20</v>
          </cell>
          <cell r="J2948">
            <v>27</v>
          </cell>
          <cell r="K2948">
            <v>0</v>
          </cell>
          <cell r="L2948">
            <v>0</v>
          </cell>
          <cell r="M2948">
            <v>2.052E-2</v>
          </cell>
        </row>
        <row r="2949">
          <cell r="A2949">
            <v>32000026</v>
          </cell>
          <cell r="B2949">
            <v>3118220052468</v>
          </cell>
          <cell r="C2949" t="str">
            <v>13118220052465</v>
          </cell>
          <cell r="D2949" t="str">
            <v>23118220052462</v>
          </cell>
          <cell r="E2949" t="str">
            <v>COUTEAU LAGUIOLE PASSION ABS BLANC + GENCOD</v>
          </cell>
          <cell r="F2949">
            <v>240</v>
          </cell>
          <cell r="G2949">
            <v>6</v>
          </cell>
          <cell r="H2949">
            <v>34</v>
          </cell>
          <cell r="I2949">
            <v>27</v>
          </cell>
          <cell r="J2949">
            <v>32</v>
          </cell>
          <cell r="K2949">
            <v>0</v>
          </cell>
          <cell r="L2949">
            <v>0</v>
          </cell>
          <cell r="M2949">
            <v>2.9376000000000006E-2</v>
          </cell>
        </row>
        <row r="2950">
          <cell r="A2950">
            <v>32000027</v>
          </cell>
          <cell r="B2950">
            <v>3118220052475</v>
          </cell>
          <cell r="C2950" t="str">
            <v>13118220052472</v>
          </cell>
          <cell r="D2950" t="str">
            <v>23118220052479</v>
          </cell>
          <cell r="E2950" t="str">
            <v>FOURCHETTE LAGUIOLE PASSION ABS BLANC + GENCOD</v>
          </cell>
          <cell r="F2950">
            <v>240</v>
          </cell>
          <cell r="G2950">
            <v>6</v>
          </cell>
          <cell r="H2950">
            <v>38</v>
          </cell>
          <cell r="I2950">
            <v>24.5</v>
          </cell>
          <cell r="J2950">
            <v>32</v>
          </cell>
          <cell r="K2950">
            <v>0</v>
          </cell>
          <cell r="L2950">
            <v>0</v>
          </cell>
          <cell r="M2950">
            <v>2.9791999999999999E-2</v>
          </cell>
        </row>
        <row r="2951">
          <cell r="A2951">
            <v>32000028</v>
          </cell>
          <cell r="B2951">
            <v>3118220052482</v>
          </cell>
          <cell r="C2951" t="str">
            <v>13118220052489</v>
          </cell>
          <cell r="D2951" t="str">
            <v>23118220052486</v>
          </cell>
          <cell r="E2951" t="str">
            <v>CUILLERE LAGUIOLE PASSION ABS BLANC + GENCOD</v>
          </cell>
          <cell r="F2951">
            <v>240</v>
          </cell>
          <cell r="G2951">
            <v>6</v>
          </cell>
          <cell r="H2951">
            <v>38</v>
          </cell>
          <cell r="I2951">
            <v>24.5</v>
          </cell>
          <cell r="J2951">
            <v>32</v>
          </cell>
          <cell r="K2951">
            <v>0</v>
          </cell>
          <cell r="L2951">
            <v>0</v>
          </cell>
          <cell r="M2951">
            <v>2.9791999999999999E-2</v>
          </cell>
        </row>
        <row r="2952">
          <cell r="A2952">
            <v>32000029</v>
          </cell>
          <cell r="B2952">
            <v>3118220052499</v>
          </cell>
          <cell r="C2952" t="str">
            <v>13118220052496</v>
          </cell>
          <cell r="D2952" t="str">
            <v>23118220052493</v>
          </cell>
          <cell r="E2952" t="str">
            <v>CAFE LAGUIOLE PASSION ABS BLANC + GENCOD</v>
          </cell>
          <cell r="F2952">
            <v>240</v>
          </cell>
          <cell r="G2952">
            <v>6</v>
          </cell>
          <cell r="H2952">
            <v>38</v>
          </cell>
          <cell r="I2952">
            <v>20</v>
          </cell>
          <cell r="J2952">
            <v>27</v>
          </cell>
          <cell r="K2952">
            <v>0</v>
          </cell>
          <cell r="L2952">
            <v>0</v>
          </cell>
          <cell r="M2952">
            <v>2.052E-2</v>
          </cell>
        </row>
        <row r="2953">
          <cell r="A2953">
            <v>32000030</v>
          </cell>
          <cell r="B2953">
            <v>3118220052505</v>
          </cell>
          <cell r="C2953" t="str">
            <v>13118220052502</v>
          </cell>
          <cell r="D2953" t="str">
            <v>23118220052509</v>
          </cell>
          <cell r="E2953" t="str">
            <v>COUTEAU LAGUIOLE PASSION ABS BLEU 432C + GENCOD</v>
          </cell>
          <cell r="F2953">
            <v>240</v>
          </cell>
          <cell r="G2953">
            <v>6</v>
          </cell>
          <cell r="H2953">
            <v>34</v>
          </cell>
          <cell r="I2953">
            <v>27</v>
          </cell>
          <cell r="J2953">
            <v>32</v>
          </cell>
          <cell r="K2953">
            <v>0</v>
          </cell>
          <cell r="L2953">
            <v>0</v>
          </cell>
          <cell r="M2953">
            <v>2.9376000000000006E-2</v>
          </cell>
        </row>
        <row r="2954">
          <cell r="A2954">
            <v>32000031</v>
          </cell>
          <cell r="B2954">
            <v>3118220052512</v>
          </cell>
          <cell r="C2954" t="str">
            <v>13118220052519</v>
          </cell>
          <cell r="D2954" t="str">
            <v>23118220052516</v>
          </cell>
          <cell r="E2954" t="str">
            <v>FOURCHETTE LAGUIOLE PASSION ABS BLEU 432C + GENCOD</v>
          </cell>
          <cell r="F2954">
            <v>240</v>
          </cell>
          <cell r="G2954">
            <v>6</v>
          </cell>
          <cell r="H2954">
            <v>38</v>
          </cell>
          <cell r="I2954">
            <v>24.5</v>
          </cell>
          <cell r="J2954">
            <v>32</v>
          </cell>
          <cell r="K2954">
            <v>0</v>
          </cell>
          <cell r="L2954">
            <v>0</v>
          </cell>
          <cell r="M2954">
            <v>2.9791999999999999E-2</v>
          </cell>
        </row>
        <row r="2955">
          <cell r="A2955">
            <v>32000032</v>
          </cell>
          <cell r="B2955">
            <v>3118220052529</v>
          </cell>
          <cell r="C2955" t="str">
            <v>13118220052526</v>
          </cell>
          <cell r="D2955" t="str">
            <v>23118220052523</v>
          </cell>
          <cell r="E2955" t="str">
            <v>CUILLERE LAGUIOLE PASSION ABS BLEU 432C + GENCOD</v>
          </cell>
          <cell r="F2955">
            <v>240</v>
          </cell>
          <cell r="G2955">
            <v>6</v>
          </cell>
          <cell r="H2955">
            <v>38</v>
          </cell>
          <cell r="I2955">
            <v>24.5</v>
          </cell>
          <cell r="J2955">
            <v>32</v>
          </cell>
          <cell r="K2955">
            <v>0</v>
          </cell>
          <cell r="L2955">
            <v>0</v>
          </cell>
          <cell r="M2955">
            <v>2.9791999999999999E-2</v>
          </cell>
        </row>
        <row r="2956">
          <cell r="A2956">
            <v>32000033</v>
          </cell>
          <cell r="B2956">
            <v>3118220052536</v>
          </cell>
          <cell r="C2956" t="str">
            <v>13118220052533</v>
          </cell>
          <cell r="D2956" t="str">
            <v>23118220052530</v>
          </cell>
          <cell r="E2956" t="str">
            <v>CAFE LAGUIOLE PASSION ABS BLEU 432C + GENCOD</v>
          </cell>
          <cell r="F2956">
            <v>240</v>
          </cell>
          <cell r="G2956">
            <v>6</v>
          </cell>
          <cell r="H2956">
            <v>38</v>
          </cell>
          <cell r="I2956">
            <v>20</v>
          </cell>
          <cell r="J2956">
            <v>27</v>
          </cell>
          <cell r="K2956">
            <v>0</v>
          </cell>
          <cell r="L2956">
            <v>0</v>
          </cell>
          <cell r="M2956">
            <v>2.052E-2</v>
          </cell>
        </row>
        <row r="2957">
          <cell r="A2957">
            <v>32020001</v>
          </cell>
          <cell r="B2957">
            <v>3451551089612</v>
          </cell>
          <cell r="C2957">
            <v>13451551089619</v>
          </cell>
          <cell r="D2957">
            <v>23451551089616</v>
          </cell>
          <cell r="E2957" t="str">
            <v>MENAGERE 16 PIECES SEVENTIES</v>
          </cell>
          <cell r="F2957">
            <v>6</v>
          </cell>
          <cell r="G2957">
            <v>6</v>
          </cell>
          <cell r="H2957">
            <v>30.5</v>
          </cell>
          <cell r="I2957">
            <v>26</v>
          </cell>
          <cell r="J2957">
            <v>30.5</v>
          </cell>
          <cell r="K2957">
            <v>3.64</v>
          </cell>
          <cell r="L2957">
            <v>0.60666666666666669</v>
          </cell>
          <cell r="M2957">
            <v>2.41865E-2</v>
          </cell>
        </row>
        <row r="2958">
          <cell r="A2958">
            <v>32020002</v>
          </cell>
          <cell r="B2958">
            <v>3118220053540</v>
          </cell>
          <cell r="C2958">
            <v>13118220053547</v>
          </cell>
          <cell r="D2958">
            <v>23118220053544</v>
          </cell>
          <cell r="E2958" t="str">
            <v>M24 CHROMATICA ROSE PALE BOITE TB HC</v>
          </cell>
          <cell r="F2958">
            <v>6</v>
          </cell>
          <cell r="G2958">
            <v>6</v>
          </cell>
          <cell r="H2958">
            <v>30</v>
          </cell>
          <cell r="I2958">
            <v>26</v>
          </cell>
          <cell r="J2958">
            <v>30.5</v>
          </cell>
          <cell r="L2958">
            <v>0</v>
          </cell>
          <cell r="M2958">
            <v>2.3789999999999999E-2</v>
          </cell>
        </row>
        <row r="2959">
          <cell r="A2959">
            <v>32020003</v>
          </cell>
          <cell r="B2959">
            <v>3118220053557</v>
          </cell>
          <cell r="C2959">
            <v>13118220053554</v>
          </cell>
          <cell r="D2959">
            <v>23118220053551</v>
          </cell>
          <cell r="E2959" t="str">
            <v>M24 CHROMATICA ROUGE ORANGE BOITE TB HC</v>
          </cell>
          <cell r="F2959">
            <v>6</v>
          </cell>
          <cell r="G2959">
            <v>6</v>
          </cell>
          <cell r="H2959">
            <v>30</v>
          </cell>
          <cell r="I2959">
            <v>26</v>
          </cell>
          <cell r="J2959">
            <v>30.5</v>
          </cell>
          <cell r="L2959">
            <v>0</v>
          </cell>
          <cell r="M2959">
            <v>2.3789999999999999E-2</v>
          </cell>
        </row>
        <row r="2960">
          <cell r="A2960">
            <v>32020004</v>
          </cell>
          <cell r="B2960">
            <v>3118220053571</v>
          </cell>
          <cell r="C2960">
            <v>13118220053578</v>
          </cell>
          <cell r="D2960">
            <v>23118220053575</v>
          </cell>
          <cell r="E2960" t="str">
            <v>M24 CHROMATICA JAUNE GENET BOITE TB HC</v>
          </cell>
          <cell r="F2960">
            <v>6</v>
          </cell>
          <cell r="G2960">
            <v>6</v>
          </cell>
          <cell r="H2960">
            <v>30</v>
          </cell>
          <cell r="I2960">
            <v>26</v>
          </cell>
          <cell r="J2960">
            <v>30.5</v>
          </cell>
          <cell r="L2960">
            <v>0</v>
          </cell>
          <cell r="M2960">
            <v>2.3789999999999999E-2</v>
          </cell>
        </row>
        <row r="2961">
          <cell r="A2961">
            <v>32020005</v>
          </cell>
          <cell r="B2961">
            <v>3118220053595</v>
          </cell>
          <cell r="C2961">
            <v>13118220053592</v>
          </cell>
          <cell r="D2961">
            <v>23118220053599</v>
          </cell>
          <cell r="E2961" t="str">
            <v>M24 CHROMATICA VERT BLANC BOITE TB HC</v>
          </cell>
          <cell r="F2961">
            <v>6</v>
          </cell>
          <cell r="G2961">
            <v>6</v>
          </cell>
          <cell r="H2961">
            <v>30</v>
          </cell>
          <cell r="I2961">
            <v>26</v>
          </cell>
          <cell r="J2961">
            <v>30.5</v>
          </cell>
          <cell r="L2961">
            <v>0</v>
          </cell>
          <cell r="M2961">
            <v>2.3789999999999999E-2</v>
          </cell>
        </row>
        <row r="2962">
          <cell r="A2962">
            <v>32020006</v>
          </cell>
          <cell r="B2962">
            <v>3118220053601</v>
          </cell>
          <cell r="C2962">
            <v>13118220053608</v>
          </cell>
          <cell r="D2962">
            <v>23118220053605</v>
          </cell>
          <cell r="E2962" t="str">
            <v>M24 CHROMATICA BLEU COBALT BOITE TB HC</v>
          </cell>
          <cell r="F2962">
            <v>6</v>
          </cell>
          <cell r="G2962">
            <v>6</v>
          </cell>
          <cell r="H2962">
            <v>30</v>
          </cell>
          <cell r="I2962">
            <v>26</v>
          </cell>
          <cell r="J2962">
            <v>30.5</v>
          </cell>
          <cell r="L2962">
            <v>0</v>
          </cell>
          <cell r="M2962">
            <v>2.3789999999999999E-2</v>
          </cell>
        </row>
        <row r="2963">
          <cell r="A2963">
            <v>32020007</v>
          </cell>
          <cell r="B2963">
            <v>3118220053618</v>
          </cell>
          <cell r="C2963">
            <v>13118220053615</v>
          </cell>
          <cell r="D2963">
            <v>23118220053612</v>
          </cell>
          <cell r="E2963" t="str">
            <v>M24 CHROMATICA COOL GRAY BOITE TB HC</v>
          </cell>
          <cell r="F2963">
            <v>6</v>
          </cell>
          <cell r="G2963">
            <v>6</v>
          </cell>
          <cell r="H2963">
            <v>30</v>
          </cell>
          <cell r="I2963">
            <v>26</v>
          </cell>
          <cell r="J2963">
            <v>30.5</v>
          </cell>
          <cell r="L2963">
            <v>0</v>
          </cell>
          <cell r="M2963">
            <v>2.3789999999999999E-2</v>
          </cell>
        </row>
        <row r="2964">
          <cell r="A2964">
            <v>32030001</v>
          </cell>
          <cell r="B2964">
            <v>3616957761573</v>
          </cell>
          <cell r="C2964" t="str">
            <v xml:space="preserve"> /</v>
          </cell>
          <cell r="D2964" t="str">
            <v>03616954320285</v>
          </cell>
          <cell r="E2964" t="str">
            <v>M24 COLOR BLEU PANTONE 7470C EN BOITE CARREFOUR HOME</v>
          </cell>
          <cell r="F2964">
            <v>3</v>
          </cell>
          <cell r="G2964">
            <v>3</v>
          </cell>
          <cell r="H2964">
            <v>36.5</v>
          </cell>
          <cell r="I2964">
            <v>28</v>
          </cell>
          <cell r="J2964">
            <v>19</v>
          </cell>
          <cell r="K2964">
            <v>2.92</v>
          </cell>
          <cell r="L2964">
            <v>0.97333333333333327</v>
          </cell>
          <cell r="M2964">
            <v>1.9417999999999998E-2</v>
          </cell>
        </row>
        <row r="2965">
          <cell r="A2965">
            <v>32030002</v>
          </cell>
          <cell r="B2965">
            <v>3616957761580</v>
          </cell>
          <cell r="C2965" t="str">
            <v xml:space="preserve"> /</v>
          </cell>
          <cell r="D2965" t="str">
            <v>03616954320292</v>
          </cell>
          <cell r="E2965" t="str">
            <v>M24 COLOR ROUGE PANTONE199C EN BOITE CARREFOUR HOME</v>
          </cell>
          <cell r="F2965">
            <v>3</v>
          </cell>
          <cell r="G2965">
            <v>3</v>
          </cell>
          <cell r="H2965">
            <v>36.5</v>
          </cell>
          <cell r="I2965">
            <v>28</v>
          </cell>
          <cell r="J2965">
            <v>19</v>
          </cell>
          <cell r="K2965">
            <v>2.92</v>
          </cell>
          <cell r="L2965">
            <v>0.97333333333333327</v>
          </cell>
          <cell r="M2965">
            <v>1.9417999999999998E-2</v>
          </cell>
        </row>
        <row r="2966">
          <cell r="A2966">
            <v>32030003</v>
          </cell>
          <cell r="B2966">
            <v>3616957761597</v>
          </cell>
          <cell r="C2966" t="str">
            <v xml:space="preserve"> /</v>
          </cell>
          <cell r="D2966" t="str">
            <v>03616954320308</v>
          </cell>
          <cell r="E2966" t="str">
            <v>M24 COLOR NOIR PANTONE 6C EN BOITE CARREFOUR HOME</v>
          </cell>
          <cell r="F2966">
            <v>3</v>
          </cell>
          <cell r="G2966">
            <v>3</v>
          </cell>
          <cell r="H2966">
            <v>23.5</v>
          </cell>
          <cell r="I2966">
            <v>15.5</v>
          </cell>
          <cell r="J2966">
            <v>28.5</v>
          </cell>
          <cell r="K2966">
            <v>2.92</v>
          </cell>
          <cell r="L2966">
            <v>0.97333333333333327</v>
          </cell>
          <cell r="M2966">
            <v>1.0381125E-2</v>
          </cell>
        </row>
        <row r="2967">
          <cell r="A2967">
            <v>32030004</v>
          </cell>
          <cell r="B2967">
            <v>3118220048003</v>
          </cell>
          <cell r="C2967">
            <v>13118220048000</v>
          </cell>
          <cell r="D2967">
            <v>23118220048007</v>
          </cell>
          <cell r="E2967" t="str">
            <v>M24 DROP COLOR BLEU  EN BOITE TB COLLECTION</v>
          </cell>
          <cell r="F2967">
            <v>3</v>
          </cell>
          <cell r="G2967">
            <v>3</v>
          </cell>
          <cell r="H2967">
            <v>25.5</v>
          </cell>
          <cell r="I2967">
            <v>16</v>
          </cell>
          <cell r="J2967">
            <v>30</v>
          </cell>
          <cell r="K2967">
            <v>1.06</v>
          </cell>
          <cell r="L2967">
            <v>0.35333333333333333</v>
          </cell>
          <cell r="M2967">
            <v>1.2240000000000003E-2</v>
          </cell>
        </row>
        <row r="2968">
          <cell r="A2968">
            <v>32030005</v>
          </cell>
          <cell r="B2968">
            <v>3118220048010</v>
          </cell>
          <cell r="C2968">
            <v>13118220048017</v>
          </cell>
          <cell r="D2968">
            <v>23118220048014</v>
          </cell>
          <cell r="E2968" t="str">
            <v>M24 DROP COLOR ROUGE EN BOITE TB COLLECTION</v>
          </cell>
          <cell r="F2968">
            <v>3</v>
          </cell>
          <cell r="G2968">
            <v>3</v>
          </cell>
          <cell r="H2968">
            <v>26</v>
          </cell>
          <cell r="I2968">
            <v>17</v>
          </cell>
          <cell r="J2968">
            <v>31</v>
          </cell>
          <cell r="K2968">
            <v>1.06</v>
          </cell>
          <cell r="L2968">
            <v>0.35333333333333333</v>
          </cell>
          <cell r="M2968">
            <v>1.3701999999999999E-2</v>
          </cell>
        </row>
        <row r="2969">
          <cell r="A2969">
            <v>32030006</v>
          </cell>
          <cell r="B2969">
            <v>3118220048027</v>
          </cell>
          <cell r="C2969">
            <v>13118220048024</v>
          </cell>
          <cell r="D2969">
            <v>23118220048021</v>
          </cell>
          <cell r="E2969" t="str">
            <v>M24 DROP COLOR NOIR  EN BOITE TB COLLECTION</v>
          </cell>
          <cell r="F2969">
            <v>3</v>
          </cell>
          <cell r="G2969">
            <v>3</v>
          </cell>
          <cell r="H2969">
            <v>25.5</v>
          </cell>
          <cell r="I2969">
            <v>16</v>
          </cell>
          <cell r="J2969">
            <v>30</v>
          </cell>
          <cell r="K2969">
            <v>1.06</v>
          </cell>
          <cell r="L2969">
            <v>0.35333333333333333</v>
          </cell>
          <cell r="M2969">
            <v>1.2240000000000003E-2</v>
          </cell>
        </row>
        <row r="2970">
          <cell r="A2970">
            <v>32070001</v>
          </cell>
          <cell r="B2970">
            <v>3616957761405</v>
          </cell>
          <cell r="C2970" t="str">
            <v>03616955895157</v>
          </cell>
          <cell r="D2970" t="str">
            <v>03616954320179</v>
          </cell>
          <cell r="E2970" t="str">
            <v>COUTEAU OPEN DECOR CARREAU DE CIMENT CARREFOUR HOME</v>
          </cell>
          <cell r="F2970">
            <v>240</v>
          </cell>
          <cell r="G2970">
            <v>6</v>
          </cell>
          <cell r="H2970">
            <v>28.5</v>
          </cell>
          <cell r="I2970">
            <v>25</v>
          </cell>
          <cell r="J2970">
            <v>42</v>
          </cell>
          <cell r="K2970">
            <v>11.5</v>
          </cell>
          <cell r="L2970">
            <v>4.791666666666667E-2</v>
          </cell>
          <cell r="M2970">
            <v>2.9924999999999997E-2</v>
          </cell>
        </row>
        <row r="2971">
          <cell r="A2971">
            <v>32070002</v>
          </cell>
          <cell r="B2971">
            <v>3616957761399</v>
          </cell>
          <cell r="C2971" t="str">
            <v>03616955895140</v>
          </cell>
          <cell r="D2971" t="str">
            <v>03616954320162</v>
          </cell>
          <cell r="E2971" t="str">
            <v>FOURCHETTE OPEN DECOR CARREAU DE CIMENT  CARREFOUR HOME</v>
          </cell>
          <cell r="F2971">
            <v>240</v>
          </cell>
          <cell r="G2971">
            <v>6</v>
          </cell>
          <cell r="H2971">
            <v>33</v>
          </cell>
          <cell r="I2971">
            <v>24.5</v>
          </cell>
          <cell r="J2971">
            <v>37.5</v>
          </cell>
          <cell r="K2971">
            <v>9.64</v>
          </cell>
          <cell r="L2971">
            <v>4.016666666666667E-2</v>
          </cell>
          <cell r="M2971">
            <v>3.0318750000000002E-2</v>
          </cell>
        </row>
        <row r="2972">
          <cell r="A2972">
            <v>32070003</v>
          </cell>
          <cell r="B2972">
            <v>3616957761429</v>
          </cell>
          <cell r="C2972" t="str">
            <v>03616955895171</v>
          </cell>
          <cell r="D2972" t="str">
            <v>03616954320193</v>
          </cell>
          <cell r="E2972" t="str">
            <v>CUILLERE OPEN DECOR CARREAU DE CIMENT CARREFOUR HOME</v>
          </cell>
          <cell r="F2972">
            <v>240</v>
          </cell>
          <cell r="G2972">
            <v>6</v>
          </cell>
          <cell r="H2972">
            <v>23.5</v>
          </cell>
          <cell r="I2972">
            <v>19.5</v>
          </cell>
          <cell r="J2972">
            <v>16</v>
          </cell>
          <cell r="K2972">
            <v>11.87</v>
          </cell>
          <cell r="L2972">
            <v>4.9458333333333333E-2</v>
          </cell>
          <cell r="M2972">
            <v>7.332E-3</v>
          </cell>
        </row>
        <row r="2973">
          <cell r="A2973">
            <v>32070004</v>
          </cell>
          <cell r="B2973">
            <v>3616957761412</v>
          </cell>
          <cell r="C2973" t="str">
            <v>03616955895164</v>
          </cell>
          <cell r="D2973" t="str">
            <v>03616954320186</v>
          </cell>
          <cell r="E2973" t="str">
            <v>CAFE OPEN DECOR CARREAU DE CIMENT CARREFOUR HOME</v>
          </cell>
          <cell r="F2973">
            <v>240</v>
          </cell>
          <cell r="G2973">
            <v>6</v>
          </cell>
          <cell r="H2973">
            <v>27</v>
          </cell>
          <cell r="I2973">
            <v>20.5</v>
          </cell>
          <cell r="J2973">
            <v>37.5</v>
          </cell>
          <cell r="K2973">
            <v>8.18</v>
          </cell>
          <cell r="L2973">
            <v>3.4083333333333334E-2</v>
          </cell>
          <cell r="M2973">
            <v>2.075625E-2</v>
          </cell>
        </row>
        <row r="2974">
          <cell r="A2974">
            <v>32070005</v>
          </cell>
          <cell r="B2974">
            <v>3616957761290</v>
          </cell>
          <cell r="C2974" t="str">
            <v>03616955895072</v>
          </cell>
          <cell r="D2974" t="str">
            <v>03616954320070</v>
          </cell>
          <cell r="E2974" t="str">
            <v>COUTEAU OPEN DECOR FUROSHIKI CARREFOUR HOME</v>
          </cell>
          <cell r="F2974">
            <v>240</v>
          </cell>
          <cell r="G2974">
            <v>6</v>
          </cell>
          <cell r="H2974">
            <v>27</v>
          </cell>
          <cell r="I2974">
            <v>25</v>
          </cell>
          <cell r="J2974">
            <v>41.5</v>
          </cell>
          <cell r="K2974">
            <v>11.59</v>
          </cell>
          <cell r="L2974">
            <v>4.8291666666666663E-2</v>
          </cell>
          <cell r="M2974">
            <v>2.8012499999999999E-2</v>
          </cell>
        </row>
        <row r="2975">
          <cell r="A2975">
            <v>32070006</v>
          </cell>
          <cell r="B2975">
            <v>3616957761283</v>
          </cell>
          <cell r="C2975" t="str">
            <v>03616955895065</v>
          </cell>
          <cell r="D2975" t="str">
            <v>03616954320063</v>
          </cell>
          <cell r="E2975" t="str">
            <v>FOURCHETTE OPEN DECOR FUROSHIKI CARREFOUR HOME</v>
          </cell>
          <cell r="F2975">
            <v>240</v>
          </cell>
          <cell r="G2975">
            <v>6</v>
          </cell>
          <cell r="H2975">
            <v>32</v>
          </cell>
          <cell r="I2975">
            <v>25</v>
          </cell>
          <cell r="J2975">
            <v>38</v>
          </cell>
          <cell r="K2975">
            <v>8.7799999999999994</v>
          </cell>
          <cell r="L2975">
            <v>3.6583333333333329E-2</v>
          </cell>
          <cell r="M2975">
            <v>3.04E-2</v>
          </cell>
        </row>
        <row r="2976">
          <cell r="A2976">
            <v>32070007</v>
          </cell>
          <cell r="B2976">
            <v>3616957761313</v>
          </cell>
          <cell r="C2976" t="str">
            <v>03616955895096</v>
          </cell>
          <cell r="D2976" t="str">
            <v>03616954320094</v>
          </cell>
          <cell r="E2976" t="str">
            <v>CUILLERE OPEN DECOR FUROSHIKI CARREFOUR HOME</v>
          </cell>
          <cell r="F2976">
            <v>240</v>
          </cell>
          <cell r="G2976">
            <v>6</v>
          </cell>
          <cell r="H2976">
            <v>33</v>
          </cell>
          <cell r="I2976">
            <v>24</v>
          </cell>
          <cell r="J2976">
            <v>37</v>
          </cell>
          <cell r="K2976">
            <v>12.11</v>
          </cell>
          <cell r="L2976">
            <v>5.0458333333333334E-2</v>
          </cell>
          <cell r="M2976">
            <v>2.9303999999999997E-2</v>
          </cell>
        </row>
        <row r="2977">
          <cell r="A2977">
            <v>32070008</v>
          </cell>
          <cell r="B2977">
            <v>3616957761306</v>
          </cell>
          <cell r="C2977" t="str">
            <v>03616955895089</v>
          </cell>
          <cell r="D2977" t="str">
            <v>03616954320087</v>
          </cell>
          <cell r="E2977" t="str">
            <v>CAFE OPEN DECOR FUROSHIKI CARREFOUR HOME</v>
          </cell>
          <cell r="F2977">
            <v>240</v>
          </cell>
          <cell r="G2977">
            <v>6</v>
          </cell>
          <cell r="H2977">
            <v>19.5</v>
          </cell>
          <cell r="I2977">
            <v>16</v>
          </cell>
          <cell r="J2977">
            <v>15</v>
          </cell>
          <cell r="K2977">
            <v>7.75</v>
          </cell>
          <cell r="L2977">
            <v>3.229166666666667E-2</v>
          </cell>
          <cell r="M2977">
            <v>4.6800000000000001E-3</v>
          </cell>
        </row>
        <row r="2978">
          <cell r="A2978">
            <v>31930011</v>
          </cell>
          <cell r="B2978">
            <v>3616957761528</v>
          </cell>
          <cell r="C2978" t="str">
            <v xml:space="preserve"> /</v>
          </cell>
          <cell r="D2978" t="str">
            <v>03616954320230</v>
          </cell>
          <cell r="E2978" t="str">
            <v>M24 DARK WOOD EN BOITE CARREFOUR HOME</v>
          </cell>
          <cell r="F2978">
            <v>3</v>
          </cell>
          <cell r="G2978">
            <v>3</v>
          </cell>
          <cell r="H2978">
            <v>0</v>
          </cell>
          <cell r="I2978">
            <v>0</v>
          </cell>
          <cell r="J2978">
            <v>0</v>
          </cell>
          <cell r="K2978">
            <v>0</v>
          </cell>
          <cell r="L2978">
            <v>0</v>
          </cell>
          <cell r="M2978">
            <v>0</v>
          </cell>
        </row>
        <row r="2979">
          <cell r="A2979">
            <v>32070009</v>
          </cell>
          <cell r="B2979">
            <v>3616957761221</v>
          </cell>
          <cell r="E2979" t="str">
            <v>COUTEAU OPEN DECOR FLORAL CARREFOUR HOME</v>
          </cell>
          <cell r="F2979">
            <v>240</v>
          </cell>
          <cell r="G2979">
            <v>6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0</v>
          </cell>
          <cell r="M2979">
            <v>0</v>
          </cell>
        </row>
        <row r="2980">
          <cell r="A2980">
            <v>32070010</v>
          </cell>
          <cell r="B2980">
            <v>3616957761214</v>
          </cell>
          <cell r="E2980" t="str">
            <v>FOURCHETTE OPEN DECOR FLORAL CARREFOUR HOME</v>
          </cell>
          <cell r="F2980">
            <v>240</v>
          </cell>
          <cell r="G2980">
            <v>6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</row>
        <row r="2981">
          <cell r="A2981">
            <v>32070011</v>
          </cell>
          <cell r="B2981">
            <v>3616957761832</v>
          </cell>
          <cell r="E2981" t="str">
            <v>CUILLERE OPEN DECOR FLORAL CARREFOUR HOME</v>
          </cell>
          <cell r="F2981">
            <v>240</v>
          </cell>
          <cell r="G2981">
            <v>6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</row>
        <row r="2982">
          <cell r="A2982">
            <v>32070012</v>
          </cell>
          <cell r="B2982">
            <v>3616957761191</v>
          </cell>
          <cell r="E2982" t="str">
            <v>CAFE OPEN DECOR FLORAL CARREFOUR HOME</v>
          </cell>
          <cell r="F2982">
            <v>240</v>
          </cell>
          <cell r="G2982">
            <v>6</v>
          </cell>
          <cell r="H2982">
            <v>0</v>
          </cell>
          <cell r="I2982">
            <v>0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</row>
        <row r="2983">
          <cell r="A2983">
            <v>32070013</v>
          </cell>
          <cell r="B2983">
            <v>3616957761856</v>
          </cell>
          <cell r="E2983" t="str">
            <v>COUTEAU OPEN DECOR NATURE CARREFOUR HOME</v>
          </cell>
          <cell r="F2983">
            <v>240</v>
          </cell>
          <cell r="G2983">
            <v>6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</row>
        <row r="2984">
          <cell r="A2984">
            <v>32070014</v>
          </cell>
          <cell r="B2984">
            <v>3616957761849</v>
          </cell>
          <cell r="E2984" t="str">
            <v>FOURCHETTE OPEN DECOR NATURE CARREFOUR HOME</v>
          </cell>
          <cell r="F2984">
            <v>240</v>
          </cell>
          <cell r="G2984">
            <v>6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</row>
        <row r="2985">
          <cell r="A2985">
            <v>32070015</v>
          </cell>
          <cell r="B2985">
            <v>3616957761948</v>
          </cell>
          <cell r="E2985" t="str">
            <v>CUILLERE OPEN DECOR NATURE CARREFOUR HOME</v>
          </cell>
          <cell r="F2985">
            <v>240</v>
          </cell>
          <cell r="G2985">
            <v>6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</row>
        <row r="2986">
          <cell r="A2986">
            <v>32070017</v>
          </cell>
          <cell r="B2986">
            <v>3616957761962</v>
          </cell>
          <cell r="C2986" t="str">
            <v>03616955895607</v>
          </cell>
          <cell r="D2986" t="str">
            <v>03616954320674</v>
          </cell>
          <cell r="E2986" t="str">
            <v>COUTEAU OPEN DECOR POIS ROUGE 3517C CARREFOUR HOME</v>
          </cell>
          <cell r="F2986">
            <v>240</v>
          </cell>
          <cell r="G2986">
            <v>6</v>
          </cell>
          <cell r="H2986">
            <v>28</v>
          </cell>
          <cell r="I2986">
            <v>25</v>
          </cell>
          <cell r="J2986">
            <v>41</v>
          </cell>
          <cell r="K2986">
            <v>11.46</v>
          </cell>
          <cell r="L2986">
            <v>4.7750000000000001E-2</v>
          </cell>
          <cell r="M2986">
            <v>2.87E-2</v>
          </cell>
        </row>
        <row r="2987">
          <cell r="A2987">
            <v>32070018</v>
          </cell>
          <cell r="B2987">
            <v>3616957761955</v>
          </cell>
          <cell r="C2987" t="str">
            <v>03616955895591</v>
          </cell>
          <cell r="D2987" t="str">
            <v>03616954320667</v>
          </cell>
          <cell r="E2987" t="str">
            <v>FOURCHETTE OPEN DECOR POIS ROUGE 3517C CARREFOUR HOME</v>
          </cell>
          <cell r="F2987">
            <v>240</v>
          </cell>
          <cell r="G2987">
            <v>6</v>
          </cell>
          <cell r="H2987">
            <v>32</v>
          </cell>
          <cell r="I2987">
            <v>25</v>
          </cell>
          <cell r="J2987">
            <v>37</v>
          </cell>
          <cell r="K2987">
            <v>9.57</v>
          </cell>
          <cell r="L2987">
            <v>3.9875000000000001E-2</v>
          </cell>
          <cell r="M2987">
            <v>2.9600000000000001E-2</v>
          </cell>
        </row>
        <row r="2988">
          <cell r="A2988">
            <v>32070019</v>
          </cell>
          <cell r="B2988">
            <v>3616957761979</v>
          </cell>
          <cell r="C2988" t="str">
            <v>03616955895614</v>
          </cell>
          <cell r="D2988" t="str">
            <v>03616954320681</v>
          </cell>
          <cell r="E2988" t="str">
            <v>CUILLERE OPEN DECOR POIS ROUGE 3517C CARREFOUR HOME</v>
          </cell>
          <cell r="F2988">
            <v>240</v>
          </cell>
          <cell r="G2988">
            <v>6</v>
          </cell>
          <cell r="H2988">
            <v>32</v>
          </cell>
          <cell r="I2988">
            <v>24</v>
          </cell>
          <cell r="J2988">
            <v>38</v>
          </cell>
          <cell r="K2988">
            <v>12.12</v>
          </cell>
          <cell r="L2988">
            <v>5.0499999999999996E-2</v>
          </cell>
          <cell r="M2988">
            <v>2.9183999999999998E-2</v>
          </cell>
        </row>
        <row r="2989">
          <cell r="A2989">
            <v>32070020</v>
          </cell>
          <cell r="B2989">
            <v>3616957761986</v>
          </cell>
          <cell r="C2989" t="str">
            <v>03616955895621</v>
          </cell>
          <cell r="D2989" t="str">
            <v>03616954320698</v>
          </cell>
          <cell r="E2989" t="str">
            <v>CAFE OPEN DECOR POIS ROUGE 3517C CARREFOUR HOME</v>
          </cell>
          <cell r="F2989">
            <v>240</v>
          </cell>
          <cell r="G2989">
            <v>6</v>
          </cell>
          <cell r="H2989">
            <v>27</v>
          </cell>
          <cell r="I2989">
            <v>20.5</v>
          </cell>
          <cell r="J2989">
            <v>37</v>
          </cell>
          <cell r="K2989">
            <v>8.1999999999999993</v>
          </cell>
          <cell r="L2989">
            <v>3.4166666666666665E-2</v>
          </cell>
          <cell r="M2989">
            <v>2.0479500000000001E-2</v>
          </cell>
        </row>
        <row r="2990">
          <cell r="A2990">
            <v>32070021</v>
          </cell>
          <cell r="B2990">
            <v>3616957761900</v>
          </cell>
          <cell r="C2990" t="str">
            <v>03616955895546</v>
          </cell>
          <cell r="D2990" t="str">
            <v>03616954320612</v>
          </cell>
          <cell r="E2990" t="str">
            <v>COUTEAU OPEN DECOR POIS NOIR 6C CARREFOUR HOME</v>
          </cell>
          <cell r="F2990">
            <v>240</v>
          </cell>
          <cell r="G2990">
            <v>6</v>
          </cell>
          <cell r="H2990">
            <v>32.5</v>
          </cell>
          <cell r="I2990">
            <v>25</v>
          </cell>
          <cell r="J2990">
            <v>38</v>
          </cell>
          <cell r="K2990">
            <v>11.96</v>
          </cell>
          <cell r="L2990">
            <v>4.9833333333333334E-2</v>
          </cell>
          <cell r="M2990">
            <v>3.0875E-2</v>
          </cell>
        </row>
        <row r="2991">
          <cell r="A2991">
            <v>32070022</v>
          </cell>
          <cell r="B2991">
            <v>3616957761993</v>
          </cell>
          <cell r="C2991" t="str">
            <v>03616955895638</v>
          </cell>
          <cell r="D2991" t="str">
            <v>03616954320704</v>
          </cell>
          <cell r="E2991" t="str">
            <v>FOURCHETTE OPEN DECOR POIS NOIR 6C CARREFOUR HOME</v>
          </cell>
          <cell r="F2991">
            <v>240</v>
          </cell>
          <cell r="G2991">
            <v>6</v>
          </cell>
          <cell r="H2991">
            <v>32</v>
          </cell>
          <cell r="I2991">
            <v>25</v>
          </cell>
          <cell r="J2991">
            <v>39</v>
          </cell>
          <cell r="K2991">
            <v>9.67</v>
          </cell>
          <cell r="L2991">
            <v>4.0291666666666663E-2</v>
          </cell>
          <cell r="M2991">
            <v>3.1200000000000002E-2</v>
          </cell>
        </row>
        <row r="2992">
          <cell r="A2992">
            <v>32070023</v>
          </cell>
          <cell r="B2992">
            <v>3616957761924</v>
          </cell>
          <cell r="C2992" t="str">
            <v>03616955895560</v>
          </cell>
          <cell r="D2992" t="str">
            <v>03616954320636</v>
          </cell>
          <cell r="E2992" t="str">
            <v>CUILLERE OPEN DECOR POIS NOIR 6C CARREFOUR HOME</v>
          </cell>
          <cell r="F2992">
            <v>240</v>
          </cell>
          <cell r="G2992">
            <v>6</v>
          </cell>
          <cell r="H2992">
            <v>32</v>
          </cell>
          <cell r="I2992">
            <v>24.5</v>
          </cell>
          <cell r="J2992">
            <v>38</v>
          </cell>
          <cell r="K2992">
            <v>12.11</v>
          </cell>
          <cell r="L2992">
            <v>5.0458333333333334E-2</v>
          </cell>
          <cell r="M2992">
            <v>2.9791999999999999E-2</v>
          </cell>
        </row>
        <row r="2993">
          <cell r="A2993">
            <v>32070024</v>
          </cell>
          <cell r="B2993">
            <v>3616957761917</v>
          </cell>
          <cell r="C2993" t="str">
            <v>03616955895553</v>
          </cell>
          <cell r="D2993" t="str">
            <v>03616954320629</v>
          </cell>
          <cell r="E2993" t="str">
            <v>CAFE OPEN DECOR POIS NOIR 6C CARREFOUR HOME</v>
          </cell>
          <cell r="F2993">
            <v>240</v>
          </cell>
          <cell r="G2993">
            <v>6</v>
          </cell>
          <cell r="H2993">
            <v>19.5</v>
          </cell>
          <cell r="I2993">
            <v>16</v>
          </cell>
          <cell r="J2993">
            <v>15</v>
          </cell>
          <cell r="K2993">
            <v>7.99</v>
          </cell>
          <cell r="L2993">
            <v>3.3291666666666671E-2</v>
          </cell>
          <cell r="M2993">
            <v>4.6800000000000001E-3</v>
          </cell>
        </row>
        <row r="2994">
          <cell r="A2994">
            <v>32070016</v>
          </cell>
          <cell r="B2994">
            <v>3616957761931</v>
          </cell>
          <cell r="E2994" t="str">
            <v>CAFE OPEN DECOR NATURE CARREFOUR HOME</v>
          </cell>
          <cell r="F2994">
            <v>240</v>
          </cell>
          <cell r="G2994">
            <v>6</v>
          </cell>
          <cell r="H2994">
            <v>0</v>
          </cell>
          <cell r="I2994">
            <v>0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</row>
        <row r="2995">
          <cell r="A2995">
            <v>32070025</v>
          </cell>
          <cell r="B2995">
            <v>3616957761870</v>
          </cell>
          <cell r="E2995" t="str">
            <v>COUTEAU OPEN DECOR GUINGUETTE BLEU CARREFOUR HOME</v>
          </cell>
          <cell r="F2995">
            <v>240</v>
          </cell>
          <cell r="G2995">
            <v>6</v>
          </cell>
          <cell r="H2995">
            <v>0</v>
          </cell>
          <cell r="I2995">
            <v>0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</row>
        <row r="2996">
          <cell r="A2996">
            <v>32070026</v>
          </cell>
          <cell r="B2996">
            <v>3616957761863</v>
          </cell>
          <cell r="E2996" t="str">
            <v>FOURCHETTE OPEN DECOR GUINGUETTE BLEU  CARREFOUR HOME</v>
          </cell>
          <cell r="F2996">
            <v>240</v>
          </cell>
          <cell r="G2996">
            <v>6</v>
          </cell>
          <cell r="H2996">
            <v>0</v>
          </cell>
          <cell r="I2996">
            <v>0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</row>
        <row r="2997">
          <cell r="A2997">
            <v>32070027</v>
          </cell>
          <cell r="B2997">
            <v>3616957761894</v>
          </cell>
          <cell r="E2997" t="str">
            <v>CUILLERE OPEN DECOR GUINGUETTE BLEU  CARREFOUR HOME</v>
          </cell>
          <cell r="F2997">
            <v>240</v>
          </cell>
          <cell r="G2997">
            <v>6</v>
          </cell>
          <cell r="H2997">
            <v>0</v>
          </cell>
          <cell r="I2997">
            <v>0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</row>
        <row r="2998">
          <cell r="A2998">
            <v>32070033</v>
          </cell>
          <cell r="B2998">
            <v>3118220048348</v>
          </cell>
          <cell r="C2998" t="str">
            <v>13118220048345</v>
          </cell>
          <cell r="D2998" t="str">
            <v>23118220048342</v>
          </cell>
          <cell r="E2998" t="str">
            <v>COUTEAU OPEN DECOR POIS ROUGE 3517C TB COLLECTION</v>
          </cell>
          <cell r="F2998">
            <v>240</v>
          </cell>
          <cell r="G2998">
            <v>6</v>
          </cell>
          <cell r="H2998">
            <v>28</v>
          </cell>
          <cell r="I2998">
            <v>25</v>
          </cell>
          <cell r="J2998">
            <v>38</v>
          </cell>
          <cell r="K2998">
            <v>11.5</v>
          </cell>
          <cell r="L2998">
            <v>4.791666666666667E-2</v>
          </cell>
          <cell r="M2998">
            <v>2.6600000000000002E-2</v>
          </cell>
        </row>
        <row r="2999">
          <cell r="A2999">
            <v>32070034</v>
          </cell>
          <cell r="B2999">
            <v>3118220048355</v>
          </cell>
          <cell r="C2999" t="str">
            <v>13118220048352</v>
          </cell>
          <cell r="D2999" t="str">
            <v>23118220048359</v>
          </cell>
          <cell r="E2999" t="str">
            <v>FOURCHETTE OPEN DECOR POIS ROUGE 3517C TB COLLECTION</v>
          </cell>
          <cell r="F2999">
            <v>240</v>
          </cell>
          <cell r="G2999">
            <v>6</v>
          </cell>
          <cell r="H2999">
            <v>33</v>
          </cell>
          <cell r="I2999">
            <v>24</v>
          </cell>
          <cell r="J2999">
            <v>37</v>
          </cell>
          <cell r="K2999">
            <v>9.57</v>
          </cell>
          <cell r="L2999">
            <v>3.9875000000000001E-2</v>
          </cell>
          <cell r="M2999">
            <v>2.9303999999999997E-2</v>
          </cell>
        </row>
        <row r="3000">
          <cell r="A3000">
            <v>32070035</v>
          </cell>
          <cell r="B3000">
            <v>3118220048362</v>
          </cell>
          <cell r="C3000" t="str">
            <v>13118220048369</v>
          </cell>
          <cell r="D3000" t="str">
            <v>23118220048366</v>
          </cell>
          <cell r="E3000" t="str">
            <v>CUILLERE OPEN DECOR POIS ROUGE 3517C TB COLLECTION</v>
          </cell>
          <cell r="F3000">
            <v>240</v>
          </cell>
          <cell r="G3000">
            <v>6</v>
          </cell>
          <cell r="H3000">
            <v>33</v>
          </cell>
          <cell r="I3000">
            <v>24.5</v>
          </cell>
          <cell r="J3000">
            <v>37.5</v>
          </cell>
          <cell r="K3000">
            <v>12.17</v>
          </cell>
          <cell r="L3000">
            <v>5.0708333333333334E-2</v>
          </cell>
          <cell r="M3000">
            <v>3.0318750000000002E-2</v>
          </cell>
        </row>
        <row r="3001">
          <cell r="A3001">
            <v>32070036</v>
          </cell>
          <cell r="B3001">
            <v>3118220048379</v>
          </cell>
          <cell r="C3001" t="str">
            <v>13118220048376</v>
          </cell>
          <cell r="D3001" t="str">
            <v>23118220048373</v>
          </cell>
          <cell r="E3001" t="str">
            <v>CAFE OPEN DECOR POIS ROUGE 3517C TB COLLECTION</v>
          </cell>
          <cell r="F3001">
            <v>240</v>
          </cell>
          <cell r="G3001">
            <v>6</v>
          </cell>
          <cell r="H3001">
            <v>28</v>
          </cell>
          <cell r="I3001">
            <v>20</v>
          </cell>
          <cell r="J3001">
            <v>30</v>
          </cell>
          <cell r="K3001">
            <v>8.1199999999999992</v>
          </cell>
          <cell r="L3001">
            <v>3.3833333333333333E-2</v>
          </cell>
          <cell r="M3001">
            <v>1.6800000000000002E-2</v>
          </cell>
        </row>
        <row r="3002">
          <cell r="A3002">
            <v>32070037</v>
          </cell>
          <cell r="B3002">
            <v>3118220048386</v>
          </cell>
          <cell r="C3002" t="str">
            <v>13118220048383</v>
          </cell>
          <cell r="D3002" t="str">
            <v>23118220048380</v>
          </cell>
          <cell r="E3002" t="str">
            <v>COUTEAU OPEN DECOR POIS NOIR 6C TB COLLECTION</v>
          </cell>
          <cell r="F3002">
            <v>240</v>
          </cell>
          <cell r="G3002">
            <v>6</v>
          </cell>
          <cell r="H3002">
            <v>27</v>
          </cell>
          <cell r="I3002">
            <v>25</v>
          </cell>
          <cell r="J3002">
            <v>38</v>
          </cell>
          <cell r="K3002">
            <v>11.52</v>
          </cell>
          <cell r="L3002">
            <v>4.8000000000000001E-2</v>
          </cell>
          <cell r="M3002">
            <v>2.5650000000000003E-2</v>
          </cell>
        </row>
        <row r="3003">
          <cell r="A3003">
            <v>32070038</v>
          </cell>
          <cell r="B3003">
            <v>3118220048393</v>
          </cell>
          <cell r="C3003" t="str">
            <v>13118220048390</v>
          </cell>
          <cell r="D3003" t="str">
            <v>23118220048397</v>
          </cell>
          <cell r="E3003" t="str">
            <v>FOURCHETTE OPEN DECOR POIS NOIR 6C TB COLLECTION</v>
          </cell>
          <cell r="F3003">
            <v>240</v>
          </cell>
          <cell r="G3003">
            <v>6</v>
          </cell>
          <cell r="H3003">
            <v>33</v>
          </cell>
          <cell r="I3003">
            <v>25</v>
          </cell>
          <cell r="J3003">
            <v>38</v>
          </cell>
          <cell r="K3003">
            <v>9.61</v>
          </cell>
          <cell r="L3003">
            <v>4.0041666666666663E-2</v>
          </cell>
          <cell r="M3003">
            <v>3.1350000000000003E-2</v>
          </cell>
        </row>
        <row r="3004">
          <cell r="A3004">
            <v>32070039</v>
          </cell>
          <cell r="B3004">
            <v>3118220048409</v>
          </cell>
          <cell r="C3004" t="str">
            <v>13118220048406</v>
          </cell>
          <cell r="D3004" t="str">
            <v>23118220048403</v>
          </cell>
          <cell r="E3004" t="str">
            <v>CUILLERE OPEN DECOR POIS NOIR 6C TB COLLECTION</v>
          </cell>
          <cell r="F3004">
            <v>240</v>
          </cell>
          <cell r="G3004">
            <v>6</v>
          </cell>
          <cell r="H3004">
            <v>33</v>
          </cell>
          <cell r="I3004">
            <v>24</v>
          </cell>
          <cell r="J3004">
            <v>38</v>
          </cell>
          <cell r="K3004">
            <v>12.13</v>
          </cell>
          <cell r="L3004">
            <v>5.0541666666666672E-2</v>
          </cell>
          <cell r="M3004">
            <v>3.0095999999999998E-2</v>
          </cell>
        </row>
        <row r="3005">
          <cell r="A3005">
            <v>32070040</v>
          </cell>
          <cell r="B3005">
            <v>3118220048416</v>
          </cell>
          <cell r="C3005" t="str">
            <v>13118220048413</v>
          </cell>
          <cell r="D3005" t="str">
            <v>23118220048410</v>
          </cell>
          <cell r="E3005" t="str">
            <v>CAFE OPEN DECOR POIS NOIR 6C TB COLLECTION</v>
          </cell>
          <cell r="F3005">
            <v>240</v>
          </cell>
          <cell r="G3005">
            <v>6</v>
          </cell>
          <cell r="H3005">
            <v>27</v>
          </cell>
          <cell r="I3005">
            <v>20</v>
          </cell>
          <cell r="J3005">
            <v>38</v>
          </cell>
          <cell r="K3005">
            <v>8.14</v>
          </cell>
          <cell r="L3005">
            <v>3.3916666666666671E-2</v>
          </cell>
          <cell r="M3005">
            <v>2.052E-2</v>
          </cell>
        </row>
        <row r="3006">
          <cell r="A3006">
            <v>32070041</v>
          </cell>
          <cell r="B3006">
            <v>3118220048423</v>
          </cell>
          <cell r="C3006" t="str">
            <v>13118220048420</v>
          </cell>
          <cell r="D3006" t="str">
            <v>23118220048427</v>
          </cell>
          <cell r="E3006" t="str">
            <v>COUTEAU OPEN DECOR GUINGUETTE BLEU TB COLLECTION</v>
          </cell>
          <cell r="F3006">
            <v>240</v>
          </cell>
          <cell r="G3006">
            <v>6</v>
          </cell>
          <cell r="H3006">
            <v>27</v>
          </cell>
          <cell r="I3006">
            <v>24</v>
          </cell>
          <cell r="J3006">
            <v>38</v>
          </cell>
          <cell r="K3006">
            <v>11.51</v>
          </cell>
          <cell r="L3006">
            <v>4.7958333333333332E-2</v>
          </cell>
          <cell r="M3006">
            <v>2.4624000000000007E-2</v>
          </cell>
        </row>
        <row r="3007">
          <cell r="A3007">
            <v>32070042</v>
          </cell>
          <cell r="B3007">
            <v>3118220048430</v>
          </cell>
          <cell r="C3007" t="str">
            <v>13118220048437</v>
          </cell>
          <cell r="D3007" t="str">
            <v>23118220048434</v>
          </cell>
          <cell r="E3007" t="str">
            <v>FOURCHETTE OPEN DECOR GUINGUETTE BLEU  TB COLLECTION</v>
          </cell>
          <cell r="F3007">
            <v>240</v>
          </cell>
          <cell r="G3007">
            <v>6</v>
          </cell>
          <cell r="H3007">
            <v>33</v>
          </cell>
          <cell r="I3007">
            <v>24</v>
          </cell>
          <cell r="J3007">
            <v>38</v>
          </cell>
          <cell r="K3007">
            <v>9.59</v>
          </cell>
          <cell r="L3007">
            <v>3.9958333333333332E-2</v>
          </cell>
          <cell r="M3007">
            <v>3.0095999999999998E-2</v>
          </cell>
        </row>
        <row r="3008">
          <cell r="A3008">
            <v>32070043</v>
          </cell>
          <cell r="B3008">
            <v>3118220048447</v>
          </cell>
          <cell r="C3008" t="str">
            <v>13118220048444</v>
          </cell>
          <cell r="D3008" t="str">
            <v>23118220048441</v>
          </cell>
          <cell r="E3008" t="str">
            <v>CUILLERE OPEN DECOR GUINGUETTE BLEU  TB COLLECTION</v>
          </cell>
          <cell r="F3008">
            <v>240</v>
          </cell>
          <cell r="G3008">
            <v>6</v>
          </cell>
          <cell r="H3008">
            <v>32</v>
          </cell>
          <cell r="I3008">
            <v>24</v>
          </cell>
          <cell r="J3008">
            <v>37</v>
          </cell>
          <cell r="K3008">
            <v>12.1</v>
          </cell>
          <cell r="L3008">
            <v>5.0416666666666665E-2</v>
          </cell>
          <cell r="M3008">
            <v>2.8415999999999997E-2</v>
          </cell>
        </row>
        <row r="3009">
          <cell r="A3009">
            <v>32070044</v>
          </cell>
          <cell r="B3009">
            <v>3118220048454</v>
          </cell>
          <cell r="C3009" t="str">
            <v>13118220048451</v>
          </cell>
          <cell r="D3009" t="str">
            <v>23118220048458</v>
          </cell>
          <cell r="E3009" t="str">
            <v>CAFE OPEN DECOR GUINGUETTE BLEU  TB COLLECTION</v>
          </cell>
          <cell r="F3009">
            <v>240</v>
          </cell>
          <cell r="G3009">
            <v>6</v>
          </cell>
          <cell r="H3009">
            <v>27.5</v>
          </cell>
          <cell r="I3009">
            <v>20</v>
          </cell>
          <cell r="J3009">
            <v>37.5</v>
          </cell>
          <cell r="K3009">
            <v>8.15</v>
          </cell>
          <cell r="L3009">
            <v>3.3958333333333333E-2</v>
          </cell>
          <cell r="M3009">
            <v>2.0625000000000001E-2</v>
          </cell>
        </row>
        <row r="3010">
          <cell r="A3010">
            <v>32070045</v>
          </cell>
          <cell r="B3010">
            <v>3118220048461</v>
          </cell>
          <cell r="C3010" t="str">
            <v>13118220048468</v>
          </cell>
          <cell r="D3010" t="str">
            <v>23118220048465</v>
          </cell>
          <cell r="E3010" t="str">
            <v>COUTEAU OPEN DECOR GUINGUETTE ROUGE TB COLLECTION</v>
          </cell>
          <cell r="F3010">
            <v>240</v>
          </cell>
          <cell r="G3010">
            <v>6</v>
          </cell>
          <cell r="H3010">
            <v>28</v>
          </cell>
          <cell r="I3010">
            <v>25</v>
          </cell>
          <cell r="J3010">
            <v>38</v>
          </cell>
          <cell r="K3010">
            <v>11.52</v>
          </cell>
          <cell r="L3010">
            <v>4.8000000000000001E-2</v>
          </cell>
          <cell r="M3010">
            <v>2.6600000000000002E-2</v>
          </cell>
        </row>
        <row r="3011">
          <cell r="A3011">
            <v>32070046</v>
          </cell>
          <cell r="B3011">
            <v>3118220048478</v>
          </cell>
          <cell r="C3011" t="str">
            <v>13118220048475</v>
          </cell>
          <cell r="D3011" t="str">
            <v>23118220048472</v>
          </cell>
          <cell r="E3011" t="str">
            <v>FOURCHETTE OPEN DECOR GUINGUETTE ROUGE  TB COLLECTION</v>
          </cell>
          <cell r="F3011">
            <v>240</v>
          </cell>
          <cell r="G3011">
            <v>6</v>
          </cell>
          <cell r="H3011">
            <v>33</v>
          </cell>
          <cell r="I3011">
            <v>25</v>
          </cell>
          <cell r="J3011">
            <v>38</v>
          </cell>
          <cell r="K3011">
            <v>9.61</v>
          </cell>
          <cell r="L3011">
            <v>4.0041666666666663E-2</v>
          </cell>
          <cell r="M3011">
            <v>3.1350000000000003E-2</v>
          </cell>
        </row>
        <row r="3012">
          <cell r="A3012">
            <v>32070047</v>
          </cell>
          <cell r="B3012">
            <v>3118220048485</v>
          </cell>
          <cell r="C3012" t="str">
            <v>13118220048482</v>
          </cell>
          <cell r="D3012" t="str">
            <v>23118220048489</v>
          </cell>
          <cell r="E3012" t="str">
            <v>CUILLERE OPEN DECOR GUINGUETTE ROUGE  TB COLLECTION</v>
          </cell>
          <cell r="F3012">
            <v>240</v>
          </cell>
          <cell r="G3012">
            <v>6</v>
          </cell>
          <cell r="H3012">
            <v>33</v>
          </cell>
          <cell r="I3012">
            <v>24.5</v>
          </cell>
          <cell r="J3012">
            <v>37</v>
          </cell>
          <cell r="K3012">
            <v>12.12</v>
          </cell>
          <cell r="L3012">
            <v>5.0499999999999996E-2</v>
          </cell>
          <cell r="M3012">
            <v>2.9914500000000004E-2</v>
          </cell>
        </row>
        <row r="3013">
          <cell r="A3013">
            <v>32070048</v>
          </cell>
          <cell r="B3013">
            <v>3118220048492</v>
          </cell>
          <cell r="C3013" t="str">
            <v>13118220048499</v>
          </cell>
          <cell r="D3013" t="str">
            <v>23118220048496</v>
          </cell>
          <cell r="E3013" t="str">
            <v>CAFE OPEN DECOR GUINGUETTE ROUGE  TB COLLECTION</v>
          </cell>
          <cell r="F3013">
            <v>240</v>
          </cell>
          <cell r="G3013">
            <v>6</v>
          </cell>
          <cell r="H3013">
            <v>27.5</v>
          </cell>
          <cell r="I3013">
            <v>20</v>
          </cell>
          <cell r="J3013">
            <v>38</v>
          </cell>
          <cell r="K3013">
            <v>8.16</v>
          </cell>
          <cell r="L3013">
            <v>3.4000000000000002E-2</v>
          </cell>
          <cell r="M3013">
            <v>2.0899999999999998E-2</v>
          </cell>
        </row>
        <row r="3014">
          <cell r="A3014">
            <v>32070049</v>
          </cell>
          <cell r="B3014" t="str">
            <v>3118220054400</v>
          </cell>
          <cell r="C3014" t="str">
            <v>13118220054407</v>
          </cell>
          <cell r="D3014" t="str">
            <v>23118220054404</v>
          </cell>
          <cell r="E3014" t="str">
            <v>M24 OPEN DECOR POIS ROUGE 3517C POT PET TB COLLECTION</v>
          </cell>
          <cell r="F3014">
            <v>6</v>
          </cell>
          <cell r="G3014">
            <v>6</v>
          </cell>
          <cell r="H3014">
            <v>27.5</v>
          </cell>
          <cell r="I3014">
            <v>27.5</v>
          </cell>
          <cell r="J3014">
            <v>24.5</v>
          </cell>
          <cell r="K3014">
            <v>7.65</v>
          </cell>
          <cell r="L3014">
            <v>1.2750000000000001</v>
          </cell>
          <cell r="M3014">
            <v>1.8528125000000003E-2</v>
          </cell>
        </row>
        <row r="3015">
          <cell r="A3015">
            <v>32070050</v>
          </cell>
          <cell r="B3015" t="str">
            <v>3118220054417</v>
          </cell>
          <cell r="C3015" t="str">
            <v>13118220054414</v>
          </cell>
          <cell r="D3015" t="str">
            <v>23118220054411</v>
          </cell>
          <cell r="E3015" t="str">
            <v>M24 OPEN DECOR POIS NOIR POT PET TB COLLECTION</v>
          </cell>
          <cell r="F3015">
            <v>6</v>
          </cell>
          <cell r="G3015">
            <v>6</v>
          </cell>
          <cell r="H3015">
            <v>27.5</v>
          </cell>
          <cell r="I3015">
            <v>27.5</v>
          </cell>
          <cell r="J3015">
            <v>24.5</v>
          </cell>
          <cell r="K3015">
            <v>7.65</v>
          </cell>
          <cell r="L3015">
            <v>1.2750000000000001</v>
          </cell>
          <cell r="M3015">
            <v>1.8528125000000003E-2</v>
          </cell>
        </row>
        <row r="3016">
          <cell r="A3016">
            <v>32100001</v>
          </cell>
          <cell r="B3016" t="str">
            <v>3118220054967</v>
          </cell>
          <cell r="C3016" t="str">
            <v>13118220054964</v>
          </cell>
          <cell r="D3016" t="str">
            <v>23118220054961</v>
          </cell>
          <cell r="E3016" t="str">
            <v>M16 OPALE ROUGE EN BOITE TB COLLECTION</v>
          </cell>
          <cell r="F3016">
            <v>6</v>
          </cell>
          <cell r="G3016">
            <v>6</v>
          </cell>
          <cell r="H3016">
            <v>30.5</v>
          </cell>
          <cell r="I3016">
            <v>26</v>
          </cell>
          <cell r="J3016">
            <v>32</v>
          </cell>
          <cell r="L3016">
            <v>0</v>
          </cell>
          <cell r="M3016">
            <v>2.5375999999999999E-2</v>
          </cell>
        </row>
        <row r="3017">
          <cell r="A3017">
            <v>32100002</v>
          </cell>
          <cell r="B3017" t="str">
            <v>3118220054974</v>
          </cell>
          <cell r="C3017" t="str">
            <v>13118220054971</v>
          </cell>
          <cell r="D3017" t="str">
            <v>23118220054978</v>
          </cell>
          <cell r="E3017" t="str">
            <v>M16 OPALE NOIR EN BOITE TB COLLECTION</v>
          </cell>
          <cell r="F3017">
            <v>6</v>
          </cell>
          <cell r="G3017">
            <v>6</v>
          </cell>
          <cell r="H3017">
            <v>30.5</v>
          </cell>
          <cell r="I3017">
            <v>26</v>
          </cell>
          <cell r="J3017">
            <v>32</v>
          </cell>
          <cell r="L3017">
            <v>0</v>
          </cell>
          <cell r="M3017">
            <v>2.5375999999999999E-2</v>
          </cell>
        </row>
        <row r="3018">
          <cell r="A3018">
            <v>32100003</v>
          </cell>
          <cell r="B3018" t="str">
            <v>3118220054981</v>
          </cell>
          <cell r="C3018" t="str">
            <v>13118220054988</v>
          </cell>
          <cell r="D3018" t="str">
            <v>23118220054985</v>
          </cell>
          <cell r="E3018" t="str">
            <v>M16 OPALE BLEU EN BOITE TB COLLECTION</v>
          </cell>
          <cell r="F3018">
            <v>6</v>
          </cell>
          <cell r="G3018">
            <v>6</v>
          </cell>
          <cell r="H3018">
            <v>30.5</v>
          </cell>
          <cell r="I3018">
            <v>26</v>
          </cell>
          <cell r="J3018">
            <v>32</v>
          </cell>
          <cell r="L3018">
            <v>0</v>
          </cell>
          <cell r="M3018">
            <v>2.5375999999999999E-2</v>
          </cell>
        </row>
        <row r="3019">
          <cell r="A3019">
            <v>32100004</v>
          </cell>
          <cell r="B3019" t="str">
            <v>3118220054998</v>
          </cell>
          <cell r="C3019" t="str">
            <v>13118220054995</v>
          </cell>
          <cell r="D3019" t="str">
            <v>23118220054992</v>
          </cell>
          <cell r="E3019" t="str">
            <v>M16 OPALE MARRON EN BOITE TB COLLECTION</v>
          </cell>
          <cell r="F3019">
            <v>6</v>
          </cell>
          <cell r="G3019">
            <v>6</v>
          </cell>
          <cell r="H3019">
            <v>30.5</v>
          </cell>
          <cell r="I3019">
            <v>26</v>
          </cell>
          <cell r="J3019">
            <v>32</v>
          </cell>
          <cell r="L3019">
            <v>0</v>
          </cell>
          <cell r="M3019">
            <v>2.5375999999999999E-2</v>
          </cell>
        </row>
        <row r="3020">
          <cell r="A3020">
            <v>32110001</v>
          </cell>
          <cell r="B3020">
            <v>3118220055759</v>
          </cell>
          <cell r="C3020">
            <v>13118220055756</v>
          </cell>
          <cell r="D3020">
            <v>23118220055753</v>
          </cell>
          <cell r="E3020" t="str">
            <v xml:space="preserve">M16 ORÉE TB COLLECTION </v>
          </cell>
          <cell r="F3020">
            <v>6</v>
          </cell>
          <cell r="G3020">
            <v>6</v>
          </cell>
          <cell r="H3020">
            <v>30.5</v>
          </cell>
          <cell r="I3020">
            <v>26</v>
          </cell>
          <cell r="J3020">
            <v>32</v>
          </cell>
          <cell r="L3020">
            <v>0</v>
          </cell>
          <cell r="M3020">
            <v>2.5375999999999999E-2</v>
          </cell>
        </row>
        <row r="3021">
          <cell r="A3021">
            <v>32210001</v>
          </cell>
          <cell r="B3021">
            <v>3616957761771</v>
          </cell>
          <cell r="C3021" t="str">
            <v>03616955895423</v>
          </cell>
          <cell r="D3021" t="str">
            <v>03616954320483</v>
          </cell>
          <cell r="E3021" t="str">
            <v>COUTEAU OPEN UNI COLOR BLEU 2180C CARREFOUR HOME</v>
          </cell>
          <cell r="F3021">
            <v>240</v>
          </cell>
          <cell r="G3021">
            <v>6</v>
          </cell>
          <cell r="H3021">
            <v>27.5</v>
          </cell>
          <cell r="I3021">
            <v>25</v>
          </cell>
          <cell r="J3021">
            <v>38</v>
          </cell>
          <cell r="K3021">
            <v>11.478999999999999</v>
          </cell>
          <cell r="L3021">
            <v>4.7829166666666666E-2</v>
          </cell>
          <cell r="M3021">
            <v>2.6125000000000002E-2</v>
          </cell>
        </row>
        <row r="3022">
          <cell r="A3022">
            <v>32210002</v>
          </cell>
          <cell r="B3022">
            <v>3616957761757</v>
          </cell>
          <cell r="C3022" t="str">
            <v>03616955895409</v>
          </cell>
          <cell r="D3022" t="str">
            <v>03616954320469</v>
          </cell>
          <cell r="E3022" t="str">
            <v>FOURCHETTE OPEN UNI COLOR BLEU 2180C CARREFOUR HOME</v>
          </cell>
          <cell r="F3022">
            <v>240</v>
          </cell>
          <cell r="G3022">
            <v>6</v>
          </cell>
          <cell r="H3022">
            <v>27.5</v>
          </cell>
          <cell r="I3022">
            <v>25</v>
          </cell>
          <cell r="J3022">
            <v>42</v>
          </cell>
          <cell r="K3022">
            <v>9.6</v>
          </cell>
          <cell r="L3022">
            <v>0.04</v>
          </cell>
          <cell r="M3022">
            <v>2.8875000000000001E-2</v>
          </cell>
        </row>
        <row r="3023">
          <cell r="A3023">
            <v>32210003</v>
          </cell>
          <cell r="B3023">
            <v>3616957761818</v>
          </cell>
          <cell r="C3023" t="str">
            <v>03616955895461</v>
          </cell>
          <cell r="D3023" t="str">
            <v>03616954320520</v>
          </cell>
          <cell r="E3023" t="str">
            <v>CUILLERE OPEN UNI COLOR BLEU 2180C CARREFOUR HOME</v>
          </cell>
          <cell r="F3023">
            <v>240</v>
          </cell>
          <cell r="G3023">
            <v>6</v>
          </cell>
          <cell r="H3023">
            <v>32</v>
          </cell>
          <cell r="I3023">
            <v>24</v>
          </cell>
          <cell r="J3023">
            <v>38</v>
          </cell>
          <cell r="K3023">
            <v>12.1</v>
          </cell>
          <cell r="L3023">
            <v>5.0416666666666665E-2</v>
          </cell>
          <cell r="M3023">
            <v>2.9183999999999998E-2</v>
          </cell>
        </row>
        <row r="3024">
          <cell r="A3024">
            <v>32210004</v>
          </cell>
          <cell r="B3024">
            <v>3616957761795</v>
          </cell>
          <cell r="C3024" t="str">
            <v>03616955895447</v>
          </cell>
          <cell r="D3024" t="str">
            <v>03616954320506</v>
          </cell>
          <cell r="E3024" t="str">
            <v>CAFE OPEN UNI COLOR BLEU 2180C CARREFOUR HOME</v>
          </cell>
          <cell r="F3024">
            <v>240</v>
          </cell>
          <cell r="G3024">
            <v>6</v>
          </cell>
          <cell r="H3024">
            <v>27</v>
          </cell>
          <cell r="I3024">
            <v>20</v>
          </cell>
          <cell r="J3024">
            <v>38</v>
          </cell>
          <cell r="K3024">
            <v>8.1300000000000008</v>
          </cell>
          <cell r="L3024">
            <v>3.3875000000000002E-2</v>
          </cell>
          <cell r="M3024">
            <v>2.052E-2</v>
          </cell>
        </row>
        <row r="3025">
          <cell r="A3025">
            <v>32210005</v>
          </cell>
          <cell r="B3025">
            <v>3616957761764</v>
          </cell>
          <cell r="C3025" t="str">
            <v>03616955895416</v>
          </cell>
          <cell r="D3025" t="str">
            <v>03616954320476</v>
          </cell>
          <cell r="E3025" t="str">
            <v>COUTEAU OPEN UNI COLOR GRIS BLEUTE 432C CARREFOUR HOME</v>
          </cell>
          <cell r="F3025">
            <v>240</v>
          </cell>
          <cell r="G3025">
            <v>6</v>
          </cell>
          <cell r="H3025">
            <v>27.5</v>
          </cell>
          <cell r="I3025">
            <v>25</v>
          </cell>
          <cell r="J3025">
            <v>38</v>
          </cell>
          <cell r="K3025">
            <v>11.478999999999999</v>
          </cell>
          <cell r="L3025">
            <v>4.7829166666666666E-2</v>
          </cell>
          <cell r="M3025">
            <v>2.6125000000000002E-2</v>
          </cell>
        </row>
        <row r="3026">
          <cell r="A3026">
            <v>32210006</v>
          </cell>
          <cell r="B3026">
            <v>3616957769142</v>
          </cell>
          <cell r="C3026" t="str">
            <v>03616955903036</v>
          </cell>
          <cell r="D3026" t="str">
            <v>03616954333414</v>
          </cell>
          <cell r="E3026" t="str">
            <v>FOURCHETTE OPEN UNI COLOR GRIS BLEUTE 432C CARREFOUR HOME</v>
          </cell>
          <cell r="F3026">
            <v>240</v>
          </cell>
          <cell r="G3026">
            <v>6</v>
          </cell>
          <cell r="H3026">
            <v>34</v>
          </cell>
          <cell r="I3026">
            <v>25</v>
          </cell>
          <cell r="J3026">
            <v>38</v>
          </cell>
          <cell r="K3026">
            <v>9.5399999999999991</v>
          </cell>
          <cell r="L3026">
            <v>3.9749999999999994E-2</v>
          </cell>
          <cell r="M3026">
            <v>3.2300000000000002E-2</v>
          </cell>
        </row>
        <row r="3027">
          <cell r="A3027">
            <v>32210007</v>
          </cell>
          <cell r="B3027">
            <v>3616957761801</v>
          </cell>
          <cell r="C3027" t="str">
            <v>03616955895454</v>
          </cell>
          <cell r="D3027" t="str">
            <v>03616954320513</v>
          </cell>
          <cell r="E3027" t="str">
            <v>CUILLERE OPEN UNI COLOR GRIS BLEUTE 432C CARREFOUR HOME</v>
          </cell>
          <cell r="F3027">
            <v>240</v>
          </cell>
          <cell r="G3027">
            <v>6</v>
          </cell>
          <cell r="H3027">
            <v>32</v>
          </cell>
          <cell r="I3027">
            <v>24.5</v>
          </cell>
          <cell r="J3027">
            <v>37</v>
          </cell>
          <cell r="K3027">
            <v>11.949</v>
          </cell>
          <cell r="L3027">
            <v>4.9787499999999998E-2</v>
          </cell>
          <cell r="M3027">
            <v>2.9007999999999999E-2</v>
          </cell>
        </row>
        <row r="3028">
          <cell r="A3028">
            <v>32210008</v>
          </cell>
          <cell r="B3028">
            <v>3616957761788</v>
          </cell>
          <cell r="C3028" t="str">
            <v>03616955895430</v>
          </cell>
          <cell r="D3028" t="str">
            <v>03616954320490</v>
          </cell>
          <cell r="E3028" t="str">
            <v>CAFE OPEN UNI COLOR GRIS BLEUTE 432C CARREFOUR HOME</v>
          </cell>
          <cell r="F3028">
            <v>240</v>
          </cell>
          <cell r="G3028">
            <v>6</v>
          </cell>
          <cell r="H3028">
            <v>28</v>
          </cell>
          <cell r="I3028">
            <v>21</v>
          </cell>
          <cell r="J3028">
            <v>38</v>
          </cell>
          <cell r="K3028">
            <v>8.1349999999999998</v>
          </cell>
          <cell r="L3028">
            <v>3.3895833333333333E-2</v>
          </cell>
          <cell r="M3028">
            <v>2.2344000000000003E-2</v>
          </cell>
        </row>
        <row r="3029">
          <cell r="A3029">
            <v>32210009</v>
          </cell>
          <cell r="B3029">
            <v>3616957761610</v>
          </cell>
          <cell r="C3029" t="str">
            <v>03616955895294</v>
          </cell>
          <cell r="D3029" t="str">
            <v>03616954320322</v>
          </cell>
          <cell r="E3029" t="str">
            <v>COUTEAU OPEN UNI COLOR ROUGE 3517C CARREFOUR HOME</v>
          </cell>
          <cell r="F3029">
            <v>240</v>
          </cell>
          <cell r="G3029">
            <v>6</v>
          </cell>
          <cell r="H3029">
            <v>27.5</v>
          </cell>
          <cell r="I3029">
            <v>25</v>
          </cell>
          <cell r="J3029">
            <v>38</v>
          </cell>
          <cell r="K3029">
            <v>11.478999999999999</v>
          </cell>
          <cell r="L3029">
            <v>4.7829166666666666E-2</v>
          </cell>
          <cell r="M3029">
            <v>2.6125000000000002E-2</v>
          </cell>
        </row>
        <row r="3030">
          <cell r="A3030">
            <v>32210010</v>
          </cell>
          <cell r="B3030">
            <v>3616957761603</v>
          </cell>
          <cell r="C3030" t="str">
            <v>03616955895287</v>
          </cell>
          <cell r="D3030" t="str">
            <v>03616954320315</v>
          </cell>
          <cell r="E3030" t="str">
            <v>FOURCHETTE OPEN UNI COLOR ROUGE 3517C CARREFOUR HOME</v>
          </cell>
          <cell r="F3030">
            <v>240</v>
          </cell>
          <cell r="G3030">
            <v>6</v>
          </cell>
          <cell r="H3030">
            <v>27.5</v>
          </cell>
          <cell r="I3030">
            <v>25</v>
          </cell>
          <cell r="J3030">
            <v>42</v>
          </cell>
          <cell r="K3030">
            <v>11.48</v>
          </cell>
          <cell r="L3030">
            <v>4.7833333333333332E-2</v>
          </cell>
          <cell r="M3030">
            <v>2.8875000000000001E-2</v>
          </cell>
        </row>
        <row r="3031">
          <cell r="A3031">
            <v>32210011</v>
          </cell>
          <cell r="B3031">
            <v>3616957761634</v>
          </cell>
          <cell r="C3031" t="str">
            <v>03616955895317</v>
          </cell>
          <cell r="D3031" t="str">
            <v>03616954320346</v>
          </cell>
          <cell r="E3031" t="str">
            <v>CUILLERE OPEN UNI COLOR ROUGE 3517C CARREFOUR HOME</v>
          </cell>
          <cell r="F3031">
            <v>240</v>
          </cell>
          <cell r="G3031">
            <v>6</v>
          </cell>
          <cell r="H3031">
            <v>32</v>
          </cell>
          <cell r="I3031">
            <v>25</v>
          </cell>
          <cell r="J3031">
            <v>38</v>
          </cell>
          <cell r="K3031">
            <v>12.09</v>
          </cell>
          <cell r="L3031">
            <v>5.0374999999999996E-2</v>
          </cell>
          <cell r="M3031">
            <v>3.04E-2</v>
          </cell>
        </row>
        <row r="3032">
          <cell r="A3032">
            <v>32210012</v>
          </cell>
          <cell r="B3032">
            <v>3616957761627</v>
          </cell>
          <cell r="C3032" t="str">
            <v>03616955895300</v>
          </cell>
          <cell r="D3032" t="str">
            <v>03616954320339</v>
          </cell>
          <cell r="E3032" t="str">
            <v>CAFE OPEN UNI COLOR ROUGE 3517C CARREFOUR HOME</v>
          </cell>
          <cell r="F3032">
            <v>240</v>
          </cell>
          <cell r="G3032">
            <v>6</v>
          </cell>
          <cell r="H3032">
            <v>28</v>
          </cell>
          <cell r="I3032">
            <v>20</v>
          </cell>
          <cell r="J3032">
            <v>40</v>
          </cell>
          <cell r="K3032">
            <v>8.2949999999999999</v>
          </cell>
          <cell r="L3032">
            <v>3.4562500000000003E-2</v>
          </cell>
          <cell r="M3032">
            <v>2.2400000000000003E-2</v>
          </cell>
        </row>
        <row r="3033">
          <cell r="A3033">
            <v>32210013</v>
          </cell>
          <cell r="B3033">
            <v>3616957761658</v>
          </cell>
          <cell r="C3033" t="str">
            <v>03616955895331</v>
          </cell>
          <cell r="D3033" t="str">
            <v>03616954320360</v>
          </cell>
          <cell r="E3033" t="str">
            <v>COUTEAU OPEN UNI COLOR BEIGE 7529C CARREFOUR HOME</v>
          </cell>
          <cell r="F3033">
            <v>240</v>
          </cell>
          <cell r="G3033">
            <v>6</v>
          </cell>
          <cell r="H3033">
            <v>27</v>
          </cell>
          <cell r="I3033">
            <v>25</v>
          </cell>
          <cell r="J3033">
            <v>38</v>
          </cell>
          <cell r="K3033">
            <v>11.592000000000001</v>
          </cell>
          <cell r="L3033">
            <v>4.8300000000000003E-2</v>
          </cell>
          <cell r="M3033">
            <v>2.5650000000000003E-2</v>
          </cell>
        </row>
        <row r="3034">
          <cell r="A3034">
            <v>32210014</v>
          </cell>
          <cell r="B3034">
            <v>3616957761641</v>
          </cell>
          <cell r="C3034" t="str">
            <v>03616955895324</v>
          </cell>
          <cell r="D3034" t="str">
            <v>03616954320353</v>
          </cell>
          <cell r="E3034" t="str">
            <v>FOURCHETTE OPEN UNI COLOR BEIGE 7529C CARREFOUR HOME</v>
          </cell>
          <cell r="F3034">
            <v>240</v>
          </cell>
          <cell r="G3034">
            <v>6</v>
          </cell>
          <cell r="H3034">
            <v>32</v>
          </cell>
          <cell r="I3034">
            <v>25</v>
          </cell>
          <cell r="J3034">
            <v>38</v>
          </cell>
          <cell r="K3034">
            <v>9.8379999999999992</v>
          </cell>
          <cell r="L3034">
            <v>4.0991666666666662E-2</v>
          </cell>
          <cell r="M3034">
            <v>3.04E-2</v>
          </cell>
        </row>
        <row r="3035">
          <cell r="A3035">
            <v>32210015</v>
          </cell>
          <cell r="B3035">
            <v>3616957761672</v>
          </cell>
          <cell r="C3035" t="str">
            <v>03616955895355</v>
          </cell>
          <cell r="D3035" t="str">
            <v>03616954320384</v>
          </cell>
          <cell r="E3035" t="str">
            <v>CUILLERE OPEN UNI COLOR BEIGE 7529C CARREFOUR HOME</v>
          </cell>
          <cell r="F3035">
            <v>240</v>
          </cell>
          <cell r="G3035">
            <v>6</v>
          </cell>
          <cell r="H3035">
            <v>32</v>
          </cell>
          <cell r="I3035">
            <v>25.5</v>
          </cell>
          <cell r="J3035">
            <v>38</v>
          </cell>
          <cell r="K3035">
            <v>12.396000000000001</v>
          </cell>
          <cell r="L3035">
            <v>5.1650000000000001E-2</v>
          </cell>
          <cell r="M3035">
            <v>3.1008000000000004E-2</v>
          </cell>
        </row>
        <row r="3036">
          <cell r="A3036">
            <v>32210016</v>
          </cell>
          <cell r="B3036">
            <v>3616957761665</v>
          </cell>
          <cell r="C3036" t="str">
            <v>03616955895348</v>
          </cell>
          <cell r="D3036" t="str">
            <v>03616954320377</v>
          </cell>
          <cell r="E3036" t="str">
            <v>CAFE OPEN UNI COLOR BEIGE 7529C CARREFOUR HOME</v>
          </cell>
          <cell r="F3036">
            <v>240</v>
          </cell>
          <cell r="G3036">
            <v>6</v>
          </cell>
          <cell r="H3036">
            <v>29</v>
          </cell>
          <cell r="I3036">
            <v>21</v>
          </cell>
          <cell r="J3036">
            <v>38</v>
          </cell>
          <cell r="K3036">
            <v>8.1959999999999997</v>
          </cell>
          <cell r="L3036">
            <v>3.415E-2</v>
          </cell>
          <cell r="M3036">
            <v>2.3141999999999999E-2</v>
          </cell>
        </row>
        <row r="3037">
          <cell r="A3037">
            <v>32210017</v>
          </cell>
          <cell r="B3037">
            <v>3118220048034</v>
          </cell>
          <cell r="C3037" t="str">
            <v>13118220048031</v>
          </cell>
          <cell r="D3037" t="str">
            <v>23118220048038</v>
          </cell>
          <cell r="E3037" t="str">
            <v>COUTEAU OPEN UNI COLOR ROUGE 3517C TB COLLECTION</v>
          </cell>
          <cell r="F3037">
            <v>240</v>
          </cell>
          <cell r="G3037">
            <v>6</v>
          </cell>
          <cell r="H3037">
            <v>28</v>
          </cell>
          <cell r="I3037">
            <v>25</v>
          </cell>
          <cell r="J3037">
            <v>38</v>
          </cell>
          <cell r="K3037">
            <v>11.497</v>
          </cell>
          <cell r="L3037">
            <v>4.7904166666666664E-2</v>
          </cell>
          <cell r="M3037">
            <v>2.6600000000000002E-2</v>
          </cell>
        </row>
        <row r="3038">
          <cell r="A3038">
            <v>32210018</v>
          </cell>
          <cell r="B3038">
            <v>3118220048041</v>
          </cell>
          <cell r="C3038" t="str">
            <v>13118220048048</v>
          </cell>
          <cell r="D3038" t="str">
            <v>23118220048045</v>
          </cell>
          <cell r="E3038" t="str">
            <v>FOURCHETTE OPEN UNI COLOR ROUGE 3517C TB COLLECTION</v>
          </cell>
          <cell r="F3038">
            <v>240</v>
          </cell>
          <cell r="G3038">
            <v>6</v>
          </cell>
          <cell r="H3038">
            <v>33.5</v>
          </cell>
          <cell r="I3038">
            <v>24.5</v>
          </cell>
          <cell r="J3038">
            <v>38</v>
          </cell>
          <cell r="K3038">
            <v>9.5809999999999995</v>
          </cell>
          <cell r="L3038">
            <v>3.9920833333333329E-2</v>
          </cell>
          <cell r="M3038">
            <v>3.1188500000000001E-2</v>
          </cell>
        </row>
        <row r="3039">
          <cell r="A3039">
            <v>32210019</v>
          </cell>
          <cell r="B3039">
            <v>3118220048058</v>
          </cell>
          <cell r="C3039" t="str">
            <v>13118220048055</v>
          </cell>
          <cell r="D3039" t="str">
            <v>23118220048052</v>
          </cell>
          <cell r="E3039" t="str">
            <v>CUILLERE OPEN UNI COLOR ROUGE 3517C TB COLLECTION</v>
          </cell>
          <cell r="F3039">
            <v>240</v>
          </cell>
          <cell r="G3039">
            <v>6</v>
          </cell>
          <cell r="H3039">
            <v>32</v>
          </cell>
          <cell r="I3039">
            <v>24.5</v>
          </cell>
          <cell r="J3039">
            <v>38</v>
          </cell>
          <cell r="K3039">
            <v>12.085000000000001</v>
          </cell>
          <cell r="L3039">
            <v>5.0354166666666672E-2</v>
          </cell>
          <cell r="M3039">
            <v>2.9791999999999999E-2</v>
          </cell>
        </row>
        <row r="3040">
          <cell r="A3040">
            <v>32210020</v>
          </cell>
          <cell r="B3040">
            <v>3118220048065</v>
          </cell>
          <cell r="C3040" t="str">
            <v>13118220048062</v>
          </cell>
          <cell r="D3040" t="str">
            <v>23118220048069</v>
          </cell>
          <cell r="E3040" t="str">
            <v>CAFE OPEN UNI COLOR ROUGE 3517C TB COLLECTION</v>
          </cell>
          <cell r="F3040">
            <v>240</v>
          </cell>
          <cell r="G3040">
            <v>6</v>
          </cell>
          <cell r="H3040">
            <v>27</v>
          </cell>
          <cell r="I3040">
            <v>20</v>
          </cell>
          <cell r="J3040">
            <v>38</v>
          </cell>
          <cell r="K3040">
            <v>8.1289999999999996</v>
          </cell>
          <cell r="L3040">
            <v>3.3870833333333329E-2</v>
          </cell>
          <cell r="M3040">
            <v>2.052E-2</v>
          </cell>
        </row>
        <row r="3041">
          <cell r="A3041">
            <v>32210021</v>
          </cell>
          <cell r="B3041">
            <v>3118220048072</v>
          </cell>
          <cell r="C3041" t="str">
            <v>13118220048079</v>
          </cell>
          <cell r="D3041" t="str">
            <v>23118220048076</v>
          </cell>
          <cell r="E3041" t="str">
            <v>COUTEAU OPEN UNI COLOR BLEU 2180C TB COLLECTION</v>
          </cell>
          <cell r="F3041">
            <v>240</v>
          </cell>
          <cell r="G3041">
            <v>6</v>
          </cell>
          <cell r="H3041">
            <v>25</v>
          </cell>
          <cell r="I3041">
            <v>27</v>
          </cell>
          <cell r="J3041">
            <v>38</v>
          </cell>
          <cell r="K3041">
            <v>11.795999999999999</v>
          </cell>
          <cell r="L3041">
            <v>4.9149999999999999E-2</v>
          </cell>
          <cell r="M3041">
            <v>2.5650000000000003E-2</v>
          </cell>
        </row>
        <row r="3042">
          <cell r="A3042">
            <v>32210022</v>
          </cell>
          <cell r="B3042">
            <v>3118220048089</v>
          </cell>
          <cell r="C3042" t="str">
            <v>13118220048086</v>
          </cell>
          <cell r="D3042" t="str">
            <v>23118220048083</v>
          </cell>
          <cell r="E3042" t="str">
            <v>FOURCHETTE OPEN UNI COLOR BLEU 2180C TB COLLECTION</v>
          </cell>
          <cell r="F3042">
            <v>240</v>
          </cell>
          <cell r="G3042">
            <v>6</v>
          </cell>
          <cell r="H3042">
            <v>32</v>
          </cell>
          <cell r="I3042">
            <v>25</v>
          </cell>
          <cell r="J3042">
            <v>38</v>
          </cell>
          <cell r="K3042">
            <v>9.577</v>
          </cell>
          <cell r="L3042">
            <v>3.9904166666666664E-2</v>
          </cell>
          <cell r="M3042">
            <v>3.04E-2</v>
          </cell>
        </row>
        <row r="3043">
          <cell r="A3043">
            <v>32210023</v>
          </cell>
          <cell r="B3043">
            <v>3118220048096</v>
          </cell>
          <cell r="C3043" t="str">
            <v>13118220048093</v>
          </cell>
          <cell r="D3043" t="str">
            <v>23118220048090</v>
          </cell>
          <cell r="E3043" t="str">
            <v>CUILLERE OPEN UNI COLOR BLEU 2180C TB COLLECTION</v>
          </cell>
          <cell r="F3043">
            <v>240</v>
          </cell>
          <cell r="G3043">
            <v>6</v>
          </cell>
          <cell r="H3043">
            <v>38</v>
          </cell>
          <cell r="I3043">
            <v>28</v>
          </cell>
          <cell r="J3043">
            <v>21</v>
          </cell>
          <cell r="K3043">
            <v>11.68</v>
          </cell>
          <cell r="L3043">
            <v>4.8666666666666664E-2</v>
          </cell>
          <cell r="M3043">
            <v>2.2344000000000003E-2</v>
          </cell>
        </row>
        <row r="3044">
          <cell r="A3044">
            <v>32210024</v>
          </cell>
          <cell r="B3044">
            <v>3118220048102</v>
          </cell>
          <cell r="C3044" t="str">
            <v>13118220048109</v>
          </cell>
          <cell r="D3044" t="str">
            <v>23118220048106</v>
          </cell>
          <cell r="E3044" t="str">
            <v>CAFE OPEN UNI COLOR BLEU 2180C TB COLLECTION</v>
          </cell>
          <cell r="F3044">
            <v>240</v>
          </cell>
          <cell r="G3044">
            <v>6</v>
          </cell>
          <cell r="H3044">
            <v>28</v>
          </cell>
          <cell r="I3044">
            <v>20</v>
          </cell>
          <cell r="J3044">
            <v>39</v>
          </cell>
          <cell r="K3044">
            <v>8.1340000000000003</v>
          </cell>
          <cell r="L3044">
            <v>3.3891666666666667E-2</v>
          </cell>
          <cell r="M3044">
            <v>2.1840000000000002E-2</v>
          </cell>
        </row>
        <row r="3045">
          <cell r="A3045">
            <v>32210025</v>
          </cell>
          <cell r="B3045">
            <v>3118220048119</v>
          </cell>
          <cell r="C3045" t="str">
            <v>13118220048116</v>
          </cell>
          <cell r="D3045" t="str">
            <v>23118220048113</v>
          </cell>
          <cell r="E3045" t="str">
            <v>COUTEAU OPEN UNI COLOR GRIS BLEUTE 432C TB COLLECTION</v>
          </cell>
          <cell r="F3045">
            <v>240</v>
          </cell>
          <cell r="G3045">
            <v>6</v>
          </cell>
          <cell r="H3045">
            <v>28</v>
          </cell>
          <cell r="I3045">
            <v>24</v>
          </cell>
          <cell r="J3045">
            <v>38</v>
          </cell>
          <cell r="K3045">
            <v>11.12</v>
          </cell>
          <cell r="L3045">
            <v>4.6333333333333331E-2</v>
          </cell>
          <cell r="M3045">
            <v>2.5536000000000003E-2</v>
          </cell>
        </row>
        <row r="3046">
          <cell r="A3046">
            <v>32210026</v>
          </cell>
          <cell r="B3046">
            <v>3118220048126</v>
          </cell>
          <cell r="C3046" t="str">
            <v>13118220048123</v>
          </cell>
          <cell r="D3046" t="str">
            <v>23118220048120</v>
          </cell>
          <cell r="E3046" t="str">
            <v>FOURCHETTE OPEN UNI COLOR GRIS BLEUTE 432C TB COLLECTION</v>
          </cell>
          <cell r="F3046">
            <v>240</v>
          </cell>
          <cell r="G3046">
            <v>6</v>
          </cell>
          <cell r="H3046">
            <v>33</v>
          </cell>
          <cell r="I3046">
            <v>25</v>
          </cell>
          <cell r="J3046">
            <v>38</v>
          </cell>
          <cell r="K3046">
            <v>9.5839999999999996</v>
          </cell>
          <cell r="L3046">
            <v>3.9933333333333335E-2</v>
          </cell>
          <cell r="M3046">
            <v>3.1350000000000003E-2</v>
          </cell>
        </row>
        <row r="3047">
          <cell r="A3047">
            <v>32210027</v>
          </cell>
          <cell r="B3047">
            <v>3118220048133</v>
          </cell>
          <cell r="C3047" t="str">
            <v>13118220048130</v>
          </cell>
          <cell r="D3047" t="str">
            <v>23118220048137</v>
          </cell>
          <cell r="E3047" t="str">
            <v>CUILLERE OPEN UNI COLOR GRIS BLEUTE 432C TB COLLECTION</v>
          </cell>
          <cell r="F3047">
            <v>240</v>
          </cell>
          <cell r="G3047">
            <v>6</v>
          </cell>
          <cell r="H3047">
            <v>32</v>
          </cell>
          <cell r="I3047">
            <v>24.5</v>
          </cell>
          <cell r="J3047">
            <v>38</v>
          </cell>
          <cell r="K3047">
            <v>12.087999999999999</v>
          </cell>
          <cell r="L3047">
            <v>5.0366666666666664E-2</v>
          </cell>
          <cell r="M3047">
            <v>2.9791999999999999E-2</v>
          </cell>
        </row>
        <row r="3048">
          <cell r="A3048">
            <v>32210028</v>
          </cell>
          <cell r="B3048">
            <v>3118220048140</v>
          </cell>
          <cell r="C3048" t="str">
            <v>13118220048147</v>
          </cell>
          <cell r="D3048" t="str">
            <v>23118220048144</v>
          </cell>
          <cell r="E3048" t="str">
            <v>CAFE OPEN UNI COLOR GRIS BLEUTE 432C TB COLLECTION</v>
          </cell>
          <cell r="F3048">
            <v>240</v>
          </cell>
          <cell r="G3048">
            <v>6</v>
          </cell>
          <cell r="H3048">
            <v>28</v>
          </cell>
          <cell r="I3048">
            <v>20</v>
          </cell>
          <cell r="J3048">
            <v>39</v>
          </cell>
          <cell r="K3048">
            <v>8.23</v>
          </cell>
          <cell r="L3048">
            <v>3.4291666666666672E-2</v>
          </cell>
          <cell r="M3048">
            <v>2.1840000000000002E-2</v>
          </cell>
        </row>
        <row r="3049">
          <cell r="A3049">
            <v>32210029</v>
          </cell>
          <cell r="B3049">
            <v>3118220048157</v>
          </cell>
          <cell r="C3049" t="str">
            <v>13118220048154</v>
          </cell>
          <cell r="D3049" t="str">
            <v>23118220048151</v>
          </cell>
          <cell r="E3049" t="str">
            <v>COUTEAU OPEN UNI COLOR BEIGE 7529C TB COLLECTION</v>
          </cell>
          <cell r="F3049">
            <v>240</v>
          </cell>
          <cell r="G3049">
            <v>6</v>
          </cell>
          <cell r="H3049">
            <v>26</v>
          </cell>
          <cell r="I3049">
            <v>25</v>
          </cell>
          <cell r="J3049">
            <v>38</v>
          </cell>
          <cell r="K3049">
            <v>11.505000000000001</v>
          </cell>
          <cell r="L3049">
            <v>4.7937500000000001E-2</v>
          </cell>
          <cell r="M3049">
            <v>2.4700000000000003E-2</v>
          </cell>
        </row>
        <row r="3050">
          <cell r="A3050">
            <v>32210030</v>
          </cell>
          <cell r="B3050">
            <v>3118220048164</v>
          </cell>
          <cell r="C3050" t="str">
            <v>13118220048161</v>
          </cell>
          <cell r="D3050" t="str">
            <v>23118220048168</v>
          </cell>
          <cell r="E3050" t="str">
            <v>FOURCHETTE OPEN UNI COLOR BEIGE 7529C TB COLLECTION</v>
          </cell>
          <cell r="F3050">
            <v>240</v>
          </cell>
          <cell r="G3050">
            <v>6</v>
          </cell>
          <cell r="H3050">
            <v>33</v>
          </cell>
          <cell r="I3050">
            <v>24.5</v>
          </cell>
          <cell r="J3050">
            <v>38</v>
          </cell>
          <cell r="K3050">
            <v>9.6129999999999995</v>
          </cell>
          <cell r="L3050">
            <v>4.0054166666666662E-2</v>
          </cell>
          <cell r="M3050">
            <v>3.0723000000000004E-2</v>
          </cell>
        </row>
        <row r="3051">
          <cell r="A3051">
            <v>32210031</v>
          </cell>
          <cell r="B3051">
            <v>3118220048171</v>
          </cell>
          <cell r="C3051" t="str">
            <v>13118220048178</v>
          </cell>
          <cell r="D3051" t="str">
            <v>23118220048175</v>
          </cell>
          <cell r="E3051" t="str">
            <v>CUILLERE OPEN UNI COLOR BEIGE 7529C TB COLLECTION</v>
          </cell>
          <cell r="F3051">
            <v>240</v>
          </cell>
          <cell r="G3051">
            <v>6</v>
          </cell>
          <cell r="H3051">
            <v>33</v>
          </cell>
          <cell r="I3051">
            <v>24.5</v>
          </cell>
          <cell r="J3051">
            <v>37.5</v>
          </cell>
          <cell r="K3051">
            <v>12.097</v>
          </cell>
          <cell r="L3051">
            <v>5.0404166666666667E-2</v>
          </cell>
          <cell r="M3051">
            <v>3.0318750000000002E-2</v>
          </cell>
        </row>
        <row r="3052">
          <cell r="A3052">
            <v>32210032</v>
          </cell>
          <cell r="B3052">
            <v>3118220048188</v>
          </cell>
          <cell r="C3052" t="str">
            <v>13118220048185</v>
          </cell>
          <cell r="D3052" t="str">
            <v>23118220048182</v>
          </cell>
          <cell r="E3052" t="str">
            <v>CAFE OPEN UNI COLOR BEIGE 7529C TB COLLECTION</v>
          </cell>
          <cell r="F3052">
            <v>240</v>
          </cell>
          <cell r="G3052">
            <v>6</v>
          </cell>
          <cell r="H3052">
            <v>28</v>
          </cell>
          <cell r="I3052">
            <v>21</v>
          </cell>
          <cell r="J3052">
            <v>40</v>
          </cell>
          <cell r="K3052">
            <v>8.2349999999999994</v>
          </cell>
          <cell r="L3052">
            <v>3.4312499999999996E-2</v>
          </cell>
          <cell r="M3052">
            <v>2.3520000000000003E-2</v>
          </cell>
        </row>
        <row r="3053">
          <cell r="A3053">
            <v>32210033</v>
          </cell>
          <cell r="B3053" t="str">
            <v>3617703024256</v>
          </cell>
          <cell r="C3053" t="str">
            <v>03617704528760</v>
          </cell>
          <cell r="D3053" t="str">
            <v>03617701359763</v>
          </cell>
          <cell r="E3053" t="str">
            <v>COUTEAU OPEN UNI COLOR VERT SAUGE CARREFOUR HOME</v>
          </cell>
          <cell r="F3053">
            <v>240</v>
          </cell>
          <cell r="G3053">
            <v>6</v>
          </cell>
          <cell r="H3053">
            <v>27</v>
          </cell>
          <cell r="I3053">
            <v>25</v>
          </cell>
          <cell r="J3053">
            <v>38</v>
          </cell>
          <cell r="K3053">
            <v>11.592000000000001</v>
          </cell>
          <cell r="L3053">
            <v>4.8300000000000003E-2</v>
          </cell>
          <cell r="M3053">
            <v>2.5650000000000003E-2</v>
          </cell>
        </row>
        <row r="3054">
          <cell r="A3054">
            <v>32210034</v>
          </cell>
          <cell r="B3054" t="str">
            <v>3617703024263</v>
          </cell>
          <cell r="C3054" t="str">
            <v>03617704528777</v>
          </cell>
          <cell r="D3054" t="str">
            <v>03617701359770</v>
          </cell>
          <cell r="E3054" t="str">
            <v>FOURCHETTE OPEN UNI COLOR VERT SAUGE CARREFOUR HOME</v>
          </cell>
          <cell r="F3054">
            <v>240</v>
          </cell>
          <cell r="G3054">
            <v>6</v>
          </cell>
          <cell r="H3054">
            <v>32</v>
          </cell>
          <cell r="I3054">
            <v>25</v>
          </cell>
          <cell r="J3054">
            <v>38</v>
          </cell>
          <cell r="K3054">
            <v>9.8379999999999992</v>
          </cell>
          <cell r="L3054">
            <v>4.0991666666666662E-2</v>
          </cell>
          <cell r="M3054">
            <v>3.04E-2</v>
          </cell>
        </row>
        <row r="3055">
          <cell r="A3055">
            <v>32210035</v>
          </cell>
          <cell r="B3055" t="str">
            <v>3617703024270</v>
          </cell>
          <cell r="C3055" t="str">
            <v>03617704528784</v>
          </cell>
          <cell r="D3055" t="str">
            <v>03617701359787</v>
          </cell>
          <cell r="E3055" t="str">
            <v>CUILLERE OPEN UNI COLOR VERT SAUGE CARREFOUR HOME</v>
          </cell>
          <cell r="F3055">
            <v>240</v>
          </cell>
          <cell r="G3055">
            <v>6</v>
          </cell>
          <cell r="H3055">
            <v>32</v>
          </cell>
          <cell r="I3055">
            <v>25.5</v>
          </cell>
          <cell r="J3055">
            <v>38</v>
          </cell>
          <cell r="K3055">
            <v>12.396000000000001</v>
          </cell>
          <cell r="L3055">
            <v>5.1650000000000001E-2</v>
          </cell>
          <cell r="M3055">
            <v>3.1008000000000004E-2</v>
          </cell>
        </row>
        <row r="3056">
          <cell r="A3056">
            <v>32210036</v>
          </cell>
          <cell r="B3056" t="str">
            <v>3617703024287</v>
          </cell>
          <cell r="C3056" t="str">
            <v>03617704528791</v>
          </cell>
          <cell r="D3056" t="str">
            <v>03617701359794</v>
          </cell>
          <cell r="E3056" t="str">
            <v>CAFE OPEN UNI COLOR VERT SAUGE CARREFOUR HOME</v>
          </cell>
          <cell r="F3056">
            <v>240</v>
          </cell>
          <cell r="G3056">
            <v>6</v>
          </cell>
          <cell r="H3056">
            <v>29</v>
          </cell>
          <cell r="I3056">
            <v>21</v>
          </cell>
          <cell r="J3056">
            <v>38</v>
          </cell>
          <cell r="K3056">
            <v>8.1959999999999997</v>
          </cell>
          <cell r="L3056">
            <v>3.415E-2</v>
          </cell>
          <cell r="M3056">
            <v>2.3141999999999999E-2</v>
          </cell>
        </row>
        <row r="3057">
          <cell r="A3057">
            <v>40010001</v>
          </cell>
          <cell r="B3057">
            <v>3118220005556</v>
          </cell>
          <cell r="E3057" t="str">
            <v>ROULETTE PIZZA CERAMIQUE BLANCHE SOUS BLISTER PEGB COUL PANA</v>
          </cell>
          <cell r="F3057">
            <v>18</v>
          </cell>
          <cell r="G3057">
            <v>6</v>
          </cell>
          <cell r="H3057">
            <v>19.5</v>
          </cell>
          <cell r="I3057">
            <v>16</v>
          </cell>
          <cell r="J3057">
            <v>36</v>
          </cell>
          <cell r="K3057">
            <v>2.2799999999999998</v>
          </cell>
          <cell r="L3057">
            <v>0.12666666666666665</v>
          </cell>
          <cell r="M3057">
            <v>1.1231999999999999E-2</v>
          </cell>
        </row>
        <row r="3058">
          <cell r="A3058">
            <v>40010002</v>
          </cell>
          <cell r="B3058">
            <v>3118220005914</v>
          </cell>
          <cell r="E3058" t="str">
            <v>ROULETTE PIZZA CERAMIQUE BLANCHE USA SOUS BLISTER PEGB</v>
          </cell>
          <cell r="F3058">
            <v>18</v>
          </cell>
          <cell r="G3058">
            <v>6</v>
          </cell>
          <cell r="H3058">
            <v>19.5</v>
          </cell>
          <cell r="I3058">
            <v>16</v>
          </cell>
          <cell r="J3058">
            <v>36</v>
          </cell>
          <cell r="K3058">
            <v>2.2799999999999998</v>
          </cell>
          <cell r="L3058">
            <v>0.12666666666666665</v>
          </cell>
          <cell r="M3058">
            <v>1.1231999999999999E-2</v>
          </cell>
        </row>
        <row r="3059">
          <cell r="A3059">
            <v>40010003</v>
          </cell>
          <cell r="B3059">
            <v>3118220005921</v>
          </cell>
          <cell r="E3059" t="str">
            <v>ROULETTE PIZZA CERAMIQUE BLANCHE UNION JACK SOUS BLISTER PEG</v>
          </cell>
          <cell r="F3059">
            <v>18</v>
          </cell>
          <cell r="G3059">
            <v>6</v>
          </cell>
          <cell r="H3059">
            <v>19.5</v>
          </cell>
          <cell r="I3059">
            <v>16</v>
          </cell>
          <cell r="J3059">
            <v>36</v>
          </cell>
          <cell r="K3059">
            <v>2.2799999999999998</v>
          </cell>
          <cell r="L3059">
            <v>0.12666666666666665</v>
          </cell>
          <cell r="M3059">
            <v>1.1231999999999999E-2</v>
          </cell>
        </row>
        <row r="3060">
          <cell r="A3060">
            <v>40010004</v>
          </cell>
          <cell r="B3060">
            <v>3118220006003</v>
          </cell>
          <cell r="E3060" t="str">
            <v>ROULETTE PIZZA CERAMIQUE BLANCHE BRETAGNE SOUS BLISTER PEGB</v>
          </cell>
          <cell r="F3060">
            <v>18</v>
          </cell>
          <cell r="G3060">
            <v>6</v>
          </cell>
          <cell r="H3060">
            <v>19.5</v>
          </cell>
          <cell r="I3060">
            <v>16</v>
          </cell>
          <cell r="J3060">
            <v>36</v>
          </cell>
          <cell r="K3060">
            <v>2.2799999999999998</v>
          </cell>
          <cell r="L3060">
            <v>0.12666666666666665</v>
          </cell>
          <cell r="M3060">
            <v>1.1231999999999999E-2</v>
          </cell>
        </row>
        <row r="3061">
          <cell r="A3061">
            <v>40010006</v>
          </cell>
          <cell r="B3061">
            <v>3118220009196</v>
          </cell>
          <cell r="E3061" t="str">
            <v>ROULETTE PIZZA CERAMIQUE BLANCHE CORSE SOUS BLISTER PEG</v>
          </cell>
          <cell r="F3061">
            <v>18</v>
          </cell>
          <cell r="G3061">
            <v>6</v>
          </cell>
          <cell r="H3061">
            <v>19.5</v>
          </cell>
          <cell r="I3061">
            <v>16</v>
          </cell>
          <cell r="J3061">
            <v>36</v>
          </cell>
          <cell r="K3061">
            <v>2.2799999999999998</v>
          </cell>
          <cell r="L3061">
            <v>0.12666666666666665</v>
          </cell>
          <cell r="M3061">
            <v>1.1231999999999999E-2</v>
          </cell>
        </row>
        <row r="3062">
          <cell r="A3062">
            <v>40010007</v>
          </cell>
          <cell r="B3062">
            <v>3118220009325</v>
          </cell>
          <cell r="E3062" t="str">
            <v>ROULETTE PIZZA CERAMIQUE BLANCHE BASQUE SOUS BLISTER PEG</v>
          </cell>
          <cell r="F3062">
            <v>18</v>
          </cell>
          <cell r="G3062">
            <v>6</v>
          </cell>
          <cell r="H3062">
            <v>19.5</v>
          </cell>
          <cell r="I3062">
            <v>16</v>
          </cell>
          <cell r="J3062">
            <v>36</v>
          </cell>
          <cell r="K3062">
            <v>2.2799999999999998</v>
          </cell>
          <cell r="L3062">
            <v>0.12666666666666665</v>
          </cell>
          <cell r="M3062">
            <v>1.1231999999999999E-2</v>
          </cell>
        </row>
        <row r="3063">
          <cell r="A3063">
            <v>40010010</v>
          </cell>
          <cell r="B3063">
            <v>3118220010369</v>
          </cell>
          <cell r="E3063" t="str">
            <v>ROULETTE PIZZA CERAMIQUE BLANCHE METALLISE ARGENT BLIST PEG</v>
          </cell>
          <cell r="F3063">
            <v>18</v>
          </cell>
          <cell r="G3063">
            <v>6</v>
          </cell>
          <cell r="H3063">
            <v>19.5</v>
          </cell>
          <cell r="I3063">
            <v>16</v>
          </cell>
          <cell r="J3063">
            <v>36</v>
          </cell>
          <cell r="K3063">
            <v>2.2799999999999998</v>
          </cell>
          <cell r="L3063">
            <v>0.12666666666666665</v>
          </cell>
          <cell r="M3063">
            <v>1.1231999999999999E-2</v>
          </cell>
        </row>
        <row r="3064">
          <cell r="A3064">
            <v>40010011</v>
          </cell>
          <cell r="B3064">
            <v>3118220010437</v>
          </cell>
          <cell r="E3064" t="str">
            <v>ROULETTE PIZZA CERAMIQUE BLANCHE METALLISE BRONZE BLIST PEG</v>
          </cell>
          <cell r="F3064">
            <v>18</v>
          </cell>
          <cell r="G3064">
            <v>6</v>
          </cell>
          <cell r="H3064">
            <v>19.5</v>
          </cell>
          <cell r="I3064">
            <v>16</v>
          </cell>
          <cell r="J3064">
            <v>36</v>
          </cell>
          <cell r="K3064">
            <v>2.37</v>
          </cell>
          <cell r="L3064">
            <v>0.13166666666666668</v>
          </cell>
          <cell r="M3064">
            <v>1.1231999999999999E-2</v>
          </cell>
        </row>
        <row r="3065">
          <cell r="A3065">
            <v>40010012</v>
          </cell>
          <cell r="B3065">
            <v>3118220013032</v>
          </cell>
          <cell r="E3065" t="str">
            <v>ROULETTE PIZZA MANGO CERAMIQUE BLANCHE BLISTER PEG</v>
          </cell>
          <cell r="F3065">
            <v>18</v>
          </cell>
          <cell r="G3065">
            <v>6</v>
          </cell>
          <cell r="H3065">
            <v>19.5</v>
          </cell>
          <cell r="I3065">
            <v>16</v>
          </cell>
          <cell r="J3065">
            <v>36</v>
          </cell>
          <cell r="K3065">
            <v>2.2799999999999998</v>
          </cell>
          <cell r="L3065">
            <v>0.12666666666666665</v>
          </cell>
          <cell r="M3065">
            <v>1.1231999999999999E-2</v>
          </cell>
        </row>
        <row r="3066">
          <cell r="A3066">
            <v>40010013</v>
          </cell>
          <cell r="B3066">
            <v>3118220013377</v>
          </cell>
          <cell r="E3066" t="str">
            <v>ROULETTE PIZZA CERAMIQUE TIE AND DIE BLISTER PEGB COUL PANAC</v>
          </cell>
          <cell r="F3066">
            <v>18</v>
          </cell>
          <cell r="G3066">
            <v>6</v>
          </cell>
          <cell r="H3066">
            <v>19.5</v>
          </cell>
          <cell r="I3066">
            <v>16</v>
          </cell>
          <cell r="J3066">
            <v>36</v>
          </cell>
          <cell r="K3066">
            <v>2.0099999999999998</v>
          </cell>
          <cell r="L3066">
            <v>0.11166666666666665</v>
          </cell>
          <cell r="M3066">
            <v>1.1231999999999999E-2</v>
          </cell>
        </row>
        <row r="3067">
          <cell r="A3067">
            <v>40010014</v>
          </cell>
          <cell r="B3067">
            <v>3118220014060</v>
          </cell>
          <cell r="E3067" t="str">
            <v>ROULETTE PIZZA CERAMIQUE BLANCHE VENDEE SOUS BLISTER PEG</v>
          </cell>
          <cell r="F3067">
            <v>18</v>
          </cell>
          <cell r="G3067">
            <v>6</v>
          </cell>
          <cell r="H3067">
            <v>19.5</v>
          </cell>
          <cell r="I3067">
            <v>16</v>
          </cell>
          <cell r="J3067">
            <v>36</v>
          </cell>
          <cell r="K3067">
            <v>2.2799999999999998</v>
          </cell>
          <cell r="L3067">
            <v>0.12666666666666665</v>
          </cell>
          <cell r="M3067">
            <v>1.1231999999999999E-2</v>
          </cell>
        </row>
        <row r="3068">
          <cell r="A3068">
            <v>40020002</v>
          </cell>
          <cell r="B3068">
            <v>3118220009516</v>
          </cell>
          <cell r="C3068">
            <v>13118220009513</v>
          </cell>
          <cell r="D3068">
            <v>23118220009510</v>
          </cell>
          <cell r="E3068" t="str">
            <v>COFFRET FOIE GRAS 4 PCES ACIDULE ROUGE</v>
          </cell>
          <cell r="F3068">
            <v>6</v>
          </cell>
          <cell r="G3068">
            <v>6</v>
          </cell>
          <cell r="H3068">
            <v>30</v>
          </cell>
          <cell r="I3068">
            <v>27.5</v>
          </cell>
          <cell r="J3068">
            <v>16</v>
          </cell>
          <cell r="K3068">
            <v>3.4129999999999998</v>
          </cell>
          <cell r="L3068">
            <v>0.5688333333333333</v>
          </cell>
          <cell r="M3068">
            <v>1.32E-2</v>
          </cell>
        </row>
        <row r="3069">
          <cell r="A3069">
            <v>40020003</v>
          </cell>
          <cell r="B3069">
            <v>3118220013070</v>
          </cell>
          <cell r="E3069" t="str">
            <v>6 PICS A BIGORNEAUX ACIDULE COUL ASSSORTIES BLISTER</v>
          </cell>
          <cell r="F3069">
            <v>36</v>
          </cell>
          <cell r="G3069">
            <v>6</v>
          </cell>
          <cell r="H3069">
            <v>21.5</v>
          </cell>
          <cell r="I3069">
            <v>15.5</v>
          </cell>
          <cell r="J3069">
            <v>18.5</v>
          </cell>
          <cell r="K3069">
            <v>0.84599999999999997</v>
          </cell>
          <cell r="L3069">
            <v>2.35E-2</v>
          </cell>
          <cell r="M3069">
            <v>6.1651250000000005E-3</v>
          </cell>
        </row>
        <row r="3070">
          <cell r="A3070">
            <v>40020004</v>
          </cell>
          <cell r="B3070">
            <v>3118220013087</v>
          </cell>
          <cell r="E3070" t="str">
            <v>6 CURETTES A HOMARD ACIDULE COUL ASSSORTIES BLISTER</v>
          </cell>
          <cell r="F3070">
            <v>36</v>
          </cell>
          <cell r="G3070">
            <v>6</v>
          </cell>
          <cell r="H3070">
            <v>26</v>
          </cell>
          <cell r="I3070">
            <v>21.5</v>
          </cell>
          <cell r="J3070">
            <v>25</v>
          </cell>
          <cell r="K3070">
            <v>4.6959999999999997</v>
          </cell>
          <cell r="L3070">
            <v>0.13044444444444445</v>
          </cell>
          <cell r="M3070">
            <v>1.3975E-2</v>
          </cell>
        </row>
        <row r="3071">
          <cell r="A3071">
            <v>40020005</v>
          </cell>
          <cell r="B3071">
            <v>3118220021631</v>
          </cell>
          <cell r="E3071" t="str">
            <v>CUILLERE A GLACE LAGUIOLE INTUITION METAL +GENCOD</v>
          </cell>
          <cell r="F3071">
            <v>144</v>
          </cell>
          <cell r="G3071">
            <v>12</v>
          </cell>
          <cell r="H3071">
            <v>33.5</v>
          </cell>
          <cell r="I3071">
            <v>27.5</v>
          </cell>
          <cell r="J3071">
            <v>31</v>
          </cell>
          <cell r="K3071">
            <v>10.914</v>
          </cell>
          <cell r="L3071">
            <v>7.579166666666666E-2</v>
          </cell>
          <cell r="M3071">
            <v>2.8558750000000001E-2</v>
          </cell>
        </row>
        <row r="3072">
          <cell r="A3072">
            <v>40020006</v>
          </cell>
          <cell r="B3072">
            <v>3118220021648</v>
          </cell>
          <cell r="E3072" t="str">
            <v>RAPE LAGUIOLE INTUITION METAL +GENCOD</v>
          </cell>
          <cell r="F3072">
            <v>144</v>
          </cell>
          <cell r="G3072">
            <v>12</v>
          </cell>
          <cell r="H3072">
            <v>42</v>
          </cell>
          <cell r="I3072">
            <v>27</v>
          </cell>
          <cell r="J3072">
            <v>18.5</v>
          </cell>
          <cell r="K3072">
            <v>9.532</v>
          </cell>
          <cell r="L3072">
            <v>6.6194444444444445E-2</v>
          </cell>
          <cell r="M3072">
            <v>2.0979000000000001E-2</v>
          </cell>
        </row>
        <row r="3073">
          <cell r="A3073">
            <v>40020007</v>
          </cell>
          <cell r="B3073">
            <v>3118220021655</v>
          </cell>
          <cell r="E3073" t="str">
            <v>PINCEAU SILICONE LAGUIOLE INTUITION METAL +GENCOD</v>
          </cell>
          <cell r="F3073">
            <v>144</v>
          </cell>
          <cell r="G3073">
            <v>12</v>
          </cell>
          <cell r="H3073">
            <v>31.5</v>
          </cell>
          <cell r="I3073">
            <v>26</v>
          </cell>
          <cell r="J3073">
            <v>35</v>
          </cell>
          <cell r="K3073">
            <v>10.746</v>
          </cell>
          <cell r="L3073">
            <v>7.4624999999999997E-2</v>
          </cell>
          <cell r="M3073">
            <v>2.8665E-2</v>
          </cell>
        </row>
        <row r="3074">
          <cell r="A3074">
            <v>40020008</v>
          </cell>
          <cell r="B3074">
            <v>3118220021662</v>
          </cell>
          <cell r="E3074" t="str">
            <v>ROULETTE A PIZZA LAGUIOLE INTUITION METAL +GENCOD</v>
          </cell>
          <cell r="F3074">
            <v>144</v>
          </cell>
          <cell r="G3074">
            <v>12</v>
          </cell>
          <cell r="H3074">
            <v>30</v>
          </cell>
          <cell r="I3074">
            <v>24.5</v>
          </cell>
          <cell r="J3074">
            <v>33.5</v>
          </cell>
          <cell r="K3074">
            <v>11.611000000000001</v>
          </cell>
          <cell r="L3074">
            <v>8.0631944444444451E-2</v>
          </cell>
          <cell r="M3074">
            <v>2.4622500000000002E-2</v>
          </cell>
        </row>
        <row r="3075">
          <cell r="A3075">
            <v>40020009</v>
          </cell>
          <cell r="B3075">
            <v>3118220021679</v>
          </cell>
          <cell r="E3075" t="str">
            <v>FOUET LAGUIOLE INTUITION METAL +GENCOD</v>
          </cell>
          <cell r="F3075">
            <v>144</v>
          </cell>
          <cell r="G3075">
            <v>12</v>
          </cell>
          <cell r="H3075">
            <v>34.5</v>
          </cell>
          <cell r="I3075">
            <v>28</v>
          </cell>
          <cell r="J3075">
            <v>41.5</v>
          </cell>
          <cell r="K3075">
            <v>8.8030000000000008</v>
          </cell>
          <cell r="L3075">
            <v>6.1131944444444447E-2</v>
          </cell>
          <cell r="M3075">
            <v>4.0089000000000007E-2</v>
          </cell>
        </row>
        <row r="3076">
          <cell r="A3076">
            <v>40020010</v>
          </cell>
          <cell r="B3076">
            <v>3118220021686</v>
          </cell>
          <cell r="E3076" t="str">
            <v>EPLUCHEUR FIL Y LAGUIOLE INTUITION METAL +GENCOD</v>
          </cell>
          <cell r="F3076">
            <v>144</v>
          </cell>
          <cell r="G3076">
            <v>12</v>
          </cell>
          <cell r="H3076">
            <v>32</v>
          </cell>
          <cell r="I3076">
            <v>24</v>
          </cell>
          <cell r="J3076">
            <v>29</v>
          </cell>
          <cell r="K3076">
            <v>8.7880000000000003</v>
          </cell>
          <cell r="L3076">
            <v>6.1027777777777778E-2</v>
          </cell>
          <cell r="M3076">
            <v>2.2272E-2</v>
          </cell>
        </row>
        <row r="3077">
          <cell r="A3077">
            <v>40020011</v>
          </cell>
          <cell r="B3077">
            <v>3118220021693</v>
          </cell>
          <cell r="E3077" t="str">
            <v>ZESTEUR LAGUIOLE INTUITION METAL +GENCOD</v>
          </cell>
          <cell r="F3077">
            <v>144</v>
          </cell>
          <cell r="G3077">
            <v>12</v>
          </cell>
          <cell r="H3077">
            <v>28</v>
          </cell>
          <cell r="I3077">
            <v>20</v>
          </cell>
          <cell r="J3077">
            <v>24</v>
          </cell>
          <cell r="K3077">
            <v>7.02</v>
          </cell>
          <cell r="L3077">
            <v>4.8749999999999995E-2</v>
          </cell>
          <cell r="M3077">
            <v>1.3440000000000002E-2</v>
          </cell>
        </row>
        <row r="3078">
          <cell r="A3078">
            <v>40020012</v>
          </cell>
          <cell r="B3078">
            <v>3118220021709</v>
          </cell>
          <cell r="E3078" t="str">
            <v>EPLUCHEUR TOMATE LAGUIOLE INTUITION METAL +GENCOD</v>
          </cell>
          <cell r="F3078">
            <v>144</v>
          </cell>
          <cell r="G3078">
            <v>12</v>
          </cell>
          <cell r="H3078">
            <v>30</v>
          </cell>
          <cell r="I3078">
            <v>22</v>
          </cell>
          <cell r="J3078">
            <v>29</v>
          </cell>
          <cell r="K3078">
            <v>8.4789999999999992</v>
          </cell>
          <cell r="L3078">
            <v>5.8881944444444438E-2</v>
          </cell>
          <cell r="M3078">
            <v>1.9140000000000001E-2</v>
          </cell>
        </row>
        <row r="3079">
          <cell r="A3079">
            <v>40020013</v>
          </cell>
          <cell r="B3079">
            <v>3118220021716</v>
          </cell>
          <cell r="E3079" t="str">
            <v>EPLUCHEUR LAGUIOLE INTUITION METAL+GENCOD</v>
          </cell>
          <cell r="F3079">
            <v>144</v>
          </cell>
          <cell r="G3079">
            <v>12</v>
          </cell>
          <cell r="H3079">
            <v>29</v>
          </cell>
          <cell r="I3079">
            <v>21.5</v>
          </cell>
          <cell r="J3079">
            <v>23</v>
          </cell>
          <cell r="K3079">
            <v>5.86</v>
          </cell>
          <cell r="L3079">
            <v>4.069444444444445E-2</v>
          </cell>
          <cell r="M3079">
            <v>1.4340499999999999E-2</v>
          </cell>
        </row>
        <row r="3080">
          <cell r="A3080">
            <v>40020014</v>
          </cell>
          <cell r="B3080">
            <v>3118220021723</v>
          </cell>
          <cell r="E3080" t="str">
            <v>TARTINEUR LAGUIOLE INTUITION METAL +GENCOD</v>
          </cell>
          <cell r="F3080">
            <v>144</v>
          </cell>
          <cell r="G3080">
            <v>12</v>
          </cell>
          <cell r="H3080">
            <v>32</v>
          </cell>
          <cell r="I3080">
            <v>21</v>
          </cell>
          <cell r="J3080">
            <v>26.5</v>
          </cell>
          <cell r="K3080">
            <v>6.5410000000000004</v>
          </cell>
          <cell r="L3080">
            <v>4.5423611111111116E-2</v>
          </cell>
          <cell r="M3080">
            <v>1.7808000000000001E-2</v>
          </cell>
        </row>
        <row r="3081">
          <cell r="A3081">
            <v>40020015</v>
          </cell>
          <cell r="B3081">
            <v>3118220021730</v>
          </cell>
          <cell r="E3081" t="str">
            <v>OFFICE LAGUIOLE INTUITION METAL +GENCOD</v>
          </cell>
          <cell r="F3081">
            <v>144</v>
          </cell>
          <cell r="G3081">
            <v>12</v>
          </cell>
          <cell r="H3081">
            <v>22</v>
          </cell>
          <cell r="I3081">
            <v>21</v>
          </cell>
          <cell r="J3081">
            <v>31</v>
          </cell>
          <cell r="K3081">
            <v>6.5880000000000001</v>
          </cell>
          <cell r="L3081">
            <v>4.5749999999999999E-2</v>
          </cell>
          <cell r="M3081">
            <v>1.4322E-2</v>
          </cell>
        </row>
        <row r="3082">
          <cell r="A3082">
            <v>40020020</v>
          </cell>
          <cell r="B3082">
            <v>3118220024250</v>
          </cell>
          <cell r="E3082" t="str">
            <v>CUILLERE PENDERIE INTUITION METAL SUR CARTE</v>
          </cell>
          <cell r="F3082">
            <v>72</v>
          </cell>
          <cell r="G3082">
            <v>6</v>
          </cell>
          <cell r="H3082">
            <v>44</v>
          </cell>
          <cell r="I3082">
            <v>41.5</v>
          </cell>
          <cell r="J3082">
            <v>32</v>
          </cell>
          <cell r="K3082">
            <v>14.154999999999999</v>
          </cell>
          <cell r="L3082">
            <v>0.1965972222222222</v>
          </cell>
          <cell r="M3082">
            <v>5.8432000000000005E-2</v>
          </cell>
        </row>
        <row r="3083">
          <cell r="A3083">
            <v>40020021</v>
          </cell>
          <cell r="B3083">
            <v>3118220024267</v>
          </cell>
          <cell r="E3083" t="str">
            <v>LOUCHE PENDERIE INTUITION METAL SUR CARTE</v>
          </cell>
          <cell r="F3083">
            <v>72</v>
          </cell>
          <cell r="G3083">
            <v>6</v>
          </cell>
          <cell r="H3083">
            <v>45</v>
          </cell>
          <cell r="I3083">
            <v>35.5</v>
          </cell>
          <cell r="J3083">
            <v>39</v>
          </cell>
          <cell r="K3083">
            <v>15.592000000000001</v>
          </cell>
          <cell r="L3083">
            <v>0.21655555555555556</v>
          </cell>
          <cell r="M3083">
            <v>6.2302499999999997E-2</v>
          </cell>
        </row>
        <row r="3084">
          <cell r="A3084">
            <v>40020022</v>
          </cell>
          <cell r="B3084">
            <v>3118220024274</v>
          </cell>
          <cell r="E3084" t="str">
            <v>ECUMOIRE PENDERIE INTUITION METAL SUR CARTE</v>
          </cell>
          <cell r="F3084">
            <v>72</v>
          </cell>
          <cell r="G3084">
            <v>6</v>
          </cell>
          <cell r="H3084">
            <v>42</v>
          </cell>
          <cell r="I3084">
            <v>39.5</v>
          </cell>
          <cell r="J3084">
            <v>47</v>
          </cell>
          <cell r="K3084">
            <v>18.324999999999999</v>
          </cell>
          <cell r="L3084">
            <v>0.25451388888888887</v>
          </cell>
          <cell r="M3084">
            <v>7.7973000000000001E-2</v>
          </cell>
        </row>
        <row r="3085">
          <cell r="A3085">
            <v>40020023</v>
          </cell>
          <cell r="B3085">
            <v>3118220024281</v>
          </cell>
          <cell r="E3085" t="str">
            <v>FOURCHETTE A SPAGHETTI PENDERIE INTUITION METAL SUR CARTE</v>
          </cell>
          <cell r="F3085">
            <v>72</v>
          </cell>
          <cell r="G3085">
            <v>6</v>
          </cell>
          <cell r="H3085">
            <v>40</v>
          </cell>
          <cell r="I3085">
            <v>36</v>
          </cell>
          <cell r="J3085">
            <v>35.5</v>
          </cell>
          <cell r="K3085">
            <v>12.619</v>
          </cell>
          <cell r="L3085">
            <v>0.17526388888888889</v>
          </cell>
          <cell r="M3085">
            <v>5.1120000000000013E-2</v>
          </cell>
        </row>
        <row r="3086">
          <cell r="A3086">
            <v>40020024</v>
          </cell>
          <cell r="B3086">
            <v>3118220024298</v>
          </cell>
          <cell r="E3086" t="str">
            <v>SPATULE PENDERIE INTUITION METAL SUR CARTE</v>
          </cell>
          <cell r="F3086">
            <v>72</v>
          </cell>
          <cell r="G3086">
            <v>6</v>
          </cell>
          <cell r="H3086">
            <v>42</v>
          </cell>
          <cell r="I3086">
            <v>33</v>
          </cell>
          <cell r="J3086">
            <v>37.5</v>
          </cell>
          <cell r="K3086">
            <v>14.385999999999999</v>
          </cell>
          <cell r="L3086">
            <v>0.19980555555555554</v>
          </cell>
          <cell r="M3086">
            <v>5.1975E-2</v>
          </cell>
        </row>
        <row r="3087">
          <cell r="A3087">
            <v>40020025</v>
          </cell>
          <cell r="B3087">
            <v>3118220024304</v>
          </cell>
          <cell r="E3087" t="str">
            <v>FOURCHETTE PENDERIE INTUITION METAL SUR CARTE</v>
          </cell>
          <cell r="F3087">
            <v>72</v>
          </cell>
          <cell r="G3087">
            <v>6</v>
          </cell>
          <cell r="H3087">
            <v>40</v>
          </cell>
          <cell r="I3087">
            <v>27</v>
          </cell>
          <cell r="J3087">
            <v>32</v>
          </cell>
          <cell r="K3087">
            <v>11.997</v>
          </cell>
          <cell r="L3087">
            <v>0.166625</v>
          </cell>
          <cell r="M3087">
            <v>3.4560000000000007E-2</v>
          </cell>
        </row>
        <row r="3088">
          <cell r="A3088">
            <v>40020036</v>
          </cell>
          <cell r="B3088">
            <v>3118220050617</v>
          </cell>
          <cell r="C3088">
            <v>13118220050614</v>
          </cell>
          <cell r="D3088">
            <v>23118220050611</v>
          </cell>
          <cell r="E3088" t="str">
            <v>TOMATE PAMPLEMOUSSE ACIDULE ROUGE + GENCOD</v>
          </cell>
          <cell r="F3088">
            <v>144</v>
          </cell>
          <cell r="G3088">
            <v>6</v>
          </cell>
          <cell r="H3088">
            <v>27</v>
          </cell>
          <cell r="I3088">
            <v>26.5</v>
          </cell>
          <cell r="J3088">
            <v>26</v>
          </cell>
          <cell r="K3088">
            <v>0</v>
          </cell>
          <cell r="L3088">
            <v>0</v>
          </cell>
          <cell r="M3088">
            <v>1.8603000000000001E-2</v>
          </cell>
        </row>
        <row r="3089">
          <cell r="A3089">
            <v>40020037</v>
          </cell>
          <cell r="B3089" t="str">
            <v>3118220051140</v>
          </cell>
          <cell r="C3089" t="str">
            <v>13118220051147</v>
          </cell>
          <cell r="D3089" t="str">
            <v>23118220051144</v>
          </cell>
          <cell r="E3089" t="str">
            <v>COFFRET LAGUIOLE HERITAGE FOIE GRAS 2P ACIDULE ROUGE</v>
          </cell>
          <cell r="F3089">
            <v>6</v>
          </cell>
          <cell r="G3089">
            <v>6</v>
          </cell>
          <cell r="H3089">
            <v>24</v>
          </cell>
          <cell r="I3089">
            <v>21</v>
          </cell>
          <cell r="J3089">
            <v>18</v>
          </cell>
          <cell r="K3089">
            <v>1.33</v>
          </cell>
          <cell r="L3089">
            <v>0.22166666666666668</v>
          </cell>
          <cell r="M3089">
            <v>9.0720000000000002E-3</v>
          </cell>
        </row>
        <row r="3090">
          <cell r="A3090">
            <v>40050001</v>
          </cell>
          <cell r="B3090">
            <v>3118220025127</v>
          </cell>
          <cell r="E3090" t="str">
            <v>PINCEAU SENS MANCHE OLIVIER SACHET + GENCOD</v>
          </cell>
          <cell r="F3090">
            <v>144</v>
          </cell>
          <cell r="G3090">
            <v>12</v>
          </cell>
          <cell r="H3090">
            <v>29</v>
          </cell>
          <cell r="I3090">
            <v>26</v>
          </cell>
          <cell r="J3090">
            <v>38</v>
          </cell>
          <cell r="K3090">
            <v>10.56</v>
          </cell>
          <cell r="L3090">
            <v>7.3333333333333334E-2</v>
          </cell>
          <cell r="M3090">
            <v>2.8651999999999997E-2</v>
          </cell>
        </row>
        <row r="3091">
          <cell r="A3091">
            <v>40050002</v>
          </cell>
          <cell r="B3091">
            <v>3118220025134</v>
          </cell>
          <cell r="E3091" t="str">
            <v>EPLUCHEUR TOMATE SENS MANCHE OLIVIER SACHET + GENCOD</v>
          </cell>
          <cell r="F3091">
            <v>144</v>
          </cell>
          <cell r="G3091">
            <v>12</v>
          </cell>
          <cell r="H3091">
            <v>29</v>
          </cell>
          <cell r="I3091">
            <v>21.5</v>
          </cell>
          <cell r="J3091">
            <v>33</v>
          </cell>
          <cell r="K3091">
            <v>8.61</v>
          </cell>
          <cell r="L3091">
            <v>5.979166666666666E-2</v>
          </cell>
          <cell r="M3091">
            <v>2.05755E-2</v>
          </cell>
        </row>
        <row r="3092">
          <cell r="A3092">
            <v>40050003</v>
          </cell>
          <cell r="B3092">
            <v>3118220025141</v>
          </cell>
          <cell r="E3092" t="str">
            <v>EPLUCHEUR Y SENS MANCHE OLIVIER SACHET + GENCOD</v>
          </cell>
          <cell r="F3092">
            <v>144</v>
          </cell>
          <cell r="G3092">
            <v>12</v>
          </cell>
          <cell r="H3092">
            <v>26</v>
          </cell>
          <cell r="I3092">
            <v>23</v>
          </cell>
          <cell r="J3092">
            <v>40</v>
          </cell>
          <cell r="K3092">
            <v>8.9369999999999994</v>
          </cell>
          <cell r="L3092">
            <v>6.2062499999999993E-2</v>
          </cell>
          <cell r="M3092">
            <v>2.3920000000000004E-2</v>
          </cell>
        </row>
        <row r="3093">
          <cell r="A3093">
            <v>40050004</v>
          </cell>
          <cell r="B3093">
            <v>3118220025158</v>
          </cell>
          <cell r="E3093" t="str">
            <v>ROULETTE A PIZZA SENS MANCHE OLIVIER SACHET + GENCOD</v>
          </cell>
          <cell r="F3093">
            <v>144</v>
          </cell>
          <cell r="G3093">
            <v>12</v>
          </cell>
          <cell r="H3093">
            <v>30.5</v>
          </cell>
          <cell r="I3093">
            <v>24.5</v>
          </cell>
          <cell r="J3093">
            <v>36</v>
          </cell>
          <cell r="K3093">
            <v>11.52</v>
          </cell>
          <cell r="L3093">
            <v>0.08</v>
          </cell>
          <cell r="M3093">
            <v>2.6901000000000001E-2</v>
          </cell>
        </row>
        <row r="3094">
          <cell r="A3094">
            <v>40050005</v>
          </cell>
          <cell r="B3094">
            <v>3118220025165</v>
          </cell>
          <cell r="E3094" t="str">
            <v>CUILLERE A GLACE SENS MANCHE OLIVIER SACHET + GENCOD</v>
          </cell>
          <cell r="F3094">
            <v>144</v>
          </cell>
          <cell r="G3094">
            <v>12</v>
          </cell>
          <cell r="H3094">
            <v>33.5</v>
          </cell>
          <cell r="I3094">
            <v>28</v>
          </cell>
          <cell r="J3094">
            <v>30.5</v>
          </cell>
          <cell r="K3094">
            <v>10.8</v>
          </cell>
          <cell r="L3094">
            <v>7.5000000000000011E-2</v>
          </cell>
          <cell r="M3094">
            <v>2.8609000000000006E-2</v>
          </cell>
        </row>
        <row r="3095">
          <cell r="A3095">
            <v>40050006</v>
          </cell>
          <cell r="B3095">
            <v>3118220025172</v>
          </cell>
          <cell r="E3095" t="str">
            <v>FOUET SENS MANCHE OLIVIER SACHET + GENCOD</v>
          </cell>
          <cell r="F3095">
            <v>144</v>
          </cell>
          <cell r="G3095">
            <v>12</v>
          </cell>
          <cell r="H3095">
            <v>32</v>
          </cell>
          <cell r="I3095">
            <v>28</v>
          </cell>
          <cell r="J3095">
            <v>44.5</v>
          </cell>
          <cell r="K3095">
            <v>8.64</v>
          </cell>
          <cell r="L3095">
            <v>6.0000000000000005E-2</v>
          </cell>
          <cell r="M3095">
            <v>3.9872000000000005E-2</v>
          </cell>
        </row>
        <row r="3096">
          <cell r="A3096">
            <v>40050007</v>
          </cell>
          <cell r="B3096">
            <v>3118220025189</v>
          </cell>
          <cell r="E3096" t="str">
            <v>RAPE SENS MANCHE OLIVIER SACHET + GENCOD</v>
          </cell>
          <cell r="F3096">
            <v>144</v>
          </cell>
          <cell r="G3096">
            <v>12</v>
          </cell>
          <cell r="H3096">
            <v>41.5</v>
          </cell>
          <cell r="I3096">
            <v>26.5</v>
          </cell>
          <cell r="J3096">
            <v>22.5</v>
          </cell>
          <cell r="K3096">
            <v>10.1</v>
          </cell>
          <cell r="L3096">
            <v>7.013888888888889E-2</v>
          </cell>
          <cell r="M3096">
            <v>2.4744374999999996E-2</v>
          </cell>
        </row>
        <row r="3097">
          <cell r="A3097">
            <v>40050008</v>
          </cell>
          <cell r="B3097">
            <v>3118220025196</v>
          </cell>
          <cell r="C3097" t="str">
            <v>13118220025193</v>
          </cell>
          <cell r="D3097" t="str">
            <v>23118220025190</v>
          </cell>
          <cell r="E3097" t="str">
            <v>EPLUCHEUR SENS MANCHE OLIVIER SACHET + GENCOD</v>
          </cell>
          <cell r="F3097">
            <v>144</v>
          </cell>
          <cell r="G3097">
            <v>12</v>
          </cell>
          <cell r="H3097">
            <v>29</v>
          </cell>
          <cell r="I3097">
            <v>21</v>
          </cell>
          <cell r="J3097">
            <v>26.5</v>
          </cell>
          <cell r="K3097">
            <v>5.83</v>
          </cell>
          <cell r="L3097">
            <v>4.0486111111111112E-2</v>
          </cell>
          <cell r="M3097">
            <v>1.6138499999999997E-2</v>
          </cell>
        </row>
        <row r="3098">
          <cell r="A3098">
            <v>40050009</v>
          </cell>
          <cell r="B3098">
            <v>3118220025202</v>
          </cell>
          <cell r="E3098" t="str">
            <v>TARTINEUR SENS MANCHE OLIVIER SACHET + GENCOD</v>
          </cell>
          <cell r="F3098">
            <v>144</v>
          </cell>
          <cell r="G3098">
            <v>12</v>
          </cell>
          <cell r="H3098">
            <v>31</v>
          </cell>
          <cell r="I3098">
            <v>21</v>
          </cell>
          <cell r="J3098">
            <v>27</v>
          </cell>
          <cell r="K3098">
            <v>5.76</v>
          </cell>
          <cell r="L3098">
            <v>0.04</v>
          </cell>
          <cell r="M3098">
            <v>1.7576999999999999E-2</v>
          </cell>
        </row>
        <row r="3099">
          <cell r="A3099">
            <v>40050010</v>
          </cell>
          <cell r="B3099" t="str">
            <v>3118220050396</v>
          </cell>
          <cell r="C3099" t="str">
            <v>13118220050393</v>
          </cell>
          <cell r="D3099" t="str">
            <v>23118220050390</v>
          </cell>
          <cell r="E3099" t="str">
            <v>COFFRET LAGUIOLE HERITAGE FOIE GRAS 2P SENS BOIS D'OLIVIER</v>
          </cell>
          <cell r="F3099">
            <v>6</v>
          </cell>
          <cell r="G3099">
            <v>6</v>
          </cell>
          <cell r="H3099">
            <v>24</v>
          </cell>
          <cell r="I3099">
            <v>21</v>
          </cell>
          <cell r="J3099">
            <v>18</v>
          </cell>
          <cell r="K3099">
            <v>1.42</v>
          </cell>
          <cell r="L3099">
            <v>0.23666666666666666</v>
          </cell>
          <cell r="M3099">
            <v>9.0720000000000002E-3</v>
          </cell>
        </row>
        <row r="3100">
          <cell r="A3100">
            <v>40050011</v>
          </cell>
          <cell r="B3100" t="str">
            <v>3118220051133</v>
          </cell>
          <cell r="C3100" t="str">
            <v>13118220051130</v>
          </cell>
          <cell r="D3100" t="str">
            <v>23118220051137</v>
          </cell>
          <cell r="E3100" t="str">
            <v>COFFRET LAGUIOLE HERITAGE FOIE GRAS 2P SENS PAKKAWOOD</v>
          </cell>
          <cell r="F3100">
            <v>6</v>
          </cell>
          <cell r="G3100">
            <v>6</v>
          </cell>
          <cell r="H3100">
            <v>24</v>
          </cell>
          <cell r="I3100">
            <v>21</v>
          </cell>
          <cell r="J3100">
            <v>18</v>
          </cell>
          <cell r="K3100">
            <v>1.34</v>
          </cell>
          <cell r="L3100">
            <v>0.22333333333333336</v>
          </cell>
          <cell r="M3100">
            <v>9.0720000000000002E-3</v>
          </cell>
        </row>
        <row r="3101">
          <cell r="A3101">
            <v>40110001</v>
          </cell>
          <cell r="B3101">
            <v>3118220034648</v>
          </cell>
          <cell r="E3101" t="str">
            <v>SET BARBECUE 4 PCS MANCHE BOIS BOITE LAGUIOLE</v>
          </cell>
          <cell r="F3101">
            <v>6</v>
          </cell>
          <cell r="G3101">
            <v>6</v>
          </cell>
          <cell r="H3101">
            <v>42.5</v>
          </cell>
          <cell r="I3101">
            <v>25.5</v>
          </cell>
          <cell r="J3101">
            <v>42</v>
          </cell>
          <cell r="K3101">
            <v>5.508</v>
          </cell>
          <cell r="L3101">
            <v>0.91800000000000004</v>
          </cell>
          <cell r="M3101">
            <v>4.5517500000000002E-2</v>
          </cell>
        </row>
        <row r="3102">
          <cell r="A3102">
            <v>40110002</v>
          </cell>
          <cell r="B3102">
            <v>3118220037298</v>
          </cell>
          <cell r="E3102" t="str">
            <v>LOUCHE LAGUIOLE HERITAGE FINITION MIROIR EN BOITE LAG BLEUE</v>
          </cell>
          <cell r="F3102">
            <v>24</v>
          </cell>
          <cell r="G3102">
            <v>6</v>
          </cell>
          <cell r="H3102">
            <v>56</v>
          </cell>
          <cell r="I3102">
            <v>54</v>
          </cell>
          <cell r="J3102">
            <v>37</v>
          </cell>
          <cell r="K3102">
            <v>11.891</v>
          </cell>
          <cell r="L3102">
            <v>0.49545833333333333</v>
          </cell>
          <cell r="M3102">
            <v>0.111888</v>
          </cell>
        </row>
        <row r="3103">
          <cell r="A3103">
            <v>40110003</v>
          </cell>
          <cell r="B3103">
            <v>3118220037304</v>
          </cell>
          <cell r="E3103" t="str">
            <v>LOUCHE LAGUIOLE HERITAGE FINITION SABLEE EN BOITE LAG BLEUE</v>
          </cell>
          <cell r="F3103">
            <v>24</v>
          </cell>
          <cell r="G3103">
            <v>6</v>
          </cell>
          <cell r="H3103">
            <v>56</v>
          </cell>
          <cell r="I3103">
            <v>54</v>
          </cell>
          <cell r="J3103">
            <v>37</v>
          </cell>
          <cell r="K3103">
            <v>9.24</v>
          </cell>
          <cell r="L3103">
            <v>0.38500000000000001</v>
          </cell>
          <cell r="M3103">
            <v>0.111888</v>
          </cell>
        </row>
        <row r="3104">
          <cell r="A3104">
            <v>40110004</v>
          </cell>
          <cell r="B3104">
            <v>3118220037311</v>
          </cell>
          <cell r="C3104" t="str">
            <v>13118220037318</v>
          </cell>
          <cell r="D3104" t="str">
            <v>23118220037315</v>
          </cell>
          <cell r="E3104" t="str">
            <v>COUVERTS DE SERVICE LAG HERITAGE FINITION MIROIR BOITE LAG</v>
          </cell>
          <cell r="F3104">
            <v>24</v>
          </cell>
          <cell r="G3104">
            <v>6</v>
          </cell>
          <cell r="H3104">
            <v>56</v>
          </cell>
          <cell r="I3104">
            <v>54</v>
          </cell>
          <cell r="J3104">
            <v>37</v>
          </cell>
          <cell r="K3104">
            <v>10.432</v>
          </cell>
          <cell r="L3104">
            <v>0.4346666666666667</v>
          </cell>
          <cell r="M3104">
            <v>0.111888</v>
          </cell>
        </row>
        <row r="3105">
          <cell r="A3105">
            <v>40110005</v>
          </cell>
          <cell r="B3105">
            <v>3118220037328</v>
          </cell>
          <cell r="E3105" t="str">
            <v>COUVERTS DE SERVICE LAG HERITAGE FINITION SABLEE BOITE LAG</v>
          </cell>
          <cell r="F3105">
            <v>24</v>
          </cell>
          <cell r="G3105">
            <v>6</v>
          </cell>
          <cell r="H3105">
            <v>56.5</v>
          </cell>
          <cell r="I3105">
            <v>32</v>
          </cell>
          <cell r="J3105">
            <v>35</v>
          </cell>
          <cell r="K3105">
            <v>10.423999999999999</v>
          </cell>
          <cell r="L3105">
            <v>0.43433333333333329</v>
          </cell>
          <cell r="M3105">
            <v>6.3279999999999989E-2</v>
          </cell>
        </row>
        <row r="3106">
          <cell r="A3106">
            <v>40110006</v>
          </cell>
          <cell r="B3106">
            <v>3118220037335</v>
          </cell>
          <cell r="E3106" t="str">
            <v>PELLE A TARTE LAG HERITAGE FINITION MIROIR BOITE LAG BLEUE</v>
          </cell>
          <cell r="F3106">
            <v>24</v>
          </cell>
          <cell r="G3106">
            <v>6</v>
          </cell>
          <cell r="H3106">
            <v>52</v>
          </cell>
          <cell r="I3106">
            <v>38.5</v>
          </cell>
          <cell r="J3106">
            <v>38</v>
          </cell>
          <cell r="K3106">
            <v>9.98</v>
          </cell>
          <cell r="L3106">
            <v>0.41583333333333333</v>
          </cell>
          <cell r="M3106">
            <v>7.6075999999999991E-2</v>
          </cell>
        </row>
        <row r="3107">
          <cell r="A3107">
            <v>40110007</v>
          </cell>
          <cell r="B3107">
            <v>3118220037342</v>
          </cell>
          <cell r="E3107" t="str">
            <v>PELLE A TARTE LAG HERITAGE FINITION SABLEE BOITE LAG BLEUE</v>
          </cell>
          <cell r="F3107">
            <v>24</v>
          </cell>
          <cell r="G3107">
            <v>6</v>
          </cell>
          <cell r="H3107">
            <v>52</v>
          </cell>
          <cell r="I3107">
            <v>39</v>
          </cell>
          <cell r="J3107">
            <v>39</v>
          </cell>
          <cell r="K3107">
            <v>8.16</v>
          </cell>
          <cell r="L3107">
            <v>0.34</v>
          </cell>
          <cell r="M3107">
            <v>7.9091999999999996E-2</v>
          </cell>
        </row>
        <row r="3108">
          <cell r="A3108">
            <v>32070028</v>
          </cell>
          <cell r="B3108">
            <v>3616957761887</v>
          </cell>
          <cell r="E3108" t="str">
            <v>CAFE OPEN DECOR GUINGUETTE BLEU CARREFOUR HOME</v>
          </cell>
          <cell r="F3108">
            <v>240</v>
          </cell>
          <cell r="G3108">
            <v>6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</row>
        <row r="3109">
          <cell r="A3109">
            <v>40110009</v>
          </cell>
          <cell r="B3109">
            <v>3118220053786</v>
          </cell>
          <cell r="C3109">
            <v>13118220053783</v>
          </cell>
          <cell r="D3109">
            <v>23118220053780</v>
          </cell>
          <cell r="E3109" t="str">
            <v>RAPE A FROMAGE LAGUIOLE HERITAGE SUR CARTE</v>
          </cell>
          <cell r="F3109">
            <v>36</v>
          </cell>
          <cell r="G3109">
            <v>6</v>
          </cell>
          <cell r="L3109">
            <v>0</v>
          </cell>
          <cell r="M3109">
            <v>0</v>
          </cell>
        </row>
        <row r="3110">
          <cell r="A3110">
            <v>40110010</v>
          </cell>
          <cell r="B3110">
            <v>3118220053793</v>
          </cell>
          <cell r="C3110">
            <v>13118220053790</v>
          </cell>
          <cell r="D3110">
            <v>23118220053797</v>
          </cell>
          <cell r="E3110" t="str">
            <v>RAPE ZESTEUR LAGUIOLE HERITAGE SUR CARTE</v>
          </cell>
          <cell r="F3110">
            <v>36</v>
          </cell>
          <cell r="G3110">
            <v>6</v>
          </cell>
          <cell r="L3110">
            <v>0</v>
          </cell>
          <cell r="M3110">
            <v>0</v>
          </cell>
        </row>
        <row r="3111">
          <cell r="A3111">
            <v>40590002</v>
          </cell>
          <cell r="B3111">
            <v>3118220030589</v>
          </cell>
          <cell r="E3111" t="str">
            <v>GANT PROTECTEUR A HUITRE EN CUIR MADE IN FRANCE VRAC+GENCOD</v>
          </cell>
          <cell r="F3111">
            <v>24</v>
          </cell>
          <cell r="G3111">
            <v>6</v>
          </cell>
          <cell r="H3111">
            <v>31</v>
          </cell>
          <cell r="I3111">
            <v>19</v>
          </cell>
          <cell r="J3111">
            <v>9</v>
          </cell>
          <cell r="K3111">
            <v>1.2</v>
          </cell>
          <cell r="L3111">
            <v>4.9999999999999996E-2</v>
          </cell>
          <cell r="M3111">
            <v>5.3009999999999993E-3</v>
          </cell>
        </row>
        <row r="3112">
          <cell r="A3112">
            <v>40590003</v>
          </cell>
          <cell r="B3112">
            <v>3118220034884</v>
          </cell>
          <cell r="E3112" t="str">
            <v>BOURRICHE X24 GANTS PROTECTEURS CUIR MADE IN FRANCE</v>
          </cell>
          <cell r="F3112">
            <v>1</v>
          </cell>
          <cell r="G3112">
            <v>1</v>
          </cell>
          <cell r="H3112">
            <v>40</v>
          </cell>
          <cell r="I3112">
            <v>30</v>
          </cell>
          <cell r="J3112">
            <v>20</v>
          </cell>
          <cell r="K3112">
            <v>1.79</v>
          </cell>
          <cell r="L3112">
            <v>1.79</v>
          </cell>
          <cell r="M3112">
            <v>2.4E-2</v>
          </cell>
        </row>
        <row r="3113">
          <cell r="A3113">
            <v>40590004</v>
          </cell>
          <cell r="B3113">
            <v>3118220039780</v>
          </cell>
          <cell r="C3113">
            <v>13118220039787</v>
          </cell>
          <cell r="D3113">
            <v>23118220039784</v>
          </cell>
          <cell r="E3113" t="str">
            <v>RAPE MANCHE BICOLOR TOP CHEF</v>
          </cell>
          <cell r="F3113">
            <v>48</v>
          </cell>
          <cell r="G3113">
            <v>6</v>
          </cell>
          <cell r="H3113">
            <v>35</v>
          </cell>
          <cell r="I3113">
            <v>24.5</v>
          </cell>
          <cell r="J3113">
            <v>21</v>
          </cell>
          <cell r="K3113">
            <v>4.1500000000000004</v>
          </cell>
          <cell r="L3113">
            <v>8.6458333333333345E-2</v>
          </cell>
          <cell r="M3113">
            <v>1.8007499999999999E-2</v>
          </cell>
        </row>
        <row r="3114">
          <cell r="A3114">
            <v>40590005</v>
          </cell>
          <cell r="B3114">
            <v>3118220044531</v>
          </cell>
          <cell r="C3114">
            <v>13118220044538</v>
          </cell>
          <cell r="D3114">
            <v>23118220044535</v>
          </cell>
          <cell r="E3114" t="str">
            <v>RAPE MANCHE BICOLORE LAGUIOLE HERITAGE</v>
          </cell>
          <cell r="F3114">
            <v>48</v>
          </cell>
          <cell r="G3114">
            <v>6</v>
          </cell>
          <cell r="H3114">
            <v>35.5</v>
          </cell>
          <cell r="I3114">
            <v>25</v>
          </cell>
          <cell r="J3114">
            <v>22</v>
          </cell>
          <cell r="K3114">
            <v>5.4210000000000003</v>
          </cell>
          <cell r="L3114">
            <v>0.11293750000000001</v>
          </cell>
          <cell r="M3114">
            <v>1.9525000000000001E-2</v>
          </cell>
        </row>
        <row r="3115">
          <cell r="A3115">
            <v>40110011</v>
          </cell>
          <cell r="B3115" t="str">
            <v>3118220054790</v>
          </cell>
          <cell r="C3115" t="str">
            <v>13118220054797</v>
          </cell>
          <cell r="D3115" t="str">
            <v>23118220054794</v>
          </cell>
          <cell r="E3115" t="str">
            <v>MANDOLINE BOITE LAGUIOLE HERITAGE</v>
          </cell>
          <cell r="F3115">
            <v>4</v>
          </cell>
          <cell r="G3115">
            <v>4</v>
          </cell>
          <cell r="L3115">
            <v>0</v>
          </cell>
          <cell r="M3115">
            <v>0</v>
          </cell>
        </row>
        <row r="3116">
          <cell r="A3116">
            <v>40610003</v>
          </cell>
          <cell r="B3116">
            <v>3118220013452</v>
          </cell>
          <cell r="E3116" t="str">
            <v>FUSIL A AIGUISER METAL SUR CARTE PEGB</v>
          </cell>
          <cell r="F3116">
            <v>36</v>
          </cell>
          <cell r="G3116">
            <v>6</v>
          </cell>
          <cell r="H3116">
            <v>49.5</v>
          </cell>
          <cell r="I3116">
            <v>38</v>
          </cell>
          <cell r="J3116">
            <v>15.5</v>
          </cell>
          <cell r="K3116">
            <v>10.89</v>
          </cell>
          <cell r="L3116">
            <v>0.30249999999999999</v>
          </cell>
          <cell r="M3116">
            <v>2.9155499999999997E-2</v>
          </cell>
        </row>
        <row r="3117">
          <cell r="A3117">
            <v>40840001</v>
          </cell>
          <cell r="B3117">
            <v>3118220029309</v>
          </cell>
          <cell r="C3117" t="str">
            <v>13118220029306</v>
          </cell>
          <cell r="D3117" t="str">
            <v>23118220029303</v>
          </cell>
          <cell r="E3117" t="str">
            <v>LOT 6 CURETTE HOMARD SCOTCHE BBROUGE MADE IN FR VRAC+GENCOD</v>
          </cell>
          <cell r="F3117">
            <v>50</v>
          </cell>
          <cell r="G3117">
            <v>10</v>
          </cell>
          <cell r="H3117">
            <v>28</v>
          </cell>
          <cell r="I3117">
            <v>17</v>
          </cell>
          <cell r="J3117">
            <v>10.5</v>
          </cell>
          <cell r="K3117">
            <v>2.5499999999999998</v>
          </cell>
          <cell r="L3117">
            <v>5.0999999999999997E-2</v>
          </cell>
          <cell r="M3117">
            <v>4.9979999999999998E-3</v>
          </cell>
        </row>
        <row r="3118">
          <cell r="A3118">
            <v>40840002</v>
          </cell>
          <cell r="B3118">
            <v>3118220029316</v>
          </cell>
          <cell r="C3118" t="str">
            <v>13118220029313</v>
          </cell>
          <cell r="D3118" t="str">
            <v>23118220029310</v>
          </cell>
          <cell r="E3118" t="str">
            <v>LOT 6 FTTE HUITRE INOX SCOTCH BBR MADE IN FRANCE VRAC+GENCOD</v>
          </cell>
          <cell r="F3118">
            <v>50</v>
          </cell>
          <cell r="G3118">
            <v>10</v>
          </cell>
          <cell r="H3118">
            <v>28</v>
          </cell>
          <cell r="I3118">
            <v>17</v>
          </cell>
          <cell r="J3118">
            <v>10.5</v>
          </cell>
          <cell r="K3118">
            <v>4.0999999999999996</v>
          </cell>
          <cell r="L3118">
            <v>8.199999999999999E-2</v>
          </cell>
          <cell r="M3118">
            <v>4.9979999999999998E-3</v>
          </cell>
        </row>
        <row r="3119">
          <cell r="A3119">
            <v>40840003</v>
          </cell>
          <cell r="B3119">
            <v>3118220030350</v>
          </cell>
          <cell r="C3119" t="str">
            <v>13118220030357</v>
          </cell>
          <cell r="D3119" t="str">
            <v>23118220030354</v>
          </cell>
          <cell r="E3119" t="str">
            <v>ASSIETTE INOX 6 HUITRES MADE IN FRANCE + GENCOD</v>
          </cell>
          <cell r="F3119">
            <v>24</v>
          </cell>
          <cell r="G3119">
            <v>24</v>
          </cell>
          <cell r="H3119">
            <v>31</v>
          </cell>
          <cell r="I3119">
            <v>30</v>
          </cell>
          <cell r="J3119">
            <v>14</v>
          </cell>
          <cell r="K3119">
            <v>6.0090000000000003</v>
          </cell>
          <cell r="L3119">
            <v>0.25037500000000001</v>
          </cell>
          <cell r="M3119">
            <v>1.3020000000000002E-2</v>
          </cell>
        </row>
        <row r="3120">
          <cell r="A3120">
            <v>40840004</v>
          </cell>
          <cell r="B3120">
            <v>3118220030671</v>
          </cell>
          <cell r="C3120" t="str">
            <v>13118220030678</v>
          </cell>
          <cell r="D3120" t="str">
            <v>23118220030675</v>
          </cell>
          <cell r="E3120" t="str">
            <v>LOT 6 FTTE CRUSTACES INOX SCOTCH BBR MADE IN FRA VRAC+GENCOD</v>
          </cell>
          <cell r="F3120">
            <v>50</v>
          </cell>
          <cell r="G3120">
            <v>10</v>
          </cell>
          <cell r="H3120">
            <v>28</v>
          </cell>
          <cell r="I3120">
            <v>17</v>
          </cell>
          <cell r="J3120">
            <v>10.5</v>
          </cell>
          <cell r="K3120">
            <v>3.8</v>
          </cell>
          <cell r="L3120">
            <v>7.5999999999999998E-2</v>
          </cell>
          <cell r="M3120">
            <v>4.9979999999999998E-3</v>
          </cell>
        </row>
        <row r="3121">
          <cell r="A3121">
            <v>40840005</v>
          </cell>
          <cell r="B3121">
            <v>3118220030688</v>
          </cell>
          <cell r="C3121" t="str">
            <v>13118220030685</v>
          </cell>
          <cell r="D3121" t="str">
            <v>23118220030682</v>
          </cell>
          <cell r="E3121" t="str">
            <v>PINCE A HOMARD MADE IN FRANCE GENCOD</v>
          </cell>
          <cell r="F3121">
            <v>50</v>
          </cell>
          <cell r="G3121">
            <v>10</v>
          </cell>
          <cell r="H3121">
            <v>32</v>
          </cell>
          <cell r="I3121">
            <v>20</v>
          </cell>
          <cell r="J3121">
            <v>11</v>
          </cell>
          <cell r="K3121">
            <v>4.8899999999999997</v>
          </cell>
          <cell r="L3121">
            <v>9.7799999999999998E-2</v>
          </cell>
          <cell r="M3121">
            <v>7.0399999999999994E-3</v>
          </cell>
        </row>
        <row r="3122">
          <cell r="A3122">
            <v>40840006</v>
          </cell>
          <cell r="B3122">
            <v>3118220030695</v>
          </cell>
          <cell r="E3122" t="str">
            <v>SACHET 6 PIC BIGORNEAU COUL PLEINE ASSORTI MIFRA VRAC+GNCOD</v>
          </cell>
          <cell r="F3122">
            <v>50</v>
          </cell>
          <cell r="G3122">
            <v>10</v>
          </cell>
          <cell r="H3122">
            <v>20</v>
          </cell>
          <cell r="I3122">
            <v>30</v>
          </cell>
          <cell r="J3122">
            <v>20</v>
          </cell>
          <cell r="K3122">
            <v>1</v>
          </cell>
          <cell r="L3122">
            <v>0.02</v>
          </cell>
          <cell r="M3122">
            <v>1.2E-2</v>
          </cell>
        </row>
        <row r="3123">
          <cell r="A3123">
            <v>40840007</v>
          </cell>
          <cell r="B3123">
            <v>3118220034891</v>
          </cell>
          <cell r="E3123" t="str">
            <v>BOURRICHE X50 LOT 6 FTTES HUITRE SCOTCH BBR MADE IN FRANCE</v>
          </cell>
          <cell r="F3123">
            <v>1</v>
          </cell>
          <cell r="G3123">
            <v>1</v>
          </cell>
          <cell r="H3123">
            <v>40</v>
          </cell>
          <cell r="I3123">
            <v>30</v>
          </cell>
          <cell r="J3123">
            <v>20</v>
          </cell>
          <cell r="K3123">
            <v>4.74</v>
          </cell>
          <cell r="L3123">
            <v>4.74</v>
          </cell>
          <cell r="M3123">
            <v>2.4E-2</v>
          </cell>
        </row>
        <row r="3124">
          <cell r="A3124">
            <v>40840008</v>
          </cell>
          <cell r="B3124">
            <v>3118220034907</v>
          </cell>
          <cell r="E3124" t="str">
            <v>BOURRICH X50 LOT 6 FTTES CRUSTACE INOX SCOTCH BBR MADE IN FR</v>
          </cell>
          <cell r="F3124">
            <v>1</v>
          </cell>
          <cell r="G3124">
            <v>1</v>
          </cell>
          <cell r="H3124">
            <v>40</v>
          </cell>
          <cell r="I3124">
            <v>30</v>
          </cell>
          <cell r="J3124">
            <v>20</v>
          </cell>
          <cell r="K3124">
            <v>4.04</v>
          </cell>
          <cell r="L3124">
            <v>4.04</v>
          </cell>
          <cell r="M3124">
            <v>2.4E-2</v>
          </cell>
        </row>
        <row r="3125">
          <cell r="A3125">
            <v>40840009</v>
          </cell>
          <cell r="B3125">
            <v>3118220034914</v>
          </cell>
          <cell r="E3125" t="str">
            <v>BOURRICH X50 SACHET 6 PIC BIGORNX COUL PLEINE ASSORTIE MIFR</v>
          </cell>
          <cell r="F3125">
            <v>1</v>
          </cell>
          <cell r="G3125">
            <v>1</v>
          </cell>
          <cell r="H3125">
            <v>40</v>
          </cell>
          <cell r="I3125">
            <v>30</v>
          </cell>
          <cell r="J3125">
            <v>20</v>
          </cell>
          <cell r="K3125">
            <v>0.6</v>
          </cell>
          <cell r="L3125">
            <v>0.6</v>
          </cell>
          <cell r="M3125">
            <v>2.4E-2</v>
          </cell>
        </row>
        <row r="3126">
          <cell r="A3126">
            <v>40840010</v>
          </cell>
          <cell r="B3126">
            <v>3118220034921</v>
          </cell>
          <cell r="E3126" t="str">
            <v>BOURRICHE 50 LOTS 6 CURETTES HOMARD SCOTCHE BBROUGE MIFR</v>
          </cell>
          <cell r="F3126">
            <v>1</v>
          </cell>
          <cell r="G3126">
            <v>1</v>
          </cell>
          <cell r="H3126">
            <v>40</v>
          </cell>
          <cell r="I3126">
            <v>30</v>
          </cell>
          <cell r="J3126">
            <v>20</v>
          </cell>
          <cell r="K3126">
            <v>2.5499999999999998</v>
          </cell>
          <cell r="L3126">
            <v>2.5499999999999998</v>
          </cell>
          <cell r="M3126">
            <v>2.4E-2</v>
          </cell>
        </row>
        <row r="3127">
          <cell r="A3127">
            <v>40840011</v>
          </cell>
          <cell r="B3127">
            <v>3118220034938</v>
          </cell>
          <cell r="E3127" t="str">
            <v>BOURRICHE MIXTE CURETTES HOMARD + PICS BIGORNEAUX MIFRANCE</v>
          </cell>
          <cell r="F3127">
            <v>1</v>
          </cell>
          <cell r="G3127">
            <v>1</v>
          </cell>
          <cell r="H3127">
            <v>40</v>
          </cell>
          <cell r="I3127">
            <v>30</v>
          </cell>
          <cell r="J3127">
            <v>20</v>
          </cell>
          <cell r="K3127">
            <v>3.65</v>
          </cell>
          <cell r="L3127">
            <v>3.65</v>
          </cell>
          <cell r="M3127">
            <v>2.4E-2</v>
          </cell>
        </row>
        <row r="3128">
          <cell r="A3128">
            <v>40840012</v>
          </cell>
          <cell r="B3128">
            <v>3118220035669</v>
          </cell>
          <cell r="E3128" t="str">
            <v>BOURRICHE X50 PINCE A HOMARD MADE IN FRANCE GENCOD</v>
          </cell>
          <cell r="F3128">
            <v>1</v>
          </cell>
          <cell r="G3128">
            <v>1</v>
          </cell>
          <cell r="H3128">
            <v>40</v>
          </cell>
          <cell r="I3128">
            <v>30</v>
          </cell>
          <cell r="J3128">
            <v>20</v>
          </cell>
          <cell r="K3128">
            <v>5.35</v>
          </cell>
          <cell r="L3128">
            <v>5.35</v>
          </cell>
          <cell r="M3128">
            <v>2.4E-2</v>
          </cell>
        </row>
        <row r="3129">
          <cell r="A3129">
            <v>40950001</v>
          </cell>
          <cell r="B3129">
            <v>8003299399208</v>
          </cell>
          <cell r="E3129" t="str">
            <v>COUVERT SALADE ACIER POLI MIROIR COLLECTION HUMAN GUY SAVOY</v>
          </cell>
          <cell r="F3129">
            <v>15</v>
          </cell>
          <cell r="G3129">
            <v>15</v>
          </cell>
          <cell r="H3129">
            <v>36.5</v>
          </cell>
          <cell r="I3129">
            <v>28</v>
          </cell>
          <cell r="J3129">
            <v>18.5</v>
          </cell>
          <cell r="K3129">
            <v>3.645</v>
          </cell>
          <cell r="L3129">
            <v>0.24299999999999999</v>
          </cell>
          <cell r="M3129">
            <v>1.8906999999999997E-2</v>
          </cell>
        </row>
        <row r="3130">
          <cell r="A3130">
            <v>40950002</v>
          </cell>
          <cell r="B3130">
            <v>8003299399215</v>
          </cell>
          <cell r="E3130" t="str">
            <v>PIQUE AMUSE BOUCHE ACIER POLI MIR COLLECTION HUMAN GUY SAVOY</v>
          </cell>
          <cell r="F3130">
            <v>24</v>
          </cell>
          <cell r="G3130">
            <v>24</v>
          </cell>
          <cell r="H3130">
            <v>31.5</v>
          </cell>
          <cell r="I3130">
            <v>29</v>
          </cell>
          <cell r="J3130">
            <v>14</v>
          </cell>
          <cell r="K3130">
            <v>1.9</v>
          </cell>
          <cell r="L3130">
            <v>7.9166666666666663E-2</v>
          </cell>
          <cell r="M3130">
            <v>1.2789E-2</v>
          </cell>
        </row>
        <row r="3131">
          <cell r="A3131">
            <v>41000001</v>
          </cell>
          <cell r="B3131">
            <v>3118220021198</v>
          </cell>
          <cell r="E3131" t="str">
            <v>EPLUCHEUR FIL Y SILICONE COUL PANACHE +GENCOD</v>
          </cell>
          <cell r="F3131">
            <v>144</v>
          </cell>
          <cell r="G3131">
            <v>12</v>
          </cell>
          <cell r="H3131">
            <v>38</v>
          </cell>
          <cell r="I3131">
            <v>22</v>
          </cell>
          <cell r="J3131">
            <v>35</v>
          </cell>
          <cell r="K3131">
            <v>7.92</v>
          </cell>
          <cell r="L3131">
            <v>5.5E-2</v>
          </cell>
          <cell r="M3131">
            <v>2.9259999999999998E-2</v>
          </cell>
        </row>
        <row r="3132">
          <cell r="A3132">
            <v>41000002</v>
          </cell>
          <cell r="B3132">
            <v>3118220021204</v>
          </cell>
          <cell r="E3132" t="str">
            <v>EPLUCHEUR TOMATE SILICONE COUL PANACHE +GENCOD</v>
          </cell>
          <cell r="F3132">
            <v>144</v>
          </cell>
          <cell r="G3132">
            <v>12</v>
          </cell>
          <cell r="H3132">
            <v>33</v>
          </cell>
          <cell r="I3132">
            <v>22</v>
          </cell>
          <cell r="J3132">
            <v>26.5</v>
          </cell>
          <cell r="K3132">
            <v>8.64</v>
          </cell>
          <cell r="L3132">
            <v>6.0000000000000005E-2</v>
          </cell>
          <cell r="M3132">
            <v>1.9239000000000003E-2</v>
          </cell>
        </row>
        <row r="3133">
          <cell r="A3133">
            <v>41000003</v>
          </cell>
          <cell r="B3133">
            <v>3118220021211</v>
          </cell>
          <cell r="E3133" t="str">
            <v>EPLUCHEUR SILICONE COUL PANACHE +GENCOD</v>
          </cell>
          <cell r="F3133">
            <v>144</v>
          </cell>
          <cell r="G3133">
            <v>12</v>
          </cell>
          <cell r="H3133">
            <v>33</v>
          </cell>
          <cell r="I3133">
            <v>22</v>
          </cell>
          <cell r="J3133">
            <v>26.5</v>
          </cell>
          <cell r="K3133">
            <v>6.9119999999999999</v>
          </cell>
          <cell r="L3133">
            <v>4.8000000000000001E-2</v>
          </cell>
          <cell r="M3133">
            <v>1.9239000000000003E-2</v>
          </cell>
        </row>
        <row r="3134">
          <cell r="A3134">
            <v>41000004</v>
          </cell>
          <cell r="B3134">
            <v>3118220021228</v>
          </cell>
          <cell r="E3134" t="str">
            <v>ROULETTE A PATE SILICONE COUL PANACHE +GENCOD</v>
          </cell>
          <cell r="F3134">
            <v>144</v>
          </cell>
          <cell r="G3134">
            <v>12</v>
          </cell>
          <cell r="H3134">
            <v>33</v>
          </cell>
          <cell r="I3134">
            <v>22</v>
          </cell>
          <cell r="J3134">
            <v>26.5</v>
          </cell>
          <cell r="K3134">
            <v>4.7519999999999998</v>
          </cell>
          <cell r="L3134">
            <v>3.3000000000000002E-2</v>
          </cell>
          <cell r="M3134">
            <v>1.9239000000000003E-2</v>
          </cell>
        </row>
        <row r="3135">
          <cell r="A3135">
            <v>41000005</v>
          </cell>
          <cell r="B3135">
            <v>3118220021235</v>
          </cell>
          <cell r="E3135" t="str">
            <v>ROULETTE A PIZZA SILICONE COUL PANACHE +GENCOD</v>
          </cell>
          <cell r="F3135">
            <v>144</v>
          </cell>
          <cell r="G3135">
            <v>12</v>
          </cell>
          <cell r="H3135">
            <v>42</v>
          </cell>
          <cell r="I3135">
            <v>25</v>
          </cell>
          <cell r="J3135">
            <v>26.5</v>
          </cell>
          <cell r="K3135">
            <v>11.664</v>
          </cell>
          <cell r="L3135">
            <v>8.1000000000000003E-2</v>
          </cell>
          <cell r="M3135">
            <v>2.7824999999999999E-2</v>
          </cell>
        </row>
        <row r="3136">
          <cell r="A3136">
            <v>41000006</v>
          </cell>
          <cell r="B3136">
            <v>3118220021242</v>
          </cell>
          <cell r="E3136" t="str">
            <v>PINCEAU SILICONE SILICONE COUL PANACHE +GENCOD</v>
          </cell>
          <cell r="F3136">
            <v>144</v>
          </cell>
          <cell r="G3136">
            <v>12</v>
          </cell>
          <cell r="H3136">
            <v>42</v>
          </cell>
          <cell r="I3136">
            <v>25</v>
          </cell>
          <cell r="J3136">
            <v>26.5</v>
          </cell>
          <cell r="K3136">
            <v>10.224</v>
          </cell>
          <cell r="L3136">
            <v>7.1000000000000008E-2</v>
          </cell>
          <cell r="M3136">
            <v>2.7824999999999999E-2</v>
          </cell>
        </row>
        <row r="3137">
          <cell r="A3137">
            <v>41000007</v>
          </cell>
          <cell r="B3137">
            <v>3118220021259</v>
          </cell>
          <cell r="E3137" t="str">
            <v>ZESTEUR SILICONE COUL PANACHE +GENCOD</v>
          </cell>
          <cell r="F3137">
            <v>144</v>
          </cell>
          <cell r="G3137">
            <v>12</v>
          </cell>
          <cell r="H3137">
            <v>33.5</v>
          </cell>
          <cell r="I3137">
            <v>22</v>
          </cell>
          <cell r="J3137">
            <v>26</v>
          </cell>
          <cell r="K3137">
            <v>4.5999999999999996</v>
          </cell>
          <cell r="L3137">
            <v>3.1944444444444442E-2</v>
          </cell>
          <cell r="M3137">
            <v>1.9162000000000002E-2</v>
          </cell>
        </row>
        <row r="3138">
          <cell r="A3138">
            <v>41000008</v>
          </cell>
          <cell r="B3138">
            <v>3118220021266</v>
          </cell>
          <cell r="E3138" t="str">
            <v>FOUET SILICONE COUL PANACHE +GENCOD</v>
          </cell>
          <cell r="F3138">
            <v>144</v>
          </cell>
          <cell r="G3138">
            <v>12</v>
          </cell>
          <cell r="H3138">
            <v>33</v>
          </cell>
          <cell r="I3138">
            <v>22</v>
          </cell>
          <cell r="J3138">
            <v>42</v>
          </cell>
          <cell r="K3138">
            <v>7.94</v>
          </cell>
          <cell r="L3138">
            <v>5.513888888888889E-2</v>
          </cell>
          <cell r="M3138">
            <v>3.0492000000000005E-2</v>
          </cell>
        </row>
        <row r="3139">
          <cell r="A3139">
            <v>41000009</v>
          </cell>
          <cell r="B3139">
            <v>3118220021273</v>
          </cell>
          <cell r="E3139" t="str">
            <v>RAPE SILICONE COUL PANACHE +GENCOD</v>
          </cell>
          <cell r="F3139">
            <v>144</v>
          </cell>
          <cell r="G3139">
            <v>12</v>
          </cell>
          <cell r="H3139">
            <v>41</v>
          </cell>
          <cell r="I3139">
            <v>26</v>
          </cell>
          <cell r="J3139">
            <v>26</v>
          </cell>
          <cell r="K3139">
            <v>9.6479999999999997</v>
          </cell>
          <cell r="L3139">
            <v>6.7000000000000004E-2</v>
          </cell>
          <cell r="M3139">
            <v>2.7715999999999998E-2</v>
          </cell>
        </row>
        <row r="3140">
          <cell r="A3140">
            <v>41000010</v>
          </cell>
          <cell r="B3140">
            <v>3118220021280</v>
          </cell>
          <cell r="E3140" t="str">
            <v>VIDE POMME SILICONE COUL PANACHE +GENCOD</v>
          </cell>
          <cell r="F3140">
            <v>144</v>
          </cell>
          <cell r="G3140">
            <v>12</v>
          </cell>
          <cell r="H3140">
            <v>32</v>
          </cell>
          <cell r="I3140">
            <v>25.5</v>
          </cell>
          <cell r="J3140">
            <v>27</v>
          </cell>
          <cell r="K3140">
            <v>6.7409999999999997</v>
          </cell>
          <cell r="L3140">
            <v>4.68125E-2</v>
          </cell>
          <cell r="M3140">
            <v>2.2032000000000003E-2</v>
          </cell>
        </row>
        <row r="3141">
          <cell r="A3141">
            <v>41000011</v>
          </cell>
          <cell r="B3141">
            <v>3118220021297</v>
          </cell>
          <cell r="E3141" t="str">
            <v>TARTINEUR SILICONE COUL PANACHE +GENCOD</v>
          </cell>
          <cell r="F3141">
            <v>144</v>
          </cell>
          <cell r="G3141">
            <v>12</v>
          </cell>
          <cell r="H3141">
            <v>31.5</v>
          </cell>
          <cell r="I3141">
            <v>22</v>
          </cell>
          <cell r="J3141">
            <v>28</v>
          </cell>
          <cell r="K3141">
            <v>5.7869999999999999</v>
          </cell>
          <cell r="L3141">
            <v>4.0187500000000001E-2</v>
          </cell>
          <cell r="M3141">
            <v>1.9403999999999998E-2</v>
          </cell>
        </row>
        <row r="3142">
          <cell r="A3142">
            <v>41000012</v>
          </cell>
          <cell r="B3142">
            <v>3118220022102</v>
          </cell>
          <cell r="E3142" t="str">
            <v>OFFICE SILICONE BEC OISEAU COUL PANACHE +GENCOD</v>
          </cell>
          <cell r="F3142">
            <v>144</v>
          </cell>
          <cell r="G3142">
            <v>12</v>
          </cell>
          <cell r="H3142">
            <v>32</v>
          </cell>
          <cell r="I3142">
            <v>22.5</v>
          </cell>
          <cell r="J3142">
            <v>26</v>
          </cell>
          <cell r="K3142">
            <v>4.7519999999999998</v>
          </cell>
          <cell r="L3142">
            <v>3.3000000000000002E-2</v>
          </cell>
          <cell r="M3142">
            <v>1.8720000000000004E-2</v>
          </cell>
        </row>
        <row r="3143">
          <cell r="A3143">
            <v>41060001</v>
          </cell>
          <cell r="B3143">
            <v>3118220038707</v>
          </cell>
          <cell r="E3143" t="str">
            <v>FOURCHETTE BAROUDEUR</v>
          </cell>
          <cell r="F3143">
            <v>100</v>
          </cell>
          <cell r="G3143">
            <v>100</v>
          </cell>
          <cell r="H3143">
            <v>32</v>
          </cell>
          <cell r="I3143">
            <v>29</v>
          </cell>
          <cell r="J3143">
            <v>13</v>
          </cell>
          <cell r="K3143">
            <v>3.327</v>
          </cell>
          <cell r="L3143">
            <v>3.3270000000000001E-2</v>
          </cell>
          <cell r="M3143">
            <v>1.2063999999999998E-2</v>
          </cell>
        </row>
        <row r="3144">
          <cell r="A3144">
            <v>41060002</v>
          </cell>
          <cell r="B3144">
            <v>3118220038714</v>
          </cell>
          <cell r="E3144" t="str">
            <v>CUILLERE BAROUDEUR</v>
          </cell>
          <cell r="F3144">
            <v>100</v>
          </cell>
          <cell r="G3144">
            <v>100</v>
          </cell>
          <cell r="H3144">
            <v>32</v>
          </cell>
          <cell r="I3144">
            <v>29</v>
          </cell>
          <cell r="J3144">
            <v>13</v>
          </cell>
          <cell r="K3144">
            <v>4.99</v>
          </cell>
          <cell r="L3144">
            <v>4.99E-2</v>
          </cell>
          <cell r="M3144">
            <v>1.2063999999999998E-2</v>
          </cell>
        </row>
        <row r="3145">
          <cell r="A3145">
            <v>41400001</v>
          </cell>
          <cell r="B3145">
            <v>3118220027640</v>
          </cell>
          <cell r="E3145" t="str">
            <v>CUILLERE PENDERIE LAGUIOLE HERITAGE SENS OLIVIER SUR CARTE</v>
          </cell>
          <cell r="F3145">
            <v>72</v>
          </cell>
          <cell r="G3145">
            <v>6</v>
          </cell>
          <cell r="H3145">
            <v>40</v>
          </cell>
          <cell r="I3145">
            <v>40</v>
          </cell>
          <cell r="J3145">
            <v>47</v>
          </cell>
          <cell r="K3145">
            <v>12.888</v>
          </cell>
          <cell r="L3145">
            <v>0.17899999999999999</v>
          </cell>
          <cell r="M3145">
            <v>7.5200000000000003E-2</v>
          </cell>
        </row>
        <row r="3146">
          <cell r="A3146">
            <v>41400002</v>
          </cell>
          <cell r="B3146">
            <v>3118220027657</v>
          </cell>
          <cell r="E3146" t="str">
            <v>LOUCHE PENDERIE LAGUIOLE HERITAGE SENS OLIVIER SUR CARTE</v>
          </cell>
          <cell r="F3146">
            <v>72</v>
          </cell>
          <cell r="G3146">
            <v>6</v>
          </cell>
          <cell r="H3146">
            <v>47</v>
          </cell>
          <cell r="I3146">
            <v>43</v>
          </cell>
          <cell r="J3146">
            <v>39.5</v>
          </cell>
          <cell r="K3146">
            <v>17.302</v>
          </cell>
          <cell r="L3146">
            <v>0.24030555555555555</v>
          </cell>
          <cell r="M3146">
            <v>7.9829499999999984E-2</v>
          </cell>
        </row>
        <row r="3147">
          <cell r="A3147">
            <v>41400003</v>
          </cell>
          <cell r="B3147">
            <v>3118220027664</v>
          </cell>
          <cell r="E3147" t="str">
            <v>ECUMOIRE PENDERIE LAGUIOLE HERITAGE SENS OLIVIER SUR CARTE</v>
          </cell>
          <cell r="F3147">
            <v>72</v>
          </cell>
          <cell r="G3147">
            <v>6</v>
          </cell>
          <cell r="H3147">
            <v>44</v>
          </cell>
          <cell r="I3147">
            <v>42</v>
          </cell>
          <cell r="J3147">
            <v>47</v>
          </cell>
          <cell r="K3147">
            <v>17.216000000000001</v>
          </cell>
          <cell r="L3147">
            <v>0.23911111111111114</v>
          </cell>
          <cell r="M3147">
            <v>8.6855999999999989E-2</v>
          </cell>
        </row>
        <row r="3148">
          <cell r="A3148">
            <v>41400004</v>
          </cell>
          <cell r="B3148">
            <v>3118220027671</v>
          </cell>
          <cell r="E3148" t="str">
            <v>FOURCHETTE SPAGHETI PENDERIE LAG HERITAGE SENS OLIVIER SUR C</v>
          </cell>
          <cell r="F3148">
            <v>72</v>
          </cell>
          <cell r="G3148">
            <v>6</v>
          </cell>
          <cell r="H3148">
            <v>39</v>
          </cell>
          <cell r="I3148">
            <v>38</v>
          </cell>
          <cell r="J3148">
            <v>39</v>
          </cell>
          <cell r="K3148">
            <v>12.747</v>
          </cell>
          <cell r="L3148">
            <v>0.17704166666666665</v>
          </cell>
          <cell r="M3148">
            <v>5.7797999999999995E-2</v>
          </cell>
        </row>
        <row r="3149">
          <cell r="A3149">
            <v>41400005</v>
          </cell>
          <cell r="B3149">
            <v>3118220027688</v>
          </cell>
          <cell r="E3149" t="str">
            <v>SPATULE PENDERIE LAGUIOLE HERITAGE SENS OLIVIER SUR CARTE</v>
          </cell>
          <cell r="F3149">
            <v>72</v>
          </cell>
          <cell r="G3149">
            <v>6</v>
          </cell>
          <cell r="H3149">
            <v>41</v>
          </cell>
          <cell r="I3149">
            <v>42</v>
          </cell>
          <cell r="J3149">
            <v>31.5</v>
          </cell>
          <cell r="K3149">
            <v>14.736000000000001</v>
          </cell>
          <cell r="L3149">
            <v>0.20466666666666666</v>
          </cell>
          <cell r="M3149">
            <v>5.4243E-2</v>
          </cell>
        </row>
        <row r="3150">
          <cell r="A3150">
            <v>41400006</v>
          </cell>
          <cell r="B3150">
            <v>3118220027695</v>
          </cell>
          <cell r="E3150" t="str">
            <v>FOURCHETTE PENDERIE LAGUIOLE HERITAGE SENS OLIVIER SUR CARTE</v>
          </cell>
          <cell r="F3150">
            <v>72</v>
          </cell>
          <cell r="G3150">
            <v>6</v>
          </cell>
          <cell r="H3150">
            <v>39</v>
          </cell>
          <cell r="I3150">
            <v>32</v>
          </cell>
          <cell r="J3150">
            <v>31</v>
          </cell>
          <cell r="K3150">
            <v>12.569000000000001</v>
          </cell>
          <cell r="L3150">
            <v>0.17456944444444444</v>
          </cell>
          <cell r="M3150">
            <v>3.8688E-2</v>
          </cell>
        </row>
        <row r="3151">
          <cell r="A3151">
            <v>41460001</v>
          </cell>
          <cell r="B3151">
            <v>3118220027114</v>
          </cell>
          <cell r="C3151" t="str">
            <v>13118220027111</v>
          </cell>
          <cell r="D3151" t="str">
            <v>23118220027118</v>
          </cell>
          <cell r="E3151" t="str">
            <v>TARTINEUR TAPAS FUSEAU EN BOITE PEGBOARDABLE</v>
          </cell>
          <cell r="F3151">
            <v>72</v>
          </cell>
          <cell r="G3151">
            <v>12</v>
          </cell>
          <cell r="H3151">
            <v>30</v>
          </cell>
          <cell r="I3151">
            <v>22</v>
          </cell>
          <cell r="J3151">
            <v>13</v>
          </cell>
          <cell r="K3151">
            <v>3.8159999999999998</v>
          </cell>
          <cell r="L3151">
            <v>5.2999999999999999E-2</v>
          </cell>
          <cell r="M3151">
            <v>8.5800000000000008E-3</v>
          </cell>
        </row>
        <row r="3152">
          <cell r="A3152">
            <v>41460002</v>
          </cell>
          <cell r="B3152">
            <v>3118220030473</v>
          </cell>
          <cell r="C3152" t="str">
            <v>13118220030470</v>
          </cell>
          <cell r="D3152" t="str">
            <v>23118220030477</v>
          </cell>
          <cell r="E3152" t="str">
            <v>TARTINEUR TAPAS FUSEAU + GENCOD</v>
          </cell>
          <cell r="F3152">
            <v>144</v>
          </cell>
          <cell r="G3152">
            <v>12</v>
          </cell>
          <cell r="H3152">
            <v>22</v>
          </cell>
          <cell r="I3152">
            <v>18</v>
          </cell>
          <cell r="J3152">
            <v>14.5</v>
          </cell>
          <cell r="K3152">
            <v>7.3360000000000003</v>
          </cell>
          <cell r="L3152">
            <v>5.0944444444444445E-2</v>
          </cell>
          <cell r="M3152">
            <v>5.7419999999999997E-3</v>
          </cell>
        </row>
        <row r="3153">
          <cell r="A3153">
            <v>41520003</v>
          </cell>
          <cell r="B3153">
            <v>3118220038424</v>
          </cell>
          <cell r="C3153" t="str">
            <v>13118220038421</v>
          </cell>
          <cell r="D3153" t="str">
            <v>23118220038428</v>
          </cell>
          <cell r="E3153" t="str">
            <v>COFFRET 2P SERVICE A SALADE LAGUIOLE INTUITION BRILLANT</v>
          </cell>
          <cell r="F3153">
            <v>6</v>
          </cell>
          <cell r="G3153">
            <v>6</v>
          </cell>
          <cell r="H3153">
            <v>34</v>
          </cell>
          <cell r="I3153">
            <v>17</v>
          </cell>
          <cell r="J3153">
            <v>20.5</v>
          </cell>
          <cell r="K3153">
            <v>1.806</v>
          </cell>
          <cell r="L3153">
            <v>0.30099999999999999</v>
          </cell>
          <cell r="M3153">
            <v>1.1849E-2</v>
          </cell>
        </row>
        <row r="3154">
          <cell r="A3154">
            <v>50950001</v>
          </cell>
          <cell r="B3154">
            <v>8003299399192</v>
          </cell>
          <cell r="E3154" t="str">
            <v>SALADIER ACIER POLI MIROIR LARGE COLLECTION HUMAN GUY SAVOY</v>
          </cell>
          <cell r="F3154">
            <v>2</v>
          </cell>
          <cell r="G3154">
            <v>2</v>
          </cell>
          <cell r="H3154">
            <v>40</v>
          </cell>
          <cell r="I3154">
            <v>30</v>
          </cell>
          <cell r="J3154">
            <v>40</v>
          </cell>
          <cell r="K3154">
            <v>2.78</v>
          </cell>
          <cell r="L3154">
            <v>1.39</v>
          </cell>
          <cell r="M3154">
            <v>4.8000000000000001E-2</v>
          </cell>
        </row>
        <row r="3155">
          <cell r="A3155">
            <v>50950002</v>
          </cell>
          <cell r="B3155">
            <v>8003299399185</v>
          </cell>
          <cell r="E3155" t="str">
            <v>SALADIER ACIER POLI MIROIR SMALL COLLECTION HUMAN GUY SAVOY</v>
          </cell>
          <cell r="F3155">
            <v>8</v>
          </cell>
          <cell r="G3155">
            <v>8</v>
          </cell>
          <cell r="H3155">
            <v>44</v>
          </cell>
          <cell r="I3155">
            <v>28</v>
          </cell>
          <cell r="J3155">
            <v>29</v>
          </cell>
          <cell r="K3155">
            <v>2.8159999999999998</v>
          </cell>
          <cell r="L3155">
            <v>0.35199999999999998</v>
          </cell>
          <cell r="M3155">
            <v>3.5728000000000003E-2</v>
          </cell>
        </row>
        <row r="3156">
          <cell r="A3156">
            <v>50950003</v>
          </cell>
          <cell r="B3156">
            <v>3118220020481</v>
          </cell>
          <cell r="E3156" t="str">
            <v>ASSIETTE DE PRESENTATION SOURIRE VIRGINIA MO POUR GUY SAVOY</v>
          </cell>
          <cell r="F3156">
            <v>6</v>
          </cell>
          <cell r="G3156">
            <v>6</v>
          </cell>
          <cell r="H3156">
            <v>37</v>
          </cell>
          <cell r="I3156">
            <v>34.5</v>
          </cell>
          <cell r="J3156">
            <v>22</v>
          </cell>
          <cell r="K3156">
            <v>10.314</v>
          </cell>
          <cell r="L3156">
            <v>1.7190000000000001</v>
          </cell>
          <cell r="M3156">
            <v>2.8083000000000004E-2</v>
          </cell>
        </row>
        <row r="3157">
          <cell r="A3157">
            <v>51740001</v>
          </cell>
          <cell r="B3157">
            <v>3118220039315</v>
          </cell>
          <cell r="C3157" t="str">
            <v>13118220039312</v>
          </cell>
          <cell r="D3157" t="str">
            <v>23118220039319</v>
          </cell>
          <cell r="E3157" t="str">
            <v>SET DE 2 GRANDES ASSIETTES TOP CHEF</v>
          </cell>
          <cell r="F3157">
            <v>3</v>
          </cell>
          <cell r="G3157">
            <v>3</v>
          </cell>
          <cell r="H3157">
            <v>28.5</v>
          </cell>
          <cell r="I3157">
            <v>16</v>
          </cell>
          <cell r="J3157">
            <v>29</v>
          </cell>
          <cell r="K3157">
            <v>4.1829999999999998</v>
          </cell>
          <cell r="L3157">
            <v>1.3943333333333332</v>
          </cell>
          <cell r="M3157">
            <v>1.3223999999999998E-2</v>
          </cell>
        </row>
        <row r="3158">
          <cell r="A3158">
            <v>51740002</v>
          </cell>
          <cell r="B3158">
            <v>3118220039322</v>
          </cell>
          <cell r="C3158" t="str">
            <v>13118220039329</v>
          </cell>
          <cell r="D3158" t="str">
            <v>23118220039326</v>
          </cell>
          <cell r="E3158" t="str">
            <v>SET DE 2 ASSIETTES A SOUPE TOP CHEF</v>
          </cell>
          <cell r="F3158">
            <v>3</v>
          </cell>
          <cell r="G3158">
            <v>3</v>
          </cell>
          <cell r="H3158">
            <v>32.5</v>
          </cell>
          <cell r="I3158">
            <v>21.5</v>
          </cell>
          <cell r="J3158">
            <v>22</v>
          </cell>
          <cell r="K3158">
            <v>3.9049999999999998</v>
          </cell>
          <cell r="L3158">
            <v>1.3016666666666665</v>
          </cell>
          <cell r="M3158">
            <v>1.5372499999999997E-2</v>
          </cell>
        </row>
        <row r="3159">
          <cell r="A3159">
            <v>51740003</v>
          </cell>
          <cell r="B3159">
            <v>3118220039339</v>
          </cell>
          <cell r="C3159" t="str">
            <v>13118220039336</v>
          </cell>
          <cell r="D3159" t="str">
            <v>23118220039333</v>
          </cell>
          <cell r="E3159" t="str">
            <v>SET DE 2 ASSIETTES DESSERT TOP CHEF</v>
          </cell>
          <cell r="F3159">
            <v>3</v>
          </cell>
          <cell r="G3159">
            <v>3</v>
          </cell>
          <cell r="H3159">
            <v>18</v>
          </cell>
          <cell r="I3159">
            <v>14.5</v>
          </cell>
          <cell r="J3159">
            <v>19</v>
          </cell>
          <cell r="K3159">
            <v>1.462</v>
          </cell>
          <cell r="L3159">
            <v>0.48733333333333334</v>
          </cell>
          <cell r="M3159">
            <v>4.9589999999999999E-3</v>
          </cell>
        </row>
        <row r="3160">
          <cell r="A3160">
            <v>51740004</v>
          </cell>
          <cell r="B3160">
            <v>3118220039940</v>
          </cell>
          <cell r="C3160" t="str">
            <v>13118220039947</v>
          </cell>
          <cell r="D3160" t="str">
            <v>23118220039944</v>
          </cell>
          <cell r="E3160" t="str">
            <v>SET DE 2 MUG PORCELAINE BLANC TOP CHEF</v>
          </cell>
          <cell r="F3160">
            <v>18</v>
          </cell>
          <cell r="G3160">
            <v>18</v>
          </cell>
          <cell r="H3160">
            <v>39.5</v>
          </cell>
          <cell r="I3160">
            <v>30</v>
          </cell>
          <cell r="J3160">
            <v>33</v>
          </cell>
          <cell r="K3160">
            <v>11.868</v>
          </cell>
          <cell r="L3160">
            <v>0.65933333333333333</v>
          </cell>
          <cell r="M3160">
            <v>3.9105000000000001E-2</v>
          </cell>
        </row>
        <row r="3161">
          <cell r="A3161">
            <v>51740005</v>
          </cell>
          <cell r="B3161">
            <v>3118220043510</v>
          </cell>
          <cell r="C3161" t="str">
            <v>13118220043517</v>
          </cell>
          <cell r="D3161" t="str">
            <v>23118220043514</v>
          </cell>
          <cell r="E3161" t="str">
            <v>SET DE 2 MUGS  PORCELAINE NOIRE TOP CHEF</v>
          </cell>
          <cell r="F3161">
            <v>18</v>
          </cell>
          <cell r="G3161">
            <v>18</v>
          </cell>
          <cell r="H3161">
            <v>39.5</v>
          </cell>
          <cell r="I3161">
            <v>30</v>
          </cell>
          <cell r="J3161">
            <v>33</v>
          </cell>
          <cell r="K3161">
            <v>11.868</v>
          </cell>
          <cell r="L3161">
            <v>0.65933333333333333</v>
          </cell>
          <cell r="M3161">
            <v>3.9105000000000001E-2</v>
          </cell>
        </row>
        <row r="3162">
          <cell r="A3162">
            <v>40590006</v>
          </cell>
          <cell r="B3162">
            <v>3118220046481</v>
          </cell>
          <cell r="E3162" t="str">
            <v>SET GANT EN CUIR ET COUTEAU A HUITRE</v>
          </cell>
          <cell r="F3162">
            <v>24</v>
          </cell>
          <cell r="G3162">
            <v>6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</row>
        <row r="3163">
          <cell r="A3163">
            <v>51740006</v>
          </cell>
          <cell r="B3163">
            <v>3118220044821</v>
          </cell>
          <cell r="E3163" t="str">
            <v>3 SET DE 2 GRANDES ASSIETTES TOP CHEF</v>
          </cell>
          <cell r="F3163">
            <v>1</v>
          </cell>
          <cell r="G3163">
            <v>1</v>
          </cell>
          <cell r="H3163">
            <v>0</v>
          </cell>
          <cell r="I3163">
            <v>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</row>
        <row r="3164">
          <cell r="A3164">
            <v>51740007</v>
          </cell>
          <cell r="B3164">
            <v>3118220044838</v>
          </cell>
          <cell r="E3164" t="str">
            <v>3 SETS DE 2 ASSIETTES A SOUPE TOP CHEF</v>
          </cell>
          <cell r="F3164">
            <v>1</v>
          </cell>
          <cell r="G3164">
            <v>1</v>
          </cell>
          <cell r="H3164">
            <v>0</v>
          </cell>
          <cell r="I3164">
            <v>0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</row>
        <row r="3165">
          <cell r="A3165">
            <v>51740009</v>
          </cell>
          <cell r="B3165">
            <v>3118220044876</v>
          </cell>
          <cell r="E3165" t="str">
            <v>SET DE 6 MUGS PORCELAINE TOP CHEF</v>
          </cell>
          <cell r="F3165">
            <v>1</v>
          </cell>
          <cell r="G3165">
            <v>1</v>
          </cell>
          <cell r="H3165">
            <v>31</v>
          </cell>
          <cell r="I3165">
            <v>29</v>
          </cell>
          <cell r="J3165">
            <v>13</v>
          </cell>
          <cell r="K3165">
            <v>2.1579999999999999</v>
          </cell>
          <cell r="L3165">
            <v>2.1579999999999999</v>
          </cell>
          <cell r="M3165">
            <v>1.1687000000000001E-2</v>
          </cell>
        </row>
        <row r="3166">
          <cell r="A3166">
            <v>60020004</v>
          </cell>
          <cell r="B3166">
            <v>3118220009844</v>
          </cell>
          <cell r="E3166" t="str">
            <v>SOMMELIER ACIDULE COUL ASSORTI EN COFFRET BI MAT PEGBORDABLE</v>
          </cell>
          <cell r="F3166">
            <v>36</v>
          </cell>
          <cell r="G3166">
            <v>6</v>
          </cell>
          <cell r="H3166">
            <v>46</v>
          </cell>
          <cell r="I3166">
            <v>28.5</v>
          </cell>
          <cell r="J3166">
            <v>29</v>
          </cell>
          <cell r="K3166">
            <v>8.0640000000000001</v>
          </cell>
          <cell r="L3166">
            <v>0.224</v>
          </cell>
          <cell r="M3166">
            <v>3.8019000000000004E-2</v>
          </cell>
        </row>
        <row r="3167">
          <cell r="A3167">
            <v>60109501</v>
          </cell>
          <cell r="B3167">
            <v>3118223006819</v>
          </cell>
          <cell r="E3167" t="str">
            <v>DECAPSULEUR LAG ABS BLEU ML</v>
          </cell>
          <cell r="F3167">
            <v>400</v>
          </cell>
          <cell r="G3167">
            <v>100</v>
          </cell>
          <cell r="H3167">
            <v>37</v>
          </cell>
          <cell r="I3167">
            <v>22</v>
          </cell>
          <cell r="J3167">
            <v>30</v>
          </cell>
          <cell r="K3167">
            <v>22.513000000000002</v>
          </cell>
          <cell r="L3167">
            <v>5.6282500000000006E-2</v>
          </cell>
          <cell r="M3167">
            <v>2.4420000000000001E-2</v>
          </cell>
        </row>
        <row r="3168">
          <cell r="A3168">
            <v>60109502</v>
          </cell>
          <cell r="B3168">
            <v>3118220023123</v>
          </cell>
          <cell r="E3168" t="str">
            <v>TIRE BOUCHON LAG NACRE CHAMPAGNE</v>
          </cell>
          <cell r="F3168">
            <v>150</v>
          </cell>
          <cell r="G3168">
            <v>150</v>
          </cell>
          <cell r="H3168">
            <v>31</v>
          </cell>
          <cell r="I3168">
            <v>29</v>
          </cell>
          <cell r="J3168">
            <v>14</v>
          </cell>
          <cell r="K3168">
            <v>6.9</v>
          </cell>
          <cell r="L3168">
            <v>4.5999999999999999E-2</v>
          </cell>
          <cell r="M3168">
            <v>1.2586000000000002E-2</v>
          </cell>
        </row>
        <row r="3169">
          <cell r="A3169">
            <v>60110001</v>
          </cell>
          <cell r="B3169">
            <v>3661075340933</v>
          </cell>
          <cell r="C3169" t="str">
            <v xml:space="preserve"> /</v>
          </cell>
          <cell r="D3169">
            <v>3661075340940</v>
          </cell>
          <cell r="E3169" t="str">
            <v>LAG HERITAGE TIRE-BOUCHON BAMBOU POLYFLAME</v>
          </cell>
          <cell r="F3169">
            <v>30</v>
          </cell>
          <cell r="G3169">
            <v>30</v>
          </cell>
          <cell r="H3169">
            <v>41</v>
          </cell>
          <cell r="I3169">
            <v>29</v>
          </cell>
          <cell r="J3169">
            <v>19</v>
          </cell>
          <cell r="K3169">
            <v>3.2</v>
          </cell>
          <cell r="L3169">
            <v>0.10666666666666667</v>
          </cell>
          <cell r="M3169">
            <v>2.2590999999999997E-2</v>
          </cell>
        </row>
        <row r="3170">
          <cell r="A3170">
            <v>51740008</v>
          </cell>
          <cell r="B3170">
            <v>3118220044845</v>
          </cell>
          <cell r="E3170" t="str">
            <v>3 SETS DE 2 ASSIETTES DESSERT TOP CHEF</v>
          </cell>
          <cell r="F3170">
            <v>1</v>
          </cell>
          <cell r="G3170">
            <v>1</v>
          </cell>
          <cell r="H3170">
            <v>0</v>
          </cell>
          <cell r="I3170">
            <v>0</v>
          </cell>
          <cell r="J3170">
            <v>0</v>
          </cell>
          <cell r="K3170">
            <v>0</v>
          </cell>
          <cell r="L3170">
            <v>0</v>
          </cell>
          <cell r="M3170">
            <v>0</v>
          </cell>
        </row>
        <row r="3171">
          <cell r="A3171">
            <v>60110002</v>
          </cell>
          <cell r="B3171" t="str">
            <v>3661075340957</v>
          </cell>
          <cell r="C3171" t="str">
            <v xml:space="preserve"> /</v>
          </cell>
          <cell r="D3171" t="str">
            <v>3661075340964</v>
          </cell>
          <cell r="E3171" t="str">
            <v>LAG HERITAGE TIRE-BOUCHON BOIS D'OLIVIER POLYFLAME</v>
          </cell>
          <cell r="F3171">
            <v>60</v>
          </cell>
          <cell r="G3171">
            <v>60</v>
          </cell>
          <cell r="L3171">
            <v>0</v>
          </cell>
          <cell r="M3171">
            <v>0</v>
          </cell>
        </row>
        <row r="3172">
          <cell r="A3172">
            <v>60110004</v>
          </cell>
          <cell r="B3172" t="str">
            <v>3661075394554</v>
          </cell>
          <cell r="C3172" t="str">
            <v xml:space="preserve"> /</v>
          </cell>
          <cell r="D3172" t="str">
            <v>3661075394561</v>
          </cell>
          <cell r="E3172" t="str">
            <v>LAG HERITAGE SOMMELIER NOIR BAMBOU POLYFLAME</v>
          </cell>
          <cell r="F3172">
            <v>100</v>
          </cell>
          <cell r="G3172">
            <v>100</v>
          </cell>
          <cell r="H3172">
            <v>33.200000000000003</v>
          </cell>
          <cell r="I3172">
            <v>30.6</v>
          </cell>
          <cell r="J3172">
            <v>30</v>
          </cell>
          <cell r="L3172">
            <v>0</v>
          </cell>
          <cell r="M3172">
            <v>3.0477600000000004E-2</v>
          </cell>
        </row>
        <row r="3173">
          <cell r="A3173">
            <v>60590002</v>
          </cell>
          <cell r="B3173">
            <v>3118220022140</v>
          </cell>
          <cell r="E3173" t="str">
            <v>SOMMELIER DESIGN EN BOITE BI MAT</v>
          </cell>
          <cell r="F3173">
            <v>36</v>
          </cell>
          <cell r="G3173">
            <v>6</v>
          </cell>
          <cell r="H3173">
            <v>33</v>
          </cell>
          <cell r="I3173">
            <v>31</v>
          </cell>
          <cell r="J3173">
            <v>25.5</v>
          </cell>
          <cell r="K3173">
            <v>8.3879999999999999</v>
          </cell>
          <cell r="L3173">
            <v>0.23299999999999998</v>
          </cell>
          <cell r="M3173">
            <v>2.6086499999999999E-2</v>
          </cell>
        </row>
        <row r="3174">
          <cell r="A3174">
            <v>60110003</v>
          </cell>
          <cell r="B3174" t="str">
            <v>3118220054776</v>
          </cell>
          <cell r="C3174" t="str">
            <v>13118220054773</v>
          </cell>
          <cell r="D3174" t="str">
            <v>23118220054770</v>
          </cell>
          <cell r="E3174" t="str">
            <v>SOMMELIER MANCHE PAKKAWOOD SS COQUE LAGUIOLE HERITAGE</v>
          </cell>
          <cell r="F3174">
            <v>36</v>
          </cell>
          <cell r="G3174">
            <v>6</v>
          </cell>
          <cell r="L3174">
            <v>0</v>
          </cell>
          <cell r="M3174">
            <v>0</v>
          </cell>
        </row>
        <row r="3175">
          <cell r="A3175">
            <v>60590003</v>
          </cell>
          <cell r="B3175">
            <v>3118220052123</v>
          </cell>
          <cell r="C3175">
            <v>13118220052120</v>
          </cell>
          <cell r="D3175">
            <v>23118220052127</v>
          </cell>
          <cell r="E3175" t="str">
            <v>SOMMELIER DESIGN MANCHE PAKKAWOOD SS COQUE LAGUIOLE HERITAGE</v>
          </cell>
          <cell r="F3175">
            <v>36</v>
          </cell>
          <cell r="G3175">
            <v>6</v>
          </cell>
          <cell r="L3175">
            <v>0</v>
          </cell>
          <cell r="M3175">
            <v>0</v>
          </cell>
        </row>
        <row r="3176">
          <cell r="A3176">
            <v>71590001</v>
          </cell>
          <cell r="B3176">
            <v>3118220032002</v>
          </cell>
          <cell r="E3176" t="str">
            <v>POELE 20CM CUISSON TOP CHEF NEVERSTICK2</v>
          </cell>
          <cell r="F3176">
            <v>4</v>
          </cell>
          <cell r="G3176">
            <v>4</v>
          </cell>
          <cell r="H3176">
            <v>38.5</v>
          </cell>
          <cell r="I3176">
            <v>23</v>
          </cell>
          <cell r="J3176">
            <v>15.5</v>
          </cell>
          <cell r="K3176">
            <v>3.008</v>
          </cell>
          <cell r="L3176">
            <v>0.752</v>
          </cell>
          <cell r="M3176">
            <v>1.372525E-2</v>
          </cell>
        </row>
        <row r="3177">
          <cell r="A3177">
            <v>71590002</v>
          </cell>
          <cell r="B3177">
            <v>3118220032019</v>
          </cell>
          <cell r="E3177" t="str">
            <v>POELE 24CM CUISSON TOP CHEF NEVERSTICK2</v>
          </cell>
          <cell r="F3177">
            <v>4</v>
          </cell>
          <cell r="G3177">
            <v>4</v>
          </cell>
          <cell r="H3177">
            <v>47</v>
          </cell>
          <cell r="I3177">
            <v>28.5</v>
          </cell>
          <cell r="J3177">
            <v>16.5</v>
          </cell>
          <cell r="K3177">
            <v>3.548</v>
          </cell>
          <cell r="L3177">
            <v>0.88700000000000001</v>
          </cell>
          <cell r="M3177">
            <v>2.2101749999999996E-2</v>
          </cell>
        </row>
        <row r="3178">
          <cell r="A3178">
            <v>71590004</v>
          </cell>
          <cell r="B3178">
            <v>3118220032033</v>
          </cell>
          <cell r="E3178" t="str">
            <v>POELE A GRILLADE 28CM CUISSON TOP CHEF NEVERSTICK2</v>
          </cell>
          <cell r="F3178">
            <v>4</v>
          </cell>
          <cell r="G3178">
            <v>4</v>
          </cell>
          <cell r="H3178">
            <v>51.5</v>
          </cell>
          <cell r="I3178">
            <v>32</v>
          </cell>
          <cell r="J3178">
            <v>20.5</v>
          </cell>
          <cell r="K3178">
            <v>6.4660000000000002</v>
          </cell>
          <cell r="L3178">
            <v>1.6165</v>
          </cell>
          <cell r="M3178">
            <v>3.3784000000000002E-2</v>
          </cell>
        </row>
        <row r="3179">
          <cell r="A3179">
            <v>71590005</v>
          </cell>
          <cell r="B3179">
            <v>3118220032040</v>
          </cell>
          <cell r="E3179" t="str">
            <v>FAITOUT 24CM AVEC COUVERCLE CUISSON TOP CHEF NEVERSTICK2</v>
          </cell>
          <cell r="F3179">
            <v>4</v>
          </cell>
          <cell r="G3179">
            <v>4</v>
          </cell>
          <cell r="H3179">
            <v>51</v>
          </cell>
          <cell r="I3179">
            <v>34.5</v>
          </cell>
          <cell r="J3179">
            <v>43</v>
          </cell>
          <cell r="K3179">
            <v>9.141</v>
          </cell>
          <cell r="L3179">
            <v>2.28525</v>
          </cell>
          <cell r="M3179">
            <v>7.5658500000000004E-2</v>
          </cell>
        </row>
        <row r="3180">
          <cell r="A3180">
            <v>71590006</v>
          </cell>
          <cell r="B3180">
            <v>3118220032057</v>
          </cell>
          <cell r="E3180" t="str">
            <v>SAUTOIR 28CM AVEC COUVERCLE CUISSON TOP CHEF NEVERSTICK2</v>
          </cell>
          <cell r="F3180">
            <v>4</v>
          </cell>
          <cell r="G3180">
            <v>4</v>
          </cell>
          <cell r="H3180">
            <v>59.5</v>
          </cell>
          <cell r="I3180">
            <v>38.5</v>
          </cell>
          <cell r="J3180">
            <v>34</v>
          </cell>
          <cell r="K3180">
            <v>8.484</v>
          </cell>
          <cell r="L3180">
            <v>2.121</v>
          </cell>
          <cell r="M3180">
            <v>7.7885499999999996E-2</v>
          </cell>
        </row>
        <row r="3181">
          <cell r="A3181">
            <v>71590007</v>
          </cell>
          <cell r="B3181">
            <v>3118220032064</v>
          </cell>
          <cell r="E3181" t="str">
            <v>CREPIERE 25CM CUISSON TOP CHEF NEVERSTICK2</v>
          </cell>
          <cell r="F3181">
            <v>4</v>
          </cell>
          <cell r="G3181">
            <v>4</v>
          </cell>
          <cell r="H3181">
            <v>48.5</v>
          </cell>
          <cell r="I3181">
            <v>27.5</v>
          </cell>
          <cell r="J3181">
            <v>12</v>
          </cell>
          <cell r="K3181">
            <v>3.9910000000000001</v>
          </cell>
          <cell r="L3181">
            <v>0.99775000000000003</v>
          </cell>
          <cell r="M3181">
            <v>1.6004999999999998E-2</v>
          </cell>
        </row>
        <row r="3182">
          <cell r="A3182">
            <v>71590008</v>
          </cell>
          <cell r="B3182">
            <v>3118220032071</v>
          </cell>
          <cell r="E3182" t="str">
            <v>WOK 28CM CUISSON TOP CHEF NEVERSTICK2</v>
          </cell>
          <cell r="F3182">
            <v>4</v>
          </cell>
          <cell r="G3182">
            <v>4</v>
          </cell>
          <cell r="H3182">
            <v>50</v>
          </cell>
          <cell r="I3182">
            <v>31</v>
          </cell>
          <cell r="J3182">
            <v>24</v>
          </cell>
          <cell r="K3182">
            <v>4.8840000000000003</v>
          </cell>
          <cell r="L3182">
            <v>1.2210000000000001</v>
          </cell>
          <cell r="M3182">
            <v>3.7199999999999997E-2</v>
          </cell>
        </row>
        <row r="3183">
          <cell r="A3183">
            <v>71590009</v>
          </cell>
          <cell r="B3183">
            <v>3118220032088</v>
          </cell>
          <cell r="E3183" t="str">
            <v>PLAT A ROTIR 35CM CUISSON TOP CHEF NEVERSTICK2</v>
          </cell>
          <cell r="F3183">
            <v>4</v>
          </cell>
          <cell r="G3183">
            <v>4</v>
          </cell>
          <cell r="H3183">
            <v>44.5</v>
          </cell>
          <cell r="I3183">
            <v>29</v>
          </cell>
          <cell r="J3183">
            <v>23</v>
          </cell>
          <cell r="K3183">
            <v>6.1219999999999999</v>
          </cell>
          <cell r="L3183">
            <v>1.5305</v>
          </cell>
          <cell r="M3183">
            <v>2.96815E-2</v>
          </cell>
        </row>
        <row r="3184">
          <cell r="A3184">
            <v>71590010</v>
          </cell>
          <cell r="B3184">
            <v>3118220032095</v>
          </cell>
          <cell r="E3184" t="str">
            <v>CASSEROLE 16CM CUISSON TOP CHEF NEVERSTICK2</v>
          </cell>
          <cell r="F3184">
            <v>4</v>
          </cell>
          <cell r="G3184">
            <v>4</v>
          </cell>
          <cell r="H3184">
            <v>34.5</v>
          </cell>
          <cell r="I3184">
            <v>26</v>
          </cell>
          <cell r="J3184">
            <v>22</v>
          </cell>
          <cell r="K3184">
            <v>3.141</v>
          </cell>
          <cell r="L3184">
            <v>0.78525</v>
          </cell>
          <cell r="M3184">
            <v>1.9733999999999998E-2</v>
          </cell>
        </row>
        <row r="3185">
          <cell r="A3185">
            <v>71590011</v>
          </cell>
          <cell r="B3185">
            <v>3118220032101</v>
          </cell>
          <cell r="E3185" t="str">
            <v>CASSEROLE 18CM CUISSON TOP CHEF NEVERSTICK2</v>
          </cell>
          <cell r="F3185">
            <v>4</v>
          </cell>
          <cell r="G3185">
            <v>4</v>
          </cell>
          <cell r="H3185">
            <v>39.5</v>
          </cell>
          <cell r="I3185">
            <v>28.5</v>
          </cell>
          <cell r="J3185">
            <v>25</v>
          </cell>
          <cell r="K3185">
            <v>3.702</v>
          </cell>
          <cell r="L3185">
            <v>0.92549999999999999</v>
          </cell>
          <cell r="M3185">
            <v>2.8143750000000002E-2</v>
          </cell>
        </row>
        <row r="3186">
          <cell r="A3186">
            <v>71590012</v>
          </cell>
          <cell r="B3186">
            <v>3118220032125</v>
          </cell>
          <cell r="E3186" t="str">
            <v>CASSEROLE 20CM CUISSON TOP CHEF NEVERSTICK2</v>
          </cell>
          <cell r="F3186">
            <v>4</v>
          </cell>
          <cell r="G3186">
            <v>4</v>
          </cell>
          <cell r="H3186">
            <v>43</v>
          </cell>
          <cell r="I3186">
            <v>29</v>
          </cell>
          <cell r="J3186">
            <v>27</v>
          </cell>
          <cell r="K3186">
            <v>4.7990000000000004</v>
          </cell>
          <cell r="L3186">
            <v>1.1997500000000001</v>
          </cell>
          <cell r="M3186">
            <v>3.3669000000000004E-2</v>
          </cell>
        </row>
        <row r="3187">
          <cell r="A3187">
            <v>62312000</v>
          </cell>
          <cell r="B3187">
            <v>3118220033023</v>
          </cell>
          <cell r="E3187" t="str">
            <v>IMPLANTATIONS LINEAIRES + ECHANTILLONS</v>
          </cell>
          <cell r="F3187">
            <v>1</v>
          </cell>
          <cell r="G3187">
            <v>1</v>
          </cell>
          <cell r="H3187">
            <v>0</v>
          </cell>
          <cell r="I3187">
            <v>0</v>
          </cell>
          <cell r="J3187">
            <v>0</v>
          </cell>
          <cell r="K3187">
            <v>0</v>
          </cell>
          <cell r="L3187">
            <v>0</v>
          </cell>
          <cell r="M3187">
            <v>0</v>
          </cell>
        </row>
        <row r="3188">
          <cell r="A3188">
            <v>71590025</v>
          </cell>
          <cell r="B3188">
            <v>3118220038752</v>
          </cell>
          <cell r="C3188" t="str">
            <v>13118220038759</v>
          </cell>
          <cell r="D3188" t="str">
            <v>23118220038756</v>
          </cell>
          <cell r="E3188" t="str">
            <v>POELE 20CM TOP CHEF ALUMINIUM FORGE</v>
          </cell>
          <cell r="F3188">
            <v>4</v>
          </cell>
          <cell r="G3188">
            <v>4</v>
          </cell>
          <cell r="H3188">
            <v>37</v>
          </cell>
          <cell r="I3188">
            <v>23.5</v>
          </cell>
          <cell r="J3188">
            <v>23</v>
          </cell>
          <cell r="K3188">
            <v>4.0469999999999997</v>
          </cell>
          <cell r="L3188">
            <v>1.0117499999999999</v>
          </cell>
          <cell r="M3188">
            <v>1.9998499999999999E-2</v>
          </cell>
        </row>
        <row r="3189">
          <cell r="A3189">
            <v>71590026</v>
          </cell>
          <cell r="B3189">
            <v>3118220038769</v>
          </cell>
          <cell r="C3189" t="str">
            <v>13118220038766</v>
          </cell>
          <cell r="D3189" t="str">
            <v>23118220038763</v>
          </cell>
          <cell r="E3189" t="str">
            <v>POELE 24CM TOP CHEF ALUMINIUM FORGE</v>
          </cell>
          <cell r="F3189">
            <v>6</v>
          </cell>
          <cell r="G3189">
            <v>6</v>
          </cell>
          <cell r="H3189">
            <v>46</v>
          </cell>
          <cell r="I3189">
            <v>27</v>
          </cell>
          <cell r="J3189">
            <v>22.5</v>
          </cell>
          <cell r="K3189">
            <v>5.4470000000000001</v>
          </cell>
          <cell r="L3189">
            <v>0.90783333333333338</v>
          </cell>
          <cell r="M3189">
            <v>2.7945000000000001E-2</v>
          </cell>
        </row>
        <row r="3190">
          <cell r="A3190">
            <v>71590027</v>
          </cell>
          <cell r="B3190">
            <v>3118220038776</v>
          </cell>
          <cell r="C3190" t="str">
            <v>13118220038773</v>
          </cell>
          <cell r="D3190" t="str">
            <v>23118220038770</v>
          </cell>
          <cell r="E3190" t="str">
            <v>POELE 28CM TOP CHEF ALUMINIUM FORGE</v>
          </cell>
          <cell r="F3190">
            <v>6</v>
          </cell>
          <cell r="G3190">
            <v>6</v>
          </cell>
          <cell r="H3190">
            <v>49</v>
          </cell>
          <cell r="I3190">
            <v>31</v>
          </cell>
          <cell r="J3190">
            <v>24</v>
          </cell>
          <cell r="K3190">
            <v>7.2809999999999997</v>
          </cell>
          <cell r="L3190">
            <v>1.2135</v>
          </cell>
          <cell r="M3190">
            <v>3.6456000000000002E-2</v>
          </cell>
        </row>
        <row r="3191">
          <cell r="A3191">
            <v>71590028</v>
          </cell>
          <cell r="B3191">
            <v>3118220038783</v>
          </cell>
          <cell r="C3191" t="str">
            <v>13118220038780</v>
          </cell>
          <cell r="D3191" t="str">
            <v>23118220038787</v>
          </cell>
          <cell r="E3191" t="str">
            <v>POELE A GRILLADE 28CM TOP CHEF ALUMINIUM FORGE</v>
          </cell>
          <cell r="F3191">
            <v>6</v>
          </cell>
          <cell r="G3191">
            <v>6</v>
          </cell>
          <cell r="H3191">
            <v>53</v>
          </cell>
          <cell r="I3191">
            <v>33.5</v>
          </cell>
          <cell r="J3191">
            <v>23</v>
          </cell>
          <cell r="K3191">
            <v>7.7220000000000004</v>
          </cell>
          <cell r="L3191">
            <v>1.2870000000000001</v>
          </cell>
          <cell r="M3191">
            <v>4.0836500000000005E-2</v>
          </cell>
        </row>
        <row r="3192">
          <cell r="A3192">
            <v>71590029</v>
          </cell>
          <cell r="B3192">
            <v>3118220038790</v>
          </cell>
          <cell r="C3192" t="str">
            <v>13118220038797</v>
          </cell>
          <cell r="D3192" t="str">
            <v>23118220038794</v>
          </cell>
          <cell r="E3192" t="str">
            <v>FAITOUT 24CM AVEC COUVERCLE TOP CHEF ALUMINIUM FORGE</v>
          </cell>
          <cell r="F3192">
            <v>4</v>
          </cell>
          <cell r="G3192">
            <v>4</v>
          </cell>
          <cell r="H3192">
            <v>53</v>
          </cell>
          <cell r="I3192">
            <v>33</v>
          </cell>
          <cell r="J3192">
            <v>40</v>
          </cell>
          <cell r="K3192">
            <v>8.5340000000000007</v>
          </cell>
          <cell r="L3192">
            <v>2.1335000000000002</v>
          </cell>
          <cell r="M3192">
            <v>6.9960000000000008E-2</v>
          </cell>
        </row>
        <row r="3193">
          <cell r="A3193">
            <v>71590030</v>
          </cell>
          <cell r="B3193">
            <v>3118220038806</v>
          </cell>
          <cell r="C3193" t="str">
            <v>13118220038803</v>
          </cell>
          <cell r="D3193" t="str">
            <v>23118220038800</v>
          </cell>
          <cell r="E3193" t="str">
            <v>SAUTOIR 28CM AVEC COUVERCLE TOP CHEF ALUMINIUM FORGE</v>
          </cell>
          <cell r="F3193">
            <v>4</v>
          </cell>
          <cell r="G3193">
            <v>4</v>
          </cell>
          <cell r="H3193">
            <v>61</v>
          </cell>
          <cell r="I3193">
            <v>35</v>
          </cell>
          <cell r="J3193">
            <v>46</v>
          </cell>
          <cell r="K3193">
            <v>11.093</v>
          </cell>
          <cell r="L3193">
            <v>2.77325</v>
          </cell>
          <cell r="M3193">
            <v>9.8209999999999978E-2</v>
          </cell>
        </row>
        <row r="3194">
          <cell r="A3194">
            <v>71590031</v>
          </cell>
          <cell r="B3194">
            <v>3118220038813</v>
          </cell>
          <cell r="C3194" t="str">
            <v>13118220038810</v>
          </cell>
          <cell r="D3194" t="str">
            <v>23118220038817</v>
          </cell>
          <cell r="E3194" t="str">
            <v>PLAT A FOUR 35CM TOP CHEF ALUMINIUM PRESSE</v>
          </cell>
          <cell r="F3194">
            <v>4</v>
          </cell>
          <cell r="G3194">
            <v>4</v>
          </cell>
          <cell r="H3194">
            <v>38</v>
          </cell>
          <cell r="I3194">
            <v>30</v>
          </cell>
          <cell r="J3194">
            <v>27</v>
          </cell>
          <cell r="K3194">
            <v>4.74</v>
          </cell>
          <cell r="L3194">
            <v>1.1850000000000001</v>
          </cell>
          <cell r="M3194">
            <v>3.0780000000000002E-2</v>
          </cell>
        </row>
        <row r="3195">
          <cell r="A3195">
            <v>71590032</v>
          </cell>
          <cell r="B3195">
            <v>3118220038820</v>
          </cell>
          <cell r="C3195" t="str">
            <v>13118220038827</v>
          </cell>
          <cell r="D3195" t="str">
            <v>23118220038824</v>
          </cell>
          <cell r="E3195" t="str">
            <v>WOK 28CM TOP CHEF ALUMINIUM FORGE</v>
          </cell>
          <cell r="F3195">
            <v>6</v>
          </cell>
          <cell r="G3195">
            <v>6</v>
          </cell>
          <cell r="H3195">
            <v>61</v>
          </cell>
          <cell r="I3195">
            <v>33</v>
          </cell>
          <cell r="J3195">
            <v>27</v>
          </cell>
          <cell r="K3195">
            <v>7.2839999999999998</v>
          </cell>
          <cell r="L3195">
            <v>1.214</v>
          </cell>
          <cell r="M3195">
            <v>5.4350999999999997E-2</v>
          </cell>
        </row>
        <row r="3196">
          <cell r="A3196">
            <v>71590033</v>
          </cell>
          <cell r="B3196">
            <v>3118220038837</v>
          </cell>
          <cell r="C3196" t="str">
            <v>13118220038834</v>
          </cell>
          <cell r="D3196" t="str">
            <v>23118220038831</v>
          </cell>
          <cell r="E3196" t="str">
            <v>CASSEROLE 18CM TOP CHEF ALUMINIUM FORGE</v>
          </cell>
          <cell r="F3196">
            <v>6</v>
          </cell>
          <cell r="G3196">
            <v>6</v>
          </cell>
          <cell r="H3196">
            <v>39</v>
          </cell>
          <cell r="I3196">
            <v>27</v>
          </cell>
          <cell r="J3196">
            <v>25.5</v>
          </cell>
          <cell r="K3196">
            <v>5.5739999999999998</v>
          </cell>
          <cell r="L3196">
            <v>0.92899999999999994</v>
          </cell>
          <cell r="M3196">
            <v>2.68515E-2</v>
          </cell>
        </row>
        <row r="3197">
          <cell r="A3197">
            <v>71590034</v>
          </cell>
          <cell r="B3197">
            <v>3118220038844</v>
          </cell>
          <cell r="C3197" t="str">
            <v>13118220038841</v>
          </cell>
          <cell r="D3197" t="str">
            <v>23118220038848</v>
          </cell>
          <cell r="E3197" t="str">
            <v>CASSEROLE 20CM TOP CHEF ALUMINIUM FORGE</v>
          </cell>
          <cell r="F3197">
            <v>6</v>
          </cell>
          <cell r="G3197">
            <v>6</v>
          </cell>
          <cell r="H3197">
            <v>42.5</v>
          </cell>
          <cell r="I3197">
            <v>29</v>
          </cell>
          <cell r="J3197">
            <v>26</v>
          </cell>
          <cell r="K3197">
            <v>6.625</v>
          </cell>
          <cell r="L3197">
            <v>1.1041666666666667</v>
          </cell>
          <cell r="M3197">
            <v>3.2044999999999997E-2</v>
          </cell>
        </row>
        <row r="3198">
          <cell r="A3198">
            <v>71590035</v>
          </cell>
          <cell r="B3198">
            <v>3118220043176</v>
          </cell>
          <cell r="C3198" t="str">
            <v>13118220043173</v>
          </cell>
          <cell r="D3198" t="str">
            <v>23118220043170</v>
          </cell>
          <cell r="E3198" t="str">
            <v>POELE 20CM TOP CHEF EN FONTE D'ALUMINIUM</v>
          </cell>
          <cell r="F3198">
            <v>6</v>
          </cell>
          <cell r="G3198">
            <v>6</v>
          </cell>
          <cell r="H3198">
            <v>38</v>
          </cell>
          <cell r="I3198">
            <v>23</v>
          </cell>
          <cell r="J3198">
            <v>22</v>
          </cell>
          <cell r="K3198">
            <v>3.887</v>
          </cell>
          <cell r="L3198">
            <v>0.64783333333333337</v>
          </cell>
          <cell r="M3198">
            <v>1.9228000000000002E-2</v>
          </cell>
        </row>
        <row r="3199">
          <cell r="A3199">
            <v>71590036</v>
          </cell>
          <cell r="B3199">
            <v>3118220043183</v>
          </cell>
          <cell r="C3199" t="str">
            <v>13118220043180</v>
          </cell>
          <cell r="D3199" t="str">
            <v>23118220043187</v>
          </cell>
          <cell r="E3199" t="str">
            <v>POELE 24CM TOP CHEF EN FONTE D'ALUMINIUM</v>
          </cell>
          <cell r="F3199">
            <v>6</v>
          </cell>
          <cell r="G3199">
            <v>6</v>
          </cell>
          <cell r="H3199">
            <v>45</v>
          </cell>
          <cell r="I3199">
            <v>26</v>
          </cell>
          <cell r="J3199">
            <v>23</v>
          </cell>
          <cell r="K3199">
            <v>5.4219999999999997</v>
          </cell>
          <cell r="L3199">
            <v>0.90366666666666662</v>
          </cell>
          <cell r="M3199">
            <v>2.6910000000000003E-2</v>
          </cell>
        </row>
        <row r="3200">
          <cell r="A3200">
            <v>71590037</v>
          </cell>
          <cell r="B3200">
            <v>3118220043190</v>
          </cell>
          <cell r="C3200" t="str">
            <v>13118220043197</v>
          </cell>
          <cell r="D3200" t="str">
            <v>23118220043194</v>
          </cell>
          <cell r="E3200" t="str">
            <v>POELE 28CM TOP CHEF EN FONTE D'ALUMINIUM</v>
          </cell>
          <cell r="F3200">
            <v>6</v>
          </cell>
          <cell r="G3200">
            <v>6</v>
          </cell>
          <cell r="H3200">
            <v>47.5</v>
          </cell>
          <cell r="I3200">
            <v>31</v>
          </cell>
          <cell r="J3200">
            <v>23</v>
          </cell>
          <cell r="K3200">
            <v>7.2119999999999997</v>
          </cell>
          <cell r="L3200">
            <v>1.202</v>
          </cell>
          <cell r="M3200">
            <v>3.3867499999999995E-2</v>
          </cell>
        </row>
        <row r="3201">
          <cell r="A3201">
            <v>71590038</v>
          </cell>
          <cell r="B3201">
            <v>3118220043206</v>
          </cell>
          <cell r="C3201" t="str">
            <v>13118220043203</v>
          </cell>
          <cell r="D3201" t="str">
            <v>23118220043200</v>
          </cell>
          <cell r="E3201" t="str">
            <v>POELE A GRILLADE 28CM TOP CHEF EN FONTE D'ALUMINIUM</v>
          </cell>
          <cell r="F3201">
            <v>6</v>
          </cell>
          <cell r="G3201">
            <v>6</v>
          </cell>
          <cell r="H3201">
            <v>51</v>
          </cell>
          <cell r="I3201">
            <v>33</v>
          </cell>
          <cell r="J3201">
            <v>24</v>
          </cell>
          <cell r="K3201">
            <v>7.7220000000000004</v>
          </cell>
          <cell r="L3201">
            <v>1.2870000000000001</v>
          </cell>
          <cell r="M3201">
            <v>4.0392000000000004E-2</v>
          </cell>
        </row>
        <row r="3202">
          <cell r="A3202">
            <v>71590040</v>
          </cell>
          <cell r="B3202">
            <v>3118220043220</v>
          </cell>
          <cell r="E3202" t="str">
            <v>WOK 28CM TOP CHEF EN FONTE D'ALUMINIUM</v>
          </cell>
          <cell r="F3202">
            <v>6</v>
          </cell>
          <cell r="G3202">
            <v>6</v>
          </cell>
          <cell r="H3202">
            <v>46.5</v>
          </cell>
          <cell r="I3202">
            <v>30.5</v>
          </cell>
          <cell r="J3202">
            <v>30</v>
          </cell>
          <cell r="K3202">
            <v>8.0839999999999996</v>
          </cell>
          <cell r="L3202">
            <v>1.3473333333333333</v>
          </cell>
          <cell r="M3202">
            <v>4.2547500000000002E-2</v>
          </cell>
        </row>
        <row r="3203">
          <cell r="A3203">
            <v>71590013</v>
          </cell>
          <cell r="B3203">
            <v>3118220032224</v>
          </cell>
          <cell r="E3203" t="str">
            <v>PALETTE 120X80 COMPLETE CUISSON TOPCHEF NEVERSTICK2+KAKEMONO</v>
          </cell>
          <cell r="F3203">
            <v>1</v>
          </cell>
          <cell r="G3203">
            <v>1</v>
          </cell>
          <cell r="H3203">
            <v>0</v>
          </cell>
          <cell r="I3203">
            <v>0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</row>
        <row r="3204">
          <cell r="A3204">
            <v>71590042</v>
          </cell>
          <cell r="B3204">
            <v>3118220043244</v>
          </cell>
          <cell r="E3204" t="str">
            <v>CASSEROLE 20CM TOP CHEF EN FONTE D'ALUMINIUM</v>
          </cell>
          <cell r="F3204">
            <v>6</v>
          </cell>
          <cell r="G3204">
            <v>6</v>
          </cell>
          <cell r="H3204">
            <v>42</v>
          </cell>
          <cell r="I3204">
            <v>30</v>
          </cell>
          <cell r="J3204">
            <v>25.5</v>
          </cell>
          <cell r="K3204">
            <v>6.4</v>
          </cell>
          <cell r="L3204">
            <v>1.0666666666666667</v>
          </cell>
          <cell r="M3204">
            <v>3.2129999999999999E-2</v>
          </cell>
        </row>
        <row r="3205">
          <cell r="A3205">
            <v>71590044</v>
          </cell>
          <cell r="B3205">
            <v>3118220043695</v>
          </cell>
          <cell r="E3205" t="str">
            <v>CASSEROLE 16CM TOP CHEF EN FONTE D'ALUMINIUM</v>
          </cell>
          <cell r="F3205">
            <v>6</v>
          </cell>
          <cell r="G3205">
            <v>6</v>
          </cell>
          <cell r="H3205">
            <v>36</v>
          </cell>
          <cell r="I3205">
            <v>25.5</v>
          </cell>
          <cell r="J3205">
            <v>25.5</v>
          </cell>
          <cell r="K3205">
            <v>4.3609999999999998</v>
          </cell>
          <cell r="L3205">
            <v>0.72683333333333333</v>
          </cell>
          <cell r="M3205">
            <v>2.3408999999999999E-2</v>
          </cell>
        </row>
        <row r="3206">
          <cell r="A3206">
            <v>71590045</v>
          </cell>
          <cell r="B3206">
            <v>3118220044852</v>
          </cell>
          <cell r="E3206" t="str">
            <v>LOT DE 3 POELES 20-24-28CM TOP CHEF ALUMINIUM FORGE</v>
          </cell>
          <cell r="F3206">
            <v>1</v>
          </cell>
          <cell r="G3206">
            <v>1</v>
          </cell>
          <cell r="H3206">
            <v>46</v>
          </cell>
          <cell r="I3206">
            <v>30</v>
          </cell>
          <cell r="J3206">
            <v>13</v>
          </cell>
          <cell r="K3206">
            <v>2.9089999999999998</v>
          </cell>
          <cell r="L3206">
            <v>2.9089999999999998</v>
          </cell>
          <cell r="M3206">
            <v>1.7940000000000001E-2</v>
          </cell>
        </row>
        <row r="3207">
          <cell r="A3207">
            <v>71590046</v>
          </cell>
          <cell r="B3207">
            <v>3118220044869</v>
          </cell>
          <cell r="E3207" t="str">
            <v>LOT FAITOUT 24-SAUTOIR 28CM AVEC COUVERCL TOP CHEF ALU FORGE</v>
          </cell>
          <cell r="F3207">
            <v>1</v>
          </cell>
          <cell r="G3207">
            <v>1</v>
          </cell>
          <cell r="H3207">
            <v>39</v>
          </cell>
          <cell r="I3207">
            <v>30</v>
          </cell>
          <cell r="J3207">
            <v>40</v>
          </cell>
          <cell r="K3207">
            <v>4.7619999999999996</v>
          </cell>
          <cell r="L3207">
            <v>4.7619999999999996</v>
          </cell>
          <cell r="M3207">
            <v>4.6800000000000008E-2</v>
          </cell>
        </row>
        <row r="3208">
          <cell r="A3208">
            <v>91720001</v>
          </cell>
          <cell r="B3208">
            <v>3118220038929</v>
          </cell>
          <cell r="E3208" t="str">
            <v>BLENDER 1,5 L</v>
          </cell>
          <cell r="F3208">
            <v>2</v>
          </cell>
          <cell r="G3208">
            <v>2</v>
          </cell>
          <cell r="H3208">
            <v>45</v>
          </cell>
          <cell r="I3208">
            <v>37</v>
          </cell>
          <cell r="J3208">
            <v>31</v>
          </cell>
          <cell r="K3208">
            <v>7.8719999999999999</v>
          </cell>
          <cell r="L3208">
            <v>3.9359999999999999</v>
          </cell>
          <cell r="M3208">
            <v>5.1615000000000001E-2</v>
          </cell>
        </row>
        <row r="3209">
          <cell r="A3209">
            <v>91720002</v>
          </cell>
          <cell r="B3209">
            <v>3118220038936</v>
          </cell>
          <cell r="E3209" t="str">
            <v>ROBOT MULTIFONCTION 3,5L 1000W</v>
          </cell>
          <cell r="F3209">
            <v>0</v>
          </cell>
          <cell r="G3209">
            <v>0</v>
          </cell>
          <cell r="H3209">
            <v>54</v>
          </cell>
          <cell r="I3209">
            <v>43</v>
          </cell>
          <cell r="J3209">
            <v>48</v>
          </cell>
          <cell r="K3209">
            <v>9.92</v>
          </cell>
          <cell r="L3209" t="e">
            <v>#DIV/0!</v>
          </cell>
          <cell r="M3209">
            <v>0.11145600000000001</v>
          </cell>
        </row>
        <row r="3210">
          <cell r="A3210">
            <v>71590041</v>
          </cell>
          <cell r="B3210">
            <v>3118220043237</v>
          </cell>
          <cell r="E3210" t="str">
            <v>CASSEROLE 18CM TOP CHEF ALUMINIUM FORGE V2</v>
          </cell>
          <cell r="F3210">
            <v>6</v>
          </cell>
          <cell r="G3210">
            <v>6</v>
          </cell>
          <cell r="H3210">
            <v>0</v>
          </cell>
          <cell r="I3210">
            <v>0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</row>
        <row r="3211">
          <cell r="A3211">
            <v>91720003</v>
          </cell>
          <cell r="B3211">
            <v>3118220038943</v>
          </cell>
          <cell r="E3211" t="str">
            <v>MIXEUR PLONGEANT 600W</v>
          </cell>
          <cell r="F3211">
            <v>0</v>
          </cell>
          <cell r="G3211">
            <v>0</v>
          </cell>
          <cell r="H3211">
            <v>0</v>
          </cell>
          <cell r="I3211">
            <v>0</v>
          </cell>
          <cell r="J3211">
            <v>0</v>
          </cell>
          <cell r="K3211">
            <v>7.8780000000000001</v>
          </cell>
          <cell r="L3211" t="e">
            <v>#DIV/0!</v>
          </cell>
          <cell r="M3211">
            <v>0</v>
          </cell>
        </row>
        <row r="3212">
          <cell r="A3212">
            <v>91720004</v>
          </cell>
          <cell r="B3212">
            <v>3118220038950</v>
          </cell>
          <cell r="E3212" t="str">
            <v>CUISEUR VAPEUR 9L</v>
          </cell>
          <cell r="F3212">
            <v>2</v>
          </cell>
          <cell r="G3212">
            <v>0</v>
          </cell>
          <cell r="H3212">
            <v>0</v>
          </cell>
          <cell r="I3212">
            <v>0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</row>
        <row r="3213">
          <cell r="A3213" t="str">
            <v>ACCE0003</v>
          </cell>
          <cell r="B3213">
            <v>3118220004641</v>
          </cell>
          <cell r="E3213" t="str">
            <v>BLOC BI MAT UNIVERSEL ROUGE VIDE ACIDULE 10.5*10.5*22CM</v>
          </cell>
          <cell r="F3213">
            <v>6</v>
          </cell>
          <cell r="G3213">
            <v>6</v>
          </cell>
          <cell r="H3213">
            <v>34</v>
          </cell>
          <cell r="I3213">
            <v>24</v>
          </cell>
          <cell r="J3213">
            <v>25</v>
          </cell>
          <cell r="K3213">
            <v>8.93</v>
          </cell>
          <cell r="L3213">
            <v>1.4883333333333333</v>
          </cell>
          <cell r="M3213">
            <v>2.0400000000000001E-2</v>
          </cell>
        </row>
        <row r="3214">
          <cell r="A3214" t="str">
            <v>ACCE0004</v>
          </cell>
          <cell r="B3214">
            <v>3118220005495</v>
          </cell>
          <cell r="E3214" t="str">
            <v>BLOC VIDE POLYAMIDE 11*18 UNION JACK + TUBE PVC</v>
          </cell>
          <cell r="F3214">
            <v>6</v>
          </cell>
          <cell r="G3214">
            <v>6</v>
          </cell>
          <cell r="H3214">
            <v>35.5</v>
          </cell>
          <cell r="I3214">
            <v>24.5</v>
          </cell>
          <cell r="J3214">
            <v>20.5</v>
          </cell>
          <cell r="K3214">
            <v>6.5030000000000001</v>
          </cell>
          <cell r="L3214">
            <v>1.0838333333333334</v>
          </cell>
          <cell r="M3214">
            <v>1.7829874999999999E-2</v>
          </cell>
        </row>
        <row r="3215">
          <cell r="A3215" t="str">
            <v>ACCE0005</v>
          </cell>
          <cell r="B3215">
            <v>3118220005501</v>
          </cell>
          <cell r="E3215" t="str">
            <v>BLOC VIDE POLYAMIDE 11*18 USA+TUBE PVC</v>
          </cell>
          <cell r="F3215">
            <v>6</v>
          </cell>
          <cell r="G3215">
            <v>6</v>
          </cell>
          <cell r="H3215">
            <v>35.5</v>
          </cell>
          <cell r="I3215">
            <v>24.5</v>
          </cell>
          <cell r="J3215">
            <v>20.5</v>
          </cell>
          <cell r="K3215">
            <v>6.5030000000000001</v>
          </cell>
          <cell r="L3215">
            <v>1.0838333333333334</v>
          </cell>
          <cell r="M3215">
            <v>1.7829874999999999E-2</v>
          </cell>
        </row>
        <row r="3216">
          <cell r="A3216" t="str">
            <v>ACCE0006</v>
          </cell>
          <cell r="B3216">
            <v>3118220005570</v>
          </cell>
          <cell r="C3216" t="str">
            <v>13118220005577</v>
          </cell>
          <cell r="D3216" t="str">
            <v>23118220005574</v>
          </cell>
          <cell r="E3216" t="str">
            <v>BLOC BI MAT UNIVERSEL NOIR CARBONE VIDE ACIDULE 10.5*22CM</v>
          </cell>
          <cell r="F3216">
            <v>6</v>
          </cell>
          <cell r="G3216">
            <v>6</v>
          </cell>
          <cell r="H3216">
            <v>34</v>
          </cell>
          <cell r="I3216">
            <v>24</v>
          </cell>
          <cell r="J3216">
            <v>25</v>
          </cell>
          <cell r="K3216">
            <v>8.93</v>
          </cell>
          <cell r="L3216">
            <v>1.4883333333333333</v>
          </cell>
          <cell r="M3216">
            <v>2.0400000000000001E-2</v>
          </cell>
        </row>
        <row r="3217">
          <cell r="A3217" t="str">
            <v>ACCE0010</v>
          </cell>
          <cell r="B3217">
            <v>3118220015555</v>
          </cell>
          <cell r="E3217" t="str">
            <v>GUILLOTINE A SAUCISSON PIN 28.2*15*12</v>
          </cell>
          <cell r="F3217">
            <v>6</v>
          </cell>
          <cell r="G3217">
            <v>6</v>
          </cell>
          <cell r="H3217">
            <v>41</v>
          </cell>
          <cell r="I3217">
            <v>35</v>
          </cell>
          <cell r="J3217">
            <v>30.5</v>
          </cell>
          <cell r="K3217">
            <v>4.2240000000000002</v>
          </cell>
          <cell r="L3217">
            <v>0.70400000000000007</v>
          </cell>
          <cell r="M3217">
            <v>4.3767499999999994E-2</v>
          </cell>
        </row>
        <row r="3218">
          <cell r="A3218" t="str">
            <v>ACCE0110001</v>
          </cell>
          <cell r="B3218">
            <v>3118220036079</v>
          </cell>
          <cell r="E3218" t="str">
            <v>PLANCHE A DECOUPER ACACIA</v>
          </cell>
          <cell r="F3218">
            <v>6</v>
          </cell>
          <cell r="G3218">
            <v>6</v>
          </cell>
          <cell r="H3218">
            <v>37</v>
          </cell>
          <cell r="I3218">
            <v>37</v>
          </cell>
          <cell r="J3218">
            <v>14.5</v>
          </cell>
          <cell r="K3218">
            <v>8.5280000000000005</v>
          </cell>
          <cell r="L3218">
            <v>1.4213333333333333</v>
          </cell>
          <cell r="M3218">
            <v>1.98505E-2</v>
          </cell>
        </row>
        <row r="3219">
          <cell r="A3219" t="str">
            <v>ACCE0590001</v>
          </cell>
          <cell r="B3219">
            <v>3118220018433</v>
          </cell>
          <cell r="E3219" t="str">
            <v>BARRE AIMANTEE SOUS SACHET+GENCOD</v>
          </cell>
          <cell r="F3219">
            <v>36</v>
          </cell>
          <cell r="G3219">
            <v>36</v>
          </cell>
          <cell r="H3219">
            <v>3.6</v>
          </cell>
          <cell r="I3219">
            <v>2.8</v>
          </cell>
          <cell r="J3219">
            <v>0.9</v>
          </cell>
          <cell r="K3219">
            <v>9.36</v>
          </cell>
          <cell r="L3219">
            <v>0.26</v>
          </cell>
          <cell r="M3219">
            <v>9.0720000000000006E-6</v>
          </cell>
        </row>
        <row r="3220">
          <cell r="A3220" t="str">
            <v>ACCE0590002</v>
          </cell>
          <cell r="B3220">
            <v>3118220023819</v>
          </cell>
          <cell r="E3220" t="str">
            <v>PLANCHE A DECOUPER BOIS HETRE LCDC 35X35X2 CM</v>
          </cell>
          <cell r="F3220">
            <v>6</v>
          </cell>
          <cell r="G3220">
            <v>6</v>
          </cell>
          <cell r="H3220">
            <v>36.5</v>
          </cell>
          <cell r="I3220">
            <v>36.5</v>
          </cell>
          <cell r="J3220">
            <v>15.5</v>
          </cell>
          <cell r="K3220">
            <v>10.497</v>
          </cell>
          <cell r="L3220">
            <v>1.7495000000000001</v>
          </cell>
          <cell r="M3220">
            <v>2.0649874999999998E-2</v>
          </cell>
        </row>
        <row r="3221">
          <cell r="A3221" t="str">
            <v>ACCE0590005</v>
          </cell>
          <cell r="B3221">
            <v>3118220024755</v>
          </cell>
          <cell r="E3221" t="str">
            <v>PLANCHE POLYPRO BLANCHE AVEC POIGNEE 29X19.5X4 CM</v>
          </cell>
          <cell r="F3221">
            <v>12</v>
          </cell>
          <cell r="G3221">
            <v>12</v>
          </cell>
          <cell r="H3221">
            <v>31</v>
          </cell>
          <cell r="I3221">
            <v>30</v>
          </cell>
          <cell r="J3221">
            <v>14</v>
          </cell>
          <cell r="K3221">
            <v>3.68</v>
          </cell>
          <cell r="L3221">
            <v>0.3066666666666667</v>
          </cell>
          <cell r="M3221">
            <v>1.3020000000000002E-2</v>
          </cell>
        </row>
        <row r="3222">
          <cell r="A3222" t="str">
            <v>ACCE0590009</v>
          </cell>
          <cell r="B3222">
            <v>3118220031203</v>
          </cell>
          <cell r="E3222" t="str">
            <v>PLANCHE HETRE HUILEE RIGOLE RECUP JUS ANSE METAL 40X25X2.8CM</v>
          </cell>
          <cell r="F3222">
            <v>12</v>
          </cell>
          <cell r="G3222">
            <v>12</v>
          </cell>
          <cell r="H3222">
            <v>38</v>
          </cell>
          <cell r="I3222">
            <v>32</v>
          </cell>
          <cell r="J3222">
            <v>47</v>
          </cell>
          <cell r="K3222">
            <v>22.661000000000001</v>
          </cell>
          <cell r="L3222">
            <v>1.8884166666666669</v>
          </cell>
          <cell r="M3222">
            <v>5.7152000000000001E-2</v>
          </cell>
        </row>
        <row r="3223">
          <cell r="A3223" t="str">
            <v>ACCE0590013</v>
          </cell>
          <cell r="B3223">
            <v>3118220033009</v>
          </cell>
          <cell r="E3223" t="str">
            <v>PORTE CLEFS « UNCOVID® » ARGENT AVEC BOUCLE</v>
          </cell>
          <cell r="F3223">
            <v>100</v>
          </cell>
          <cell r="G3223">
            <v>100</v>
          </cell>
          <cell r="H3223">
            <v>43.5</v>
          </cell>
          <cell r="I3223">
            <v>16.5</v>
          </cell>
          <cell r="J3223">
            <v>11</v>
          </cell>
          <cell r="K3223">
            <v>2.3319999999999999</v>
          </cell>
          <cell r="L3223">
            <v>2.3319999999999997E-2</v>
          </cell>
          <cell r="M3223">
            <v>7.8952499999999995E-3</v>
          </cell>
        </row>
        <row r="3224">
          <cell r="A3224" t="str">
            <v>ACCE0590014</v>
          </cell>
          <cell r="B3224">
            <v>3118220037274</v>
          </cell>
          <cell r="E3224" t="str">
            <v>FUSIL A AIGUISER TB COLLECTION MADE IN FRANCE</v>
          </cell>
          <cell r="F3224">
            <v>48</v>
          </cell>
          <cell r="G3224">
            <v>6</v>
          </cell>
          <cell r="H3224">
            <v>60</v>
          </cell>
          <cell r="I3224">
            <v>42</v>
          </cell>
          <cell r="J3224">
            <v>13.5</v>
          </cell>
          <cell r="K3224">
            <v>15.87</v>
          </cell>
          <cell r="L3224">
            <v>0.330625</v>
          </cell>
          <cell r="M3224">
            <v>3.4020000000000002E-2</v>
          </cell>
        </row>
        <row r="3225">
          <cell r="A3225" t="str">
            <v>ACCE0590015</v>
          </cell>
          <cell r="B3225">
            <v>3601029988859</v>
          </cell>
          <cell r="E3225" t="str">
            <v>FUSIL A AIGUISER SIPLEC HOMESIDE SIPLEC MADE IN FRANCE</v>
          </cell>
          <cell r="F3225">
            <v>48</v>
          </cell>
          <cell r="G3225">
            <v>6</v>
          </cell>
          <cell r="H3225">
            <v>60</v>
          </cell>
          <cell r="I3225">
            <v>42</v>
          </cell>
          <cell r="J3225">
            <v>135</v>
          </cell>
          <cell r="K3225">
            <v>15.215999999999999</v>
          </cell>
          <cell r="L3225">
            <v>0.317</v>
          </cell>
          <cell r="M3225">
            <v>0.34020000000000006</v>
          </cell>
        </row>
        <row r="3226">
          <cell r="A3226" t="str">
            <v>11350029</v>
          </cell>
          <cell r="B3226"/>
          <cell r="C3226"/>
          <cell r="D3226"/>
          <cell r="E3226" t="str">
            <v>BRIN PARACORD ORANGE SIKA 150</v>
          </cell>
          <cell r="L3226" t="e">
            <v>#DIV/0!</v>
          </cell>
          <cell r="M3226">
            <v>0</v>
          </cell>
        </row>
        <row r="3227">
          <cell r="A3227" t="str">
            <v>ACCE0590017</v>
          </cell>
          <cell r="B3227">
            <v>3118220039278</v>
          </cell>
          <cell r="E3227" t="str">
            <v>PLANCHE BOIS ACACIA TOP CHEF 35X35X3,8</v>
          </cell>
          <cell r="F3227">
            <v>6</v>
          </cell>
          <cell r="G3227">
            <v>6</v>
          </cell>
          <cell r="H3227">
            <v>37</v>
          </cell>
          <cell r="I3227">
            <v>37</v>
          </cell>
          <cell r="J3227">
            <v>26</v>
          </cell>
          <cell r="K3227">
            <v>15.765000000000001</v>
          </cell>
          <cell r="L3227">
            <v>2.6274999999999999</v>
          </cell>
          <cell r="M3227">
            <v>3.5593999999999994E-2</v>
          </cell>
        </row>
        <row r="3228">
          <cell r="A3228" t="str">
            <v>ACCE0610001</v>
          </cell>
          <cell r="B3228">
            <v>3118220028623</v>
          </cell>
          <cell r="C3228">
            <v>13118220028620</v>
          </cell>
          <cell r="D3228">
            <v>23118220028627</v>
          </cell>
          <cell r="E3228" t="str">
            <v>AIGUISEUR DOUBLE DIAMANT SOUS BLISTER TOP CHEF</v>
          </cell>
          <cell r="F3228">
            <v>36</v>
          </cell>
          <cell r="G3228">
            <v>6</v>
          </cell>
          <cell r="H3228">
            <v>55</v>
          </cell>
          <cell r="I3228">
            <v>35.5</v>
          </cell>
          <cell r="J3228">
            <v>32</v>
          </cell>
          <cell r="K3228">
            <v>8.0519999999999996</v>
          </cell>
          <cell r="L3228">
            <v>0.22366666666666665</v>
          </cell>
          <cell r="M3228">
            <v>6.2480000000000008E-2</v>
          </cell>
        </row>
        <row r="3229">
          <cell r="A3229" t="str">
            <v>ACCE0610002</v>
          </cell>
          <cell r="B3229">
            <v>3118220034488</v>
          </cell>
          <cell r="E3229" t="str">
            <v>FUSIL A AIGUISER MANCHE BOIS DE NOYER</v>
          </cell>
          <cell r="F3229">
            <v>36</v>
          </cell>
          <cell r="G3229">
            <v>6</v>
          </cell>
          <cell r="H3229">
            <v>48.5</v>
          </cell>
          <cell r="I3229">
            <v>27.5</v>
          </cell>
          <cell r="J3229">
            <v>22.5</v>
          </cell>
          <cell r="K3229">
            <v>14.875</v>
          </cell>
          <cell r="L3229">
            <v>0.41319444444444442</v>
          </cell>
          <cell r="M3229">
            <v>3.0009375000000001E-2</v>
          </cell>
        </row>
        <row r="3230">
          <cell r="A3230" t="str">
            <v>ACCE0610003</v>
          </cell>
          <cell r="B3230">
            <v>3601029988842</v>
          </cell>
          <cell r="C3230" t="str">
            <v>53660440033635</v>
          </cell>
          <cell r="D3230" t="str">
            <v>53660440033628</v>
          </cell>
          <cell r="E3230" t="str">
            <v>PIERRE A AIGUISER BOITE HOMESIDE SIPLEC</v>
          </cell>
          <cell r="F3230">
            <v>60</v>
          </cell>
          <cell r="G3230">
            <v>6</v>
          </cell>
          <cell r="H3230">
            <v>30</v>
          </cell>
          <cell r="I3230">
            <v>20</v>
          </cell>
          <cell r="J3230">
            <v>30</v>
          </cell>
          <cell r="K3230">
            <v>12.377000000000001</v>
          </cell>
          <cell r="L3230">
            <v>0.20628333333333335</v>
          </cell>
          <cell r="M3230">
            <v>1.7999999999999999E-2</v>
          </cell>
        </row>
        <row r="3231">
          <cell r="A3231" t="str">
            <v>ACCE0610004</v>
          </cell>
          <cell r="B3231">
            <v>3616479617891</v>
          </cell>
          <cell r="E3231" t="str">
            <v>FUSIL A AIGUISER MADE IN FRANCE CRF</v>
          </cell>
          <cell r="F3231">
            <v>48</v>
          </cell>
          <cell r="G3231">
            <v>6</v>
          </cell>
          <cell r="H3231">
            <v>60</v>
          </cell>
          <cell r="I3231">
            <v>41</v>
          </cell>
          <cell r="J3231">
            <v>13.5</v>
          </cell>
          <cell r="K3231">
            <v>15.864000000000001</v>
          </cell>
          <cell r="L3231">
            <v>0.33050000000000002</v>
          </cell>
          <cell r="M3231">
            <v>3.3209999999999996E-2</v>
          </cell>
        </row>
        <row r="3232">
          <cell r="A3232" t="str">
            <v>ACCE0610005</v>
          </cell>
          <cell r="B3232">
            <v>3118220044524</v>
          </cell>
          <cell r="C3232">
            <v>13118220044521</v>
          </cell>
          <cell r="D3232">
            <v>23118220044528</v>
          </cell>
          <cell r="E3232" t="str">
            <v>AIGUISEUR DOUBLE DIAMANT SOUS BLISTER LAGUIOLE HERITAGE</v>
          </cell>
          <cell r="F3232">
            <v>36</v>
          </cell>
          <cell r="G3232">
            <v>6</v>
          </cell>
          <cell r="H3232">
            <v>55</v>
          </cell>
          <cell r="I3232">
            <v>35.5</v>
          </cell>
          <cell r="J3232">
            <v>32</v>
          </cell>
          <cell r="K3232">
            <v>8.36</v>
          </cell>
          <cell r="L3232">
            <v>0.23222222222222222</v>
          </cell>
          <cell r="M3232">
            <v>6.2480000000000008E-2</v>
          </cell>
        </row>
        <row r="3233">
          <cell r="A3233" t="str">
            <v>ACCE0740001</v>
          </cell>
          <cell r="B3233">
            <v>3118220038455</v>
          </cell>
          <cell r="E3233" t="str">
            <v>BROCHE SIMPLE 300MM POUR FOND PERFORE</v>
          </cell>
          <cell r="F3233">
            <v>1</v>
          </cell>
          <cell r="G3233">
            <v>1</v>
          </cell>
          <cell r="H3233">
            <v>40</v>
          </cell>
          <cell r="I3233">
            <v>30</v>
          </cell>
          <cell r="J3233">
            <v>21.5</v>
          </cell>
          <cell r="K3233">
            <v>9.6389999999999993</v>
          </cell>
          <cell r="L3233">
            <v>9.6389999999999993</v>
          </cell>
          <cell r="M3233">
            <v>2.58E-2</v>
          </cell>
        </row>
        <row r="3234">
          <cell r="A3234" t="str">
            <v>ACCE0950001</v>
          </cell>
          <cell r="B3234">
            <v>3118220020436</v>
          </cell>
          <cell r="E3234" t="str">
            <v>SALIERE GOUTTE BLEUE VERRE NAT TAILLE MAIN PAR LAURENT BEYNE</v>
          </cell>
          <cell r="F3234">
            <v>6</v>
          </cell>
          <cell r="G3234">
            <v>6</v>
          </cell>
          <cell r="H3234">
            <v>36.5</v>
          </cell>
          <cell r="I3234">
            <v>28</v>
          </cell>
          <cell r="J3234">
            <v>18.5</v>
          </cell>
          <cell r="K3234">
            <v>4.1100000000000003</v>
          </cell>
          <cell r="L3234">
            <v>0.68500000000000005</v>
          </cell>
          <cell r="M3234">
            <v>1.8906999999999997E-2</v>
          </cell>
        </row>
        <row r="3235">
          <cell r="A3235" t="str">
            <v>ACCE0950002</v>
          </cell>
          <cell r="B3235">
            <v>3118220020443</v>
          </cell>
          <cell r="E3235" t="str">
            <v>POIVRIERE GOUTTE NOIRE VERRE NAT TAILLE MAIN LAURENT BEYNE</v>
          </cell>
          <cell r="F3235">
            <v>6</v>
          </cell>
          <cell r="G3235">
            <v>6</v>
          </cell>
          <cell r="H3235">
            <v>36.5</v>
          </cell>
          <cell r="I3235">
            <v>28</v>
          </cell>
          <cell r="J3235">
            <v>18.5</v>
          </cell>
          <cell r="K3235">
            <v>4.1100000000000003</v>
          </cell>
          <cell r="L3235">
            <v>0.68500000000000005</v>
          </cell>
          <cell r="M3235">
            <v>1.8906999999999997E-2</v>
          </cell>
        </row>
        <row r="3236">
          <cell r="A3236" t="str">
            <v>ACCE0950003</v>
          </cell>
          <cell r="B3236">
            <v>3118220020450</v>
          </cell>
          <cell r="E3236" t="str">
            <v>PHOTOPHORE GOUTTE ROUGE VERRE NAT TAILLE MAIN LAURENT BEYNE</v>
          </cell>
          <cell r="F3236">
            <v>6</v>
          </cell>
          <cell r="G3236">
            <v>6</v>
          </cell>
          <cell r="H3236">
            <v>36.5</v>
          </cell>
          <cell r="I3236">
            <v>28</v>
          </cell>
          <cell r="J3236">
            <v>18.5</v>
          </cell>
          <cell r="K3236">
            <v>4.1100000000000003</v>
          </cell>
          <cell r="L3236">
            <v>0.68500000000000005</v>
          </cell>
          <cell r="M3236">
            <v>1.8906999999999997E-2</v>
          </cell>
        </row>
        <row r="3237">
          <cell r="A3237" t="str">
            <v>ACCE0950004</v>
          </cell>
          <cell r="B3237">
            <v>3118220020467</v>
          </cell>
          <cell r="E3237" t="str">
            <v>GOUTTE BEURRE DOUX TRANSP VERRE NAT TAIL MAIN LAURENT BEYNE</v>
          </cell>
          <cell r="F3237">
            <v>6</v>
          </cell>
          <cell r="G3237">
            <v>6</v>
          </cell>
          <cell r="H3237">
            <v>36.5</v>
          </cell>
          <cell r="I3237">
            <v>28</v>
          </cell>
          <cell r="J3237">
            <v>18.5</v>
          </cell>
          <cell r="K3237">
            <v>4.1100000000000003</v>
          </cell>
          <cell r="L3237">
            <v>0.68500000000000005</v>
          </cell>
          <cell r="M3237">
            <v>1.8906999999999997E-2</v>
          </cell>
        </row>
        <row r="3238">
          <cell r="A3238" t="str">
            <v>ACCE0950005</v>
          </cell>
          <cell r="B3238">
            <v>3118220020474</v>
          </cell>
          <cell r="E3238" t="str">
            <v>GOUTTE BEURRE SALE JAUNEVERRE NAT TAILL MAIN LAURENT BEYNE</v>
          </cell>
          <cell r="F3238">
            <v>6</v>
          </cell>
          <cell r="G3238">
            <v>6</v>
          </cell>
          <cell r="H3238">
            <v>40</v>
          </cell>
          <cell r="I3238">
            <v>30</v>
          </cell>
          <cell r="J3238">
            <v>20</v>
          </cell>
          <cell r="K3238">
            <v>6.88</v>
          </cell>
          <cell r="L3238">
            <v>1.1466666666666667</v>
          </cell>
          <cell r="M3238">
            <v>2.4E-2</v>
          </cell>
        </row>
        <row r="3239">
          <cell r="A3239" t="str">
            <v>ACCE1050001</v>
          </cell>
          <cell r="B3239">
            <v>3118220041981</v>
          </cell>
          <cell r="E3239" t="str">
            <v>BLOC VIDE FURTIF GM + BOITE COULEUR</v>
          </cell>
          <cell r="F3239">
            <v>6</v>
          </cell>
          <cell r="G3239">
            <v>6</v>
          </cell>
          <cell r="H3239">
            <v>28</v>
          </cell>
          <cell r="I3239">
            <v>27</v>
          </cell>
          <cell r="J3239">
            <v>24</v>
          </cell>
          <cell r="K3239">
            <v>6.5140000000000002</v>
          </cell>
          <cell r="L3239">
            <v>1.0856666666666668</v>
          </cell>
          <cell r="M3239">
            <v>1.8144E-2</v>
          </cell>
        </row>
        <row r="3240">
          <cell r="A3240" t="str">
            <v>ACCE1060001</v>
          </cell>
          <cell r="B3240">
            <v>3118220021051</v>
          </cell>
          <cell r="E3240" t="str">
            <v>ETUI KYDEX AVEC ATTACHE MOLLE PORT OUVERT CAC EN SACHET PLAS</v>
          </cell>
          <cell r="F3240">
            <v>6</v>
          </cell>
          <cell r="G3240">
            <v>6</v>
          </cell>
          <cell r="H3240">
            <v>27</v>
          </cell>
          <cell r="I3240">
            <v>12</v>
          </cell>
          <cell r="J3240">
            <v>7</v>
          </cell>
          <cell r="K3240">
            <v>0.44600000000000001</v>
          </cell>
          <cell r="L3240">
            <v>7.4333333333333335E-2</v>
          </cell>
          <cell r="M3240">
            <v>2.2680000000000005E-3</v>
          </cell>
        </row>
        <row r="3241">
          <cell r="A3241" t="str">
            <v>ACCE1060003</v>
          </cell>
          <cell r="B3241">
            <v>3118220021075</v>
          </cell>
          <cell r="E3241" t="str">
            <v>LAME DE REMPLACEMENT NITROX NOIRE CAC EN SACHET PLASTIQUE</v>
          </cell>
          <cell r="F3241">
            <v>6</v>
          </cell>
          <cell r="G3241">
            <v>6</v>
          </cell>
          <cell r="H3241">
            <v>18</v>
          </cell>
          <cell r="I3241">
            <v>5</v>
          </cell>
          <cell r="J3241">
            <v>3.5</v>
          </cell>
          <cell r="K3241">
            <v>0.28199999999999997</v>
          </cell>
          <cell r="L3241">
            <v>4.6999999999999993E-2</v>
          </cell>
          <cell r="M3241">
            <v>3.1500000000000001E-4</v>
          </cell>
        </row>
        <row r="3242">
          <cell r="A3242" t="str">
            <v>ACCE1060005</v>
          </cell>
          <cell r="B3242">
            <v>3118220021099</v>
          </cell>
          <cell r="E3242" t="str">
            <v>LAME DE REMPLACEMENT MOX STONEWASHED SERRATION CAC EN SACHET</v>
          </cell>
          <cell r="F3242">
            <v>6</v>
          </cell>
          <cell r="G3242">
            <v>6</v>
          </cell>
          <cell r="H3242">
            <v>18</v>
          </cell>
          <cell r="I3242">
            <v>4.5</v>
          </cell>
          <cell r="J3242">
            <v>3</v>
          </cell>
          <cell r="K3242">
            <v>0.30099999999999999</v>
          </cell>
          <cell r="L3242">
            <v>5.0166666666666665E-2</v>
          </cell>
          <cell r="M3242">
            <v>2.43E-4</v>
          </cell>
        </row>
        <row r="3243">
          <cell r="A3243" t="str">
            <v>ACCE1060006</v>
          </cell>
          <cell r="B3243">
            <v>3118220021105</v>
          </cell>
          <cell r="E3243" t="str">
            <v>JEU DE LAMES DE REMPLACEMENT COUPE SANGLE CAC EN SACHET PLAS</v>
          </cell>
          <cell r="F3243">
            <v>6</v>
          </cell>
          <cell r="G3243">
            <v>6</v>
          </cell>
          <cell r="H3243">
            <v>18</v>
          </cell>
          <cell r="I3243">
            <v>5</v>
          </cell>
          <cell r="J3243">
            <v>3.5</v>
          </cell>
          <cell r="K3243">
            <v>0.06</v>
          </cell>
          <cell r="L3243">
            <v>0.01</v>
          </cell>
          <cell r="M3243">
            <v>3.1500000000000001E-4</v>
          </cell>
        </row>
        <row r="3244">
          <cell r="A3244" t="str">
            <v>ACCE1060007</v>
          </cell>
          <cell r="B3244">
            <v>3118220021112</v>
          </cell>
          <cell r="E3244" t="str">
            <v>COUVERT CUSTOM CUILLERE FORKS NOIR CAC EN SACHET PLASTIQUE</v>
          </cell>
          <cell r="F3244">
            <v>6</v>
          </cell>
          <cell r="G3244">
            <v>6</v>
          </cell>
          <cell r="H3244">
            <v>18</v>
          </cell>
          <cell r="I3244">
            <v>4.5</v>
          </cell>
          <cell r="J3244">
            <v>3</v>
          </cell>
          <cell r="K3244">
            <v>0.17699999999999999</v>
          </cell>
          <cell r="L3244">
            <v>2.9499999999999998E-2</v>
          </cell>
          <cell r="M3244">
            <v>2.43E-4</v>
          </cell>
        </row>
        <row r="3245">
          <cell r="A3245" t="str">
            <v>ACCE1060008</v>
          </cell>
          <cell r="B3245">
            <v>3118220021129</v>
          </cell>
          <cell r="E3245" t="str">
            <v>KIT CLIP CEINTURE CAC EN SACHET PLASTIQUE</v>
          </cell>
          <cell r="F3245">
            <v>6</v>
          </cell>
          <cell r="G3245">
            <v>6</v>
          </cell>
          <cell r="H3245">
            <v>23</v>
          </cell>
          <cell r="I3245">
            <v>7</v>
          </cell>
          <cell r="J3245">
            <v>5</v>
          </cell>
          <cell r="K3245">
            <v>0.23400000000000001</v>
          </cell>
          <cell r="L3245">
            <v>3.9E-2</v>
          </cell>
          <cell r="M3245">
            <v>8.0500000000000005E-4</v>
          </cell>
        </row>
        <row r="3246">
          <cell r="A3246" t="str">
            <v>ACCE1060009</v>
          </cell>
          <cell r="B3246">
            <v>3118220021136</v>
          </cell>
          <cell r="E3246" t="str">
            <v>AXE DE SECURITE COUTEAU CAC EN SACHET PLASTIQUE</v>
          </cell>
          <cell r="F3246">
            <v>6</v>
          </cell>
          <cell r="G3246">
            <v>6</v>
          </cell>
          <cell r="H3246">
            <v>18</v>
          </cell>
          <cell r="I3246">
            <v>4.5</v>
          </cell>
          <cell r="J3246">
            <v>3</v>
          </cell>
          <cell r="K3246">
            <v>3.9E-2</v>
          </cell>
          <cell r="L3246">
            <v>6.4999999999999997E-3</v>
          </cell>
          <cell r="M3246">
            <v>2.43E-4</v>
          </cell>
        </row>
        <row r="3247">
          <cell r="A3247" t="str">
            <v>ACCE1060010</v>
          </cell>
          <cell r="B3247">
            <v>3118220021143</v>
          </cell>
          <cell r="E3247" t="str">
            <v>KIT ENTRETIEN CAC EN SACHET PLASTIQUE</v>
          </cell>
          <cell r="F3247">
            <v>6</v>
          </cell>
          <cell r="G3247">
            <v>6</v>
          </cell>
          <cell r="H3247">
            <v>32</v>
          </cell>
          <cell r="I3247">
            <v>14.5</v>
          </cell>
          <cell r="J3247">
            <v>8</v>
          </cell>
          <cell r="K3247">
            <v>0.52800000000000002</v>
          </cell>
          <cell r="L3247">
            <v>8.8000000000000009E-2</v>
          </cell>
          <cell r="M3247">
            <v>3.7119999999999996E-3</v>
          </cell>
        </row>
        <row r="3248">
          <cell r="A3248" t="str">
            <v>ACCE1060011</v>
          </cell>
          <cell r="B3248">
            <v>3118220021150</v>
          </cell>
          <cell r="E3248" t="str">
            <v>PAIRE DE PLAQUETTES CUSTOM G10 TOXIFIEE NOIR CAC EN SACHET P</v>
          </cell>
          <cell r="F3248">
            <v>6</v>
          </cell>
          <cell r="G3248">
            <v>6</v>
          </cell>
          <cell r="H3248">
            <v>23</v>
          </cell>
          <cell r="I3248">
            <v>7</v>
          </cell>
          <cell r="J3248">
            <v>5</v>
          </cell>
          <cell r="K3248">
            <v>0.34399999999999997</v>
          </cell>
          <cell r="L3248">
            <v>5.7333333333333326E-2</v>
          </cell>
          <cell r="M3248">
            <v>8.0500000000000005E-4</v>
          </cell>
        </row>
        <row r="3249">
          <cell r="A3249" t="str">
            <v>ACCE1060012</v>
          </cell>
          <cell r="B3249">
            <v>3118220021167</v>
          </cell>
          <cell r="E3249" t="str">
            <v>PAIRE DE PLAQUETTES CUSTOM G10 TOXIFIEE KAKI CAC EN SACHET P</v>
          </cell>
          <cell r="F3249">
            <v>6</v>
          </cell>
          <cell r="G3249">
            <v>6</v>
          </cell>
          <cell r="H3249">
            <v>23</v>
          </cell>
          <cell r="I3249">
            <v>7</v>
          </cell>
          <cell r="J3249">
            <v>5</v>
          </cell>
          <cell r="K3249">
            <v>0.34399999999999997</v>
          </cell>
          <cell r="L3249">
            <v>5.7333333333333326E-2</v>
          </cell>
          <cell r="M3249">
            <v>8.0500000000000005E-4</v>
          </cell>
        </row>
        <row r="3250">
          <cell r="A3250" t="str">
            <v>ACCE1060013</v>
          </cell>
          <cell r="B3250">
            <v>3118220021174</v>
          </cell>
          <cell r="E3250" t="str">
            <v>PAIRE DE PLAQUETTES REMPLACEMENT NOIR CAC EN SACHET PLASTIQU</v>
          </cell>
          <cell r="F3250">
            <v>6</v>
          </cell>
          <cell r="G3250">
            <v>6</v>
          </cell>
          <cell r="H3250">
            <v>27</v>
          </cell>
          <cell r="I3250">
            <v>12</v>
          </cell>
          <cell r="J3250">
            <v>6.5</v>
          </cell>
          <cell r="K3250">
            <v>0.27300000000000002</v>
          </cell>
          <cell r="L3250">
            <v>4.5500000000000006E-2</v>
          </cell>
          <cell r="M3250">
            <v>2.1060000000000002E-3</v>
          </cell>
        </row>
        <row r="3251">
          <cell r="A3251" t="str">
            <v>ACCE1060014</v>
          </cell>
          <cell r="B3251">
            <v>3118220021181</v>
          </cell>
          <cell r="E3251" t="str">
            <v>PAIRE DE PLAQUETTES REMPLACEMENT JAUNE FLUO CAC EN SACHET PL</v>
          </cell>
          <cell r="F3251">
            <v>6</v>
          </cell>
          <cell r="G3251">
            <v>6</v>
          </cell>
          <cell r="H3251">
            <v>27</v>
          </cell>
          <cell r="I3251">
            <v>12</v>
          </cell>
          <cell r="J3251">
            <v>6.5</v>
          </cell>
          <cell r="K3251">
            <v>0.27300000000000002</v>
          </cell>
          <cell r="L3251">
            <v>4.5500000000000006E-2</v>
          </cell>
          <cell r="M3251">
            <v>2.1060000000000002E-3</v>
          </cell>
        </row>
        <row r="3252">
          <cell r="A3252" t="str">
            <v>ACCE0590016</v>
          </cell>
          <cell r="B3252">
            <v>3118220037618</v>
          </cell>
          <cell r="E3252" t="str">
            <v>ATTACHE MOLLE 4MM</v>
          </cell>
          <cell r="F3252">
            <v>24</v>
          </cell>
          <cell r="G3252">
            <v>24</v>
          </cell>
          <cell r="H3252">
            <v>0</v>
          </cell>
          <cell r="I3252">
            <v>0</v>
          </cell>
          <cell r="J3252">
            <v>0</v>
          </cell>
          <cell r="K3252">
            <v>0</v>
          </cell>
          <cell r="L3252">
            <v>0</v>
          </cell>
          <cell r="M3252">
            <v>0</v>
          </cell>
        </row>
        <row r="3253">
          <cell r="A3253" t="str">
            <v>ACCE1060018</v>
          </cell>
          <cell r="B3253">
            <v>3118220022195</v>
          </cell>
          <cell r="E3253" t="str">
            <v>KIT PLAQUETTES CUSTOM CARBONE TOXIFIEE NOIR MARAUDEUR EN BOI</v>
          </cell>
          <cell r="F3253">
            <v>6</v>
          </cell>
          <cell r="G3253">
            <v>6</v>
          </cell>
          <cell r="H3253">
            <v>31</v>
          </cell>
          <cell r="I3253">
            <v>28.5</v>
          </cell>
          <cell r="J3253">
            <v>13.5</v>
          </cell>
          <cell r="K3253">
            <v>1.153</v>
          </cell>
          <cell r="L3253">
            <v>0.19216666666666668</v>
          </cell>
          <cell r="M3253">
            <v>1.1927249999999999E-2</v>
          </cell>
        </row>
        <row r="3254">
          <cell r="A3254" t="str">
            <v>ACCE1060019</v>
          </cell>
          <cell r="B3254">
            <v>3118220022201</v>
          </cell>
          <cell r="E3254" t="str">
            <v>KIT PLAQUETTES CUSTOM G10 TOXIFIEE KAKI MARAUDEUR EN SACHET</v>
          </cell>
          <cell r="F3254">
            <v>6</v>
          </cell>
          <cell r="G3254">
            <v>6</v>
          </cell>
          <cell r="H3254">
            <v>23</v>
          </cell>
          <cell r="I3254">
            <v>7</v>
          </cell>
          <cell r="J3254">
            <v>5.5</v>
          </cell>
          <cell r="K3254">
            <v>0.36199999999999999</v>
          </cell>
          <cell r="L3254">
            <v>6.0333333333333329E-2</v>
          </cell>
          <cell r="M3254">
            <v>8.855E-4</v>
          </cell>
        </row>
        <row r="3255">
          <cell r="A3255" t="str">
            <v>ACCE1060020</v>
          </cell>
          <cell r="B3255">
            <v>3118220022218</v>
          </cell>
          <cell r="E3255" t="str">
            <v>KIT PLAQUETTES CUSTOM G10 TOXIFIEE NOIR MARAUDEUR EN SACHET</v>
          </cell>
          <cell r="F3255">
            <v>6</v>
          </cell>
          <cell r="G3255">
            <v>6</v>
          </cell>
          <cell r="H3255">
            <v>23</v>
          </cell>
          <cell r="I3255">
            <v>7</v>
          </cell>
          <cell r="J3255">
            <v>5.5</v>
          </cell>
          <cell r="K3255">
            <v>0.36199999999999999</v>
          </cell>
          <cell r="L3255">
            <v>6.0333333333333329E-2</v>
          </cell>
          <cell r="M3255">
            <v>8.855E-4</v>
          </cell>
        </row>
        <row r="3256">
          <cell r="A3256" t="str">
            <v>ACCE1060021</v>
          </cell>
          <cell r="B3256">
            <v>3118220022225</v>
          </cell>
          <cell r="E3256" t="str">
            <v>KIT PLAQUETTES CUSTOM G10 TOXIFIEE ROUGE MARAUDEUR EN SACHET</v>
          </cell>
          <cell r="F3256">
            <v>6</v>
          </cell>
          <cell r="G3256">
            <v>6</v>
          </cell>
          <cell r="H3256">
            <v>23</v>
          </cell>
          <cell r="I3256">
            <v>7</v>
          </cell>
          <cell r="J3256">
            <v>5.5</v>
          </cell>
          <cell r="K3256">
            <v>0.36199999999999999</v>
          </cell>
          <cell r="L3256">
            <v>6.0333333333333329E-2</v>
          </cell>
          <cell r="M3256">
            <v>8.855E-4</v>
          </cell>
        </row>
        <row r="3257">
          <cell r="A3257" t="str">
            <v>ACCE1060016</v>
          </cell>
          <cell r="B3257">
            <v>3118220021570</v>
          </cell>
          <cell r="E3257" t="str">
            <v>PAIRE DE PLAQUETTES CUSTOM G10 TOXIFIEE NOIR MARAUDEUR</v>
          </cell>
          <cell r="F3257">
            <v>6</v>
          </cell>
          <cell r="G3257">
            <v>6</v>
          </cell>
          <cell r="H3257">
            <v>0</v>
          </cell>
          <cell r="I3257">
            <v>0</v>
          </cell>
          <cell r="J3257">
            <v>0</v>
          </cell>
          <cell r="K3257">
            <v>0</v>
          </cell>
          <cell r="L3257">
            <v>0</v>
          </cell>
          <cell r="M3257">
            <v>0</v>
          </cell>
        </row>
        <row r="3258">
          <cell r="A3258" t="str">
            <v>ACCE1060024</v>
          </cell>
          <cell r="B3258">
            <v>3118220025561</v>
          </cell>
          <cell r="E3258" t="str">
            <v>KIT PLV TB OUTDOOR EN BOITE CARTON</v>
          </cell>
          <cell r="F3258">
            <v>1</v>
          </cell>
          <cell r="G3258">
            <v>1</v>
          </cell>
          <cell r="H3258">
            <v>45</v>
          </cell>
          <cell r="I3258">
            <v>31.5</v>
          </cell>
          <cell r="J3258">
            <v>12</v>
          </cell>
          <cell r="K3258">
            <v>1.504</v>
          </cell>
          <cell r="L3258">
            <v>1.504</v>
          </cell>
          <cell r="M3258">
            <v>1.7010000000000001E-2</v>
          </cell>
        </row>
        <row r="3259">
          <cell r="A3259" t="str">
            <v>ACCE1060025</v>
          </cell>
          <cell r="B3259">
            <v>3118220025578</v>
          </cell>
          <cell r="E3259" t="str">
            <v>PAIRE DE PLAQUETTES REMPLACEMENT KAKI CAC EN SACHET PLASTIQU</v>
          </cell>
          <cell r="F3259">
            <v>6</v>
          </cell>
          <cell r="G3259">
            <v>6</v>
          </cell>
          <cell r="H3259">
            <v>27</v>
          </cell>
          <cell r="I3259">
            <v>12</v>
          </cell>
          <cell r="J3259">
            <v>6.5</v>
          </cell>
          <cell r="K3259">
            <v>0.27500000000000002</v>
          </cell>
          <cell r="L3259">
            <v>4.5833333333333337E-2</v>
          </cell>
          <cell r="M3259">
            <v>2.1060000000000002E-3</v>
          </cell>
        </row>
        <row r="3260">
          <cell r="A3260" t="str">
            <v>ACCE1060026</v>
          </cell>
          <cell r="B3260">
            <v>3118220025639</v>
          </cell>
          <cell r="E3260" t="str">
            <v>MOLLE CLIP AVEC VISSERIE EN SACHET PLASTIQUE</v>
          </cell>
          <cell r="F3260">
            <v>6</v>
          </cell>
          <cell r="G3260">
            <v>6</v>
          </cell>
          <cell r="H3260">
            <v>27</v>
          </cell>
          <cell r="I3260">
            <v>12.5</v>
          </cell>
          <cell r="J3260">
            <v>6.5</v>
          </cell>
          <cell r="K3260">
            <v>0.18</v>
          </cell>
          <cell r="L3260">
            <v>0.03</v>
          </cell>
          <cell r="M3260">
            <v>2.19375E-3</v>
          </cell>
        </row>
        <row r="3261">
          <cell r="A3261" t="str">
            <v>ACCE1060027</v>
          </cell>
          <cell r="B3261">
            <v>3118220025943</v>
          </cell>
          <cell r="E3261" t="str">
            <v>COUVERT CUSTOM CUILLERE FORKS INOX POLI CAC EN SACHET PLASTI</v>
          </cell>
          <cell r="F3261">
            <v>6</v>
          </cell>
          <cell r="G3261">
            <v>1</v>
          </cell>
          <cell r="H3261">
            <v>18</v>
          </cell>
          <cell r="I3261">
            <v>4.5</v>
          </cell>
          <cell r="J3261">
            <v>3</v>
          </cell>
          <cell r="K3261">
            <v>0.18</v>
          </cell>
          <cell r="L3261">
            <v>0.03</v>
          </cell>
          <cell r="M3261">
            <v>2.43E-4</v>
          </cell>
        </row>
        <row r="3262">
          <cell r="A3262" t="str">
            <v>ACCE1060029</v>
          </cell>
          <cell r="B3262">
            <v>3118220026414</v>
          </cell>
          <cell r="E3262" t="str">
            <v>ETUI TEXTILE NOIR CAC EN SACHET PLASTIQUE</v>
          </cell>
          <cell r="F3262">
            <v>100</v>
          </cell>
          <cell r="G3262">
            <v>1</v>
          </cell>
          <cell r="H3262">
            <v>40</v>
          </cell>
          <cell r="I3262">
            <v>30</v>
          </cell>
          <cell r="J3262">
            <v>20</v>
          </cell>
          <cell r="K3262">
            <v>5</v>
          </cell>
          <cell r="L3262">
            <v>0.05</v>
          </cell>
          <cell r="M3262">
            <v>2.4E-2</v>
          </cell>
        </row>
        <row r="3263">
          <cell r="A3263" t="str">
            <v>ACCE1060030</v>
          </cell>
          <cell r="B3263">
            <v>3118220028562</v>
          </cell>
          <cell r="E3263" t="str">
            <v>DOMING ADHESIF AVEC RESINE 10 X 4 "TB OUTDOOR"</v>
          </cell>
          <cell r="F3263">
            <v>50</v>
          </cell>
          <cell r="G3263">
            <v>5</v>
          </cell>
          <cell r="H3263">
            <v>31</v>
          </cell>
          <cell r="I3263">
            <v>18.5</v>
          </cell>
          <cell r="J3263">
            <v>9</v>
          </cell>
          <cell r="K3263">
            <v>0.52400000000000002</v>
          </cell>
          <cell r="L3263">
            <v>1.048E-2</v>
          </cell>
          <cell r="M3263">
            <v>5.1615000000000003E-3</v>
          </cell>
        </row>
        <row r="3264">
          <cell r="A3264" t="str">
            <v>ACCE1060034</v>
          </cell>
          <cell r="B3264">
            <v>3118220029415</v>
          </cell>
          <cell r="E3264" t="str">
            <v>BRACELET SURVIE ALLUME FEU "FLAMING LIZZARD", COYOTE BROW, M</v>
          </cell>
          <cell r="F3264">
            <v>12</v>
          </cell>
          <cell r="G3264">
            <v>12</v>
          </cell>
          <cell r="H3264">
            <v>43.5</v>
          </cell>
          <cell r="I3264">
            <v>16.7</v>
          </cell>
          <cell r="J3264">
            <v>11</v>
          </cell>
          <cell r="K3264">
            <v>0.76900000000000002</v>
          </cell>
          <cell r="L3264">
            <v>6.4083333333333339E-2</v>
          </cell>
          <cell r="M3264">
            <v>7.9909500000000001E-3</v>
          </cell>
        </row>
        <row r="3265">
          <cell r="A3265" t="str">
            <v>ACCE1060035</v>
          </cell>
          <cell r="B3265">
            <v>3118220029422</v>
          </cell>
          <cell r="E3265" t="str">
            <v>BRACELET SURVIE ALLUME FEU "FLAMING LIZZARD", COYOTE BROW, L</v>
          </cell>
          <cell r="F3265">
            <v>12</v>
          </cell>
          <cell r="G3265">
            <v>12</v>
          </cell>
          <cell r="H3265">
            <v>43.5</v>
          </cell>
          <cell r="I3265">
            <v>16.7</v>
          </cell>
          <cell r="J3265">
            <v>11</v>
          </cell>
          <cell r="K3265">
            <v>0.76900000000000002</v>
          </cell>
          <cell r="L3265">
            <v>6.4083333333333339E-2</v>
          </cell>
          <cell r="M3265">
            <v>7.9909500000000001E-3</v>
          </cell>
        </row>
        <row r="3266">
          <cell r="A3266" t="str">
            <v>ACCE1060036</v>
          </cell>
          <cell r="B3266">
            <v>3118220029439</v>
          </cell>
          <cell r="E3266" t="str">
            <v>BRACELET DE SURVIE ALLUME FEU "FLAMING LIZZARD", BLACK, M</v>
          </cell>
          <cell r="F3266">
            <v>12</v>
          </cell>
          <cell r="G3266">
            <v>12</v>
          </cell>
          <cell r="H3266">
            <v>43.5</v>
          </cell>
          <cell r="I3266">
            <v>16.7</v>
          </cell>
          <cell r="J3266">
            <v>11</v>
          </cell>
          <cell r="K3266">
            <v>0.76900000000000002</v>
          </cell>
          <cell r="L3266">
            <v>6.4083333333333339E-2</v>
          </cell>
          <cell r="M3266">
            <v>7.9909500000000001E-3</v>
          </cell>
        </row>
        <row r="3267">
          <cell r="A3267" t="str">
            <v>ACCE1060037</v>
          </cell>
          <cell r="B3267">
            <v>3118220029446</v>
          </cell>
          <cell r="E3267" t="str">
            <v>BRACELET DE SURVIE ALLUME FEU "FLAMING LIZZARD", BLACK, L</v>
          </cell>
          <cell r="F3267">
            <v>12</v>
          </cell>
          <cell r="G3267">
            <v>12</v>
          </cell>
          <cell r="H3267">
            <v>43.5</v>
          </cell>
          <cell r="I3267">
            <v>16.5</v>
          </cell>
          <cell r="J3267">
            <v>11</v>
          </cell>
          <cell r="K3267">
            <v>0.76900000000000002</v>
          </cell>
          <cell r="L3267">
            <v>6.4083333333333339E-2</v>
          </cell>
          <cell r="M3267">
            <v>7.8952499999999995E-3</v>
          </cell>
        </row>
        <row r="3268">
          <cell r="A3268" t="str">
            <v>ACCE1060038</v>
          </cell>
          <cell r="B3268">
            <v>3118220029453</v>
          </cell>
          <cell r="E3268" t="str">
            <v>CORDON SPIRALE A OUVERTURE RAPIDE, COYOTE BROWN</v>
          </cell>
          <cell r="F3268">
            <v>12</v>
          </cell>
          <cell r="G3268">
            <v>12</v>
          </cell>
          <cell r="H3268">
            <v>32</v>
          </cell>
          <cell r="I3268">
            <v>15</v>
          </cell>
          <cell r="J3268">
            <v>8</v>
          </cell>
          <cell r="K3268">
            <v>0.88100000000000001</v>
          </cell>
          <cell r="L3268">
            <v>7.3416666666666672E-2</v>
          </cell>
          <cell r="M3268">
            <v>3.8400000000000001E-3</v>
          </cell>
        </row>
        <row r="3269">
          <cell r="A3269" t="str">
            <v>ACCE1060039</v>
          </cell>
          <cell r="B3269">
            <v>3118220029460</v>
          </cell>
          <cell r="E3269" t="str">
            <v>CORDON SPIRALE A OUVERTURE RAPIDE, BLACK</v>
          </cell>
          <cell r="F3269">
            <v>12</v>
          </cell>
          <cell r="G3269">
            <v>12</v>
          </cell>
          <cell r="H3269">
            <v>32</v>
          </cell>
          <cell r="I3269">
            <v>15</v>
          </cell>
          <cell r="J3269">
            <v>8</v>
          </cell>
          <cell r="K3269">
            <v>0.88100000000000001</v>
          </cell>
          <cell r="L3269">
            <v>7.3416666666666672E-2</v>
          </cell>
          <cell r="M3269">
            <v>3.8400000000000001E-3</v>
          </cell>
        </row>
        <row r="3270">
          <cell r="A3270" t="str">
            <v>ACCE1060040</v>
          </cell>
          <cell r="B3270">
            <v>3118220029477</v>
          </cell>
          <cell r="E3270" t="str">
            <v>CORDON SPIRALE A OUVERTURE RAPIDE, VETERAN</v>
          </cell>
          <cell r="F3270">
            <v>12</v>
          </cell>
          <cell r="G3270">
            <v>12</v>
          </cell>
          <cell r="H3270">
            <v>32</v>
          </cell>
          <cell r="I3270">
            <v>15</v>
          </cell>
          <cell r="J3270">
            <v>8</v>
          </cell>
          <cell r="K3270">
            <v>0.88100000000000001</v>
          </cell>
          <cell r="L3270">
            <v>7.3416666666666672E-2</v>
          </cell>
          <cell r="M3270">
            <v>3.8400000000000001E-3</v>
          </cell>
        </row>
        <row r="3271">
          <cell r="A3271" t="str">
            <v>ACCE1060041</v>
          </cell>
          <cell r="B3271">
            <v>3118220029484</v>
          </cell>
          <cell r="E3271" t="str">
            <v>CORDON "THE MUMMY", ARMY GREEN</v>
          </cell>
          <cell r="F3271">
            <v>12</v>
          </cell>
          <cell r="G3271">
            <v>12</v>
          </cell>
          <cell r="H3271">
            <v>27</v>
          </cell>
          <cell r="I3271">
            <v>12.5</v>
          </cell>
          <cell r="J3271">
            <v>6.5</v>
          </cell>
          <cell r="K3271">
            <v>0.19900000000000001</v>
          </cell>
          <cell r="L3271">
            <v>1.6583333333333335E-2</v>
          </cell>
          <cell r="M3271">
            <v>2.19375E-3</v>
          </cell>
        </row>
        <row r="3272">
          <cell r="A3272" t="str">
            <v>ACCE1060042</v>
          </cell>
          <cell r="B3272">
            <v>3118220029491</v>
          </cell>
          <cell r="E3272" t="str">
            <v>CORDON "THE MUMMY", BLACK</v>
          </cell>
          <cell r="F3272">
            <v>12</v>
          </cell>
          <cell r="G3272">
            <v>12</v>
          </cell>
          <cell r="H3272">
            <v>27</v>
          </cell>
          <cell r="I3272">
            <v>12.5</v>
          </cell>
          <cell r="J3272">
            <v>6.5</v>
          </cell>
          <cell r="K3272">
            <v>0.19900000000000001</v>
          </cell>
          <cell r="L3272">
            <v>1.6583333333333335E-2</v>
          </cell>
          <cell r="M3272">
            <v>2.19375E-3</v>
          </cell>
        </row>
        <row r="3273">
          <cell r="A3273" t="str">
            <v>ACCE1060043</v>
          </cell>
          <cell r="B3273">
            <v>3118220029507</v>
          </cell>
          <cell r="E3273" t="str">
            <v>CORDON "SCROLL", COYOTE BROWN</v>
          </cell>
          <cell r="F3273">
            <v>12</v>
          </cell>
          <cell r="G3273">
            <v>12</v>
          </cell>
          <cell r="H3273">
            <v>27</v>
          </cell>
          <cell r="I3273">
            <v>12.5</v>
          </cell>
          <cell r="J3273">
            <v>6.5</v>
          </cell>
          <cell r="K3273">
            <v>0.17699999999999999</v>
          </cell>
          <cell r="L3273">
            <v>1.4749999999999999E-2</v>
          </cell>
          <cell r="M3273">
            <v>2.19375E-3</v>
          </cell>
        </row>
        <row r="3274">
          <cell r="A3274" t="str">
            <v>ACCE1060044</v>
          </cell>
          <cell r="B3274">
            <v>3118220029514</v>
          </cell>
          <cell r="E3274" t="str">
            <v>CORDON "SCROLL", BLACK</v>
          </cell>
          <cell r="F3274">
            <v>12</v>
          </cell>
          <cell r="G3274">
            <v>12</v>
          </cell>
          <cell r="H3274">
            <v>27</v>
          </cell>
          <cell r="I3274">
            <v>12.5</v>
          </cell>
          <cell r="J3274">
            <v>6.5</v>
          </cell>
          <cell r="K3274">
            <v>0.17699999999999999</v>
          </cell>
          <cell r="L3274">
            <v>1.4749999999999999E-2</v>
          </cell>
          <cell r="M3274">
            <v>2.19375E-3</v>
          </cell>
        </row>
        <row r="3275">
          <cell r="A3275" t="str">
            <v>ACCE1060045</v>
          </cell>
          <cell r="B3275">
            <v>3118220029521</v>
          </cell>
          <cell r="E3275" t="str">
            <v>CORDON "LOOPY SNAKE", BLACK</v>
          </cell>
          <cell r="F3275">
            <v>12</v>
          </cell>
          <cell r="G3275">
            <v>12</v>
          </cell>
          <cell r="H3275">
            <v>27</v>
          </cell>
          <cell r="I3275">
            <v>12.5</v>
          </cell>
          <cell r="J3275">
            <v>6.5</v>
          </cell>
          <cell r="K3275">
            <v>0.19500000000000001</v>
          </cell>
          <cell r="L3275">
            <v>1.6250000000000001E-2</v>
          </cell>
          <cell r="M3275">
            <v>2.19375E-3</v>
          </cell>
        </row>
        <row r="3276">
          <cell r="A3276" t="str">
            <v>ACCE1060046</v>
          </cell>
          <cell r="B3276">
            <v>3118220029538</v>
          </cell>
          <cell r="E3276" t="str">
            <v>CORDON "LOOPY SNAKE", BLACK AND COYOTE</v>
          </cell>
          <cell r="F3276">
            <v>12</v>
          </cell>
          <cell r="G3276">
            <v>12</v>
          </cell>
          <cell r="H3276">
            <v>27</v>
          </cell>
          <cell r="I3276">
            <v>12.5</v>
          </cell>
          <cell r="J3276">
            <v>6.5</v>
          </cell>
          <cell r="K3276">
            <v>0.19500000000000001</v>
          </cell>
          <cell r="L3276">
            <v>1.6250000000000001E-2</v>
          </cell>
          <cell r="M3276">
            <v>2.19375E-3</v>
          </cell>
        </row>
        <row r="3277">
          <cell r="A3277" t="str">
            <v>ACCE1060047</v>
          </cell>
          <cell r="B3277">
            <v>3118220029545</v>
          </cell>
          <cell r="E3277" t="str">
            <v>CORDON "ZEUS", BLACK</v>
          </cell>
          <cell r="F3277">
            <v>12</v>
          </cell>
          <cell r="G3277">
            <v>12</v>
          </cell>
          <cell r="H3277">
            <v>0.27</v>
          </cell>
          <cell r="I3277">
            <v>0.125</v>
          </cell>
          <cell r="J3277">
            <v>6.5000000000000002E-2</v>
          </cell>
          <cell r="K3277">
            <v>0.153</v>
          </cell>
          <cell r="L3277">
            <v>1.2749999999999999E-2</v>
          </cell>
          <cell r="M3277">
            <v>2.1937500000000002E-9</v>
          </cell>
        </row>
        <row r="3278">
          <cell r="A3278" t="str">
            <v>ACCE1060048</v>
          </cell>
          <cell r="B3278">
            <v>3118220029552</v>
          </cell>
          <cell r="E3278" t="str">
            <v>CORDON "ZEUS", VETERAN</v>
          </cell>
          <cell r="F3278">
            <v>12</v>
          </cell>
          <cell r="G3278">
            <v>12</v>
          </cell>
          <cell r="H3278">
            <v>0.27</v>
          </cell>
          <cell r="I3278">
            <v>0.125</v>
          </cell>
          <cell r="J3278">
            <v>6.5000000000000002E-2</v>
          </cell>
          <cell r="K3278">
            <v>0.153</v>
          </cell>
          <cell r="L3278">
            <v>1.2749999999999999E-2</v>
          </cell>
          <cell r="M3278">
            <v>2.1937500000000002E-9</v>
          </cell>
        </row>
        <row r="3279">
          <cell r="A3279" t="str">
            <v>ACCE1060049</v>
          </cell>
          <cell r="B3279">
            <v>3118220031470</v>
          </cell>
          <cell r="E3279" t="str">
            <v>LAME LISSE DE REMPLACEMENT NITROX NOIRE CAC EN SACHET PLASTI</v>
          </cell>
          <cell r="F3279">
            <v>6</v>
          </cell>
          <cell r="G3279">
            <v>6</v>
          </cell>
          <cell r="H3279">
            <v>18</v>
          </cell>
          <cell r="I3279">
            <v>4.5</v>
          </cell>
          <cell r="J3279">
            <v>3</v>
          </cell>
          <cell r="K3279">
            <v>0.28199999999999997</v>
          </cell>
          <cell r="L3279">
            <v>4.6999999999999993E-2</v>
          </cell>
          <cell r="M3279">
            <v>2.43E-4</v>
          </cell>
        </row>
        <row r="3280">
          <cell r="A3280" t="str">
            <v>ACCE1060050</v>
          </cell>
          <cell r="B3280">
            <v>3118220035270</v>
          </cell>
          <cell r="E3280" t="str">
            <v>TB CLIP CEINTURE BLACK VINTAGE FERMANT OUTDOOR UNBOXER</v>
          </cell>
          <cell r="F3280">
            <v>100</v>
          </cell>
          <cell r="G3280">
            <v>100</v>
          </cell>
          <cell r="H3280">
            <v>40</v>
          </cell>
          <cell r="I3280">
            <v>30</v>
          </cell>
          <cell r="J3280">
            <v>20</v>
          </cell>
          <cell r="K3280">
            <v>0.41</v>
          </cell>
          <cell r="L3280">
            <v>4.0999999999999995E-3</v>
          </cell>
          <cell r="M3280">
            <v>2.4E-2</v>
          </cell>
        </row>
        <row r="3281">
          <cell r="A3281" t="str">
            <v>ACCE1060051</v>
          </cell>
          <cell r="B3281">
            <v>3118220035287</v>
          </cell>
          <cell r="E3281" t="str">
            <v>TB CLIP CEINTURE FERMANT OUTDOOR UNBOXER</v>
          </cell>
          <cell r="F3281">
            <v>100</v>
          </cell>
          <cell r="G3281">
            <v>100</v>
          </cell>
          <cell r="H3281">
            <v>40</v>
          </cell>
          <cell r="I3281">
            <v>30</v>
          </cell>
          <cell r="J3281">
            <v>20</v>
          </cell>
          <cell r="K3281">
            <v>0.41</v>
          </cell>
          <cell r="L3281">
            <v>4.0999999999999995E-3</v>
          </cell>
          <cell r="M3281">
            <v>2.4E-2</v>
          </cell>
        </row>
        <row r="3282">
          <cell r="A3282" t="str">
            <v>ACCE1070001</v>
          </cell>
          <cell r="B3282">
            <v>3118220040489</v>
          </cell>
          <cell r="E3282" t="str">
            <v>BRACELET SURVIE ALLUME FEU ET SCIE KEVLAR, ARMY GREEN , M</v>
          </cell>
          <cell r="F3282">
            <v>6</v>
          </cell>
          <cell r="G3282">
            <v>6</v>
          </cell>
          <cell r="H3282">
            <v>31.5</v>
          </cell>
          <cell r="I3282">
            <v>19</v>
          </cell>
          <cell r="J3282">
            <v>9</v>
          </cell>
          <cell r="K3282">
            <v>0.501</v>
          </cell>
          <cell r="L3282">
            <v>8.3500000000000005E-2</v>
          </cell>
          <cell r="M3282">
            <v>5.3864999999999998E-3</v>
          </cell>
        </row>
        <row r="3283">
          <cell r="A3283" t="str">
            <v>ACCE1070002</v>
          </cell>
          <cell r="B3283">
            <v>3118220040519</v>
          </cell>
          <cell r="E3283" t="str">
            <v>GRAPPIN</v>
          </cell>
          <cell r="F3283">
            <v>6</v>
          </cell>
          <cell r="G3283">
            <v>6</v>
          </cell>
          <cell r="H3283">
            <v>31.5</v>
          </cell>
          <cell r="I3283">
            <v>19</v>
          </cell>
          <cell r="J3283">
            <v>9</v>
          </cell>
          <cell r="K3283">
            <v>2.2829999999999999</v>
          </cell>
          <cell r="L3283">
            <v>0.3805</v>
          </cell>
          <cell r="M3283">
            <v>5.3864999999999998E-3</v>
          </cell>
        </row>
        <row r="3284">
          <cell r="A3284" t="str">
            <v>ACCE1070003</v>
          </cell>
          <cell r="B3284">
            <v>3118220040496</v>
          </cell>
          <cell r="E3284" t="str">
            <v>BRACELET SURVIE ALLUME FEU ET SCIE KEVLAR, ARMY GREEN , L</v>
          </cell>
          <cell r="F3284">
            <v>6</v>
          </cell>
          <cell r="G3284">
            <v>6</v>
          </cell>
          <cell r="H3284">
            <v>31.5</v>
          </cell>
          <cell r="I3284">
            <v>19</v>
          </cell>
          <cell r="J3284">
            <v>9</v>
          </cell>
          <cell r="K3284">
            <v>0.501</v>
          </cell>
          <cell r="L3284">
            <v>8.3500000000000005E-2</v>
          </cell>
          <cell r="M3284">
            <v>5.3864999999999998E-3</v>
          </cell>
        </row>
        <row r="3285">
          <cell r="A3285" t="str">
            <v>ACCE1070004</v>
          </cell>
          <cell r="B3285">
            <v>3118220040526</v>
          </cell>
          <cell r="E3285" t="str">
            <v>SCIE KEVLAR</v>
          </cell>
          <cell r="F3285">
            <v>6</v>
          </cell>
          <cell r="G3285">
            <v>6</v>
          </cell>
          <cell r="H3285">
            <v>27</v>
          </cell>
          <cell r="I3285">
            <v>12</v>
          </cell>
          <cell r="J3285">
            <v>6.5</v>
          </cell>
          <cell r="K3285">
            <v>0.17799999999999999</v>
          </cell>
          <cell r="L3285">
            <v>2.9666666666666664E-2</v>
          </cell>
          <cell r="M3285">
            <v>2.1060000000000002E-3</v>
          </cell>
        </row>
        <row r="3286">
          <cell r="A3286" t="str">
            <v>ACCE1060022</v>
          </cell>
          <cell r="B3286">
            <v>3118220022232</v>
          </cell>
          <cell r="E3286" t="str">
            <v>KIT PLAQUETTES CUSTOM MICARTA TOXIFIEE NOIR MARAUDEUR</v>
          </cell>
          <cell r="F3286">
            <v>6</v>
          </cell>
          <cell r="G3286">
            <v>6</v>
          </cell>
          <cell r="H3286">
            <v>0</v>
          </cell>
          <cell r="I3286">
            <v>0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</row>
        <row r="3287">
          <cell r="A3287" t="str">
            <v>ACCE1070006</v>
          </cell>
          <cell r="B3287">
            <v>3118220042933</v>
          </cell>
          <cell r="E3287" t="str">
            <v>PASSANT CEINTURE POUR ETUIS KYDEX + VISSERIE EN SACHET</v>
          </cell>
          <cell r="F3287">
            <v>6</v>
          </cell>
          <cell r="G3287">
            <v>6</v>
          </cell>
          <cell r="H3287">
            <v>27</v>
          </cell>
          <cell r="I3287">
            <v>12</v>
          </cell>
          <cell r="J3287">
            <v>6</v>
          </cell>
          <cell r="K3287">
            <v>0.29199999999999998</v>
          </cell>
          <cell r="L3287">
            <v>4.8666666666666664E-2</v>
          </cell>
          <cell r="M3287">
            <v>1.9440000000000002E-3</v>
          </cell>
        </row>
        <row r="3288">
          <cell r="A3288" t="str">
            <v>ACCE1070007</v>
          </cell>
          <cell r="B3288">
            <v>3118220042940</v>
          </cell>
          <cell r="E3288" t="str">
            <v>TAC CLIP EN SACHET</v>
          </cell>
          <cell r="F3288">
            <v>6</v>
          </cell>
          <cell r="G3288">
            <v>6</v>
          </cell>
          <cell r="H3288">
            <v>27</v>
          </cell>
          <cell r="I3288">
            <v>12</v>
          </cell>
          <cell r="J3288">
            <v>6</v>
          </cell>
          <cell r="K3288">
            <v>0.43</v>
          </cell>
          <cell r="L3288">
            <v>7.166666666666667E-2</v>
          </cell>
          <cell r="M3288">
            <v>1.9440000000000002E-3</v>
          </cell>
        </row>
        <row r="3289">
          <cell r="A3289" t="str">
            <v>ACCE1070008</v>
          </cell>
          <cell r="B3289">
            <v>3118220042957</v>
          </cell>
          <cell r="E3289" t="str">
            <v>MOLLE KIT RAPIDE EN SACHET</v>
          </cell>
          <cell r="F3289">
            <v>6</v>
          </cell>
          <cell r="G3289">
            <v>6</v>
          </cell>
          <cell r="H3289">
            <v>27</v>
          </cell>
          <cell r="I3289">
            <v>12</v>
          </cell>
          <cell r="J3289">
            <v>6</v>
          </cell>
          <cell r="K3289">
            <v>0.14699999999999999</v>
          </cell>
          <cell r="L3289">
            <v>2.4499999999999997E-2</v>
          </cell>
          <cell r="M3289">
            <v>1.9440000000000002E-3</v>
          </cell>
        </row>
        <row r="3290">
          <cell r="A3290" t="str">
            <v>ACCE1070009</v>
          </cell>
          <cell r="B3290">
            <v>3118220042964</v>
          </cell>
          <cell r="E3290" t="str">
            <v>AFFUTEUR DIAMANT EN ETUI KYDEX AVEX VISSERIE</v>
          </cell>
          <cell r="F3290">
            <v>6</v>
          </cell>
          <cell r="G3290">
            <v>6</v>
          </cell>
          <cell r="H3290">
            <v>27</v>
          </cell>
          <cell r="I3290">
            <v>12</v>
          </cell>
          <cell r="J3290">
            <v>6</v>
          </cell>
          <cell r="K3290">
            <v>0.316</v>
          </cell>
          <cell r="L3290">
            <v>5.2666666666666667E-2</v>
          </cell>
          <cell r="M3290">
            <v>1.9440000000000002E-3</v>
          </cell>
        </row>
        <row r="3291">
          <cell r="A3291" t="str">
            <v>ACCE1890001</v>
          </cell>
          <cell r="B3291">
            <v>3118220043527</v>
          </cell>
          <cell r="E3291" t="str">
            <v>TABLIER CUISINE NOIR 88*68CM 65% POLYEST. 35% COTON TOP CHEF</v>
          </cell>
          <cell r="F3291">
            <v>80</v>
          </cell>
          <cell r="G3291">
            <v>80</v>
          </cell>
          <cell r="H3291">
            <v>52.5</v>
          </cell>
          <cell r="I3291">
            <v>38</v>
          </cell>
          <cell r="J3291">
            <v>31</v>
          </cell>
          <cell r="K3291">
            <v>17.614999999999998</v>
          </cell>
          <cell r="L3291">
            <v>0.22018749999999998</v>
          </cell>
          <cell r="M3291">
            <v>6.1844999999999997E-2</v>
          </cell>
        </row>
        <row r="3292">
          <cell r="A3292" t="str">
            <v>ACCE1890002</v>
          </cell>
          <cell r="B3292">
            <v>3118220043534</v>
          </cell>
          <cell r="E3292" t="str">
            <v>SET DE 3 TORCHONS NOIR 50*70 CM 100% COTON TOP CHEF</v>
          </cell>
          <cell r="F3292">
            <v>80</v>
          </cell>
          <cell r="G3292">
            <v>80</v>
          </cell>
          <cell r="H3292">
            <v>55</v>
          </cell>
          <cell r="I3292">
            <v>42</v>
          </cell>
          <cell r="J3292">
            <v>36</v>
          </cell>
          <cell r="K3292">
            <v>17.244</v>
          </cell>
          <cell r="L3292">
            <v>0.21554999999999999</v>
          </cell>
          <cell r="M3292">
            <v>8.3160000000000012E-2</v>
          </cell>
        </row>
        <row r="3293">
          <cell r="A3293" t="str">
            <v>ACCE1070005</v>
          </cell>
          <cell r="B3293">
            <v>3118220041288</v>
          </cell>
          <cell r="E3293" t="str">
            <v>ENSEMBLE BAIONETTE ETUI ARMEE</v>
          </cell>
          <cell r="F3293">
            <v>1</v>
          </cell>
          <cell r="G3293">
            <v>1</v>
          </cell>
          <cell r="H3293">
            <v>0</v>
          </cell>
          <cell r="I3293">
            <v>0</v>
          </cell>
          <cell r="J3293">
            <v>0</v>
          </cell>
          <cell r="K3293">
            <v>0</v>
          </cell>
          <cell r="L3293">
            <v>0</v>
          </cell>
          <cell r="M3293">
            <v>0</v>
          </cell>
        </row>
        <row r="3294">
          <cell r="A3294" t="str">
            <v>Comp0010001</v>
          </cell>
          <cell r="B3294">
            <v>3118220051201</v>
          </cell>
          <cell r="C3294">
            <v>13118220051208</v>
          </cell>
          <cell r="D3294">
            <v>23118220051205</v>
          </cell>
          <cell r="E3294" t="str">
            <v>LAME BLANCHE CERAMIQUE POUR OFFICE EQUILIBRE</v>
          </cell>
          <cell r="F3294">
            <v>100</v>
          </cell>
          <cell r="G3294">
            <v>100</v>
          </cell>
          <cell r="L3294">
            <v>0</v>
          </cell>
          <cell r="M3294">
            <v>0</v>
          </cell>
        </row>
        <row r="3295">
          <cell r="A3295" t="str">
            <v>Comp0010002</v>
          </cell>
          <cell r="B3295">
            <v>3118220051218</v>
          </cell>
          <cell r="C3295">
            <v>13118220051215</v>
          </cell>
          <cell r="D3295">
            <v>23118220051212</v>
          </cell>
          <cell r="E3295" t="str">
            <v>LAME BLANCHE CERAMIQUE POUR STEAK EQUILIBRE</v>
          </cell>
          <cell r="F3295">
            <v>100</v>
          </cell>
          <cell r="G3295">
            <v>100</v>
          </cell>
          <cell r="L3295">
            <v>0</v>
          </cell>
          <cell r="M3295">
            <v>0</v>
          </cell>
        </row>
        <row r="3296">
          <cell r="A3296" t="str">
            <v>Comp0010003</v>
          </cell>
          <cell r="B3296">
            <v>3118220051225</v>
          </cell>
          <cell r="C3296">
            <v>13118220051222</v>
          </cell>
          <cell r="D3296">
            <v>23118220051229</v>
          </cell>
          <cell r="E3296" t="str">
            <v>LAME BLANCHE CERAMIQUE POUR CUISINE EQUILIBRE</v>
          </cell>
          <cell r="F3296">
            <v>100</v>
          </cell>
          <cell r="G3296">
            <v>100</v>
          </cell>
          <cell r="L3296">
            <v>0</v>
          </cell>
          <cell r="M3296">
            <v>0</v>
          </cell>
        </row>
        <row r="3297">
          <cell r="A3297" t="str">
            <v>Comp0010004</v>
          </cell>
          <cell r="B3297">
            <v>3118220051232</v>
          </cell>
          <cell r="C3297">
            <v>13118220051239</v>
          </cell>
          <cell r="D3297">
            <v>23118220051236</v>
          </cell>
          <cell r="E3297" t="str">
            <v>LAME BLANCHE CERAMIQUE POUR SANTOKU EQUILIBRE</v>
          </cell>
          <cell r="F3297">
            <v>100</v>
          </cell>
          <cell r="G3297">
            <v>100</v>
          </cell>
          <cell r="L3297">
            <v>0</v>
          </cell>
          <cell r="M3297">
            <v>0</v>
          </cell>
        </row>
        <row r="3298">
          <cell r="A3298" t="str">
            <v>Comp0010005</v>
          </cell>
          <cell r="B3298">
            <v>3118220051249</v>
          </cell>
          <cell r="C3298">
            <v>13118220051246</v>
          </cell>
          <cell r="D3298">
            <v>23118220051243</v>
          </cell>
          <cell r="E3298" t="str">
            <v>LAME BLANCHE CERAMIQUE POUR NAKIRI EQUILIBRE</v>
          </cell>
          <cell r="F3298">
            <v>100</v>
          </cell>
          <cell r="G3298">
            <v>100</v>
          </cell>
          <cell r="L3298">
            <v>0</v>
          </cell>
          <cell r="M3298">
            <v>0</v>
          </cell>
        </row>
        <row r="3299">
          <cell r="A3299" t="str">
            <v>COMP0020009</v>
          </cell>
          <cell r="B3299">
            <v>3118220026391</v>
          </cell>
          <cell r="C3299" t="str">
            <v>13118220026398</v>
          </cell>
          <cell r="D3299" t="str">
            <v>23118220026395</v>
          </cell>
          <cell r="E3299" t="str">
            <v>BOITE VIDE LAGUIOLE HERITAGE POUR M16 ACIDULE</v>
          </cell>
          <cell r="F3299">
            <v>50</v>
          </cell>
          <cell r="G3299">
            <v>50</v>
          </cell>
          <cell r="H3299">
            <v>49.5</v>
          </cell>
          <cell r="I3299">
            <v>25.5</v>
          </cell>
          <cell r="J3299">
            <v>41</v>
          </cell>
          <cell r="K3299">
            <v>6.819</v>
          </cell>
          <cell r="L3299">
            <v>0.13638</v>
          </cell>
          <cell r="M3299">
            <v>5.175225E-2</v>
          </cell>
        </row>
        <row r="3300">
          <cell r="A3300" t="str">
            <v>COMP0020010</v>
          </cell>
          <cell r="B3300">
            <v>3118220030985</v>
          </cell>
          <cell r="C3300" t="str">
            <v>13118220030982</v>
          </cell>
          <cell r="D3300" t="str">
            <v>23118220030989</v>
          </cell>
          <cell r="E3300" t="str">
            <v>COFFRET BOIS VIDE POUR SERVICE A DÉCOUPER 2 PIÈCES ACIDULE</v>
          </cell>
          <cell r="F3300">
            <v>6</v>
          </cell>
          <cell r="G3300">
            <v>6</v>
          </cell>
          <cell r="H3300">
            <v>35.5</v>
          </cell>
          <cell r="I3300">
            <v>17</v>
          </cell>
          <cell r="J3300">
            <v>21.5</v>
          </cell>
          <cell r="K3300">
            <v>5.8010000000000002</v>
          </cell>
          <cell r="L3300">
            <v>0.96683333333333332</v>
          </cell>
          <cell r="M3300">
            <v>1.2975250000000001E-2</v>
          </cell>
        </row>
        <row r="3301">
          <cell r="A3301" t="str">
            <v>COMP0020011</v>
          </cell>
          <cell r="B3301">
            <v>3118220030992</v>
          </cell>
          <cell r="E3301" t="str">
            <v>COFFRET BOIS VIDE POUR SERVICE A DÉCOUPER 3 PIÈCES ACIDULE</v>
          </cell>
          <cell r="F3301">
            <v>6</v>
          </cell>
          <cell r="G3301">
            <v>6</v>
          </cell>
          <cell r="H3301">
            <v>35.5</v>
          </cell>
          <cell r="I3301">
            <v>17</v>
          </cell>
          <cell r="J3301">
            <v>21.5</v>
          </cell>
          <cell r="K3301">
            <v>3.44</v>
          </cell>
          <cell r="L3301">
            <v>0.57333333333333336</v>
          </cell>
          <cell r="M3301">
            <v>1.2975250000000001E-2</v>
          </cell>
        </row>
        <row r="3302">
          <cell r="A3302" t="str">
            <v>COMP0020012</v>
          </cell>
          <cell r="B3302">
            <v>3118220031463</v>
          </cell>
          <cell r="C3302" t="str">
            <v>13118220031460</v>
          </cell>
          <cell r="D3302" t="str">
            <v>23118220031467</v>
          </cell>
          <cell r="E3302" t="str">
            <v>COFFRET BOIS VIDE CRUSTACES 13 PIECES ACIDULE</v>
          </cell>
          <cell r="F3302">
            <v>6</v>
          </cell>
          <cell r="G3302">
            <v>6</v>
          </cell>
          <cell r="H3302">
            <v>36.5</v>
          </cell>
          <cell r="I3302">
            <v>17</v>
          </cell>
          <cell r="J3302">
            <v>19.5</v>
          </cell>
          <cell r="K3302">
            <v>4.5549999999999997</v>
          </cell>
          <cell r="L3302">
            <v>0.75916666666666666</v>
          </cell>
          <cell r="M3302">
            <v>1.2099749999999999E-2</v>
          </cell>
        </row>
        <row r="3303">
          <cell r="A3303" t="str">
            <v>COMP0012</v>
          </cell>
          <cell r="B3303">
            <v>3118220005334</v>
          </cell>
          <cell r="E3303" t="str">
            <v>PANIERE VIDE + TUBE PVC M24 LISA</v>
          </cell>
          <cell r="F3303">
            <v>6</v>
          </cell>
          <cell r="G3303">
            <v>6</v>
          </cell>
          <cell r="H3303">
            <v>0</v>
          </cell>
          <cell r="I3303">
            <v>0</v>
          </cell>
          <cell r="J3303">
            <v>0</v>
          </cell>
          <cell r="K3303">
            <v>0</v>
          </cell>
          <cell r="L3303">
            <v>0</v>
          </cell>
          <cell r="M3303">
            <v>0</v>
          </cell>
        </row>
        <row r="3304">
          <cell r="A3304" t="str">
            <v>Comp0020013</v>
          </cell>
          <cell r="B3304">
            <v>3118220038905</v>
          </cell>
          <cell r="C3304" t="str">
            <v>13118220038902</v>
          </cell>
          <cell r="D3304" t="str">
            <v>23118220038909</v>
          </cell>
          <cell r="E3304" t="str">
            <v>LAME COUTEAU FROMAGE ACIDULE COULEUR POUR REF 10020116</v>
          </cell>
          <cell r="F3304">
            <v>0</v>
          </cell>
          <cell r="G3304">
            <v>0</v>
          </cell>
          <cell r="H3304">
            <v>0</v>
          </cell>
          <cell r="I3304">
            <v>0</v>
          </cell>
          <cell r="J3304">
            <v>0</v>
          </cell>
          <cell r="K3304">
            <v>0</v>
          </cell>
          <cell r="L3304" t="e">
            <v>#DIV/0!</v>
          </cell>
          <cell r="M3304">
            <v>0</v>
          </cell>
        </row>
        <row r="3305">
          <cell r="A3305" t="str">
            <v>Comp0020014</v>
          </cell>
          <cell r="B3305">
            <v>3118220050549</v>
          </cell>
          <cell r="C3305" t="str">
            <v>13118220050546</v>
          </cell>
          <cell r="D3305" t="str">
            <v>23118220050543</v>
          </cell>
          <cell r="E3305" t="str">
            <v>COFFRET VIDE LH PELLE A TARTE+ 6 FTTES GATEAU ACIDULE NOIR</v>
          </cell>
          <cell r="F3305">
            <v>50</v>
          </cell>
          <cell r="G3305">
            <v>50</v>
          </cell>
          <cell r="K3305">
            <v>2.2999999999999998</v>
          </cell>
          <cell r="L3305">
            <v>4.5999999999999999E-2</v>
          </cell>
          <cell r="M3305">
            <v>0</v>
          </cell>
        </row>
        <row r="3306">
          <cell r="A3306" t="str">
            <v>Comp0020015</v>
          </cell>
          <cell r="B3306">
            <v>3118220050556</v>
          </cell>
          <cell r="C3306" t="str">
            <v>13118220050553</v>
          </cell>
          <cell r="D3306" t="str">
            <v>23118220050550</v>
          </cell>
          <cell r="E3306" t="str">
            <v>COFFRET VIDE LH PELLE A TARTE+ 6 FTTES GATEAU ACIDULE BLANC</v>
          </cell>
          <cell r="F3306">
            <v>50</v>
          </cell>
          <cell r="G3306">
            <v>50</v>
          </cell>
          <cell r="K3306">
            <v>2.2999999999999998</v>
          </cell>
          <cell r="L3306">
            <v>4.5999999999999999E-2</v>
          </cell>
          <cell r="M3306">
            <v>0</v>
          </cell>
        </row>
        <row r="3307">
          <cell r="A3307" t="str">
            <v>COMP0050001</v>
          </cell>
          <cell r="B3307">
            <v>3118220019584</v>
          </cell>
          <cell r="E3307" t="str">
            <v>HUITRE EVOL SENS LASURE COUL PANACHE VRAC</v>
          </cell>
          <cell r="F3307">
            <v>60</v>
          </cell>
          <cell r="G3307">
            <v>60</v>
          </cell>
          <cell r="H3307">
            <v>33</v>
          </cell>
          <cell r="I3307">
            <v>23</v>
          </cell>
          <cell r="J3307">
            <v>19</v>
          </cell>
          <cell r="K3307">
            <v>3.524</v>
          </cell>
          <cell r="L3307">
            <v>5.8733333333333332E-2</v>
          </cell>
          <cell r="M3307">
            <v>1.4421000000000002E-2</v>
          </cell>
        </row>
        <row r="3308">
          <cell r="A3308" t="str">
            <v>COMP0048</v>
          </cell>
          <cell r="B3308">
            <v>3118220011571</v>
          </cell>
          <cell r="F3308">
            <v>6</v>
          </cell>
          <cell r="G3308">
            <v>6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</row>
        <row r="3309">
          <cell r="A3309" t="str">
            <v>COMP0052</v>
          </cell>
          <cell r="B3309">
            <v>3118220008892</v>
          </cell>
          <cell r="C3309" t="str">
            <v>13118220008899</v>
          </cell>
          <cell r="D3309" t="str">
            <v>23118220008896</v>
          </cell>
          <cell r="E3309" t="str">
            <v>COFFRET BOIS VIDE  POUR 6 FOURCHETTE LAGUIOLE TRADITION</v>
          </cell>
          <cell r="F3309">
            <v>6</v>
          </cell>
          <cell r="G3309">
            <v>6</v>
          </cell>
          <cell r="H3309">
            <v>28</v>
          </cell>
          <cell r="I3309">
            <v>28</v>
          </cell>
          <cell r="J3309">
            <v>24.5</v>
          </cell>
          <cell r="K3309">
            <v>4.1379999999999999</v>
          </cell>
          <cell r="L3309">
            <v>0.68966666666666665</v>
          </cell>
          <cell r="M3309">
            <v>1.9208000000000003E-2</v>
          </cell>
        </row>
        <row r="3310">
          <cell r="A3310" t="str">
            <v>COMP0053</v>
          </cell>
          <cell r="B3310">
            <v>3118220008908</v>
          </cell>
          <cell r="E3310" t="str">
            <v>COFFRET BI MAT 255 VIDE POUR 6 COUTEAUX LAGUIOLE TRADITION</v>
          </cell>
          <cell r="F3310">
            <v>6</v>
          </cell>
          <cell r="G3310">
            <v>6</v>
          </cell>
          <cell r="H3310">
            <v>28</v>
          </cell>
          <cell r="I3310">
            <v>23</v>
          </cell>
          <cell r="J3310">
            <v>28</v>
          </cell>
          <cell r="K3310">
            <v>4.1500000000000004</v>
          </cell>
          <cell r="L3310">
            <v>0.69166666666666676</v>
          </cell>
          <cell r="M3310">
            <v>1.8031999999999999E-2</v>
          </cell>
        </row>
        <row r="3311">
          <cell r="A3311" t="str">
            <v>COMP0050008</v>
          </cell>
          <cell r="B3311">
            <v>3118220029255</v>
          </cell>
          <cell r="E3311" t="str">
            <v>BOITE TB COLLECTION VIDE + FACADE POUR M24 IMPERIAL</v>
          </cell>
          <cell r="F3311">
            <v>6</v>
          </cell>
          <cell r="G3311">
            <v>6</v>
          </cell>
          <cell r="H3311">
            <v>0</v>
          </cell>
          <cell r="I3311">
            <v>0</v>
          </cell>
          <cell r="J3311">
            <v>0</v>
          </cell>
          <cell r="K3311">
            <v>0</v>
          </cell>
          <cell r="L3311">
            <v>0</v>
          </cell>
          <cell r="M3311">
            <v>0</v>
          </cell>
        </row>
        <row r="3312">
          <cell r="A3312" t="str">
            <v>COMP0059</v>
          </cell>
          <cell r="B3312">
            <v>3118220008809</v>
          </cell>
          <cell r="E3312" t="str">
            <v>BOITE VIDE M16 TOSCANE NOIR MDD CRF</v>
          </cell>
          <cell r="F3312">
            <v>6</v>
          </cell>
          <cell r="G3312">
            <v>6</v>
          </cell>
          <cell r="H3312">
            <v>45</v>
          </cell>
          <cell r="I3312">
            <v>46</v>
          </cell>
          <cell r="J3312">
            <v>38</v>
          </cell>
          <cell r="K3312">
            <v>15.64</v>
          </cell>
          <cell r="L3312">
            <v>2.6066666666666669</v>
          </cell>
          <cell r="M3312">
            <v>7.8659999999999994E-2</v>
          </cell>
        </row>
        <row r="3313">
          <cell r="A3313" t="str">
            <v>COMP0054</v>
          </cell>
          <cell r="B3313">
            <v>3118220012844</v>
          </cell>
          <cell r="C3313" t="str">
            <v>13118220012841</v>
          </cell>
          <cell r="D3313" t="str">
            <v>23118220012848</v>
          </cell>
          <cell r="E3313" t="str">
            <v>COFFRET BI MAT 255 POUR 6 STEAKS LAG EVOLUTION MIROIR</v>
          </cell>
          <cell r="F3313">
            <v>12</v>
          </cell>
          <cell r="G3313">
            <v>12</v>
          </cell>
          <cell r="H3313">
            <v>0</v>
          </cell>
          <cell r="I3313">
            <v>0</v>
          </cell>
          <cell r="J3313">
            <v>0</v>
          </cell>
          <cell r="K3313">
            <v>0</v>
          </cell>
          <cell r="L3313">
            <v>0</v>
          </cell>
          <cell r="M3313">
            <v>0</v>
          </cell>
        </row>
        <row r="3314">
          <cell r="A3314" t="str">
            <v>COMP0073</v>
          </cell>
          <cell r="E3314" t="str">
            <v>COFFRET BI MAT VIDE POUR SOMMELIER ACIDULE 60020004</v>
          </cell>
          <cell r="F3314">
            <v>1</v>
          </cell>
          <cell r="G3314">
            <v>0</v>
          </cell>
          <cell r="H3314">
            <v>0</v>
          </cell>
          <cell r="I3314">
            <v>0</v>
          </cell>
          <cell r="J3314">
            <v>0</v>
          </cell>
          <cell r="K3314">
            <v>0</v>
          </cell>
          <cell r="L3314">
            <v>0</v>
          </cell>
          <cell r="M3314">
            <v>0</v>
          </cell>
        </row>
        <row r="3315">
          <cell r="A3315" t="str">
            <v>COMP0100005</v>
          </cell>
          <cell r="B3315">
            <v>3118220026209</v>
          </cell>
          <cell r="C3315" t="str">
            <v>13118220026206</v>
          </cell>
          <cell r="D3315" t="str">
            <v>23118220026203</v>
          </cell>
          <cell r="E3315" t="str">
            <v>COFFRET BOIS VIDE 6 STEAK LAGUIOLE, EXPRESSION/HERITAGE/SENS</v>
          </cell>
          <cell r="F3315">
            <v>6</v>
          </cell>
          <cell r="G3315">
            <v>6</v>
          </cell>
          <cell r="H3315">
            <v>28.5</v>
          </cell>
          <cell r="I3315">
            <v>17.5</v>
          </cell>
          <cell r="J3315">
            <v>19</v>
          </cell>
          <cell r="K3315">
            <v>2.387</v>
          </cell>
          <cell r="L3315">
            <v>0.39783333333333332</v>
          </cell>
          <cell r="M3315">
            <v>9.4762499999999986E-3</v>
          </cell>
        </row>
        <row r="3316">
          <cell r="A3316" t="str">
            <v>COMP0100006</v>
          </cell>
          <cell r="B3316">
            <v>3118220029569</v>
          </cell>
          <cell r="C3316" t="str">
            <v>13118220029566</v>
          </cell>
          <cell r="D3316" t="str">
            <v>23118220029563</v>
          </cell>
          <cell r="E3316" t="str">
            <v>BOITE VIDE PLATE LAGUIOLE HERITAGE POUR M16 OU M24 LAGUIOLE</v>
          </cell>
          <cell r="F3316">
            <v>6</v>
          </cell>
          <cell r="G3316">
            <v>6</v>
          </cell>
          <cell r="H3316">
            <v>33</v>
          </cell>
          <cell r="I3316">
            <v>29</v>
          </cell>
          <cell r="J3316">
            <v>29.5</v>
          </cell>
          <cell r="K3316">
            <v>1.9570000000000001</v>
          </cell>
          <cell r="L3316">
            <v>0.32616666666666666</v>
          </cell>
          <cell r="M3316">
            <v>2.82315E-2</v>
          </cell>
        </row>
        <row r="3317">
          <cell r="A3317" t="str">
            <v>COMP0100007</v>
          </cell>
          <cell r="B3317">
            <v>3118220030282</v>
          </cell>
          <cell r="E3317" t="str">
            <v>BOITE LAG HERITAGE VIDE BLEUE+FACADE ROUGE POUR M24 HERITAGE</v>
          </cell>
          <cell r="F3317">
            <v>60</v>
          </cell>
          <cell r="G3317">
            <v>60</v>
          </cell>
          <cell r="H3317">
            <v>50</v>
          </cell>
          <cell r="I3317">
            <v>24</v>
          </cell>
          <cell r="J3317">
            <v>47</v>
          </cell>
          <cell r="K3317">
            <v>8.6989999999999998</v>
          </cell>
          <cell r="L3317">
            <v>0.14498333333333333</v>
          </cell>
          <cell r="M3317">
            <v>5.6399999999999999E-2</v>
          </cell>
        </row>
        <row r="3318">
          <cell r="A3318" t="str">
            <v>COMP0100004</v>
          </cell>
          <cell r="B3318">
            <v>3118220033160</v>
          </cell>
          <cell r="C3318" t="str">
            <v>13118220033167</v>
          </cell>
          <cell r="D3318" t="str">
            <v>23118220033164</v>
          </cell>
          <cell r="E3318" t="str">
            <v>BLOC PIN VIDE DESIGN BLANC LAQUE  POUR 6 CTX LAG</v>
          </cell>
          <cell r="F3318">
            <v>50</v>
          </cell>
          <cell r="G3318">
            <v>50</v>
          </cell>
          <cell r="H3318">
            <v>0</v>
          </cell>
          <cell r="I3318">
            <v>0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</row>
        <row r="3319">
          <cell r="A3319" t="str">
            <v>COMP0100012</v>
          </cell>
          <cell r="B3319">
            <v>3118220031432</v>
          </cell>
          <cell r="C3319" t="str">
            <v>13118220031439</v>
          </cell>
          <cell r="D3319" t="str">
            <v>23118220031436</v>
          </cell>
          <cell r="E3319" t="str">
            <v>COFFRET BOIS VIDE 6 FOURCHETTES LAGUIOLE SENS</v>
          </cell>
          <cell r="F3319">
            <v>6</v>
          </cell>
          <cell r="G3319">
            <v>6</v>
          </cell>
          <cell r="H3319">
            <v>29.5</v>
          </cell>
          <cell r="I3319">
            <v>17</v>
          </cell>
          <cell r="J3319">
            <v>27.5</v>
          </cell>
          <cell r="K3319">
            <v>4.1449999999999996</v>
          </cell>
          <cell r="L3319">
            <v>0.6908333333333333</v>
          </cell>
          <cell r="M3319">
            <v>1.379125E-2</v>
          </cell>
        </row>
        <row r="3320">
          <cell r="A3320" t="str">
            <v>COMP0100013</v>
          </cell>
          <cell r="B3320">
            <v>3118220031449</v>
          </cell>
          <cell r="C3320" t="str">
            <v>13118220031446</v>
          </cell>
          <cell r="D3320" t="str">
            <v>23118220031443</v>
          </cell>
          <cell r="E3320" t="str">
            <v>COFFRET BOIS VIDE 6 CUILLERES DE TABLE LAGUIOLE SENS</v>
          </cell>
          <cell r="F3320">
            <v>6</v>
          </cell>
          <cell r="G3320">
            <v>6</v>
          </cell>
          <cell r="H3320">
            <v>29</v>
          </cell>
          <cell r="I3320">
            <v>17.5</v>
          </cell>
          <cell r="J3320">
            <v>36.5</v>
          </cell>
          <cell r="K3320">
            <v>4.6280000000000001</v>
          </cell>
          <cell r="L3320">
            <v>0.77133333333333332</v>
          </cell>
          <cell r="M3320">
            <v>1.8523749999999995E-2</v>
          </cell>
        </row>
        <row r="3321">
          <cell r="A3321" t="str">
            <v>COMP0100014</v>
          </cell>
          <cell r="B3321">
            <v>3118220031456</v>
          </cell>
          <cell r="C3321" t="str">
            <v>13118220031453</v>
          </cell>
          <cell r="D3321" t="str">
            <v>23118220031450</v>
          </cell>
          <cell r="E3321" t="str">
            <v>COFFRET BOIS VIDE 6 CAFE LAGUIOLE SENS</v>
          </cell>
          <cell r="F3321">
            <v>6</v>
          </cell>
          <cell r="G3321">
            <v>6</v>
          </cell>
          <cell r="H3321">
            <v>25</v>
          </cell>
          <cell r="I3321">
            <v>17</v>
          </cell>
          <cell r="J3321">
            <v>29</v>
          </cell>
          <cell r="K3321">
            <v>3.952</v>
          </cell>
          <cell r="L3321">
            <v>0.65866666666666662</v>
          </cell>
          <cell r="M3321">
            <v>1.2325000000000001E-2</v>
          </cell>
        </row>
        <row r="3322">
          <cell r="A3322" t="str">
            <v>Comp0100011</v>
          </cell>
          <cell r="B3322" t="str">
            <v>3118220031296</v>
          </cell>
          <cell r="C3322" t="str">
            <v>13118220031293</v>
          </cell>
          <cell r="D3322" t="str">
            <v>23118220031290</v>
          </cell>
          <cell r="E3322" t="str">
            <v>COUTEAU LAGUIOLE METAL NON GENCODE</v>
          </cell>
          <cell r="F3322">
            <v>0</v>
          </cell>
          <cell r="G3322">
            <v>0</v>
          </cell>
          <cell r="H3322">
            <v>0</v>
          </cell>
          <cell r="I3322">
            <v>0</v>
          </cell>
          <cell r="J3322">
            <v>0</v>
          </cell>
          <cell r="K3322">
            <v>0</v>
          </cell>
          <cell r="L3322" t="e">
            <v>#DIV/0!</v>
          </cell>
          <cell r="M3322">
            <v>0</v>
          </cell>
        </row>
        <row r="3323">
          <cell r="A3323" t="str">
            <v>COMP0100018</v>
          </cell>
          <cell r="B3323">
            <v>3118220038875</v>
          </cell>
          <cell r="E3323" t="str">
            <v>COFF BOIS VIDE 6 STEAK LAGUIOLE EXPRESSION/HERITAGE/SENS NLV</v>
          </cell>
          <cell r="F3323">
            <v>6</v>
          </cell>
          <cell r="G3323">
            <v>6</v>
          </cell>
          <cell r="H3323">
            <v>28</v>
          </cell>
          <cell r="I3323">
            <v>17</v>
          </cell>
          <cell r="J3323">
            <v>20.5</v>
          </cell>
          <cell r="K3323">
            <v>2.4140000000000001</v>
          </cell>
          <cell r="L3323">
            <v>0.40233333333333338</v>
          </cell>
          <cell r="M3323">
            <v>9.758000000000001E-3</v>
          </cell>
        </row>
        <row r="3324">
          <cell r="A3324" t="str">
            <v>COMP0100016</v>
          </cell>
          <cell r="B3324">
            <v>3118220034075</v>
          </cell>
          <cell r="E3324" t="str">
            <v>BLOC PIN VIDE NOIR POUR 6 CTX LAG</v>
          </cell>
          <cell r="F3324">
            <v>50</v>
          </cell>
          <cell r="G3324">
            <v>50</v>
          </cell>
          <cell r="H3324">
            <v>0</v>
          </cell>
          <cell r="I3324">
            <v>0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</row>
        <row r="3325">
          <cell r="A3325" t="str">
            <v>COMP0100019</v>
          </cell>
          <cell r="B3325">
            <v>3118220041271</v>
          </cell>
          <cell r="E3325" t="str">
            <v>BOITE VIDE LAGUIOLE POUR M16 LAGUIOLE INTUTION</v>
          </cell>
          <cell r="F3325">
            <v>6</v>
          </cell>
          <cell r="G3325">
            <v>1</v>
          </cell>
          <cell r="H3325">
            <v>0</v>
          </cell>
          <cell r="I3325">
            <v>0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</row>
        <row r="3326">
          <cell r="A3326" t="str">
            <v>COMP0100021</v>
          </cell>
          <cell r="B3326">
            <v>3118220046856</v>
          </cell>
          <cell r="E3326" t="str">
            <v>BOITE VIDE LAGUIOLE POUR M16 LAGUIOLE INTUTION PVD NOIR MAT</v>
          </cell>
          <cell r="F3326">
            <v>1</v>
          </cell>
          <cell r="G3326">
            <v>1</v>
          </cell>
          <cell r="H3326">
            <v>56.5</v>
          </cell>
          <cell r="I3326">
            <v>24</v>
          </cell>
          <cell r="J3326">
            <v>47</v>
          </cell>
          <cell r="K3326">
            <v>0</v>
          </cell>
          <cell r="L3326">
            <v>0</v>
          </cell>
          <cell r="M3326">
            <v>6.3731999999999997E-2</v>
          </cell>
        </row>
        <row r="3327">
          <cell r="A3327" t="str">
            <v>COMP0109</v>
          </cell>
          <cell r="B3327">
            <v>3118220012349</v>
          </cell>
          <cell r="E3327" t="str">
            <v>COFFRET BI MAT 255 VIDE POUR 6 STEAKS ACIDULE OU SENS</v>
          </cell>
          <cell r="F3327">
            <v>6</v>
          </cell>
          <cell r="G3327">
            <v>6</v>
          </cell>
          <cell r="H3327">
            <v>28</v>
          </cell>
          <cell r="I3327">
            <v>23</v>
          </cell>
          <cell r="J3327">
            <v>28</v>
          </cell>
          <cell r="K3327">
            <v>3.84</v>
          </cell>
          <cell r="L3327">
            <v>0.64</v>
          </cell>
          <cell r="M3327">
            <v>1.8031999999999999E-2</v>
          </cell>
        </row>
        <row r="3328">
          <cell r="A3328" t="str">
            <v>COMP0110003</v>
          </cell>
          <cell r="B3328">
            <v>3118220026377</v>
          </cell>
          <cell r="E3328" t="str">
            <v>BOITE LAG HERITAGE VIDE BLEUE+FACADE ROUGE POUR M16 HERITAGE</v>
          </cell>
          <cell r="F3328">
            <v>6</v>
          </cell>
          <cell r="G3328">
            <v>6</v>
          </cell>
          <cell r="H3328">
            <v>30</v>
          </cell>
          <cell r="I3328">
            <v>28</v>
          </cell>
          <cell r="J3328">
            <v>31</v>
          </cell>
          <cell r="K3328">
            <v>1.37</v>
          </cell>
          <cell r="L3328">
            <v>0.22833333333333336</v>
          </cell>
          <cell r="M3328">
            <v>2.6040000000000001E-2</v>
          </cell>
        </row>
        <row r="3329">
          <cell r="A3329" t="str">
            <v>COMP0111</v>
          </cell>
          <cell r="B3329">
            <v>3118220007680</v>
          </cell>
          <cell r="E3329" t="str">
            <v>COFFRET BI MAT 255 VIDE POUR 6 STEAKS HECTOR</v>
          </cell>
          <cell r="F3329">
            <v>6</v>
          </cell>
          <cell r="G3329">
            <v>6</v>
          </cell>
          <cell r="H3329">
            <v>28</v>
          </cell>
          <cell r="I3329">
            <v>23</v>
          </cell>
          <cell r="J3329">
            <v>28</v>
          </cell>
          <cell r="K3329">
            <v>1.8</v>
          </cell>
          <cell r="L3329">
            <v>0.3</v>
          </cell>
          <cell r="M3329">
            <v>1.8031999999999999E-2</v>
          </cell>
        </row>
        <row r="3330">
          <cell r="A3330" t="str">
            <v>COMP0100020</v>
          </cell>
          <cell r="B3330">
            <v>3118220041394</v>
          </cell>
          <cell r="E3330" t="str">
            <v>BOITE VIDE LAGUIOLE POUR M16 LAGUIOLE INTUTION BRILLANT</v>
          </cell>
          <cell r="F3330">
            <v>1</v>
          </cell>
          <cell r="G3330">
            <v>1</v>
          </cell>
          <cell r="H3330">
            <v>0</v>
          </cell>
          <cell r="I3330">
            <v>0</v>
          </cell>
          <cell r="J3330">
            <v>0</v>
          </cell>
          <cell r="K3330">
            <v>0</v>
          </cell>
          <cell r="L3330">
            <v>0</v>
          </cell>
          <cell r="M3330">
            <v>0</v>
          </cell>
        </row>
        <row r="3331">
          <cell r="A3331" t="str">
            <v>COMP0119</v>
          </cell>
          <cell r="B3331">
            <v>3118220012523</v>
          </cell>
          <cell r="E3331" t="str">
            <v>BOITE VIDE M16 NELLE CHARTE ALINEA KOBE</v>
          </cell>
          <cell r="F3331">
            <v>60</v>
          </cell>
          <cell r="G3331">
            <v>60</v>
          </cell>
          <cell r="H3331">
            <v>0</v>
          </cell>
          <cell r="I3331">
            <v>0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</row>
        <row r="3332">
          <cell r="A3332" t="str">
            <v>COMP0120001</v>
          </cell>
          <cell r="B3332">
            <v>3118220031074</v>
          </cell>
          <cell r="E3332" t="str">
            <v>BOITE RETAIL VIDE POUR COUTEAUX PETITS MODELES</v>
          </cell>
          <cell r="F3332">
            <v>36</v>
          </cell>
          <cell r="G3332">
            <v>36</v>
          </cell>
          <cell r="H3332">
            <v>40</v>
          </cell>
          <cell r="I3332">
            <v>30</v>
          </cell>
          <cell r="J3332">
            <v>20</v>
          </cell>
          <cell r="K3332">
            <v>3.6360000000000001</v>
          </cell>
          <cell r="L3332">
            <v>0.10100000000000001</v>
          </cell>
          <cell r="M3332">
            <v>2.4E-2</v>
          </cell>
        </row>
        <row r="3333">
          <cell r="A3333" t="str">
            <v>COMP0120</v>
          </cell>
          <cell r="B3333">
            <v>3118221358903</v>
          </cell>
          <cell r="E3333" t="str">
            <v>BOITE VIDE ROUGE 1 PCE PM LAG EXPRESSION 290*70*23MM</v>
          </cell>
          <cell r="F3333">
            <v>6</v>
          </cell>
          <cell r="G3333">
            <v>6</v>
          </cell>
          <cell r="H3333">
            <v>0</v>
          </cell>
          <cell r="I3333">
            <v>0</v>
          </cell>
          <cell r="J3333">
            <v>0</v>
          </cell>
          <cell r="K3333">
            <v>0</v>
          </cell>
          <cell r="L3333">
            <v>0</v>
          </cell>
          <cell r="M3333">
            <v>0</v>
          </cell>
        </row>
        <row r="3334">
          <cell r="A3334" t="str">
            <v>COMP0120003</v>
          </cell>
          <cell r="B3334">
            <v>3118220031098</v>
          </cell>
          <cell r="E3334" t="str">
            <v>BOITE RETAIL VIDE POUR COFFRET 3 COUTEAUX</v>
          </cell>
          <cell r="F3334">
            <v>6</v>
          </cell>
          <cell r="G3334">
            <v>6</v>
          </cell>
          <cell r="H3334">
            <v>40</v>
          </cell>
          <cell r="I3334">
            <v>30</v>
          </cell>
          <cell r="J3334">
            <v>20</v>
          </cell>
          <cell r="K3334">
            <v>5.7960000000000003</v>
          </cell>
          <cell r="L3334">
            <v>0.96600000000000008</v>
          </cell>
          <cell r="M3334">
            <v>2.4E-2</v>
          </cell>
        </row>
        <row r="3335">
          <cell r="A3335" t="str">
            <v>COMP0143</v>
          </cell>
          <cell r="B3335">
            <v>3118220014664</v>
          </cell>
          <cell r="E3335" t="str">
            <v>COFFRET BI MAT 255 VIDE NOIR THERMO BLANC 6 STEAKS AUGUSTE</v>
          </cell>
          <cell r="F3335">
            <v>6</v>
          </cell>
          <cell r="G3335">
            <v>6</v>
          </cell>
          <cell r="H3335">
            <v>28</v>
          </cell>
          <cell r="I3335">
            <v>23</v>
          </cell>
          <cell r="J3335">
            <v>28</v>
          </cell>
          <cell r="K3335">
            <v>4.08</v>
          </cell>
          <cell r="L3335">
            <v>0.68</v>
          </cell>
          <cell r="M3335">
            <v>1.8031999999999999E-2</v>
          </cell>
        </row>
        <row r="3336">
          <cell r="A3336" t="str">
            <v>COMP0152</v>
          </cell>
          <cell r="B3336">
            <v>3118220015562</v>
          </cell>
          <cell r="E3336" t="str">
            <v>BLOC NOIR VIDE POUR FURTIF NOIR H220MM</v>
          </cell>
          <cell r="F3336">
            <v>6</v>
          </cell>
          <cell r="G3336">
            <v>6</v>
          </cell>
          <cell r="H3336">
            <v>27.5</v>
          </cell>
          <cell r="I3336">
            <v>27</v>
          </cell>
          <cell r="J3336">
            <v>39</v>
          </cell>
          <cell r="K3336">
            <v>8.2249999999999996</v>
          </cell>
          <cell r="L3336">
            <v>1.3708333333333333</v>
          </cell>
          <cell r="M3336">
            <v>2.8957500000000004E-2</v>
          </cell>
        </row>
        <row r="3337">
          <cell r="A3337" t="str">
            <v>COMP0120002</v>
          </cell>
          <cell r="B3337">
            <v>3118220031081</v>
          </cell>
          <cell r="E3337" t="str">
            <v>BOITE RETAIL VIDE POUR COUTEAUX GRANDS MODELES</v>
          </cell>
          <cell r="F3337">
            <v>36</v>
          </cell>
          <cell r="G3337">
            <v>36</v>
          </cell>
          <cell r="H3337">
            <v>0</v>
          </cell>
          <cell r="I3337">
            <v>0</v>
          </cell>
          <cell r="J3337">
            <v>0</v>
          </cell>
          <cell r="K3337">
            <v>0</v>
          </cell>
          <cell r="L3337">
            <v>0</v>
          </cell>
          <cell r="M3337">
            <v>0</v>
          </cell>
        </row>
        <row r="3338">
          <cell r="A3338" t="str">
            <v>COMP0165</v>
          </cell>
          <cell r="B3338">
            <v>3118220016200</v>
          </cell>
          <cell r="E3338" t="str">
            <v>AFFICHE CENTRALE FOREX 600*280MM 1/4DISPLAY CERAMIQUE 50%M6</v>
          </cell>
          <cell r="F3338">
            <v>1</v>
          </cell>
          <cell r="G3338">
            <v>1</v>
          </cell>
          <cell r="H3338">
            <v>60</v>
          </cell>
          <cell r="I3338">
            <v>28</v>
          </cell>
          <cell r="J3338">
            <v>0.5</v>
          </cell>
          <cell r="K3338">
            <v>0.441</v>
          </cell>
          <cell r="L3338">
            <v>0.441</v>
          </cell>
          <cell r="M3338">
            <v>8.4000000000000003E-4</v>
          </cell>
        </row>
        <row r="3339">
          <cell r="A3339" t="str">
            <v>COMP0163</v>
          </cell>
          <cell r="B3339">
            <v>3118220016088</v>
          </cell>
          <cell r="E3339" t="str">
            <v>ETUI KYDEX MARAUDEUR SANS ATTACHE MOLLE SOUS SLEEVE</v>
          </cell>
          <cell r="F3339">
            <v>6</v>
          </cell>
          <cell r="G3339">
            <v>6</v>
          </cell>
          <cell r="H3339">
            <v>0</v>
          </cell>
          <cell r="I3339">
            <v>0</v>
          </cell>
          <cell r="J3339">
            <v>0</v>
          </cell>
          <cell r="K3339">
            <v>0.16200000000000001</v>
          </cell>
          <cell r="L3339">
            <v>2.7E-2</v>
          </cell>
          <cell r="M3339">
            <v>0</v>
          </cell>
        </row>
        <row r="3340">
          <cell r="A3340" t="str">
            <v>COMP0170</v>
          </cell>
          <cell r="B3340">
            <v>3118220016859</v>
          </cell>
          <cell r="E3340" t="str">
            <v>COFFRET BI MAT VIDE CHEF 19 FURTIF EVERCUT+STICKER</v>
          </cell>
          <cell r="F3340">
            <v>25</v>
          </cell>
          <cell r="G3340">
            <v>1</v>
          </cell>
          <cell r="H3340">
            <v>0</v>
          </cell>
          <cell r="I3340">
            <v>0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</row>
        <row r="3341">
          <cell r="A3341" t="str">
            <v>COMP0171</v>
          </cell>
          <cell r="B3341">
            <v>3118220016866</v>
          </cell>
          <cell r="E3341" t="str">
            <v>COFFRET BI MAT VIDE CUISINE 21 FURTIF EVERCUT+STICKER</v>
          </cell>
          <cell r="F3341">
            <v>25</v>
          </cell>
          <cell r="G3341">
            <v>1</v>
          </cell>
          <cell r="H3341">
            <v>0</v>
          </cell>
          <cell r="I3341">
            <v>0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</row>
        <row r="3342">
          <cell r="A3342" t="str">
            <v>COMP0172</v>
          </cell>
          <cell r="B3342">
            <v>3118220016873</v>
          </cell>
          <cell r="E3342" t="str">
            <v>COFFRET BI MAT VIDE SANTUKO FURTIF EVERCUT+STICKER</v>
          </cell>
          <cell r="F3342">
            <v>25</v>
          </cell>
          <cell r="G3342">
            <v>25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</row>
        <row r="3343">
          <cell r="A3343" t="str">
            <v>COMP0196</v>
          </cell>
          <cell r="B3343">
            <v>3118220018570</v>
          </cell>
          <cell r="C3343" t="str">
            <v>13118220018577</v>
          </cell>
          <cell r="D3343" t="str">
            <v>23118220018574</v>
          </cell>
          <cell r="E3343" t="str">
            <v>BLOC VIDE MAGNETIQUE DIM: 22x25x19 POUR 5 CTX EXP REF 443930</v>
          </cell>
          <cell r="F3343">
            <v>4</v>
          </cell>
          <cell r="G3343">
            <v>4</v>
          </cell>
          <cell r="H3343">
            <v>52</v>
          </cell>
          <cell r="I3343">
            <v>36.5</v>
          </cell>
          <cell r="J3343">
            <v>43.5</v>
          </cell>
          <cell r="K3343">
            <v>8.4719999999999995</v>
          </cell>
          <cell r="L3343">
            <v>2.1179999999999999</v>
          </cell>
          <cell r="M3343">
            <v>8.2562999999999998E-2</v>
          </cell>
        </row>
        <row r="3344">
          <cell r="A3344" t="str">
            <v>COMP0197</v>
          </cell>
          <cell r="B3344">
            <v>3118220018587</v>
          </cell>
          <cell r="C3344" t="str">
            <v>13118220018584</v>
          </cell>
          <cell r="D3344" t="str">
            <v>23118220018581</v>
          </cell>
          <cell r="E3344" t="str">
            <v>BLOC+BOITE VIDE BLOC MAGNETIQUE 6 STEAK EXPRESSION REF443940</v>
          </cell>
          <cell r="F3344">
            <v>8</v>
          </cell>
          <cell r="G3344">
            <v>4</v>
          </cell>
          <cell r="H3344">
            <v>50.5</v>
          </cell>
          <cell r="I3344">
            <v>35</v>
          </cell>
          <cell r="J3344">
            <v>30</v>
          </cell>
          <cell r="K3344">
            <v>7.2329999999999997</v>
          </cell>
          <cell r="L3344">
            <v>0.90412499999999996</v>
          </cell>
          <cell r="M3344">
            <v>5.3025000000000003E-2</v>
          </cell>
        </row>
        <row r="3345">
          <cell r="A3345" t="str">
            <v>COMP0190</v>
          </cell>
          <cell r="B3345">
            <v>3118220033368</v>
          </cell>
          <cell r="E3345" t="str">
            <v>BOITE VIDE M16 CALICOT LISA D'ALBAN</v>
          </cell>
          <cell r="F3345">
            <v>50</v>
          </cell>
          <cell r="G3345">
            <v>50</v>
          </cell>
          <cell r="H3345">
            <v>0</v>
          </cell>
          <cell r="I3345">
            <v>0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</row>
        <row r="3346">
          <cell r="A3346" t="str">
            <v>COMP0198</v>
          </cell>
          <cell r="B3346">
            <v>3118221372619</v>
          </cell>
          <cell r="E3346" t="str">
            <v>SLEEVE 46*110 DOUBLE PERFORATION VERTICALE PET 50Μ REF137261</v>
          </cell>
          <cell r="F3346">
            <v>13200</v>
          </cell>
          <cell r="G3346">
            <v>13200</v>
          </cell>
          <cell r="H3346">
            <v>0</v>
          </cell>
          <cell r="I3346">
            <v>0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</row>
        <row r="3347">
          <cell r="A3347" t="str">
            <v>COMP0200</v>
          </cell>
          <cell r="B3347">
            <v>3118221193900</v>
          </cell>
          <cell r="E3347" t="str">
            <v>SLEEVE 56*70 DOUBLE PERFORATION VERTICALE PET 50Μ 119390</v>
          </cell>
          <cell r="F3347">
            <v>16800</v>
          </cell>
          <cell r="G3347">
            <v>16800</v>
          </cell>
          <cell r="H3347">
            <v>0</v>
          </cell>
          <cell r="I3347">
            <v>0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</row>
        <row r="3348">
          <cell r="A3348" t="str">
            <v>COMP0201</v>
          </cell>
          <cell r="B3348">
            <v>3118221372602</v>
          </cell>
          <cell r="E3348" t="str">
            <v>SLEEVE 28*135 DOUBLE PERFORATION VERTICALE PET 50Μ 137260</v>
          </cell>
          <cell r="F3348">
            <v>11200</v>
          </cell>
          <cell r="G3348">
            <v>11200</v>
          </cell>
          <cell r="H3348">
            <v>0</v>
          </cell>
          <cell r="I3348">
            <v>0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</row>
        <row r="3349">
          <cell r="A3349" t="str">
            <v>COMP0202</v>
          </cell>
          <cell r="B3349">
            <v>3118221372626</v>
          </cell>
          <cell r="E3349" t="str">
            <v>SLEEVE 70*85 DOUBLE PERFORATION VERTICALE PET 50Μ 137262</v>
          </cell>
          <cell r="F3349">
            <v>14000</v>
          </cell>
          <cell r="G3349">
            <v>14000</v>
          </cell>
          <cell r="H3349">
            <v>0</v>
          </cell>
          <cell r="I3349">
            <v>0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</row>
        <row r="3350">
          <cell r="A3350" t="str">
            <v>COMP0203</v>
          </cell>
          <cell r="B3350">
            <v>3118221372633</v>
          </cell>
          <cell r="E3350" t="str">
            <v>SLEEVE 41*75 DOUBLE PERFORATION VERTICALE PET 50Μ 137263</v>
          </cell>
          <cell r="F3350">
            <v>24000</v>
          </cell>
          <cell r="G3350">
            <v>24000</v>
          </cell>
          <cell r="H3350">
            <v>0</v>
          </cell>
          <cell r="I3350">
            <v>0</v>
          </cell>
          <cell r="J3350">
            <v>0</v>
          </cell>
          <cell r="K3350">
            <v>0</v>
          </cell>
          <cell r="L3350">
            <v>0</v>
          </cell>
          <cell r="M3350">
            <v>0</v>
          </cell>
        </row>
        <row r="3351">
          <cell r="A3351" t="str">
            <v>COMP0204</v>
          </cell>
          <cell r="B3351">
            <v>3118221372657</v>
          </cell>
          <cell r="E3351" t="str">
            <v>SLEEVE 63*165 DOUBLE PERFORATION VERTICALE PET 50Μ 137265</v>
          </cell>
          <cell r="F3351">
            <v>5400</v>
          </cell>
          <cell r="G3351">
            <v>5400</v>
          </cell>
          <cell r="H3351">
            <v>0</v>
          </cell>
          <cell r="I3351">
            <v>0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</row>
        <row r="3352">
          <cell r="A3352" t="str">
            <v>COMP0205</v>
          </cell>
          <cell r="B3352">
            <v>3118221372664</v>
          </cell>
          <cell r="E3352" t="str">
            <v>SLEEVE 63*180 DOUBLE PERFORATION VERTICALE PET 50Μ 137266</v>
          </cell>
          <cell r="F3352">
            <v>5400</v>
          </cell>
          <cell r="G3352">
            <v>5400</v>
          </cell>
          <cell r="H3352">
            <v>0</v>
          </cell>
          <cell r="I3352">
            <v>0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</row>
        <row r="3353">
          <cell r="A3353" t="str">
            <v>COMP0206</v>
          </cell>
          <cell r="B3353">
            <v>3118221372671</v>
          </cell>
          <cell r="E3353" t="str">
            <v>SLEEVE 60*80 DOUBLE PERFORATION VERTICALE PET 50Μ 137267</v>
          </cell>
          <cell r="F3353">
            <v>6400</v>
          </cell>
          <cell r="G3353">
            <v>6400</v>
          </cell>
          <cell r="H3353">
            <v>0</v>
          </cell>
          <cell r="I3353">
            <v>0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</row>
        <row r="3354">
          <cell r="A3354" t="str">
            <v>COMP0207</v>
          </cell>
          <cell r="B3354">
            <v>3118221372688</v>
          </cell>
          <cell r="E3354" t="str">
            <v>SLEEVE 50*90 DOUBLE PERFORATION VERTICALE PET 50Μ 137268</v>
          </cell>
          <cell r="F3354">
            <v>13200</v>
          </cell>
          <cell r="G3354">
            <v>13200</v>
          </cell>
          <cell r="H3354">
            <v>0</v>
          </cell>
          <cell r="I3354">
            <v>0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</row>
        <row r="3355">
          <cell r="A3355" t="str">
            <v>COMP0208</v>
          </cell>
          <cell r="B3355">
            <v>3118221372695</v>
          </cell>
          <cell r="E3355" t="str">
            <v>SLEEVE 32*145 DOUBLE PERFORATION VERTICALE PET 50Μ 137269</v>
          </cell>
          <cell r="F3355">
            <v>15600</v>
          </cell>
          <cell r="G3355">
            <v>15600</v>
          </cell>
          <cell r="H3355">
            <v>0</v>
          </cell>
          <cell r="I3355">
            <v>0</v>
          </cell>
          <cell r="J3355">
            <v>0</v>
          </cell>
          <cell r="K3355">
            <v>0</v>
          </cell>
          <cell r="L3355">
            <v>0</v>
          </cell>
          <cell r="M3355">
            <v>0</v>
          </cell>
        </row>
        <row r="3356">
          <cell r="A3356" t="str">
            <v>COMP0214</v>
          </cell>
          <cell r="B3356">
            <v>3118220019546</v>
          </cell>
          <cell r="E3356" t="str">
            <v>COFFRET CARTON FENETRE 270*270 VIDE 6 STEAKS LAG EXPRESSION</v>
          </cell>
          <cell r="F3356">
            <v>40</v>
          </cell>
          <cell r="G3356">
            <v>40</v>
          </cell>
          <cell r="H3356">
            <v>44</v>
          </cell>
          <cell r="I3356">
            <v>44</v>
          </cell>
          <cell r="J3356">
            <v>26.5</v>
          </cell>
          <cell r="K3356">
            <v>9.7129999999999992</v>
          </cell>
          <cell r="L3356">
            <v>0.24282499999999999</v>
          </cell>
          <cell r="M3356">
            <v>5.1303999999999995E-2</v>
          </cell>
        </row>
        <row r="3357">
          <cell r="A3357" t="str">
            <v>COMP0219</v>
          </cell>
          <cell r="B3357">
            <v>3118220021457</v>
          </cell>
          <cell r="E3357" t="str">
            <v>PANIERE VIDE + TUBE PVC M24 CANDIES CRF</v>
          </cell>
          <cell r="F3357">
            <v>6</v>
          </cell>
          <cell r="G3357">
            <v>6</v>
          </cell>
          <cell r="H3357">
            <v>35.5</v>
          </cell>
          <cell r="I3357">
            <v>28</v>
          </cell>
          <cell r="J3357">
            <v>29.5</v>
          </cell>
          <cell r="K3357">
            <v>1.26</v>
          </cell>
          <cell r="L3357">
            <v>0.21</v>
          </cell>
          <cell r="M3357">
            <v>2.9322999999999998E-2</v>
          </cell>
        </row>
        <row r="3358">
          <cell r="A3358" t="str">
            <v>COMP0209</v>
          </cell>
          <cell r="B3358">
            <v>3118220018723</v>
          </cell>
          <cell r="E3358" t="str">
            <v>SLEEVE FOURREAU 1 PM 65*80 PET 50Μ CSSLE06</v>
          </cell>
          <cell r="F3358">
            <v>18000</v>
          </cell>
          <cell r="G3358">
            <v>18000</v>
          </cell>
          <cell r="H3358">
            <v>0</v>
          </cell>
          <cell r="I3358">
            <v>0</v>
          </cell>
          <cell r="J3358">
            <v>0</v>
          </cell>
          <cell r="K3358">
            <v>0</v>
          </cell>
          <cell r="L3358">
            <v>0</v>
          </cell>
          <cell r="M3358">
            <v>0</v>
          </cell>
        </row>
        <row r="3359">
          <cell r="A3359" t="str">
            <v>COMP0340002</v>
          </cell>
          <cell r="B3359">
            <v>3118220021785</v>
          </cell>
          <cell r="E3359" t="str">
            <v>ETIQUETTE CODEBARRE GERS EQUIPEMENT 523265</v>
          </cell>
          <cell r="F3359">
            <v>6000</v>
          </cell>
          <cell r="G3359">
            <v>60</v>
          </cell>
          <cell r="H3359">
            <v>18.5</v>
          </cell>
          <cell r="I3359">
            <v>11.5</v>
          </cell>
          <cell r="J3359">
            <v>10</v>
          </cell>
          <cell r="K3359">
            <v>1.05</v>
          </cell>
          <cell r="L3359">
            <v>1.75E-4</v>
          </cell>
          <cell r="M3359">
            <v>2.1275000000000001E-3</v>
          </cell>
        </row>
        <row r="3360">
          <cell r="A3360" t="str">
            <v>Comp0441</v>
          </cell>
          <cell r="B3360" t="str">
            <v xml:space="preserve"> /</v>
          </cell>
          <cell r="C3360" t="str">
            <v xml:space="preserve"> /</v>
          </cell>
          <cell r="D3360" t="str">
            <v xml:space="preserve"> /</v>
          </cell>
          <cell r="E3360" t="str">
            <v>PLAQUETTE DIAMANT BAIONNETTE ARMEE</v>
          </cell>
          <cell r="F3360">
            <v>500</v>
          </cell>
          <cell r="G3360">
            <v>500</v>
          </cell>
          <cell r="H3360">
            <v>79</v>
          </cell>
          <cell r="I3360">
            <v>24</v>
          </cell>
          <cell r="J3360">
            <v>1.5</v>
          </cell>
          <cell r="K3360">
            <v>11</v>
          </cell>
          <cell r="L3360">
            <v>2.1999999999999999E-2</v>
          </cell>
          <cell r="M3360">
            <v>2.8440000000000006E-3</v>
          </cell>
        </row>
        <row r="3361">
          <cell r="A3361" t="str">
            <v>COMP0228</v>
          </cell>
          <cell r="B3361">
            <v>3118220022027</v>
          </cell>
          <cell r="E3361" t="str">
            <v>COFFRET BI MAT VIDE FOURCHETTE MAESTRO</v>
          </cell>
          <cell r="F3361">
            <v>6</v>
          </cell>
          <cell r="G3361">
            <v>6</v>
          </cell>
          <cell r="H3361">
            <v>0</v>
          </cell>
          <cell r="I3361">
            <v>0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</row>
        <row r="3362">
          <cell r="A3362" t="str">
            <v>Comp0500002</v>
          </cell>
          <cell r="B3362" t="str">
            <v>3118220033405</v>
          </cell>
          <cell r="C3362" t="str">
            <v>13118220033402</v>
          </cell>
          <cell r="D3362" t="str">
            <v>23118220033409</v>
          </cell>
          <cell r="E3362" t="str">
            <v>FERMANT EXPRESSION BOIS NOIR VRAC</v>
          </cell>
          <cell r="F3362">
            <v>48</v>
          </cell>
          <cell r="G3362">
            <v>12</v>
          </cell>
          <cell r="H3362">
            <v>25</v>
          </cell>
          <cell r="I3362">
            <v>16</v>
          </cell>
          <cell r="J3362">
            <v>17</v>
          </cell>
          <cell r="K3362">
            <v>5.7149999999999999</v>
          </cell>
          <cell r="L3362">
            <v>0.1190625</v>
          </cell>
          <cell r="M3362">
            <v>6.8000000000000005E-3</v>
          </cell>
        </row>
        <row r="3363">
          <cell r="A3363" t="str">
            <v>COMP0500001</v>
          </cell>
          <cell r="B3363">
            <v>3118220033399</v>
          </cell>
          <cell r="C3363" t="str">
            <v>13118220033396</v>
          </cell>
          <cell r="D3363" t="str">
            <v>23118220033393</v>
          </cell>
          <cell r="E3363" t="str">
            <v>FERMANT LAG EVOLUTION BOIS NOIR LAME NOIRE 10CM VRAC</v>
          </cell>
          <cell r="F3363">
            <v>0</v>
          </cell>
          <cell r="G3363">
            <v>0</v>
          </cell>
          <cell r="H3363">
            <v>0</v>
          </cell>
          <cell r="I3363">
            <v>0</v>
          </cell>
          <cell r="J3363">
            <v>0</v>
          </cell>
          <cell r="K3363">
            <v>0</v>
          </cell>
          <cell r="L3363" t="e">
            <v>#DIV/0!</v>
          </cell>
          <cell r="M3363">
            <v>0</v>
          </cell>
        </row>
        <row r="3364">
          <cell r="A3364" t="str">
            <v>COMP0500003</v>
          </cell>
          <cell r="B3364">
            <v>3118220033412</v>
          </cell>
          <cell r="E3364" t="str">
            <v>LAG FERMANT 10 CM +TIRE BOUCHON BOIS CLAIR VRAC</v>
          </cell>
          <cell r="F3364">
            <v>0</v>
          </cell>
          <cell r="G3364">
            <v>0</v>
          </cell>
          <cell r="H3364">
            <v>0</v>
          </cell>
          <cell r="I3364">
            <v>0</v>
          </cell>
          <cell r="J3364">
            <v>0</v>
          </cell>
          <cell r="K3364">
            <v>0</v>
          </cell>
          <cell r="L3364" t="e">
            <v>#DIV/0!</v>
          </cell>
          <cell r="M3364">
            <v>0</v>
          </cell>
        </row>
        <row r="3365">
          <cell r="A3365" t="str">
            <v>COMP0500004</v>
          </cell>
          <cell r="B3365">
            <v>3118220033429</v>
          </cell>
          <cell r="E3365" t="str">
            <v>LAG FERMANT SENS BOIS CLAIR VRAC</v>
          </cell>
          <cell r="F3365">
            <v>0</v>
          </cell>
          <cell r="G3365">
            <v>0</v>
          </cell>
          <cell r="H3365">
            <v>0</v>
          </cell>
          <cell r="I3365">
            <v>0</v>
          </cell>
          <cell r="J3365">
            <v>0</v>
          </cell>
          <cell r="K3365">
            <v>0</v>
          </cell>
          <cell r="L3365" t="e">
            <v>#DIV/0!</v>
          </cell>
          <cell r="M3365">
            <v>0</v>
          </cell>
        </row>
        <row r="3366">
          <cell r="A3366" t="str">
            <v>COMP0500005</v>
          </cell>
          <cell r="B3366">
            <v>3118220033436</v>
          </cell>
          <cell r="E3366" t="str">
            <v>LAG FERMANT 10 CM +TIRE BOUCHON BOIS NOIR VRAC</v>
          </cell>
          <cell r="F3366">
            <v>0</v>
          </cell>
          <cell r="G3366">
            <v>0</v>
          </cell>
          <cell r="H3366">
            <v>0</v>
          </cell>
          <cell r="I3366">
            <v>0</v>
          </cell>
          <cell r="J3366">
            <v>0</v>
          </cell>
          <cell r="K3366">
            <v>0</v>
          </cell>
          <cell r="L3366" t="e">
            <v>#DIV/0!</v>
          </cell>
          <cell r="M3366">
            <v>0</v>
          </cell>
        </row>
        <row r="3367">
          <cell r="A3367" t="str">
            <v>COMP0500009</v>
          </cell>
          <cell r="B3367">
            <v>3118220021990</v>
          </cell>
          <cell r="E3367" t="str">
            <v>CUILLERE BIVOUAC 15/10</v>
          </cell>
          <cell r="F3367">
            <v>200</v>
          </cell>
          <cell r="G3367">
            <v>10</v>
          </cell>
          <cell r="H3367">
            <v>31.5</v>
          </cell>
          <cell r="I3367">
            <v>29</v>
          </cell>
          <cell r="J3367">
            <v>13.5</v>
          </cell>
          <cell r="K3367">
            <v>5.84</v>
          </cell>
          <cell r="L3367">
            <v>2.92E-2</v>
          </cell>
          <cell r="M3367">
            <v>1.2332249999999999E-2</v>
          </cell>
        </row>
        <row r="3368">
          <cell r="A3368" t="str">
            <v>COMP0500010</v>
          </cell>
          <cell r="B3368">
            <v>3118220022003</v>
          </cell>
          <cell r="E3368" t="str">
            <v>FOURCHETTE BIVOUAC 15/10</v>
          </cell>
          <cell r="F3368">
            <v>200</v>
          </cell>
          <cell r="G3368">
            <v>10</v>
          </cell>
          <cell r="H3368">
            <v>31.5</v>
          </cell>
          <cell r="I3368">
            <v>29</v>
          </cell>
          <cell r="J3368">
            <v>13.5</v>
          </cell>
          <cell r="K3368">
            <v>4.6399999999999997</v>
          </cell>
          <cell r="L3368">
            <v>2.3199999999999998E-2</v>
          </cell>
          <cell r="M3368">
            <v>1.2332249999999999E-2</v>
          </cell>
        </row>
        <row r="3369">
          <cell r="A3369" t="str">
            <v>COMP0600001</v>
          </cell>
          <cell r="B3369">
            <v>3118220045231</v>
          </cell>
          <cell r="E3369" t="str">
            <v>FUSIL POUR BLOC NOIR MAT 8PCE 1/2 SOIE</v>
          </cell>
          <cell r="F3369">
            <v>60</v>
          </cell>
          <cell r="G3369">
            <v>60</v>
          </cell>
          <cell r="H3369">
            <v>32.5</v>
          </cell>
          <cell r="I3369">
            <v>22</v>
          </cell>
          <cell r="J3369">
            <v>20</v>
          </cell>
          <cell r="K3369">
            <v>11.698</v>
          </cell>
          <cell r="L3369">
            <v>0.19496666666666668</v>
          </cell>
          <cell r="M3369">
            <v>1.4300000000000002E-2</v>
          </cell>
        </row>
        <row r="3370">
          <cell r="A3370" t="str">
            <v>Comp0600007</v>
          </cell>
          <cell r="B3370" t="str">
            <v xml:space="preserve"> /</v>
          </cell>
          <cell r="C3370" t="str">
            <v xml:space="preserve"> /</v>
          </cell>
          <cell r="D3370" t="str">
            <v xml:space="preserve"> /</v>
          </cell>
          <cell r="E3370" t="str">
            <v>BLOC PIN VIDE +ETUI PVC+ETIQ / 6 STEAK TRADITIONNEL CRF HOME</v>
          </cell>
          <cell r="F3370">
            <v>80</v>
          </cell>
          <cell r="G3370">
            <v>80</v>
          </cell>
          <cell r="H3370">
            <v>46.5</v>
          </cell>
          <cell r="I3370">
            <v>24.5</v>
          </cell>
          <cell r="J3370">
            <v>29</v>
          </cell>
          <cell r="L3370">
            <v>0</v>
          </cell>
          <cell r="M3370">
            <v>3.3038249999999998E-2</v>
          </cell>
        </row>
        <row r="3371">
          <cell r="A3371" t="str">
            <v>COMP0500008</v>
          </cell>
          <cell r="B3371">
            <v>3118223039701</v>
          </cell>
          <cell r="E3371" t="str">
            <v>ETUI CUIR VERITABLE LUXE</v>
          </cell>
          <cell r="F3371">
            <v>50</v>
          </cell>
          <cell r="G3371">
            <v>50</v>
          </cell>
          <cell r="H3371">
            <v>0</v>
          </cell>
          <cell r="I3371">
            <v>0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</row>
        <row r="3372">
          <cell r="A3372" t="str">
            <v>COMP0970001</v>
          </cell>
          <cell r="B3372">
            <v>3118220030602</v>
          </cell>
          <cell r="E3372" t="str">
            <v>POT PET VIDE POUR M24 ECUME + BANDEAU TB COLLECTION</v>
          </cell>
          <cell r="F3372">
            <v>9</v>
          </cell>
          <cell r="G3372">
            <v>9</v>
          </cell>
          <cell r="H3372">
            <v>35</v>
          </cell>
          <cell r="I3372">
            <v>35</v>
          </cell>
          <cell r="J3372">
            <v>25</v>
          </cell>
          <cell r="K3372">
            <v>6.3E-2</v>
          </cell>
          <cell r="L3372">
            <v>7.0000000000000001E-3</v>
          </cell>
          <cell r="M3372">
            <v>3.0624999999999999E-2</v>
          </cell>
        </row>
        <row r="3373">
          <cell r="A3373" t="str">
            <v>COMP1000001</v>
          </cell>
          <cell r="B3373">
            <v>3118220033467</v>
          </cell>
          <cell r="C3373" t="str">
            <v>13118220033464</v>
          </cell>
          <cell r="D3373" t="str">
            <v>23118220033461</v>
          </cell>
          <cell r="E3373" t="str">
            <v>MANCHE PM SILICONE NOIR POUR CERAMIQUE</v>
          </cell>
          <cell r="F3373">
            <v>300</v>
          </cell>
          <cell r="G3373">
            <v>1</v>
          </cell>
          <cell r="H3373">
            <v>28</v>
          </cell>
          <cell r="I3373">
            <v>25.5</v>
          </cell>
          <cell r="J3373">
            <v>21.5</v>
          </cell>
          <cell r="K3373">
            <v>0</v>
          </cell>
          <cell r="L3373">
            <v>0</v>
          </cell>
          <cell r="M3373">
            <v>1.5351000000000002E-2</v>
          </cell>
        </row>
        <row r="3374">
          <cell r="A3374" t="str">
            <v>COMP1000002</v>
          </cell>
          <cell r="B3374">
            <v>3118220033474</v>
          </cell>
          <cell r="E3374" t="str">
            <v>MANCHE PM SILICONE BLANC POUR CERAMIQUE</v>
          </cell>
          <cell r="F3374">
            <v>300</v>
          </cell>
          <cell r="G3374">
            <v>1</v>
          </cell>
          <cell r="H3374">
            <v>28</v>
          </cell>
          <cell r="I3374">
            <v>25.5</v>
          </cell>
          <cell r="J3374">
            <v>21.5</v>
          </cell>
          <cell r="K3374">
            <v>0</v>
          </cell>
          <cell r="L3374">
            <v>0</v>
          </cell>
          <cell r="M3374">
            <v>1.5351000000000002E-2</v>
          </cell>
        </row>
        <row r="3375">
          <cell r="A3375" t="str">
            <v>COMP1000003</v>
          </cell>
          <cell r="B3375">
            <v>3118220033481</v>
          </cell>
          <cell r="C3375" t="str">
            <v>13118220033488</v>
          </cell>
          <cell r="D3375" t="str">
            <v>23118220033485</v>
          </cell>
          <cell r="E3375" t="str">
            <v>MANCHE GM SILICONE NOIR POUR CERAMIQUE</v>
          </cell>
          <cell r="F3375">
            <v>200</v>
          </cell>
          <cell r="G3375">
            <v>1</v>
          </cell>
          <cell r="H3375">
            <v>29</v>
          </cell>
          <cell r="I3375">
            <v>26.5</v>
          </cell>
          <cell r="J3375">
            <v>27.5</v>
          </cell>
          <cell r="K3375">
            <v>0</v>
          </cell>
          <cell r="L3375">
            <v>0</v>
          </cell>
          <cell r="M3375">
            <v>2.113375E-2</v>
          </cell>
        </row>
        <row r="3376">
          <cell r="A3376" t="str">
            <v>COMP1000004</v>
          </cell>
          <cell r="B3376">
            <v>3118220033498</v>
          </cell>
          <cell r="E3376" t="str">
            <v>MANCHE GM SILICONE BLANC POUR CERAMIQUE</v>
          </cell>
          <cell r="F3376">
            <v>200</v>
          </cell>
          <cell r="G3376">
            <v>1</v>
          </cell>
          <cell r="H3376">
            <v>29</v>
          </cell>
          <cell r="I3376">
            <v>26.5</v>
          </cell>
          <cell r="J3376">
            <v>27.5</v>
          </cell>
          <cell r="K3376">
            <v>0</v>
          </cell>
          <cell r="L3376">
            <v>0</v>
          </cell>
          <cell r="M3376">
            <v>2.113375E-2</v>
          </cell>
        </row>
        <row r="3377">
          <cell r="A3377" t="str">
            <v>COMP1000005</v>
          </cell>
          <cell r="B3377">
            <v>3118220033504</v>
          </cell>
          <cell r="C3377" t="str">
            <v>13118220033501</v>
          </cell>
          <cell r="D3377" t="str">
            <v>23118220033508</v>
          </cell>
          <cell r="E3377" t="str">
            <v>MANCHE PM SILICONE GRIS COOL GRAY 9C POUR CERAMIQUE</v>
          </cell>
          <cell r="F3377">
            <v>300</v>
          </cell>
          <cell r="G3377">
            <v>1</v>
          </cell>
          <cell r="H3377">
            <v>28</v>
          </cell>
          <cell r="I3377">
            <v>25.5</v>
          </cell>
          <cell r="J3377">
            <v>21.5</v>
          </cell>
          <cell r="K3377">
            <v>0</v>
          </cell>
          <cell r="L3377">
            <v>0</v>
          </cell>
          <cell r="M3377">
            <v>1.5351000000000002E-2</v>
          </cell>
        </row>
        <row r="3378">
          <cell r="A3378" t="str">
            <v>COMP1000006</v>
          </cell>
          <cell r="B3378">
            <v>3118220033511</v>
          </cell>
          <cell r="C3378" t="str">
            <v>13118220033518</v>
          </cell>
          <cell r="D3378" t="str">
            <v>23118220033515</v>
          </cell>
          <cell r="E3378" t="str">
            <v>MANCHE GM SILICONE GRIS COOL GRAY 9C POUR CERAMIQUE</v>
          </cell>
          <cell r="F3378">
            <v>200</v>
          </cell>
          <cell r="G3378">
            <v>1</v>
          </cell>
          <cell r="H3378">
            <v>29</v>
          </cell>
          <cell r="I3378">
            <v>26.5</v>
          </cell>
          <cell r="J3378">
            <v>27.5</v>
          </cell>
          <cell r="K3378">
            <v>0</v>
          </cell>
          <cell r="L3378">
            <v>0</v>
          </cell>
          <cell r="M3378">
            <v>2.113375E-2</v>
          </cell>
        </row>
        <row r="3379">
          <cell r="A3379" t="str">
            <v>COMP0650001</v>
          </cell>
          <cell r="B3379">
            <v>3118220028951</v>
          </cell>
          <cell r="E3379" t="str">
            <v>COFFRET OLIVIER 4 CTX HECTOR + STICKER</v>
          </cell>
          <cell r="F3379">
            <v>6</v>
          </cell>
          <cell r="G3379">
            <v>6</v>
          </cell>
          <cell r="H3379">
            <v>0</v>
          </cell>
          <cell r="I3379">
            <v>0</v>
          </cell>
          <cell r="J3379">
            <v>0</v>
          </cell>
          <cell r="K3379">
            <v>2.38</v>
          </cell>
          <cell r="L3379">
            <v>0.39666666666666667</v>
          </cell>
          <cell r="M3379">
            <v>0</v>
          </cell>
        </row>
        <row r="3380">
          <cell r="A3380" t="str">
            <v>COMP1060004</v>
          </cell>
          <cell r="B3380">
            <v>3118220035560</v>
          </cell>
          <cell r="E3380" t="str">
            <v>ETUI KIDEX POUR COUTEAU COMMANDEUR</v>
          </cell>
          <cell r="F3380">
            <v>50</v>
          </cell>
          <cell r="G3380">
            <v>50</v>
          </cell>
          <cell r="H3380">
            <v>0</v>
          </cell>
          <cell r="I3380">
            <v>0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</row>
        <row r="3381">
          <cell r="A3381" t="str">
            <v>COMP1120001</v>
          </cell>
          <cell r="B3381">
            <v>3118220026629</v>
          </cell>
          <cell r="E3381" t="str">
            <v>BOITE TB COLLECTION VIDE + FACADE POUR M24 PERLE</v>
          </cell>
          <cell r="F3381">
            <v>6</v>
          </cell>
          <cell r="G3381">
            <v>6</v>
          </cell>
          <cell r="H3381">
            <v>0</v>
          </cell>
          <cell r="I3381">
            <v>0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</row>
        <row r="3382">
          <cell r="A3382" t="str">
            <v>COMP1130001</v>
          </cell>
          <cell r="B3382">
            <v>3118220027466</v>
          </cell>
          <cell r="E3382" t="str">
            <v>BOITE TB COLLECTION VIDE + FACADE POUR M24 BOREAL</v>
          </cell>
          <cell r="F3382">
            <v>24</v>
          </cell>
          <cell r="G3382">
            <v>24</v>
          </cell>
          <cell r="H3382">
            <v>0</v>
          </cell>
          <cell r="I3382">
            <v>0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</row>
        <row r="3383">
          <cell r="A3383" t="str">
            <v>COMP1140001</v>
          </cell>
          <cell r="B3383">
            <v>3118220027589</v>
          </cell>
          <cell r="E3383" t="str">
            <v>BOITE TB COLLECTION VIDE + FACADE POUR M24 PALMA</v>
          </cell>
          <cell r="F3383">
            <v>6</v>
          </cell>
          <cell r="G3383">
            <v>6</v>
          </cell>
          <cell r="H3383">
            <v>0</v>
          </cell>
          <cell r="I3383">
            <v>0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</row>
        <row r="3384">
          <cell r="A3384" t="str">
            <v>COMP1150001</v>
          </cell>
          <cell r="B3384">
            <v>3118220027572</v>
          </cell>
          <cell r="E3384" t="str">
            <v>BOITE TB COLLECTION VIDE + FACADE POUR M24 OLA</v>
          </cell>
          <cell r="F3384">
            <v>6</v>
          </cell>
          <cell r="G3384">
            <v>6</v>
          </cell>
          <cell r="H3384">
            <v>0</v>
          </cell>
          <cell r="I3384">
            <v>0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</row>
        <row r="3385">
          <cell r="A3385" t="str">
            <v>COMP1190001</v>
          </cell>
          <cell r="B3385">
            <v>3118220026100</v>
          </cell>
          <cell r="E3385" t="str">
            <v>BOITE PREMIUM VIDE + FACADE POUR M16 PAIMPOL</v>
          </cell>
          <cell r="F3385">
            <v>24</v>
          </cell>
          <cell r="G3385">
            <v>24</v>
          </cell>
          <cell r="H3385">
            <v>0</v>
          </cell>
          <cell r="I3385">
            <v>0</v>
          </cell>
          <cell r="J3385">
            <v>0</v>
          </cell>
          <cell r="K3385">
            <v>0</v>
          </cell>
          <cell r="L3385">
            <v>0</v>
          </cell>
          <cell r="M3385">
            <v>0</v>
          </cell>
        </row>
        <row r="3386">
          <cell r="A3386" t="str">
            <v>COMP1200001</v>
          </cell>
          <cell r="B3386">
            <v>3118220025608</v>
          </cell>
          <cell r="E3386" t="str">
            <v>BOITE AIMANTEE ALINEA VIDE 26*13*7POUR M16 PORQUEROLLES</v>
          </cell>
          <cell r="F3386">
            <v>6</v>
          </cell>
          <cell r="G3386">
            <v>6</v>
          </cell>
          <cell r="H3386">
            <v>28</v>
          </cell>
          <cell r="I3386">
            <v>28</v>
          </cell>
          <cell r="J3386">
            <v>23.5</v>
          </cell>
          <cell r="K3386">
            <v>1.9139999999999999</v>
          </cell>
          <cell r="L3386">
            <v>0.31900000000000001</v>
          </cell>
          <cell r="M3386">
            <v>1.8424000000000003E-2</v>
          </cell>
        </row>
        <row r="3387">
          <cell r="A3387" t="str">
            <v>COMP1190002</v>
          </cell>
          <cell r="B3387">
            <v>3118220026117</v>
          </cell>
          <cell r="E3387" t="str">
            <v>BOITE PREMIUM VIDE + FACADE POUR M16 COLLIOURE</v>
          </cell>
          <cell r="F3387">
            <v>24</v>
          </cell>
          <cell r="G3387">
            <v>24</v>
          </cell>
          <cell r="H3387">
            <v>0</v>
          </cell>
          <cell r="I3387">
            <v>0</v>
          </cell>
          <cell r="J3387">
            <v>0</v>
          </cell>
          <cell r="K3387">
            <v>0</v>
          </cell>
          <cell r="L3387">
            <v>0</v>
          </cell>
          <cell r="M3387">
            <v>0</v>
          </cell>
        </row>
        <row r="3388">
          <cell r="A3388" t="str">
            <v>COMP1200002</v>
          </cell>
          <cell r="B3388">
            <v>3118220026094</v>
          </cell>
          <cell r="E3388" t="str">
            <v>BOITE PREMIUM VIDE + FACADE POUR M16 PORQUEROLLES</v>
          </cell>
          <cell r="F3388">
            <v>24</v>
          </cell>
          <cell r="G3388">
            <v>24</v>
          </cell>
          <cell r="H3388">
            <v>0</v>
          </cell>
          <cell r="I3388">
            <v>0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</row>
        <row r="3389">
          <cell r="A3389" t="str">
            <v>COMP1230003</v>
          </cell>
          <cell r="B3389">
            <v>3118220025721</v>
          </cell>
          <cell r="E3389" t="str">
            <v>CAISSETTE HUITRE LAGIUOLE EVOL 10 KGS 40*29*14CM+ COUVERCLE</v>
          </cell>
          <cell r="F3389">
            <v>60</v>
          </cell>
          <cell r="G3389">
            <v>60</v>
          </cell>
          <cell r="H3389">
            <v>41</v>
          </cell>
          <cell r="I3389">
            <v>30</v>
          </cell>
          <cell r="J3389">
            <v>102.5</v>
          </cell>
          <cell r="K3389">
            <v>21.6</v>
          </cell>
          <cell r="L3389">
            <v>0.36000000000000004</v>
          </cell>
          <cell r="M3389">
            <v>0.12607499999999999</v>
          </cell>
        </row>
        <row r="3390">
          <cell r="A3390" t="str">
            <v>COMP1210001</v>
          </cell>
          <cell r="B3390">
            <v>3118220025110</v>
          </cell>
          <cell r="E3390" t="str">
            <v>BOITE PREMIUM VIDE + FACADE POUR M16 CABOURG</v>
          </cell>
          <cell r="F3390">
            <v>24</v>
          </cell>
          <cell r="G3390">
            <v>24</v>
          </cell>
          <cell r="H3390">
            <v>0</v>
          </cell>
          <cell r="I3390">
            <v>0</v>
          </cell>
          <cell r="J3390">
            <v>0</v>
          </cell>
          <cell r="K3390">
            <v>0</v>
          </cell>
          <cell r="L3390">
            <v>0</v>
          </cell>
          <cell r="M3390">
            <v>0</v>
          </cell>
        </row>
        <row r="3391">
          <cell r="A3391" t="str">
            <v>COMP1230005</v>
          </cell>
          <cell r="B3391">
            <v>3118220028715</v>
          </cell>
          <cell r="C3391" t="str">
            <v>13118220028712</v>
          </cell>
          <cell r="D3391" t="str">
            <v>23118220028719</v>
          </cell>
          <cell r="E3391" t="str">
            <v>BOITE VIDE LAGUIOLE HERITAGE POUR M16 ACIDULE</v>
          </cell>
          <cell r="F3391">
            <v>120</v>
          </cell>
          <cell r="G3391">
            <v>120</v>
          </cell>
          <cell r="H3391">
            <v>46</v>
          </cell>
          <cell r="I3391">
            <v>24</v>
          </cell>
          <cell r="J3391">
            <v>41.5</v>
          </cell>
          <cell r="K3391">
            <v>15.497999999999999</v>
          </cell>
          <cell r="L3391">
            <v>0.12914999999999999</v>
          </cell>
          <cell r="M3391">
            <v>4.5816000000000009E-2</v>
          </cell>
        </row>
        <row r="3392">
          <cell r="A3392" t="str">
            <v>Comp1230010</v>
          </cell>
          <cell r="B3392">
            <v>3118220047877</v>
          </cell>
          <cell r="E3392" t="str">
            <v>BOITE NEUTRE TB COLLECTION</v>
          </cell>
          <cell r="F3392">
            <v>100</v>
          </cell>
          <cell r="G3392">
            <v>100</v>
          </cell>
          <cell r="H3392">
            <v>49</v>
          </cell>
          <cell r="I3392">
            <v>24</v>
          </cell>
          <cell r="J3392">
            <v>46</v>
          </cell>
          <cell r="K3392">
            <v>1.2</v>
          </cell>
          <cell r="L3392">
            <v>1.2E-2</v>
          </cell>
          <cell r="M3392">
            <v>5.4096000000000005E-2</v>
          </cell>
        </row>
        <row r="3393">
          <cell r="A3393" t="str">
            <v>Comp1230015</v>
          </cell>
          <cell r="B3393">
            <v>3118220051683</v>
          </cell>
          <cell r="E3393" t="str">
            <v>COFFRET BOIS VIDE 4 CTX LAGUIOLE 267*147*30MM</v>
          </cell>
          <cell r="F3393">
            <v>6</v>
          </cell>
          <cell r="G3393">
            <v>6</v>
          </cell>
          <cell r="H3393">
            <v>17.5</v>
          </cell>
          <cell r="I3393">
            <v>28.5</v>
          </cell>
          <cell r="J3393">
            <v>22</v>
          </cell>
          <cell r="K3393">
            <v>0</v>
          </cell>
          <cell r="L3393">
            <v>0</v>
          </cell>
          <cell r="M3393">
            <v>1.0972500000000001E-2</v>
          </cell>
        </row>
        <row r="3394">
          <cell r="A3394" t="str">
            <v>COMP1230004</v>
          </cell>
          <cell r="B3394">
            <v>3118220026407</v>
          </cell>
          <cell r="E3394" t="str">
            <v>BOITE VIDE LAGUIOLE HERITAGE POUR M16 FORGE</v>
          </cell>
          <cell r="F3394">
            <v>6</v>
          </cell>
          <cell r="G3394">
            <v>6</v>
          </cell>
          <cell r="H3394">
            <v>0</v>
          </cell>
          <cell r="I3394">
            <v>0</v>
          </cell>
          <cell r="J3394">
            <v>0</v>
          </cell>
          <cell r="K3394">
            <v>0</v>
          </cell>
          <cell r="L3394">
            <v>0</v>
          </cell>
          <cell r="M3394">
            <v>0</v>
          </cell>
        </row>
        <row r="3395">
          <cell r="A3395" t="str">
            <v>COMP1240001</v>
          </cell>
          <cell r="B3395">
            <v>3118220023802</v>
          </cell>
          <cell r="E3395" t="str">
            <v>ETIQ ADHESIVE VELIN N°LOT BLANCHE DIAM15MM/4ETIQ DE FRONT</v>
          </cell>
          <cell r="F3395">
            <v>0</v>
          </cell>
          <cell r="G3395">
            <v>0</v>
          </cell>
          <cell r="H3395">
            <v>0</v>
          </cell>
          <cell r="I3395">
            <v>0</v>
          </cell>
          <cell r="J3395">
            <v>0</v>
          </cell>
          <cell r="K3395">
            <v>1.4</v>
          </cell>
          <cell r="L3395" t="e">
            <v>#DIV/0!</v>
          </cell>
          <cell r="M3395">
            <v>0</v>
          </cell>
        </row>
        <row r="3396">
          <cell r="A3396" t="str">
            <v>COMP1240002</v>
          </cell>
          <cell r="B3396">
            <v>3118220031975</v>
          </cell>
          <cell r="E3396" t="str">
            <v>ETIQUETTE THERMIQUE DIRECTE 55MMX17MM COCARDE MANDRIN</v>
          </cell>
          <cell r="F3396">
            <v>0</v>
          </cell>
          <cell r="G3396">
            <v>0</v>
          </cell>
          <cell r="H3396">
            <v>0</v>
          </cell>
          <cell r="I3396">
            <v>0</v>
          </cell>
          <cell r="J3396">
            <v>0</v>
          </cell>
          <cell r="K3396">
            <v>0</v>
          </cell>
          <cell r="L3396" t="e">
            <v>#DIV/0!</v>
          </cell>
          <cell r="M3396">
            <v>0</v>
          </cell>
        </row>
        <row r="3397">
          <cell r="A3397" t="str">
            <v>COMP1240003</v>
          </cell>
          <cell r="B3397">
            <v>3118220045224</v>
          </cell>
          <cell r="E3397" t="str">
            <v>ETIQUETTE ADHESIVE DRAPEAU POUR FUSIL TB COLLECTION</v>
          </cell>
          <cell r="F3397">
            <v>1</v>
          </cell>
          <cell r="G3397">
            <v>1</v>
          </cell>
          <cell r="H3397">
            <v>0</v>
          </cell>
          <cell r="I3397">
            <v>0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</row>
        <row r="3398">
          <cell r="A3398" t="str">
            <v>COMP1240004</v>
          </cell>
          <cell r="B3398">
            <v>3118220045583</v>
          </cell>
          <cell r="E3398" t="str">
            <v>ETIQUETTE ADHESIVE POUR FUSIL TB COLLECTION 10610003</v>
          </cell>
          <cell r="F3398">
            <v>5000</v>
          </cell>
          <cell r="G3398">
            <v>200</v>
          </cell>
          <cell r="H3398">
            <v>0</v>
          </cell>
          <cell r="I3398">
            <v>0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</row>
        <row r="3399">
          <cell r="A3399" t="str">
            <v>Comp1350017</v>
          </cell>
          <cell r="B3399"/>
          <cell r="C3399"/>
          <cell r="D3399"/>
          <cell r="E3399" t="str">
            <v>ETUI KYDEX COUTEAU SIKA 150</v>
          </cell>
          <cell r="L3399" t="e">
            <v>#DIV/0!</v>
          </cell>
          <cell r="M3399">
            <v>0</v>
          </cell>
        </row>
        <row r="3400">
          <cell r="A3400" t="str">
            <v>Comp1350034</v>
          </cell>
          <cell r="B3400" t="str">
            <v xml:space="preserve"> /</v>
          </cell>
          <cell r="C3400" t="str">
            <v xml:space="preserve"> /</v>
          </cell>
          <cell r="D3400" t="str">
            <v xml:space="preserve"> /</v>
          </cell>
          <cell r="E3400" t="str">
            <v>SANGLE 20'' POUR COUTEAU SUBEA SPF</v>
          </cell>
          <cell r="L3400" t="e">
            <v>#DIV/0!</v>
          </cell>
          <cell r="M3400">
            <v>0</v>
          </cell>
        </row>
        <row r="3401">
          <cell r="A3401" t="str">
            <v>Comp1350058</v>
          </cell>
          <cell r="B3401"/>
          <cell r="C3401"/>
          <cell r="D3401"/>
          <cell r="E3401" t="str">
            <v>PAIRE DE PLAQUETTE COUTEAU SIKA 150</v>
          </cell>
          <cell r="L3401" t="e">
            <v>#DIV/0!</v>
          </cell>
          <cell r="M3401">
            <v>0</v>
          </cell>
        </row>
        <row r="3402">
          <cell r="A3402" t="str">
            <v>COMP1410001</v>
          </cell>
          <cell r="B3402">
            <v>3118220030527</v>
          </cell>
          <cell r="E3402" t="str">
            <v>FOND MAGNETIQUE LOUIS VITRINE RETAIL 58*38.5</v>
          </cell>
          <cell r="F3402">
            <v>1</v>
          </cell>
          <cell r="G3402">
            <v>1</v>
          </cell>
          <cell r="H3402">
            <v>58</v>
          </cell>
          <cell r="I3402">
            <v>37</v>
          </cell>
          <cell r="J3402">
            <v>0.5</v>
          </cell>
          <cell r="K3402">
            <v>0.42599999999999999</v>
          </cell>
          <cell r="L3402">
            <v>0.42599999999999999</v>
          </cell>
          <cell r="M3402">
            <v>1.073E-3</v>
          </cell>
        </row>
        <row r="3403">
          <cell r="A3403" t="str">
            <v>COMP1490001</v>
          </cell>
          <cell r="B3403">
            <v>3118220027602</v>
          </cell>
          <cell r="E3403" t="str">
            <v>BOITE TB COLLECTION VIDE + FACADE M16 INSERT COULEUR</v>
          </cell>
          <cell r="F3403">
            <v>6</v>
          </cell>
          <cell r="G3403">
            <v>6</v>
          </cell>
          <cell r="H3403">
            <v>49</v>
          </cell>
          <cell r="I3403">
            <v>24</v>
          </cell>
          <cell r="J3403">
            <v>49</v>
          </cell>
          <cell r="K3403">
            <v>8.6790000000000003</v>
          </cell>
          <cell r="L3403">
            <v>1.4465000000000001</v>
          </cell>
          <cell r="M3403">
            <v>5.7623999999999995E-2</v>
          </cell>
        </row>
        <row r="3404">
          <cell r="A3404" t="str">
            <v>COMP1490002</v>
          </cell>
          <cell r="B3404">
            <v>3118220027619</v>
          </cell>
          <cell r="E3404" t="str">
            <v>BOITE TB COLLECTION VIDE + FACADE M24 INSERT INOX</v>
          </cell>
          <cell r="F3404">
            <v>6</v>
          </cell>
          <cell r="G3404">
            <v>6</v>
          </cell>
          <cell r="H3404">
            <v>50</v>
          </cell>
          <cell r="I3404">
            <v>49</v>
          </cell>
          <cell r="J3404">
            <v>26</v>
          </cell>
          <cell r="K3404">
            <v>10.179</v>
          </cell>
          <cell r="L3404">
            <v>1.6965000000000001</v>
          </cell>
          <cell r="M3404">
            <v>6.3700000000000007E-2</v>
          </cell>
        </row>
        <row r="3405">
          <cell r="A3405" t="str">
            <v>COMP1490003</v>
          </cell>
          <cell r="B3405">
            <v>3118220028722</v>
          </cell>
          <cell r="E3405" t="str">
            <v>BOITE TB COLLECTION VIDE + FACADE M16 CHEVRON</v>
          </cell>
          <cell r="F3405">
            <v>6</v>
          </cell>
          <cell r="G3405">
            <v>6</v>
          </cell>
          <cell r="H3405">
            <v>30</v>
          </cell>
          <cell r="I3405">
            <v>27</v>
          </cell>
          <cell r="J3405">
            <v>31.5</v>
          </cell>
          <cell r="K3405">
            <v>9.5549999999999997</v>
          </cell>
          <cell r="L3405">
            <v>1.5925</v>
          </cell>
          <cell r="M3405">
            <v>2.5514999999999999E-2</v>
          </cell>
        </row>
        <row r="3406">
          <cell r="A3406" t="str">
            <v>Comp1370029</v>
          </cell>
          <cell r="B3406" t="str">
            <v xml:space="preserve"> /</v>
          </cell>
          <cell r="C3406" t="str">
            <v xml:space="preserve"> /</v>
          </cell>
          <cell r="D3406" t="str">
            <v xml:space="preserve"> /</v>
          </cell>
          <cell r="E3406" t="str">
            <v>BOITE POUR SET DE 3 CTX BRIGADE BOIS TRADITION CRF HOME</v>
          </cell>
          <cell r="L3406" t="e">
            <v>#DIV/0!</v>
          </cell>
          <cell r="M3406">
            <v>0</v>
          </cell>
        </row>
        <row r="3407">
          <cell r="A3407" t="str">
            <v>COMP1490004</v>
          </cell>
          <cell r="B3407">
            <v>3118220030336</v>
          </cell>
          <cell r="E3407" t="str">
            <v>BOITE TB COLLECTION VIDE + FACADE M16 REVETEMENT PVD FORGE</v>
          </cell>
          <cell r="F3407">
            <v>6</v>
          </cell>
          <cell r="G3407">
            <v>6</v>
          </cell>
          <cell r="H3407">
            <v>0</v>
          </cell>
          <cell r="I3407">
            <v>0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</row>
        <row r="3408">
          <cell r="A3408" t="str">
            <v>COMP1490006</v>
          </cell>
          <cell r="B3408">
            <v>3118220036031</v>
          </cell>
          <cell r="E3408" t="str">
            <v>BOITE CARTON VIDE BLOC MAGNTIQ 5 CTX EXPRESSION MANCH OLIVIE</v>
          </cell>
          <cell r="F3408">
            <v>30</v>
          </cell>
          <cell r="G3408">
            <v>30</v>
          </cell>
          <cell r="H3408">
            <v>61</v>
          </cell>
          <cell r="I3408">
            <v>61</v>
          </cell>
          <cell r="J3408">
            <v>18.5</v>
          </cell>
          <cell r="K3408">
            <v>11.596</v>
          </cell>
          <cell r="L3408">
            <v>0.38653333333333334</v>
          </cell>
          <cell r="M3408">
            <v>6.8838499999999997E-2</v>
          </cell>
        </row>
        <row r="3409">
          <cell r="A3409" t="str">
            <v>COMP1490007</v>
          </cell>
          <cell r="B3409">
            <v>3118220036536</v>
          </cell>
          <cell r="E3409" t="str">
            <v>BOITE TB COLLECTION VIDE + FACADE M16 INSERT INOX</v>
          </cell>
          <cell r="F3409">
            <v>61</v>
          </cell>
          <cell r="G3409">
            <v>6</v>
          </cell>
          <cell r="H3409">
            <v>56.5</v>
          </cell>
          <cell r="I3409">
            <v>24</v>
          </cell>
          <cell r="J3409">
            <v>47</v>
          </cell>
          <cell r="K3409">
            <v>9.1809999999999992</v>
          </cell>
          <cell r="L3409">
            <v>0.15050819672131147</v>
          </cell>
          <cell r="M3409">
            <v>6.3731999999999997E-2</v>
          </cell>
        </row>
        <row r="3410">
          <cell r="A3410" t="str">
            <v>COMP1490005</v>
          </cell>
          <cell r="B3410">
            <v>3118220035676</v>
          </cell>
          <cell r="E3410" t="str">
            <v>BOITE TB COLLECTION VIDE + FACADE M24 INSERT COULEUR</v>
          </cell>
          <cell r="F3410">
            <v>50</v>
          </cell>
          <cell r="G3410">
            <v>1</v>
          </cell>
          <cell r="H3410">
            <v>0</v>
          </cell>
          <cell r="I3410">
            <v>0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</row>
        <row r="3411">
          <cell r="A3411" t="str">
            <v>COMP1490008</v>
          </cell>
          <cell r="B3411">
            <v>3118220038547</v>
          </cell>
          <cell r="E3411" t="str">
            <v>PROTECTION PVC POUR BOITES PM ACCESS ET ECO</v>
          </cell>
          <cell r="F3411">
            <v>0</v>
          </cell>
          <cell r="G3411">
            <v>0</v>
          </cell>
          <cell r="H3411">
            <v>0</v>
          </cell>
          <cell r="I3411">
            <v>0</v>
          </cell>
          <cell r="J3411">
            <v>0</v>
          </cell>
          <cell r="K3411">
            <v>0</v>
          </cell>
          <cell r="L3411" t="e">
            <v>#DIV/0!</v>
          </cell>
          <cell r="M3411">
            <v>0</v>
          </cell>
        </row>
        <row r="3412">
          <cell r="A3412" t="str">
            <v>COMP1490009</v>
          </cell>
          <cell r="B3412">
            <v>3118220038554</v>
          </cell>
          <cell r="E3412" t="str">
            <v>PROTECTION PVC POUR BOITES GM ACCESS ET ECO</v>
          </cell>
          <cell r="F3412">
            <v>0</v>
          </cell>
          <cell r="G3412">
            <v>0</v>
          </cell>
          <cell r="H3412">
            <v>0</v>
          </cell>
          <cell r="I3412">
            <v>0</v>
          </cell>
          <cell r="J3412">
            <v>0</v>
          </cell>
          <cell r="K3412">
            <v>0</v>
          </cell>
          <cell r="L3412" t="e">
            <v>#DIV/0!</v>
          </cell>
          <cell r="M3412">
            <v>0</v>
          </cell>
        </row>
        <row r="3413">
          <cell r="A3413" t="str">
            <v>COMP1490010</v>
          </cell>
          <cell r="B3413">
            <v>3118220038561</v>
          </cell>
          <cell r="E3413" t="str">
            <v>CALE INTERIEUR PM 186U POUR BTE LAG HERITAGE</v>
          </cell>
          <cell r="F3413">
            <v>0</v>
          </cell>
          <cell r="G3413">
            <v>0</v>
          </cell>
          <cell r="H3413">
            <v>0</v>
          </cell>
          <cell r="I3413">
            <v>0</v>
          </cell>
          <cell r="J3413">
            <v>0</v>
          </cell>
          <cell r="K3413">
            <v>0</v>
          </cell>
          <cell r="L3413" t="e">
            <v>#DIV/0!</v>
          </cell>
          <cell r="M3413">
            <v>0</v>
          </cell>
        </row>
        <row r="3414">
          <cell r="A3414" t="str">
            <v>COMP1490011</v>
          </cell>
          <cell r="B3414">
            <v>3118220038578</v>
          </cell>
          <cell r="E3414" t="str">
            <v>CALE INTERIEUR GM 186U POUR BTE LAG HERITAGE</v>
          </cell>
          <cell r="F3414">
            <v>0</v>
          </cell>
          <cell r="G3414">
            <v>0</v>
          </cell>
          <cell r="H3414">
            <v>0</v>
          </cell>
          <cell r="I3414">
            <v>0</v>
          </cell>
          <cell r="J3414">
            <v>0</v>
          </cell>
          <cell r="K3414">
            <v>0</v>
          </cell>
          <cell r="L3414" t="e">
            <v>#DIV/0!</v>
          </cell>
          <cell r="M3414">
            <v>0</v>
          </cell>
        </row>
        <row r="3415">
          <cell r="A3415" t="str">
            <v>COMP1490026</v>
          </cell>
          <cell r="B3415">
            <v>3118220044609</v>
          </cell>
          <cell r="E3415" t="str">
            <v>BOITE VIDE TB COLLECTION POUR PIERRE A AIGUISER</v>
          </cell>
          <cell r="F3415">
            <v>1</v>
          </cell>
          <cell r="G3415">
            <v>1</v>
          </cell>
          <cell r="H3415">
            <v>53</v>
          </cell>
          <cell r="I3415">
            <v>37</v>
          </cell>
          <cell r="J3415">
            <v>22</v>
          </cell>
          <cell r="K3415">
            <v>0</v>
          </cell>
          <cell r="L3415">
            <v>0</v>
          </cell>
          <cell r="M3415">
            <v>4.3141999999999993E-2</v>
          </cell>
        </row>
        <row r="3416">
          <cell r="A3416" t="str">
            <v>COMP1490027</v>
          </cell>
          <cell r="B3416">
            <v>3118220044616</v>
          </cell>
          <cell r="E3416" t="str">
            <v>BOITE VIDE TB COLLECTION POUR BARRE AIMANTEE</v>
          </cell>
          <cell r="F3416">
            <v>1</v>
          </cell>
          <cell r="G3416">
            <v>1</v>
          </cell>
          <cell r="H3416">
            <v>55</v>
          </cell>
          <cell r="I3416">
            <v>51</v>
          </cell>
          <cell r="J3416">
            <v>30.5</v>
          </cell>
          <cell r="K3416">
            <v>0</v>
          </cell>
          <cell r="L3416">
            <v>0</v>
          </cell>
          <cell r="M3416">
            <v>8.5552500000000004E-2</v>
          </cell>
        </row>
        <row r="3417">
          <cell r="A3417" t="str">
            <v>Comp1490025</v>
          </cell>
          <cell r="B3417" t="str">
            <v xml:space="preserve"> /</v>
          </cell>
          <cell r="C3417" t="str">
            <v xml:space="preserve"> /</v>
          </cell>
          <cell r="D3417" t="str">
            <v xml:space="preserve"> /</v>
          </cell>
          <cell r="E3417" t="str">
            <v>BOITE VIDE BLOC POUR CTX DE CUISINE LAG HERITAGE ACACIA</v>
          </cell>
          <cell r="L3417" t="e">
            <v>#DIV/0!</v>
          </cell>
          <cell r="M3417">
            <v>0</v>
          </cell>
        </row>
        <row r="3418">
          <cell r="A3418" t="str">
            <v>COMP1490028</v>
          </cell>
          <cell r="B3418">
            <v>3118220044623</v>
          </cell>
          <cell r="E3418" t="str">
            <v>BOITE VIDE CARREFOUR HOME POUR PIERRE A AIGUISER</v>
          </cell>
          <cell r="F3418">
            <v>1</v>
          </cell>
          <cell r="G3418">
            <v>1</v>
          </cell>
          <cell r="H3418">
            <v>0</v>
          </cell>
          <cell r="I3418">
            <v>0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</row>
        <row r="3419">
          <cell r="A3419" t="str">
            <v>COMP1490029</v>
          </cell>
          <cell r="B3419">
            <v>3118220044753</v>
          </cell>
          <cell r="E3419" t="str">
            <v>BOITE VIDE TB COLLECTION POUR FOURCHETTE FORGEE</v>
          </cell>
          <cell r="F3419">
            <v>1</v>
          </cell>
          <cell r="G3419">
            <v>1</v>
          </cell>
          <cell r="H3419">
            <v>0</v>
          </cell>
          <cell r="I3419">
            <v>0</v>
          </cell>
          <cell r="J3419">
            <v>0</v>
          </cell>
          <cell r="K3419">
            <v>0</v>
          </cell>
          <cell r="L3419">
            <v>0</v>
          </cell>
          <cell r="M3419">
            <v>0</v>
          </cell>
        </row>
        <row r="3420">
          <cell r="A3420" t="str">
            <v>Comp1490041</v>
          </cell>
          <cell r="B3420" t="str">
            <v xml:space="preserve"> /</v>
          </cell>
          <cell r="C3420" t="str">
            <v xml:space="preserve"> /</v>
          </cell>
          <cell r="D3420" t="str">
            <v xml:space="preserve"> /</v>
          </cell>
          <cell r="E3420" t="str">
            <v>BOITE VIDE POUR OFFICE METALIS CERAMIQUE</v>
          </cell>
          <cell r="F3420">
            <v>0</v>
          </cell>
          <cell r="G3420">
            <v>0</v>
          </cell>
          <cell r="H3420">
            <v>0</v>
          </cell>
          <cell r="I3420">
            <v>0</v>
          </cell>
          <cell r="J3420">
            <v>0</v>
          </cell>
          <cell r="K3420">
            <v>0</v>
          </cell>
          <cell r="L3420" t="e">
            <v>#DIV/0!</v>
          </cell>
          <cell r="M3420">
            <v>0</v>
          </cell>
        </row>
        <row r="3421">
          <cell r="A3421" t="str">
            <v>Comp1490042</v>
          </cell>
          <cell r="B3421" t="str">
            <v xml:space="preserve"> /</v>
          </cell>
          <cell r="C3421" t="str">
            <v xml:space="preserve"> /</v>
          </cell>
          <cell r="D3421" t="str">
            <v xml:space="preserve"> /</v>
          </cell>
          <cell r="E3421" t="str">
            <v>BOITE VIDE POUR STEAK METALIS CERAMIQUE</v>
          </cell>
          <cell r="F3421">
            <v>0</v>
          </cell>
          <cell r="G3421">
            <v>0</v>
          </cell>
          <cell r="H3421">
            <v>0</v>
          </cell>
          <cell r="I3421">
            <v>0</v>
          </cell>
          <cell r="J3421">
            <v>0</v>
          </cell>
          <cell r="K3421">
            <v>0</v>
          </cell>
          <cell r="L3421" t="e">
            <v>#DIV/0!</v>
          </cell>
          <cell r="M3421">
            <v>0</v>
          </cell>
        </row>
        <row r="3422">
          <cell r="A3422" t="str">
            <v>Comp1490043</v>
          </cell>
          <cell r="B3422" t="str">
            <v xml:space="preserve"> /</v>
          </cell>
          <cell r="C3422" t="str">
            <v xml:space="preserve"> /</v>
          </cell>
          <cell r="D3422" t="str">
            <v xml:space="preserve"> /</v>
          </cell>
          <cell r="E3422" t="str">
            <v>BOITE VIDE POUR CHEF METALIS CERAMIQUE</v>
          </cell>
          <cell r="F3422">
            <v>0</v>
          </cell>
          <cell r="G3422">
            <v>0</v>
          </cell>
          <cell r="H3422">
            <v>0</v>
          </cell>
          <cell r="I3422">
            <v>0</v>
          </cell>
          <cell r="J3422">
            <v>0</v>
          </cell>
          <cell r="K3422">
            <v>0</v>
          </cell>
          <cell r="L3422" t="e">
            <v>#DIV/0!</v>
          </cell>
          <cell r="M3422">
            <v>0</v>
          </cell>
        </row>
        <row r="3423">
          <cell r="A3423" t="str">
            <v>Comp1490044</v>
          </cell>
          <cell r="B3423" t="str">
            <v xml:space="preserve"> /</v>
          </cell>
          <cell r="C3423" t="str">
            <v xml:space="preserve"> /</v>
          </cell>
          <cell r="D3423" t="str">
            <v xml:space="preserve"> /</v>
          </cell>
          <cell r="E3423" t="str">
            <v>BOITE VIDE POUR SANTOKU METALIS CERAMIQUE</v>
          </cell>
          <cell r="F3423">
            <v>0</v>
          </cell>
          <cell r="G3423">
            <v>0</v>
          </cell>
          <cell r="H3423">
            <v>0</v>
          </cell>
          <cell r="I3423">
            <v>0</v>
          </cell>
          <cell r="J3423">
            <v>0</v>
          </cell>
          <cell r="K3423">
            <v>0</v>
          </cell>
          <cell r="L3423" t="e">
            <v>#DIV/0!</v>
          </cell>
          <cell r="M3423">
            <v>0</v>
          </cell>
        </row>
        <row r="3424">
          <cell r="A3424" t="str">
            <v>Comp1490050</v>
          </cell>
          <cell r="B3424" t="str">
            <v xml:space="preserve"> /</v>
          </cell>
          <cell r="C3424" t="str">
            <v xml:space="preserve"> /</v>
          </cell>
          <cell r="D3424" t="str">
            <v xml:space="preserve"> /</v>
          </cell>
          <cell r="E3424" t="str">
            <v>BOITE VIDE CDC POUR OFFICE EQUILIBRE CERAMIQUE</v>
          </cell>
          <cell r="F3424">
            <v>0</v>
          </cell>
          <cell r="G3424">
            <v>0</v>
          </cell>
          <cell r="H3424">
            <v>0</v>
          </cell>
          <cell r="I3424">
            <v>0</v>
          </cell>
          <cell r="J3424">
            <v>0</v>
          </cell>
          <cell r="K3424">
            <v>0</v>
          </cell>
          <cell r="L3424" t="e">
            <v>#DIV/0!</v>
          </cell>
          <cell r="M3424">
            <v>0</v>
          </cell>
        </row>
        <row r="3425">
          <cell r="A3425" t="str">
            <v>Comp1490051</v>
          </cell>
          <cell r="B3425" t="str">
            <v xml:space="preserve"> /</v>
          </cell>
          <cell r="C3425" t="str">
            <v xml:space="preserve"> /</v>
          </cell>
          <cell r="D3425" t="str">
            <v xml:space="preserve"> /</v>
          </cell>
          <cell r="E3425" t="str">
            <v>BOITE VIDE CDC POUR STEAK EQUILIBRE CERAMIQUE</v>
          </cell>
          <cell r="F3425">
            <v>0</v>
          </cell>
          <cell r="G3425">
            <v>0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 t="e">
            <v>#DIV/0!</v>
          </cell>
          <cell r="M3425">
            <v>0</v>
          </cell>
        </row>
        <row r="3426">
          <cell r="A3426" t="str">
            <v>Comp1490052</v>
          </cell>
          <cell r="B3426" t="str">
            <v xml:space="preserve"> /</v>
          </cell>
          <cell r="C3426" t="str">
            <v xml:space="preserve"> /</v>
          </cell>
          <cell r="D3426" t="str">
            <v xml:space="preserve"> /</v>
          </cell>
          <cell r="E3426" t="str">
            <v>BOITE VIDE CDC POUR CUISINE EQUILIBRE CERAMIQUE</v>
          </cell>
          <cell r="F3426">
            <v>0</v>
          </cell>
          <cell r="G3426">
            <v>0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 t="e">
            <v>#DIV/0!</v>
          </cell>
          <cell r="M3426">
            <v>0</v>
          </cell>
        </row>
        <row r="3427">
          <cell r="A3427" t="str">
            <v>Comp1490053</v>
          </cell>
          <cell r="B3427" t="str">
            <v xml:space="preserve"> /</v>
          </cell>
          <cell r="C3427" t="str">
            <v xml:space="preserve"> /</v>
          </cell>
          <cell r="D3427" t="str">
            <v xml:space="preserve"> /</v>
          </cell>
          <cell r="E3427" t="str">
            <v>BOITE VIDE CDC POUR SANTOKU EQUILIBRE CERAMIQUE</v>
          </cell>
          <cell r="F3427">
            <v>0</v>
          </cell>
          <cell r="G3427">
            <v>0</v>
          </cell>
          <cell r="H3427">
            <v>0</v>
          </cell>
          <cell r="I3427">
            <v>0</v>
          </cell>
          <cell r="J3427">
            <v>0</v>
          </cell>
          <cell r="K3427">
            <v>0</v>
          </cell>
          <cell r="L3427" t="e">
            <v>#DIV/0!</v>
          </cell>
          <cell r="M3427">
            <v>0</v>
          </cell>
        </row>
        <row r="3428">
          <cell r="A3428" t="str">
            <v>Comp1490054</v>
          </cell>
          <cell r="B3428" t="str">
            <v xml:space="preserve"> /</v>
          </cell>
          <cell r="C3428" t="str">
            <v xml:space="preserve"> /</v>
          </cell>
          <cell r="D3428" t="str">
            <v xml:space="preserve"> /</v>
          </cell>
          <cell r="E3428" t="str">
            <v>BOITE VIDE CDC POUR NAKIRI EQUILIBRE CERAMIQUE</v>
          </cell>
          <cell r="F3428">
            <v>0</v>
          </cell>
          <cell r="G3428">
            <v>0</v>
          </cell>
          <cell r="H3428">
            <v>0</v>
          </cell>
          <cell r="I3428">
            <v>0</v>
          </cell>
          <cell r="J3428">
            <v>0</v>
          </cell>
          <cell r="K3428">
            <v>0</v>
          </cell>
          <cell r="L3428" t="e">
            <v>#DIV/0!</v>
          </cell>
          <cell r="M3428">
            <v>0</v>
          </cell>
        </row>
        <row r="3429">
          <cell r="A3429" t="str">
            <v>Comp1490058</v>
          </cell>
          <cell r="B3429">
            <v>3118220051843</v>
          </cell>
          <cell r="E3429" t="str">
            <v>BOITE VIDE NEUTRE LAGUIOLE HERITAGE + FACADE GRISE</v>
          </cell>
          <cell r="F3429">
            <v>120</v>
          </cell>
          <cell r="G3429">
            <v>120</v>
          </cell>
          <cell r="H3429">
            <v>0</v>
          </cell>
          <cell r="I3429">
            <v>0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</row>
        <row r="3430">
          <cell r="A3430" t="str">
            <v>Comp1490059</v>
          </cell>
          <cell r="B3430">
            <v>3118220051850</v>
          </cell>
          <cell r="C3430">
            <v>13118220051857</v>
          </cell>
          <cell r="D3430">
            <v>23118220051854</v>
          </cell>
          <cell r="E3430" t="str">
            <v>BOITE VIDE LAGUIOLE HERITAGE EMOTION FINITION MIROIR</v>
          </cell>
          <cell r="F3430">
            <v>120</v>
          </cell>
          <cell r="G3430">
            <v>120</v>
          </cell>
          <cell r="H3430">
            <v>0</v>
          </cell>
          <cell r="I3430">
            <v>0</v>
          </cell>
          <cell r="J3430">
            <v>0</v>
          </cell>
          <cell r="K3430">
            <v>0</v>
          </cell>
          <cell r="L3430">
            <v>0</v>
          </cell>
          <cell r="M3430">
            <v>0</v>
          </cell>
        </row>
        <row r="3431">
          <cell r="A3431" t="str">
            <v>Comp1490060</v>
          </cell>
          <cell r="B3431">
            <v>3118220051867</v>
          </cell>
          <cell r="C3431">
            <v>13118220051864</v>
          </cell>
          <cell r="D3431">
            <v>23118220051861</v>
          </cell>
          <cell r="E3431" t="str">
            <v>BOITE VIDE LAGUIOLE HERITAGE EMOTION FINITION SATINE</v>
          </cell>
          <cell r="F3431">
            <v>120</v>
          </cell>
          <cell r="G3431">
            <v>120</v>
          </cell>
          <cell r="H3431">
            <v>0</v>
          </cell>
          <cell r="I3431">
            <v>0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</row>
        <row r="3432">
          <cell r="A3432" t="str">
            <v>Prod1070027</v>
          </cell>
          <cell r="B3432" t="str">
            <v xml:space="preserve"> /</v>
          </cell>
          <cell r="C3432" t="str">
            <v xml:space="preserve"> /</v>
          </cell>
          <cell r="D3432" t="str">
            <v xml:space="preserve"> /</v>
          </cell>
          <cell r="E3432" t="str">
            <v xml:space="preserve">	MOLLE CLIP</v>
          </cell>
          <cell r="L3432" t="e">
            <v>#DIV/0!</v>
          </cell>
          <cell r="M3432">
            <v>0</v>
          </cell>
        </row>
        <row r="3433">
          <cell r="A3433"/>
          <cell r="B3433"/>
          <cell r="C3433"/>
          <cell r="D3433"/>
          <cell r="E3433"/>
          <cell r="L3433" t="e">
            <v>#DIV/0!</v>
          </cell>
          <cell r="M3433">
            <v>0</v>
          </cell>
        </row>
        <row r="3434">
          <cell r="A3434"/>
          <cell r="B3434"/>
          <cell r="C3434"/>
          <cell r="D3434"/>
          <cell r="E3434"/>
          <cell r="L3434" t="e">
            <v>#DIV/0!</v>
          </cell>
          <cell r="M3434">
            <v>0</v>
          </cell>
        </row>
        <row r="3435">
          <cell r="A3435"/>
          <cell r="B3435"/>
          <cell r="C3435"/>
          <cell r="D3435"/>
          <cell r="E3435"/>
          <cell r="L3435" t="e">
            <v>#DIV/0!</v>
          </cell>
          <cell r="M3435">
            <v>0</v>
          </cell>
        </row>
        <row r="3436">
          <cell r="A3436"/>
          <cell r="B3436"/>
          <cell r="C3436"/>
          <cell r="D3436"/>
          <cell r="E3436"/>
          <cell r="L3436" t="e">
            <v>#DIV/0!</v>
          </cell>
          <cell r="M3436">
            <v>0</v>
          </cell>
        </row>
        <row r="3437">
          <cell r="A3437"/>
          <cell r="B3437"/>
          <cell r="C3437"/>
          <cell r="D3437"/>
          <cell r="E3437"/>
          <cell r="L3437" t="e">
            <v>#DIV/0!</v>
          </cell>
          <cell r="M3437">
            <v>0</v>
          </cell>
        </row>
        <row r="3438">
          <cell r="A3438"/>
          <cell r="B3438"/>
          <cell r="C3438"/>
          <cell r="D3438"/>
          <cell r="E3438"/>
          <cell r="L3438" t="e">
            <v>#DIV/0!</v>
          </cell>
          <cell r="M3438">
            <v>0</v>
          </cell>
        </row>
        <row r="3439">
          <cell r="A3439"/>
          <cell r="B3439"/>
          <cell r="C3439"/>
          <cell r="D3439"/>
          <cell r="E3439"/>
          <cell r="L3439" t="e">
            <v>#DIV/0!</v>
          </cell>
          <cell r="M3439">
            <v>0</v>
          </cell>
        </row>
        <row r="3440">
          <cell r="A3440"/>
          <cell r="B3440"/>
          <cell r="C3440"/>
          <cell r="D3440"/>
          <cell r="E3440"/>
          <cell r="L3440" t="e">
            <v>#DIV/0!</v>
          </cell>
          <cell r="M3440">
            <v>0</v>
          </cell>
        </row>
        <row r="3441">
          <cell r="A3441"/>
          <cell r="B3441"/>
          <cell r="C3441"/>
          <cell r="D3441"/>
          <cell r="E3441"/>
          <cell r="L3441" t="e">
            <v>#DIV/0!</v>
          </cell>
          <cell r="M3441">
            <v>0</v>
          </cell>
        </row>
        <row r="3442">
          <cell r="A3442"/>
          <cell r="B3442"/>
          <cell r="C3442"/>
          <cell r="D3442"/>
          <cell r="E3442"/>
          <cell r="L3442" t="e">
            <v>#DIV/0!</v>
          </cell>
          <cell r="M3442">
            <v>0</v>
          </cell>
        </row>
        <row r="3443">
          <cell r="A3443"/>
          <cell r="B3443"/>
          <cell r="C3443"/>
          <cell r="D3443"/>
          <cell r="E3443"/>
          <cell r="L3443" t="e">
            <v>#DIV/0!</v>
          </cell>
          <cell r="M3443">
            <v>0</v>
          </cell>
        </row>
        <row r="3444">
          <cell r="A3444"/>
          <cell r="B3444"/>
          <cell r="C3444"/>
          <cell r="D3444"/>
          <cell r="E3444"/>
          <cell r="L3444" t="e">
            <v>#DIV/0!</v>
          </cell>
          <cell r="M3444">
            <v>0</v>
          </cell>
        </row>
        <row r="3445">
          <cell r="A3445"/>
          <cell r="B3445"/>
          <cell r="C3445"/>
          <cell r="D3445"/>
          <cell r="E3445"/>
          <cell r="L3445" t="e">
            <v>#DIV/0!</v>
          </cell>
          <cell r="M3445">
            <v>0</v>
          </cell>
        </row>
        <row r="3446">
          <cell r="A3446"/>
          <cell r="B3446"/>
          <cell r="C3446"/>
          <cell r="D3446"/>
          <cell r="E3446"/>
          <cell r="L3446" t="e">
            <v>#DIV/0!</v>
          </cell>
          <cell r="M3446">
            <v>0</v>
          </cell>
        </row>
        <row r="3447">
          <cell r="A3447"/>
          <cell r="B3447"/>
          <cell r="C3447"/>
          <cell r="D3447"/>
          <cell r="E3447"/>
          <cell r="L3447" t="e">
            <v>#DIV/0!</v>
          </cell>
          <cell r="M3447">
            <v>0</v>
          </cell>
        </row>
        <row r="3448">
          <cell r="A3448"/>
          <cell r="B3448"/>
          <cell r="C3448"/>
          <cell r="D3448"/>
          <cell r="E3448"/>
          <cell r="L3448" t="e">
            <v>#DIV/0!</v>
          </cell>
          <cell r="M3448">
            <v>0</v>
          </cell>
        </row>
        <row r="3449">
          <cell r="A3449"/>
          <cell r="B3449"/>
          <cell r="C3449"/>
          <cell r="D3449"/>
          <cell r="E3449"/>
          <cell r="L3449" t="e">
            <v>#DIV/0!</v>
          </cell>
          <cell r="M3449">
            <v>0</v>
          </cell>
        </row>
        <row r="3450">
          <cell r="A3450"/>
          <cell r="B3450"/>
          <cell r="C3450"/>
          <cell r="D3450"/>
          <cell r="E3450"/>
          <cell r="L3450" t="e">
            <v>#DIV/0!</v>
          </cell>
          <cell r="M3450">
            <v>0</v>
          </cell>
        </row>
        <row r="3451">
          <cell r="A3451"/>
          <cell r="B3451"/>
          <cell r="C3451"/>
          <cell r="D3451"/>
          <cell r="E3451"/>
          <cell r="L3451" t="e">
            <v>#DIV/0!</v>
          </cell>
          <cell r="M3451">
            <v>0</v>
          </cell>
        </row>
        <row r="3452">
          <cell r="A3452"/>
          <cell r="B3452"/>
          <cell r="C3452"/>
          <cell r="D3452"/>
          <cell r="E3452"/>
          <cell r="L3452" t="e">
            <v>#DIV/0!</v>
          </cell>
          <cell r="M3452">
            <v>0</v>
          </cell>
        </row>
        <row r="3453">
          <cell r="A3453"/>
          <cell r="B3453"/>
          <cell r="C3453"/>
          <cell r="D3453"/>
          <cell r="E3453"/>
          <cell r="L3453" t="e">
            <v>#DIV/0!</v>
          </cell>
          <cell r="M3453">
            <v>0</v>
          </cell>
        </row>
        <row r="3454">
          <cell r="A3454"/>
          <cell r="B3454"/>
          <cell r="C3454"/>
          <cell r="D3454"/>
          <cell r="E3454"/>
          <cell r="L3454" t="e">
            <v>#DIV/0!</v>
          </cell>
          <cell r="M3454">
            <v>0</v>
          </cell>
        </row>
        <row r="3455">
          <cell r="A3455"/>
          <cell r="B3455"/>
          <cell r="C3455"/>
          <cell r="D3455"/>
          <cell r="E3455"/>
          <cell r="L3455" t="e">
            <v>#DIV/0!</v>
          </cell>
          <cell r="M3455">
            <v>0</v>
          </cell>
        </row>
        <row r="3456">
          <cell r="A3456"/>
          <cell r="B3456"/>
          <cell r="C3456"/>
          <cell r="D3456"/>
          <cell r="E3456"/>
          <cell r="L3456" t="e">
            <v>#DIV/0!</v>
          </cell>
          <cell r="M3456">
            <v>0</v>
          </cell>
        </row>
        <row r="3457">
          <cell r="A3457"/>
          <cell r="B3457"/>
          <cell r="C3457"/>
          <cell r="D3457"/>
          <cell r="E3457"/>
          <cell r="L3457" t="e">
            <v>#DIV/0!</v>
          </cell>
          <cell r="M3457">
            <v>0</v>
          </cell>
        </row>
        <row r="3458">
          <cell r="A3458"/>
          <cell r="B3458"/>
          <cell r="C3458"/>
          <cell r="D3458"/>
          <cell r="E3458"/>
          <cell r="L3458" t="e">
            <v>#DIV/0!</v>
          </cell>
          <cell r="M3458">
            <v>0</v>
          </cell>
        </row>
        <row r="3459">
          <cell r="A3459"/>
          <cell r="B3459"/>
          <cell r="C3459"/>
          <cell r="D3459"/>
          <cell r="E3459"/>
          <cell r="L3459" t="e">
            <v>#DIV/0!</v>
          </cell>
          <cell r="M3459">
            <v>0</v>
          </cell>
        </row>
        <row r="3460">
          <cell r="A3460"/>
          <cell r="B3460"/>
          <cell r="C3460"/>
          <cell r="D3460"/>
          <cell r="E3460"/>
          <cell r="L3460" t="e">
            <v>#DIV/0!</v>
          </cell>
          <cell r="M3460">
            <v>0</v>
          </cell>
        </row>
        <row r="3461">
          <cell r="A3461"/>
          <cell r="B3461"/>
          <cell r="C3461"/>
          <cell r="D3461"/>
          <cell r="E3461"/>
          <cell r="L3461" t="e">
            <v>#DIV/0!</v>
          </cell>
          <cell r="M3461">
            <v>0</v>
          </cell>
        </row>
        <row r="3462">
          <cell r="A3462"/>
          <cell r="B3462"/>
          <cell r="C3462"/>
          <cell r="D3462"/>
          <cell r="E3462"/>
          <cell r="L3462" t="e">
            <v>#DIV/0!</v>
          </cell>
          <cell r="M3462">
            <v>0</v>
          </cell>
        </row>
        <row r="3463">
          <cell r="A3463"/>
          <cell r="B3463"/>
          <cell r="C3463"/>
          <cell r="D3463"/>
          <cell r="E3463"/>
          <cell r="L3463" t="e">
            <v>#DIV/0!</v>
          </cell>
          <cell r="M3463">
            <v>0</v>
          </cell>
        </row>
        <row r="3464">
          <cell r="A3464"/>
          <cell r="B3464"/>
          <cell r="C3464"/>
          <cell r="D3464"/>
          <cell r="E3464"/>
          <cell r="L3464" t="e">
            <v>#DIV/0!</v>
          </cell>
          <cell r="M3464">
            <v>0</v>
          </cell>
        </row>
        <row r="3465">
          <cell r="A3465"/>
          <cell r="B3465"/>
          <cell r="C3465"/>
          <cell r="D3465"/>
          <cell r="E3465"/>
          <cell r="L3465" t="e">
            <v>#DIV/0!</v>
          </cell>
          <cell r="M3465">
            <v>0</v>
          </cell>
        </row>
        <row r="3466">
          <cell r="A3466"/>
          <cell r="B3466"/>
          <cell r="C3466"/>
          <cell r="D3466"/>
          <cell r="E3466"/>
          <cell r="L3466" t="e">
            <v>#DIV/0!</v>
          </cell>
          <cell r="M3466">
            <v>0</v>
          </cell>
        </row>
        <row r="3467">
          <cell r="A3467"/>
          <cell r="B3467"/>
          <cell r="C3467"/>
          <cell r="D3467"/>
          <cell r="E3467"/>
          <cell r="L3467" t="e">
            <v>#DIV/0!</v>
          </cell>
          <cell r="M3467">
            <v>0</v>
          </cell>
        </row>
        <row r="3468">
          <cell r="A3468"/>
          <cell r="B3468"/>
          <cell r="C3468"/>
          <cell r="D3468"/>
          <cell r="E3468"/>
          <cell r="L3468" t="e">
            <v>#DIV/0!</v>
          </cell>
          <cell r="M3468">
            <v>0</v>
          </cell>
        </row>
        <row r="3469">
          <cell r="A3469"/>
          <cell r="B3469"/>
          <cell r="C3469"/>
          <cell r="D3469"/>
          <cell r="E3469"/>
          <cell r="L3469" t="e">
            <v>#DIV/0!</v>
          </cell>
          <cell r="M3469">
            <v>0</v>
          </cell>
        </row>
        <row r="3470">
          <cell r="A3470"/>
          <cell r="B3470"/>
          <cell r="C3470"/>
          <cell r="D3470"/>
          <cell r="E3470"/>
          <cell r="L3470" t="e">
            <v>#DIV/0!</v>
          </cell>
          <cell r="M3470">
            <v>0</v>
          </cell>
        </row>
        <row r="3471">
          <cell r="A3471"/>
          <cell r="B3471"/>
          <cell r="C3471"/>
          <cell r="D3471"/>
          <cell r="E3471"/>
          <cell r="L3471" t="e">
            <v>#DIV/0!</v>
          </cell>
          <cell r="M3471">
            <v>0</v>
          </cell>
        </row>
        <row r="3472">
          <cell r="A3472"/>
          <cell r="B3472"/>
          <cell r="C3472"/>
          <cell r="D3472"/>
          <cell r="E3472"/>
          <cell r="L3472" t="e">
            <v>#DIV/0!</v>
          </cell>
          <cell r="M3472">
            <v>0</v>
          </cell>
        </row>
        <row r="3473">
          <cell r="A3473"/>
          <cell r="B3473"/>
          <cell r="C3473"/>
          <cell r="D3473"/>
          <cell r="E3473"/>
          <cell r="L3473" t="e">
            <v>#DIV/0!</v>
          </cell>
          <cell r="M3473">
            <v>0</v>
          </cell>
        </row>
        <row r="3474">
          <cell r="A3474"/>
          <cell r="B3474"/>
          <cell r="C3474"/>
          <cell r="D3474"/>
          <cell r="E3474"/>
          <cell r="L3474" t="e">
            <v>#DIV/0!</v>
          </cell>
          <cell r="M3474">
            <v>0</v>
          </cell>
        </row>
        <row r="3475">
          <cell r="A3475"/>
          <cell r="B3475"/>
          <cell r="C3475"/>
          <cell r="D3475"/>
          <cell r="E3475"/>
          <cell r="L3475" t="e">
            <v>#DIV/0!</v>
          </cell>
          <cell r="M3475">
            <v>0</v>
          </cell>
        </row>
        <row r="3476">
          <cell r="A3476"/>
          <cell r="B3476"/>
          <cell r="C3476"/>
          <cell r="D3476"/>
          <cell r="E3476"/>
          <cell r="L3476" t="e">
            <v>#DIV/0!</v>
          </cell>
          <cell r="M3476">
            <v>0</v>
          </cell>
        </row>
        <row r="3477">
          <cell r="A3477"/>
          <cell r="B3477"/>
          <cell r="C3477"/>
          <cell r="D3477"/>
          <cell r="E3477"/>
          <cell r="L3477" t="e">
            <v>#DIV/0!</v>
          </cell>
          <cell r="M3477">
            <v>0</v>
          </cell>
        </row>
        <row r="3478">
          <cell r="A3478"/>
          <cell r="B3478"/>
          <cell r="C3478"/>
          <cell r="D3478"/>
          <cell r="E3478"/>
          <cell r="L3478" t="e">
            <v>#DIV/0!</v>
          </cell>
          <cell r="M3478">
            <v>0</v>
          </cell>
        </row>
        <row r="3479">
          <cell r="A3479"/>
          <cell r="B3479"/>
          <cell r="C3479"/>
          <cell r="D3479"/>
          <cell r="E3479"/>
          <cell r="L3479" t="e">
            <v>#DIV/0!</v>
          </cell>
          <cell r="M3479">
            <v>0</v>
          </cell>
        </row>
        <row r="3480">
          <cell r="A3480"/>
          <cell r="B3480"/>
          <cell r="C3480"/>
          <cell r="D3480"/>
          <cell r="E3480"/>
          <cell r="L3480" t="e">
            <v>#DIV/0!</v>
          </cell>
          <cell r="M3480">
            <v>0</v>
          </cell>
        </row>
        <row r="3481">
          <cell r="A3481"/>
          <cell r="B3481"/>
          <cell r="C3481"/>
          <cell r="D3481"/>
          <cell r="E3481"/>
          <cell r="L3481" t="e">
            <v>#DIV/0!</v>
          </cell>
          <cell r="M3481">
            <v>0</v>
          </cell>
        </row>
        <row r="3482">
          <cell r="A3482"/>
          <cell r="B3482"/>
          <cell r="C3482"/>
          <cell r="D3482"/>
          <cell r="E3482"/>
          <cell r="L3482" t="e">
            <v>#DIV/0!</v>
          </cell>
          <cell r="M3482">
            <v>0</v>
          </cell>
        </row>
        <row r="3483">
          <cell r="A3483"/>
          <cell r="B3483"/>
          <cell r="C3483"/>
          <cell r="D3483"/>
          <cell r="E3483"/>
          <cell r="L3483" t="e">
            <v>#DIV/0!</v>
          </cell>
          <cell r="M3483">
            <v>0</v>
          </cell>
        </row>
        <row r="3484">
          <cell r="A3484"/>
          <cell r="B3484"/>
          <cell r="C3484"/>
          <cell r="D3484"/>
          <cell r="E3484"/>
          <cell r="L3484" t="e">
            <v>#DIV/0!</v>
          </cell>
          <cell r="M3484">
            <v>0</v>
          </cell>
        </row>
        <row r="3485">
          <cell r="A3485"/>
          <cell r="B3485"/>
          <cell r="C3485"/>
          <cell r="D3485"/>
          <cell r="E3485"/>
          <cell r="L3485" t="e">
            <v>#DIV/0!</v>
          </cell>
          <cell r="M3485">
            <v>0</v>
          </cell>
        </row>
        <row r="3486">
          <cell r="A3486"/>
          <cell r="B3486"/>
          <cell r="C3486"/>
          <cell r="D3486"/>
          <cell r="E3486"/>
          <cell r="L3486" t="e">
            <v>#DIV/0!</v>
          </cell>
          <cell r="M3486">
            <v>0</v>
          </cell>
        </row>
        <row r="3487">
          <cell r="A3487"/>
          <cell r="B3487"/>
          <cell r="C3487"/>
          <cell r="D3487"/>
          <cell r="E3487"/>
          <cell r="L3487" t="e">
            <v>#DIV/0!</v>
          </cell>
          <cell r="M3487">
            <v>0</v>
          </cell>
        </row>
        <row r="3488">
          <cell r="A3488"/>
          <cell r="B3488"/>
          <cell r="C3488"/>
          <cell r="D3488"/>
          <cell r="E3488"/>
          <cell r="L3488" t="e">
            <v>#DIV/0!</v>
          </cell>
          <cell r="M3488">
            <v>0</v>
          </cell>
        </row>
        <row r="3489">
          <cell r="A3489"/>
          <cell r="B3489"/>
          <cell r="C3489"/>
          <cell r="D3489"/>
          <cell r="E3489"/>
          <cell r="L3489" t="e">
            <v>#DIV/0!</v>
          </cell>
          <cell r="M3489">
            <v>0</v>
          </cell>
        </row>
        <row r="3490">
          <cell r="A3490"/>
          <cell r="B3490"/>
          <cell r="C3490"/>
          <cell r="D3490"/>
          <cell r="E3490"/>
          <cell r="L3490" t="e">
            <v>#DIV/0!</v>
          </cell>
          <cell r="M3490">
            <v>0</v>
          </cell>
        </row>
        <row r="3491">
          <cell r="A3491"/>
          <cell r="B3491"/>
          <cell r="C3491"/>
          <cell r="D3491"/>
          <cell r="E3491"/>
          <cell r="L3491" t="e">
            <v>#DIV/0!</v>
          </cell>
          <cell r="M3491">
            <v>0</v>
          </cell>
        </row>
        <row r="3492">
          <cell r="A3492"/>
          <cell r="B3492"/>
          <cell r="C3492"/>
          <cell r="D3492"/>
          <cell r="E3492"/>
          <cell r="L3492" t="e">
            <v>#DIV/0!</v>
          </cell>
          <cell r="M3492">
            <v>0</v>
          </cell>
        </row>
        <row r="3493">
          <cell r="A3493"/>
          <cell r="B3493"/>
          <cell r="C3493"/>
          <cell r="D3493"/>
          <cell r="E3493"/>
          <cell r="L3493" t="e">
            <v>#DIV/0!</v>
          </cell>
          <cell r="M3493">
            <v>0</v>
          </cell>
        </row>
        <row r="3494">
          <cell r="A3494"/>
          <cell r="B3494"/>
          <cell r="C3494"/>
          <cell r="D3494"/>
          <cell r="E3494"/>
          <cell r="L3494" t="e">
            <v>#DIV/0!</v>
          </cell>
          <cell r="M3494">
            <v>0</v>
          </cell>
        </row>
        <row r="3495">
          <cell r="A3495"/>
          <cell r="B3495"/>
          <cell r="C3495"/>
          <cell r="D3495"/>
          <cell r="E3495"/>
          <cell r="L3495" t="e">
            <v>#DIV/0!</v>
          </cell>
          <cell r="M3495">
            <v>0</v>
          </cell>
        </row>
        <row r="3496">
          <cell r="A3496"/>
          <cell r="B3496"/>
          <cell r="C3496"/>
          <cell r="D3496"/>
          <cell r="E3496"/>
          <cell r="L3496" t="e">
            <v>#DIV/0!</v>
          </cell>
          <cell r="M3496">
            <v>0</v>
          </cell>
        </row>
        <row r="3497">
          <cell r="A3497"/>
          <cell r="B3497"/>
          <cell r="C3497"/>
          <cell r="D3497"/>
          <cell r="E3497"/>
          <cell r="L3497" t="e">
            <v>#DIV/0!</v>
          </cell>
          <cell r="M3497">
            <v>0</v>
          </cell>
        </row>
        <row r="3498">
          <cell r="A3498"/>
          <cell r="B3498"/>
          <cell r="C3498"/>
          <cell r="D3498"/>
          <cell r="E3498"/>
          <cell r="L3498" t="e">
            <v>#DIV/0!</v>
          </cell>
          <cell r="M3498">
            <v>0</v>
          </cell>
        </row>
        <row r="3499">
          <cell r="A3499"/>
          <cell r="B3499"/>
          <cell r="C3499"/>
          <cell r="D3499"/>
          <cell r="E3499"/>
          <cell r="L3499" t="e">
            <v>#DIV/0!</v>
          </cell>
          <cell r="M3499">
            <v>0</v>
          </cell>
        </row>
        <row r="3500">
          <cell r="A3500"/>
          <cell r="B3500"/>
          <cell r="C3500"/>
          <cell r="D3500"/>
          <cell r="E3500"/>
          <cell r="L3500" t="e">
            <v>#DIV/0!</v>
          </cell>
          <cell r="M3500">
            <v>0</v>
          </cell>
        </row>
        <row r="3501">
          <cell r="A3501"/>
          <cell r="B3501"/>
          <cell r="C3501"/>
          <cell r="D3501"/>
          <cell r="E3501"/>
          <cell r="L3501" t="e">
            <v>#DIV/0!</v>
          </cell>
          <cell r="M3501">
            <v>0</v>
          </cell>
        </row>
        <row r="3502">
          <cell r="A3502"/>
          <cell r="B3502"/>
          <cell r="C3502"/>
          <cell r="D3502"/>
          <cell r="E3502"/>
          <cell r="L3502" t="e">
            <v>#DIV/0!</v>
          </cell>
          <cell r="M3502">
            <v>0</v>
          </cell>
        </row>
        <row r="3503">
          <cell r="A3503"/>
          <cell r="B3503"/>
          <cell r="C3503"/>
          <cell r="D3503"/>
          <cell r="E3503"/>
          <cell r="L3503" t="e">
            <v>#DIV/0!</v>
          </cell>
          <cell r="M3503">
            <v>0</v>
          </cell>
        </row>
        <row r="3504">
          <cell r="A3504"/>
          <cell r="B3504"/>
          <cell r="C3504"/>
          <cell r="D3504"/>
          <cell r="E3504"/>
          <cell r="L3504" t="e">
            <v>#DIV/0!</v>
          </cell>
          <cell r="M3504">
            <v>0</v>
          </cell>
        </row>
        <row r="3505">
          <cell r="A3505"/>
          <cell r="B3505"/>
          <cell r="C3505"/>
          <cell r="D3505"/>
          <cell r="E3505"/>
          <cell r="L3505" t="e">
            <v>#DIV/0!</v>
          </cell>
          <cell r="M3505">
            <v>0</v>
          </cell>
        </row>
        <row r="3506">
          <cell r="A3506"/>
          <cell r="B3506"/>
          <cell r="C3506"/>
          <cell r="D3506"/>
          <cell r="E3506"/>
          <cell r="L3506" t="e">
            <v>#DIV/0!</v>
          </cell>
          <cell r="M3506">
            <v>0</v>
          </cell>
        </row>
        <row r="3507">
          <cell r="A3507"/>
          <cell r="B3507"/>
          <cell r="C3507"/>
          <cell r="D3507"/>
          <cell r="E3507"/>
          <cell r="L3507" t="e">
            <v>#DIV/0!</v>
          </cell>
          <cell r="M3507">
            <v>0</v>
          </cell>
        </row>
        <row r="3508">
          <cell r="A3508"/>
          <cell r="B3508"/>
          <cell r="C3508"/>
          <cell r="D3508"/>
          <cell r="E3508"/>
          <cell r="L3508" t="e">
            <v>#DIV/0!</v>
          </cell>
          <cell r="M3508">
            <v>0</v>
          </cell>
        </row>
        <row r="3509">
          <cell r="A3509"/>
          <cell r="B3509"/>
          <cell r="C3509"/>
          <cell r="D3509"/>
          <cell r="E3509"/>
          <cell r="L3509" t="e">
            <v>#DIV/0!</v>
          </cell>
          <cell r="M3509">
            <v>0</v>
          </cell>
        </row>
        <row r="3510">
          <cell r="A3510"/>
          <cell r="B3510"/>
          <cell r="C3510"/>
          <cell r="D3510"/>
          <cell r="E3510"/>
          <cell r="L3510" t="e">
            <v>#DIV/0!</v>
          </cell>
          <cell r="M3510">
            <v>0</v>
          </cell>
        </row>
        <row r="3511">
          <cell r="A3511"/>
          <cell r="B3511"/>
          <cell r="C3511"/>
          <cell r="D3511"/>
          <cell r="E3511"/>
          <cell r="L3511" t="e">
            <v>#DIV/0!</v>
          </cell>
          <cell r="M3511">
            <v>0</v>
          </cell>
        </row>
        <row r="3512">
          <cell r="A3512"/>
          <cell r="B3512"/>
          <cell r="C3512"/>
          <cell r="D3512"/>
          <cell r="E3512"/>
          <cell r="L3512" t="e">
            <v>#DIV/0!</v>
          </cell>
          <cell r="M3512">
            <v>0</v>
          </cell>
        </row>
        <row r="3513">
          <cell r="A3513"/>
          <cell r="B3513"/>
          <cell r="C3513"/>
          <cell r="D3513"/>
          <cell r="E3513"/>
          <cell r="L3513" t="e">
            <v>#DIV/0!</v>
          </cell>
          <cell r="M3513">
            <v>0</v>
          </cell>
        </row>
        <row r="3514">
          <cell r="A3514"/>
          <cell r="B3514"/>
          <cell r="C3514"/>
          <cell r="D3514"/>
          <cell r="E3514"/>
          <cell r="L3514" t="e">
            <v>#DIV/0!</v>
          </cell>
          <cell r="M3514">
            <v>0</v>
          </cell>
        </row>
        <row r="3515">
          <cell r="A3515"/>
          <cell r="B3515"/>
          <cell r="C3515"/>
          <cell r="D3515"/>
          <cell r="E3515"/>
          <cell r="L3515" t="e">
            <v>#DIV/0!</v>
          </cell>
          <cell r="M3515">
            <v>0</v>
          </cell>
        </row>
        <row r="3516">
          <cell r="A3516"/>
          <cell r="B3516"/>
          <cell r="C3516"/>
          <cell r="D3516"/>
          <cell r="E3516"/>
          <cell r="L3516" t="e">
            <v>#DIV/0!</v>
          </cell>
          <cell r="M3516">
            <v>0</v>
          </cell>
        </row>
        <row r="3517">
          <cell r="A3517"/>
          <cell r="B3517"/>
          <cell r="C3517"/>
          <cell r="D3517"/>
          <cell r="E3517"/>
          <cell r="L3517" t="e">
            <v>#DIV/0!</v>
          </cell>
          <cell r="M3517">
            <v>0</v>
          </cell>
        </row>
        <row r="3518">
          <cell r="A3518"/>
          <cell r="B3518"/>
          <cell r="C3518"/>
          <cell r="D3518"/>
          <cell r="E3518"/>
          <cell r="L3518" t="e">
            <v>#DIV/0!</v>
          </cell>
          <cell r="M3518">
            <v>0</v>
          </cell>
        </row>
        <row r="3519">
          <cell r="A3519"/>
          <cell r="B3519"/>
          <cell r="C3519"/>
          <cell r="D3519"/>
          <cell r="E3519"/>
          <cell r="L3519" t="e">
            <v>#DIV/0!</v>
          </cell>
          <cell r="M3519">
            <v>0</v>
          </cell>
        </row>
        <row r="3520">
          <cell r="A3520"/>
          <cell r="B3520"/>
          <cell r="C3520"/>
          <cell r="D3520"/>
          <cell r="E3520"/>
          <cell r="L3520" t="e">
            <v>#DIV/0!</v>
          </cell>
          <cell r="M3520">
            <v>0</v>
          </cell>
        </row>
        <row r="3521">
          <cell r="A3521"/>
          <cell r="B3521"/>
          <cell r="C3521"/>
          <cell r="D3521"/>
          <cell r="E3521"/>
          <cell r="L3521" t="e">
            <v>#DIV/0!</v>
          </cell>
          <cell r="M3521">
            <v>0</v>
          </cell>
        </row>
        <row r="3522">
          <cell r="A3522"/>
          <cell r="B3522"/>
          <cell r="C3522"/>
          <cell r="D3522"/>
          <cell r="E3522"/>
          <cell r="L3522" t="e">
            <v>#DIV/0!</v>
          </cell>
          <cell r="M3522">
            <v>0</v>
          </cell>
        </row>
        <row r="3523">
          <cell r="A3523"/>
          <cell r="B3523"/>
          <cell r="C3523"/>
          <cell r="D3523"/>
          <cell r="E3523"/>
          <cell r="L3523" t="e">
            <v>#DIV/0!</v>
          </cell>
          <cell r="M3523">
            <v>0</v>
          </cell>
        </row>
        <row r="3524">
          <cell r="A3524"/>
          <cell r="B3524"/>
          <cell r="C3524"/>
          <cell r="D3524"/>
          <cell r="E3524"/>
          <cell r="L3524" t="e">
            <v>#DIV/0!</v>
          </cell>
          <cell r="M3524">
            <v>0</v>
          </cell>
        </row>
        <row r="3525">
          <cell r="A3525"/>
          <cell r="B3525"/>
          <cell r="C3525"/>
          <cell r="D3525"/>
          <cell r="E3525"/>
          <cell r="L3525" t="e">
            <v>#DIV/0!</v>
          </cell>
          <cell r="M3525">
            <v>0</v>
          </cell>
        </row>
        <row r="3526">
          <cell r="A3526"/>
          <cell r="B3526"/>
          <cell r="C3526"/>
          <cell r="D3526"/>
          <cell r="E3526"/>
          <cell r="L3526" t="e">
            <v>#DIV/0!</v>
          </cell>
          <cell r="M3526">
            <v>0</v>
          </cell>
        </row>
        <row r="3527">
          <cell r="A3527"/>
          <cell r="B3527"/>
          <cell r="C3527"/>
          <cell r="D3527"/>
          <cell r="E3527"/>
          <cell r="L3527" t="e">
            <v>#DIV/0!</v>
          </cell>
          <cell r="M3527">
            <v>0</v>
          </cell>
        </row>
        <row r="3528">
          <cell r="A3528"/>
          <cell r="B3528"/>
          <cell r="C3528"/>
          <cell r="D3528"/>
          <cell r="E3528"/>
          <cell r="L3528" t="e">
            <v>#DIV/0!</v>
          </cell>
          <cell r="M3528">
            <v>0</v>
          </cell>
        </row>
        <row r="3529">
          <cell r="A3529"/>
          <cell r="B3529"/>
          <cell r="C3529"/>
          <cell r="D3529"/>
          <cell r="E3529"/>
          <cell r="L3529" t="e">
            <v>#DIV/0!</v>
          </cell>
          <cell r="M3529">
            <v>0</v>
          </cell>
        </row>
        <row r="3530">
          <cell r="A3530"/>
          <cell r="B3530"/>
          <cell r="C3530"/>
          <cell r="D3530"/>
          <cell r="E3530"/>
          <cell r="L3530" t="e">
            <v>#DIV/0!</v>
          </cell>
          <cell r="M3530">
            <v>0</v>
          </cell>
        </row>
        <row r="3531">
          <cell r="A3531"/>
          <cell r="B3531"/>
          <cell r="C3531"/>
          <cell r="D3531"/>
          <cell r="E3531"/>
          <cell r="L3531" t="e">
            <v>#DIV/0!</v>
          </cell>
          <cell r="M3531">
            <v>0</v>
          </cell>
        </row>
        <row r="3532">
          <cell r="A3532"/>
          <cell r="B3532"/>
          <cell r="C3532"/>
          <cell r="D3532"/>
          <cell r="E3532"/>
          <cell r="L3532" t="e">
            <v>#DIV/0!</v>
          </cell>
          <cell r="M3532">
            <v>0</v>
          </cell>
        </row>
        <row r="3533">
          <cell r="A3533"/>
          <cell r="B3533"/>
          <cell r="C3533"/>
          <cell r="D3533"/>
          <cell r="E3533"/>
          <cell r="L3533" t="e">
            <v>#DIV/0!</v>
          </cell>
          <cell r="M3533">
            <v>0</v>
          </cell>
        </row>
        <row r="3534">
          <cell r="A3534"/>
          <cell r="B3534"/>
          <cell r="C3534"/>
          <cell r="D3534"/>
          <cell r="E3534"/>
          <cell r="L3534" t="e">
            <v>#DIV/0!</v>
          </cell>
          <cell r="M3534">
            <v>0</v>
          </cell>
        </row>
        <row r="3535">
          <cell r="A3535"/>
          <cell r="B3535"/>
          <cell r="C3535"/>
          <cell r="D3535"/>
          <cell r="E3535"/>
          <cell r="L3535" t="e">
            <v>#DIV/0!</v>
          </cell>
          <cell r="M3535">
            <v>0</v>
          </cell>
        </row>
        <row r="3536">
          <cell r="A3536"/>
          <cell r="B3536"/>
          <cell r="C3536"/>
          <cell r="D3536"/>
          <cell r="E3536"/>
          <cell r="L3536" t="e">
            <v>#DIV/0!</v>
          </cell>
          <cell r="M3536">
            <v>0</v>
          </cell>
        </row>
        <row r="3537">
          <cell r="A3537"/>
          <cell r="B3537"/>
          <cell r="C3537"/>
          <cell r="D3537"/>
          <cell r="E3537"/>
          <cell r="L3537" t="e">
            <v>#DIV/0!</v>
          </cell>
          <cell r="M3537">
            <v>0</v>
          </cell>
        </row>
        <row r="3538">
          <cell r="A3538"/>
          <cell r="B3538"/>
          <cell r="C3538"/>
          <cell r="D3538"/>
          <cell r="E3538"/>
          <cell r="L3538" t="e">
            <v>#DIV/0!</v>
          </cell>
          <cell r="M3538">
            <v>0</v>
          </cell>
        </row>
        <row r="3539">
          <cell r="A3539"/>
          <cell r="B3539"/>
          <cell r="C3539"/>
          <cell r="D3539"/>
          <cell r="E3539"/>
          <cell r="L3539" t="e">
            <v>#DIV/0!</v>
          </cell>
          <cell r="M3539">
            <v>0</v>
          </cell>
        </row>
        <row r="3540">
          <cell r="A3540"/>
          <cell r="B3540"/>
          <cell r="C3540"/>
          <cell r="D3540"/>
          <cell r="E3540"/>
          <cell r="L3540" t="e">
            <v>#DIV/0!</v>
          </cell>
          <cell r="M3540">
            <v>0</v>
          </cell>
        </row>
        <row r="3541">
          <cell r="A3541"/>
          <cell r="B3541"/>
          <cell r="C3541"/>
          <cell r="D3541"/>
          <cell r="E3541"/>
          <cell r="L3541" t="e">
            <v>#DIV/0!</v>
          </cell>
          <cell r="M3541">
            <v>0</v>
          </cell>
        </row>
        <row r="3542">
          <cell r="A3542"/>
          <cell r="B3542"/>
          <cell r="C3542"/>
          <cell r="D3542"/>
          <cell r="E3542"/>
          <cell r="L3542" t="e">
            <v>#DIV/0!</v>
          </cell>
          <cell r="M3542">
            <v>0</v>
          </cell>
        </row>
        <row r="3543">
          <cell r="A3543"/>
          <cell r="B3543"/>
          <cell r="C3543"/>
          <cell r="D3543"/>
          <cell r="E3543"/>
          <cell r="L3543" t="e">
            <v>#DIV/0!</v>
          </cell>
          <cell r="M3543">
            <v>0</v>
          </cell>
        </row>
        <row r="3544">
          <cell r="A3544"/>
          <cell r="B3544"/>
          <cell r="C3544"/>
          <cell r="D3544"/>
          <cell r="E3544"/>
          <cell r="L3544" t="e">
            <v>#DIV/0!</v>
          </cell>
          <cell r="M3544">
            <v>0</v>
          </cell>
        </row>
        <row r="3545">
          <cell r="A3545"/>
          <cell r="B3545"/>
          <cell r="C3545"/>
          <cell r="D3545"/>
          <cell r="E3545"/>
          <cell r="L3545" t="e">
            <v>#DIV/0!</v>
          </cell>
          <cell r="M3545">
            <v>0</v>
          </cell>
        </row>
        <row r="3546">
          <cell r="A3546"/>
          <cell r="B3546"/>
          <cell r="C3546"/>
          <cell r="D3546"/>
          <cell r="E3546"/>
          <cell r="L3546" t="e">
            <v>#DIV/0!</v>
          </cell>
          <cell r="M3546">
            <v>0</v>
          </cell>
        </row>
        <row r="3547">
          <cell r="A3547"/>
          <cell r="B3547"/>
          <cell r="C3547"/>
          <cell r="D3547"/>
          <cell r="E3547"/>
          <cell r="L3547" t="e">
            <v>#DIV/0!</v>
          </cell>
          <cell r="M3547">
            <v>0</v>
          </cell>
        </row>
        <row r="3548">
          <cell r="A3548"/>
          <cell r="B3548"/>
          <cell r="C3548"/>
          <cell r="D3548"/>
          <cell r="E3548"/>
          <cell r="L3548" t="e">
            <v>#DIV/0!</v>
          </cell>
          <cell r="M3548">
            <v>0</v>
          </cell>
        </row>
        <row r="3549">
          <cell r="A3549"/>
          <cell r="B3549"/>
          <cell r="C3549"/>
          <cell r="D3549"/>
          <cell r="E3549"/>
          <cell r="L3549" t="e">
            <v>#DIV/0!</v>
          </cell>
          <cell r="M3549">
            <v>0</v>
          </cell>
        </row>
        <row r="3550">
          <cell r="A3550"/>
          <cell r="B3550"/>
          <cell r="C3550"/>
          <cell r="D3550"/>
          <cell r="E3550"/>
          <cell r="L3550" t="e">
            <v>#DIV/0!</v>
          </cell>
          <cell r="M3550">
            <v>0</v>
          </cell>
        </row>
        <row r="3551">
          <cell r="A3551"/>
          <cell r="B3551"/>
          <cell r="C3551"/>
          <cell r="D3551"/>
          <cell r="E3551"/>
          <cell r="L3551" t="e">
            <v>#DIV/0!</v>
          </cell>
          <cell r="M3551">
            <v>0</v>
          </cell>
        </row>
        <row r="3552">
          <cell r="A3552"/>
          <cell r="B3552"/>
          <cell r="C3552"/>
          <cell r="D3552"/>
          <cell r="E3552"/>
          <cell r="L3552" t="e">
            <v>#DIV/0!</v>
          </cell>
          <cell r="M3552">
            <v>0</v>
          </cell>
        </row>
        <row r="3553">
          <cell r="A3553"/>
          <cell r="B3553"/>
          <cell r="C3553"/>
          <cell r="D3553"/>
          <cell r="E3553"/>
          <cell r="L3553" t="e">
            <v>#DIV/0!</v>
          </cell>
          <cell r="M3553">
            <v>0</v>
          </cell>
        </row>
        <row r="3554">
          <cell r="A3554"/>
          <cell r="B3554"/>
          <cell r="C3554"/>
          <cell r="D3554"/>
          <cell r="E3554"/>
          <cell r="L3554" t="e">
            <v>#DIV/0!</v>
          </cell>
          <cell r="M3554">
            <v>0</v>
          </cell>
        </row>
        <row r="3555">
          <cell r="A3555"/>
          <cell r="B3555"/>
          <cell r="C3555"/>
          <cell r="D3555"/>
          <cell r="E3555"/>
          <cell r="L3555" t="e">
            <v>#DIV/0!</v>
          </cell>
          <cell r="M3555">
            <v>0</v>
          </cell>
        </row>
        <row r="3556">
          <cell r="A3556"/>
          <cell r="B3556"/>
          <cell r="C3556"/>
          <cell r="D3556"/>
          <cell r="E3556"/>
          <cell r="L3556" t="e">
            <v>#DIV/0!</v>
          </cell>
          <cell r="M3556">
            <v>0</v>
          </cell>
        </row>
        <row r="3557">
          <cell r="A3557"/>
          <cell r="B3557"/>
          <cell r="C3557"/>
          <cell r="D3557"/>
          <cell r="E3557"/>
          <cell r="L3557" t="e">
            <v>#DIV/0!</v>
          </cell>
          <cell r="M3557">
            <v>0</v>
          </cell>
        </row>
        <row r="3558">
          <cell r="A3558"/>
          <cell r="B3558"/>
          <cell r="C3558"/>
          <cell r="D3558"/>
          <cell r="E3558"/>
          <cell r="L3558" t="e">
            <v>#DIV/0!</v>
          </cell>
          <cell r="M3558">
            <v>0</v>
          </cell>
        </row>
        <row r="3559">
          <cell r="A3559"/>
          <cell r="B3559"/>
          <cell r="C3559"/>
          <cell r="D3559"/>
          <cell r="E3559"/>
          <cell r="L3559" t="e">
            <v>#DIV/0!</v>
          </cell>
          <cell r="M3559">
            <v>0</v>
          </cell>
        </row>
        <row r="3560">
          <cell r="A3560"/>
          <cell r="B3560"/>
          <cell r="C3560"/>
          <cell r="D3560"/>
          <cell r="E3560"/>
          <cell r="L3560" t="e">
            <v>#DIV/0!</v>
          </cell>
          <cell r="M3560">
            <v>0</v>
          </cell>
        </row>
        <row r="3561">
          <cell r="A3561"/>
          <cell r="B3561"/>
          <cell r="C3561"/>
          <cell r="D3561"/>
          <cell r="E3561"/>
          <cell r="L3561" t="e">
            <v>#DIV/0!</v>
          </cell>
          <cell r="M3561">
            <v>0</v>
          </cell>
        </row>
        <row r="3562">
          <cell r="A3562"/>
          <cell r="B3562"/>
          <cell r="C3562"/>
          <cell r="D3562"/>
          <cell r="E3562"/>
          <cell r="L3562" t="e">
            <v>#DIV/0!</v>
          </cell>
          <cell r="M3562">
            <v>0</v>
          </cell>
        </row>
        <row r="3563">
          <cell r="A3563"/>
          <cell r="B3563"/>
          <cell r="C3563"/>
          <cell r="D3563"/>
          <cell r="E3563"/>
          <cell r="L3563" t="e">
            <v>#DIV/0!</v>
          </cell>
          <cell r="M3563">
            <v>0</v>
          </cell>
        </row>
        <row r="3564">
          <cell r="A3564"/>
          <cell r="B3564"/>
          <cell r="C3564"/>
          <cell r="D3564"/>
          <cell r="E3564"/>
          <cell r="L3564" t="e">
            <v>#DIV/0!</v>
          </cell>
          <cell r="M3564">
            <v>0</v>
          </cell>
        </row>
        <row r="3565">
          <cell r="A3565"/>
          <cell r="B3565"/>
          <cell r="C3565"/>
          <cell r="D3565"/>
          <cell r="E3565"/>
          <cell r="L3565" t="e">
            <v>#DIV/0!</v>
          </cell>
          <cell r="M3565">
            <v>0</v>
          </cell>
        </row>
        <row r="3566">
          <cell r="A3566"/>
          <cell r="B3566"/>
          <cell r="C3566"/>
          <cell r="D3566"/>
          <cell r="E3566"/>
          <cell r="L3566" t="e">
            <v>#DIV/0!</v>
          </cell>
          <cell r="M3566">
            <v>0</v>
          </cell>
        </row>
        <row r="3567">
          <cell r="A3567"/>
          <cell r="B3567"/>
          <cell r="C3567"/>
          <cell r="D3567"/>
          <cell r="E3567"/>
          <cell r="L3567" t="e">
            <v>#DIV/0!</v>
          </cell>
          <cell r="M3567">
            <v>0</v>
          </cell>
        </row>
        <row r="3568">
          <cell r="A3568"/>
          <cell r="B3568"/>
          <cell r="C3568"/>
          <cell r="D3568"/>
          <cell r="E3568"/>
          <cell r="L3568" t="e">
            <v>#DIV/0!</v>
          </cell>
          <cell r="M3568">
            <v>0</v>
          </cell>
        </row>
        <row r="3569">
          <cell r="A3569"/>
          <cell r="B3569"/>
          <cell r="C3569"/>
          <cell r="D3569"/>
          <cell r="E3569"/>
          <cell r="L3569" t="e">
            <v>#DIV/0!</v>
          </cell>
          <cell r="M3569">
            <v>0</v>
          </cell>
        </row>
        <row r="3570">
          <cell r="A3570"/>
          <cell r="B3570"/>
          <cell r="C3570"/>
          <cell r="D3570"/>
          <cell r="E3570"/>
          <cell r="L3570" t="e">
            <v>#DIV/0!</v>
          </cell>
          <cell r="M3570">
            <v>0</v>
          </cell>
        </row>
        <row r="3571">
          <cell r="A3571"/>
          <cell r="B3571"/>
          <cell r="C3571"/>
          <cell r="D3571"/>
          <cell r="E3571"/>
          <cell r="L3571" t="e">
            <v>#DIV/0!</v>
          </cell>
          <cell r="M3571">
            <v>0</v>
          </cell>
        </row>
        <row r="3572">
          <cell r="A3572"/>
          <cell r="B3572"/>
          <cell r="C3572"/>
          <cell r="D3572"/>
          <cell r="E3572"/>
          <cell r="L3572" t="e">
            <v>#DIV/0!</v>
          </cell>
          <cell r="M3572">
            <v>0</v>
          </cell>
        </row>
        <row r="3573">
          <cell r="A3573"/>
          <cell r="B3573"/>
          <cell r="C3573"/>
          <cell r="D3573"/>
          <cell r="E3573"/>
          <cell r="L3573" t="e">
            <v>#DIV/0!</v>
          </cell>
          <cell r="M3573">
            <v>0</v>
          </cell>
        </row>
        <row r="3574">
          <cell r="A3574"/>
          <cell r="B3574"/>
          <cell r="C3574"/>
          <cell r="D3574"/>
          <cell r="E3574"/>
          <cell r="L3574" t="e">
            <v>#DIV/0!</v>
          </cell>
          <cell r="M3574">
            <v>0</v>
          </cell>
        </row>
        <row r="3575">
          <cell r="A3575"/>
          <cell r="B3575"/>
          <cell r="C3575"/>
          <cell r="D3575"/>
          <cell r="E3575"/>
          <cell r="L3575" t="e">
            <v>#DIV/0!</v>
          </cell>
          <cell r="M3575">
            <v>0</v>
          </cell>
        </row>
        <row r="3576">
          <cell r="A3576"/>
          <cell r="B3576"/>
          <cell r="C3576"/>
          <cell r="D3576"/>
          <cell r="E3576"/>
          <cell r="L3576" t="e">
            <v>#DIV/0!</v>
          </cell>
          <cell r="M3576">
            <v>0</v>
          </cell>
        </row>
        <row r="3577">
          <cell r="A3577"/>
          <cell r="B3577"/>
          <cell r="C3577"/>
          <cell r="D3577"/>
          <cell r="E3577"/>
          <cell r="L3577" t="e">
            <v>#DIV/0!</v>
          </cell>
          <cell r="M3577">
            <v>0</v>
          </cell>
        </row>
        <row r="3578">
          <cell r="A3578"/>
          <cell r="B3578"/>
          <cell r="C3578"/>
          <cell r="D3578"/>
          <cell r="E3578"/>
          <cell r="L3578" t="e">
            <v>#DIV/0!</v>
          </cell>
          <cell r="M3578">
            <v>0</v>
          </cell>
        </row>
        <row r="3579">
          <cell r="A3579"/>
          <cell r="B3579"/>
          <cell r="C3579"/>
          <cell r="D3579"/>
          <cell r="E3579"/>
          <cell r="L3579" t="e">
            <v>#DIV/0!</v>
          </cell>
          <cell r="M3579">
            <v>0</v>
          </cell>
        </row>
        <row r="3580">
          <cell r="A3580"/>
          <cell r="B3580"/>
          <cell r="C3580"/>
          <cell r="D3580"/>
          <cell r="E3580"/>
          <cell r="L3580" t="e">
            <v>#DIV/0!</v>
          </cell>
          <cell r="M3580">
            <v>0</v>
          </cell>
        </row>
        <row r="3581">
          <cell r="A3581"/>
          <cell r="B3581"/>
          <cell r="C3581"/>
          <cell r="D3581"/>
          <cell r="E3581"/>
          <cell r="L3581" t="e">
            <v>#DIV/0!</v>
          </cell>
          <cell r="M3581">
            <v>0</v>
          </cell>
        </row>
        <row r="3582">
          <cell r="A3582"/>
          <cell r="B3582"/>
          <cell r="C3582"/>
          <cell r="D3582"/>
          <cell r="E3582"/>
          <cell r="L3582" t="e">
            <v>#DIV/0!</v>
          </cell>
          <cell r="M3582">
            <v>0</v>
          </cell>
        </row>
        <row r="3583">
          <cell r="A3583"/>
          <cell r="B3583"/>
          <cell r="C3583"/>
          <cell r="D3583"/>
          <cell r="E3583"/>
          <cell r="L3583" t="e">
            <v>#DIV/0!</v>
          </cell>
          <cell r="M3583">
            <v>0</v>
          </cell>
        </row>
        <row r="3584">
          <cell r="A3584"/>
          <cell r="B3584"/>
          <cell r="C3584"/>
          <cell r="D3584"/>
          <cell r="E3584"/>
          <cell r="L3584" t="e">
            <v>#DIV/0!</v>
          </cell>
          <cell r="M3584">
            <v>0</v>
          </cell>
        </row>
        <row r="3585">
          <cell r="A3585"/>
          <cell r="B3585"/>
          <cell r="C3585"/>
          <cell r="D3585"/>
          <cell r="E3585"/>
          <cell r="L3585" t="e">
            <v>#DIV/0!</v>
          </cell>
          <cell r="M3585">
            <v>0</v>
          </cell>
        </row>
        <row r="3586">
          <cell r="A3586"/>
          <cell r="B3586"/>
          <cell r="C3586"/>
          <cell r="D3586"/>
          <cell r="E3586"/>
          <cell r="L3586" t="e">
            <v>#DIV/0!</v>
          </cell>
          <cell r="M3586">
            <v>0</v>
          </cell>
        </row>
        <row r="3587">
          <cell r="A3587"/>
          <cell r="B3587"/>
          <cell r="C3587"/>
          <cell r="D3587"/>
          <cell r="E3587"/>
          <cell r="L3587" t="e">
            <v>#DIV/0!</v>
          </cell>
          <cell r="M3587">
            <v>0</v>
          </cell>
        </row>
        <row r="3588">
          <cell r="A3588"/>
          <cell r="B3588"/>
          <cell r="C3588"/>
          <cell r="D3588"/>
          <cell r="E3588"/>
          <cell r="L3588" t="e">
            <v>#DIV/0!</v>
          </cell>
          <cell r="M3588">
            <v>0</v>
          </cell>
        </row>
        <row r="3589">
          <cell r="A3589"/>
          <cell r="B3589"/>
          <cell r="C3589"/>
          <cell r="D3589"/>
          <cell r="E3589"/>
          <cell r="L3589" t="e">
            <v>#DIV/0!</v>
          </cell>
          <cell r="M3589">
            <v>0</v>
          </cell>
        </row>
        <row r="3590">
          <cell r="A3590"/>
          <cell r="B3590"/>
          <cell r="C3590"/>
          <cell r="D3590"/>
          <cell r="E3590"/>
          <cell r="L3590" t="e">
            <v>#DIV/0!</v>
          </cell>
          <cell r="M3590">
            <v>0</v>
          </cell>
        </row>
        <row r="3591">
          <cell r="A3591"/>
          <cell r="B3591"/>
          <cell r="C3591"/>
          <cell r="D3591"/>
          <cell r="E3591"/>
          <cell r="L3591" t="e">
            <v>#DIV/0!</v>
          </cell>
          <cell r="M3591">
            <v>0</v>
          </cell>
        </row>
        <row r="3592">
          <cell r="A3592"/>
          <cell r="B3592"/>
          <cell r="C3592"/>
          <cell r="D3592"/>
          <cell r="E3592"/>
          <cell r="L3592" t="e">
            <v>#DIV/0!</v>
          </cell>
          <cell r="M3592">
            <v>0</v>
          </cell>
        </row>
        <row r="3593">
          <cell r="A3593"/>
          <cell r="B3593"/>
          <cell r="C3593"/>
          <cell r="D3593"/>
          <cell r="E3593"/>
          <cell r="L3593" t="e">
            <v>#DIV/0!</v>
          </cell>
          <cell r="M3593">
            <v>0</v>
          </cell>
        </row>
        <row r="3594">
          <cell r="A3594"/>
          <cell r="B3594"/>
          <cell r="C3594"/>
          <cell r="D3594"/>
          <cell r="E3594"/>
          <cell r="L3594" t="e">
            <v>#DIV/0!</v>
          </cell>
          <cell r="M3594">
            <v>0</v>
          </cell>
        </row>
        <row r="3595">
          <cell r="A3595"/>
          <cell r="B3595"/>
          <cell r="C3595"/>
          <cell r="D3595"/>
          <cell r="E3595"/>
          <cell r="L3595" t="e">
            <v>#DIV/0!</v>
          </cell>
          <cell r="M3595">
            <v>0</v>
          </cell>
        </row>
        <row r="3596">
          <cell r="A3596"/>
          <cell r="B3596"/>
          <cell r="C3596"/>
          <cell r="D3596"/>
          <cell r="E3596"/>
          <cell r="L3596" t="e">
            <v>#DIV/0!</v>
          </cell>
          <cell r="M3596">
            <v>0</v>
          </cell>
        </row>
        <row r="3597">
          <cell r="A3597"/>
          <cell r="B3597"/>
          <cell r="C3597"/>
          <cell r="D3597"/>
          <cell r="E3597"/>
          <cell r="L3597" t="e">
            <v>#DIV/0!</v>
          </cell>
          <cell r="M3597">
            <v>0</v>
          </cell>
        </row>
        <row r="3598">
          <cell r="A3598"/>
          <cell r="B3598"/>
          <cell r="C3598"/>
          <cell r="D3598"/>
          <cell r="E3598"/>
          <cell r="L3598" t="e">
            <v>#DIV/0!</v>
          </cell>
          <cell r="M3598">
            <v>0</v>
          </cell>
        </row>
        <row r="3599">
          <cell r="A3599"/>
          <cell r="B3599"/>
          <cell r="C3599"/>
          <cell r="D3599"/>
          <cell r="E3599"/>
          <cell r="L3599" t="e">
            <v>#DIV/0!</v>
          </cell>
          <cell r="M3599">
            <v>0</v>
          </cell>
        </row>
        <row r="3600">
          <cell r="A3600"/>
          <cell r="B3600"/>
          <cell r="C3600"/>
          <cell r="D3600"/>
          <cell r="E3600"/>
          <cell r="L3600" t="e">
            <v>#DIV/0!</v>
          </cell>
          <cell r="M3600">
            <v>0</v>
          </cell>
        </row>
        <row r="3601">
          <cell r="A3601"/>
          <cell r="B3601"/>
          <cell r="C3601"/>
          <cell r="D3601"/>
          <cell r="E3601"/>
          <cell r="L3601" t="e">
            <v>#DIV/0!</v>
          </cell>
          <cell r="M3601">
            <v>0</v>
          </cell>
        </row>
        <row r="3602">
          <cell r="A3602"/>
          <cell r="B3602"/>
          <cell r="C3602"/>
          <cell r="D3602"/>
          <cell r="E3602"/>
          <cell r="L3602" t="e">
            <v>#DIV/0!</v>
          </cell>
          <cell r="M3602">
            <v>0</v>
          </cell>
        </row>
        <row r="3603">
          <cell r="A3603"/>
          <cell r="B3603"/>
          <cell r="C3603"/>
          <cell r="D3603"/>
          <cell r="E3603"/>
          <cell r="L3603" t="e">
            <v>#DIV/0!</v>
          </cell>
          <cell r="M3603">
            <v>0</v>
          </cell>
        </row>
        <row r="3604">
          <cell r="A3604"/>
          <cell r="B3604"/>
          <cell r="C3604"/>
          <cell r="D3604"/>
          <cell r="E3604"/>
          <cell r="L3604" t="e">
            <v>#DIV/0!</v>
          </cell>
          <cell r="M3604">
            <v>0</v>
          </cell>
        </row>
        <row r="3605">
          <cell r="A3605"/>
          <cell r="B3605"/>
          <cell r="C3605"/>
          <cell r="D3605"/>
          <cell r="E3605"/>
          <cell r="L3605" t="e">
            <v>#DIV/0!</v>
          </cell>
          <cell r="M3605">
            <v>0</v>
          </cell>
        </row>
        <row r="3606">
          <cell r="A3606"/>
          <cell r="B3606"/>
          <cell r="C3606"/>
          <cell r="D3606"/>
          <cell r="E3606"/>
          <cell r="L3606" t="e">
            <v>#DIV/0!</v>
          </cell>
          <cell r="M3606">
            <v>0</v>
          </cell>
        </row>
        <row r="3607">
          <cell r="A3607"/>
          <cell r="B3607"/>
          <cell r="C3607"/>
          <cell r="D3607"/>
          <cell r="E3607"/>
          <cell r="L3607" t="e">
            <v>#DIV/0!</v>
          </cell>
          <cell r="M3607">
            <v>0</v>
          </cell>
        </row>
        <row r="3608">
          <cell r="A3608"/>
          <cell r="B3608"/>
          <cell r="C3608"/>
          <cell r="D3608"/>
          <cell r="E3608"/>
          <cell r="L3608" t="e">
            <v>#DIV/0!</v>
          </cell>
          <cell r="M3608">
            <v>0</v>
          </cell>
        </row>
        <row r="3609">
          <cell r="A3609"/>
          <cell r="B3609"/>
          <cell r="C3609"/>
          <cell r="D3609"/>
          <cell r="E3609"/>
          <cell r="L3609" t="e">
            <v>#DIV/0!</v>
          </cell>
          <cell r="M3609">
            <v>0</v>
          </cell>
        </row>
        <row r="3610">
          <cell r="A3610"/>
          <cell r="B3610"/>
          <cell r="C3610"/>
          <cell r="D3610"/>
          <cell r="E3610"/>
          <cell r="L3610" t="e">
            <v>#DIV/0!</v>
          </cell>
          <cell r="M3610">
            <v>0</v>
          </cell>
        </row>
        <row r="3611">
          <cell r="A3611"/>
          <cell r="B3611"/>
          <cell r="C3611"/>
          <cell r="D3611"/>
          <cell r="E3611"/>
          <cell r="L3611" t="e">
            <v>#DIV/0!</v>
          </cell>
          <cell r="M3611">
            <v>0</v>
          </cell>
        </row>
        <row r="3612">
          <cell r="A3612"/>
          <cell r="B3612"/>
          <cell r="C3612"/>
          <cell r="D3612"/>
          <cell r="E3612"/>
          <cell r="L3612" t="e">
            <v>#DIV/0!</v>
          </cell>
          <cell r="M3612">
            <v>0</v>
          </cell>
        </row>
        <row r="3613">
          <cell r="A3613"/>
          <cell r="B3613"/>
          <cell r="C3613"/>
          <cell r="D3613"/>
          <cell r="E3613"/>
          <cell r="L3613" t="e">
            <v>#DIV/0!</v>
          </cell>
          <cell r="M3613">
            <v>0</v>
          </cell>
        </row>
        <row r="3614">
          <cell r="A3614"/>
          <cell r="B3614"/>
          <cell r="C3614"/>
          <cell r="D3614"/>
          <cell r="E3614"/>
          <cell r="L3614" t="e">
            <v>#DIV/0!</v>
          </cell>
          <cell r="M3614">
            <v>0</v>
          </cell>
        </row>
        <row r="3615">
          <cell r="A3615"/>
          <cell r="B3615"/>
          <cell r="C3615"/>
          <cell r="D3615"/>
          <cell r="E3615"/>
          <cell r="L3615" t="e">
            <v>#DIV/0!</v>
          </cell>
          <cell r="M3615">
            <v>0</v>
          </cell>
        </row>
        <row r="3616">
          <cell r="A3616"/>
          <cell r="B3616"/>
          <cell r="C3616"/>
          <cell r="D3616"/>
          <cell r="E3616"/>
          <cell r="L3616" t="e">
            <v>#DIV/0!</v>
          </cell>
          <cell r="M3616">
            <v>0</v>
          </cell>
        </row>
        <row r="3617">
          <cell r="A3617"/>
          <cell r="B3617"/>
          <cell r="C3617"/>
          <cell r="D3617"/>
          <cell r="E3617"/>
          <cell r="L3617" t="e">
            <v>#DIV/0!</v>
          </cell>
          <cell r="M3617">
            <v>0</v>
          </cell>
        </row>
        <row r="3618">
          <cell r="A3618"/>
          <cell r="B3618"/>
          <cell r="C3618"/>
          <cell r="D3618"/>
          <cell r="E3618"/>
          <cell r="L3618" t="e">
            <v>#DIV/0!</v>
          </cell>
          <cell r="M3618">
            <v>0</v>
          </cell>
        </row>
        <row r="3619">
          <cell r="A3619"/>
          <cell r="B3619"/>
          <cell r="C3619"/>
          <cell r="D3619"/>
          <cell r="E3619"/>
          <cell r="L3619" t="e">
            <v>#DIV/0!</v>
          </cell>
          <cell r="M3619">
            <v>0</v>
          </cell>
        </row>
        <row r="3620">
          <cell r="A3620"/>
          <cell r="B3620"/>
          <cell r="C3620"/>
          <cell r="D3620"/>
          <cell r="E3620"/>
          <cell r="L3620" t="e">
            <v>#DIV/0!</v>
          </cell>
          <cell r="M3620">
            <v>0</v>
          </cell>
        </row>
        <row r="3621">
          <cell r="A3621"/>
          <cell r="B3621"/>
          <cell r="C3621"/>
          <cell r="D3621"/>
          <cell r="E3621"/>
          <cell r="L3621" t="e">
            <v>#DIV/0!</v>
          </cell>
          <cell r="M3621">
            <v>0</v>
          </cell>
        </row>
        <row r="3622">
          <cell r="A3622"/>
          <cell r="B3622"/>
          <cell r="C3622"/>
          <cell r="D3622"/>
          <cell r="E3622"/>
          <cell r="L3622" t="e">
            <v>#DIV/0!</v>
          </cell>
          <cell r="M3622">
            <v>0</v>
          </cell>
        </row>
        <row r="3623">
          <cell r="A3623"/>
          <cell r="B3623"/>
          <cell r="C3623"/>
          <cell r="D3623"/>
          <cell r="E3623"/>
          <cell r="L3623" t="e">
            <v>#DIV/0!</v>
          </cell>
          <cell r="M3623">
            <v>0</v>
          </cell>
        </row>
        <row r="3624">
          <cell r="A3624"/>
          <cell r="B3624"/>
          <cell r="C3624"/>
          <cell r="D3624"/>
          <cell r="E3624"/>
          <cell r="L3624" t="e">
            <v>#DIV/0!</v>
          </cell>
          <cell r="M3624">
            <v>0</v>
          </cell>
        </row>
        <row r="3625">
          <cell r="A3625"/>
          <cell r="B3625"/>
          <cell r="C3625"/>
          <cell r="D3625"/>
          <cell r="E3625"/>
          <cell r="L3625" t="e">
            <v>#DIV/0!</v>
          </cell>
          <cell r="M3625">
            <v>0</v>
          </cell>
        </row>
        <row r="3626">
          <cell r="A3626"/>
          <cell r="B3626"/>
          <cell r="C3626"/>
          <cell r="D3626"/>
          <cell r="E3626"/>
          <cell r="L3626" t="e">
            <v>#DIV/0!</v>
          </cell>
          <cell r="M3626">
            <v>0</v>
          </cell>
        </row>
        <row r="3627">
          <cell r="A3627"/>
          <cell r="B3627"/>
          <cell r="C3627"/>
          <cell r="D3627"/>
          <cell r="E3627"/>
          <cell r="L3627" t="e">
            <v>#DIV/0!</v>
          </cell>
          <cell r="M3627">
            <v>0</v>
          </cell>
        </row>
        <row r="3628">
          <cell r="A3628"/>
          <cell r="B3628"/>
          <cell r="C3628"/>
          <cell r="D3628"/>
          <cell r="E3628"/>
          <cell r="L3628" t="e">
            <v>#DIV/0!</v>
          </cell>
          <cell r="M3628">
            <v>0</v>
          </cell>
        </row>
        <row r="3629">
          <cell r="A3629"/>
          <cell r="B3629"/>
          <cell r="C3629"/>
          <cell r="D3629"/>
          <cell r="E3629"/>
          <cell r="L3629" t="e">
            <v>#DIV/0!</v>
          </cell>
          <cell r="M3629">
            <v>0</v>
          </cell>
        </row>
        <row r="3630">
          <cell r="A3630"/>
          <cell r="B3630"/>
          <cell r="C3630"/>
          <cell r="D3630"/>
          <cell r="E3630"/>
          <cell r="L3630" t="e">
            <v>#DIV/0!</v>
          </cell>
          <cell r="M3630">
            <v>0</v>
          </cell>
        </row>
        <row r="3631">
          <cell r="A3631"/>
          <cell r="B3631"/>
          <cell r="C3631"/>
          <cell r="D3631"/>
          <cell r="E3631"/>
          <cell r="L3631" t="e">
            <v>#DIV/0!</v>
          </cell>
          <cell r="M3631">
            <v>0</v>
          </cell>
        </row>
        <row r="3632">
          <cell r="A3632"/>
          <cell r="B3632"/>
          <cell r="C3632"/>
          <cell r="D3632"/>
          <cell r="E3632"/>
          <cell r="L3632" t="e">
            <v>#DIV/0!</v>
          </cell>
          <cell r="M3632">
            <v>0</v>
          </cell>
        </row>
        <row r="3633">
          <cell r="A3633"/>
          <cell r="B3633"/>
          <cell r="C3633"/>
          <cell r="D3633"/>
          <cell r="E3633"/>
          <cell r="L3633" t="e">
            <v>#DIV/0!</v>
          </cell>
          <cell r="M3633">
            <v>0</v>
          </cell>
        </row>
        <row r="3634">
          <cell r="A3634"/>
          <cell r="B3634"/>
          <cell r="C3634"/>
          <cell r="D3634"/>
          <cell r="E3634"/>
          <cell r="L3634" t="e">
            <v>#DIV/0!</v>
          </cell>
          <cell r="M3634">
            <v>0</v>
          </cell>
        </row>
        <row r="3635">
          <cell r="A3635"/>
          <cell r="B3635"/>
          <cell r="C3635"/>
          <cell r="D3635"/>
          <cell r="E3635"/>
          <cell r="L3635" t="e">
            <v>#DIV/0!</v>
          </cell>
          <cell r="M3635">
            <v>0</v>
          </cell>
        </row>
        <row r="3636">
          <cell r="A3636"/>
          <cell r="B3636"/>
          <cell r="C3636"/>
          <cell r="D3636"/>
          <cell r="E3636"/>
          <cell r="L3636" t="e">
            <v>#DIV/0!</v>
          </cell>
          <cell r="M3636">
            <v>0</v>
          </cell>
        </row>
        <row r="3637">
          <cell r="A3637"/>
          <cell r="B3637"/>
          <cell r="C3637"/>
          <cell r="D3637"/>
          <cell r="E3637"/>
          <cell r="L3637" t="e">
            <v>#DIV/0!</v>
          </cell>
          <cell r="M3637">
            <v>0</v>
          </cell>
        </row>
        <row r="3638">
          <cell r="A3638"/>
          <cell r="B3638"/>
          <cell r="C3638"/>
          <cell r="D3638"/>
          <cell r="E3638"/>
          <cell r="L3638" t="e">
            <v>#DIV/0!</v>
          </cell>
          <cell r="M3638">
            <v>0</v>
          </cell>
        </row>
        <row r="3639">
          <cell r="A3639"/>
          <cell r="B3639"/>
          <cell r="C3639"/>
          <cell r="D3639"/>
          <cell r="E3639"/>
          <cell r="L3639" t="e">
            <v>#DIV/0!</v>
          </cell>
          <cell r="M3639">
            <v>0</v>
          </cell>
        </row>
        <row r="3640">
          <cell r="A3640"/>
          <cell r="B3640"/>
          <cell r="C3640"/>
          <cell r="D3640"/>
          <cell r="E3640"/>
          <cell r="L3640" t="e">
            <v>#DIV/0!</v>
          </cell>
          <cell r="M3640">
            <v>0</v>
          </cell>
        </row>
        <row r="3641">
          <cell r="A3641"/>
          <cell r="B3641"/>
          <cell r="C3641"/>
          <cell r="D3641"/>
          <cell r="E3641"/>
          <cell r="L3641" t="e">
            <v>#DIV/0!</v>
          </cell>
          <cell r="M3641">
            <v>0</v>
          </cell>
        </row>
        <row r="3642">
          <cell r="A3642"/>
          <cell r="B3642"/>
          <cell r="C3642"/>
          <cell r="D3642"/>
          <cell r="E3642"/>
          <cell r="L3642" t="e">
            <v>#DIV/0!</v>
          </cell>
          <cell r="M3642">
            <v>0</v>
          </cell>
        </row>
        <row r="3643">
          <cell r="A3643"/>
          <cell r="B3643"/>
          <cell r="C3643"/>
          <cell r="D3643"/>
          <cell r="E3643"/>
          <cell r="L3643" t="e">
            <v>#DIV/0!</v>
          </cell>
          <cell r="M3643">
            <v>0</v>
          </cell>
        </row>
        <row r="3644">
          <cell r="A3644"/>
          <cell r="B3644"/>
          <cell r="C3644"/>
          <cell r="D3644"/>
          <cell r="E3644"/>
          <cell r="L3644" t="e">
            <v>#DIV/0!</v>
          </cell>
          <cell r="M3644">
            <v>0</v>
          </cell>
        </row>
        <row r="3645">
          <cell r="A3645"/>
          <cell r="B3645"/>
          <cell r="C3645"/>
          <cell r="D3645"/>
          <cell r="E3645"/>
          <cell r="L3645" t="e">
            <v>#DIV/0!</v>
          </cell>
          <cell r="M3645">
            <v>0</v>
          </cell>
        </row>
        <row r="3646">
          <cell r="A3646"/>
          <cell r="B3646"/>
          <cell r="C3646"/>
          <cell r="D3646"/>
          <cell r="E3646"/>
          <cell r="L3646" t="e">
            <v>#DIV/0!</v>
          </cell>
          <cell r="M3646">
            <v>0</v>
          </cell>
        </row>
        <row r="3647">
          <cell r="A3647"/>
          <cell r="B3647"/>
          <cell r="C3647"/>
          <cell r="D3647"/>
          <cell r="E3647"/>
          <cell r="L3647" t="e">
            <v>#DIV/0!</v>
          </cell>
          <cell r="M3647">
            <v>0</v>
          </cell>
        </row>
        <row r="3648">
          <cell r="A3648"/>
          <cell r="B3648"/>
          <cell r="C3648"/>
          <cell r="D3648"/>
          <cell r="E3648"/>
          <cell r="L3648" t="e">
            <v>#DIV/0!</v>
          </cell>
          <cell r="M3648">
            <v>0</v>
          </cell>
        </row>
        <row r="3649">
          <cell r="A3649"/>
          <cell r="B3649"/>
          <cell r="C3649"/>
          <cell r="D3649"/>
          <cell r="E3649"/>
          <cell r="L3649" t="e">
            <v>#DIV/0!</v>
          </cell>
          <cell r="M3649">
            <v>0</v>
          </cell>
        </row>
        <row r="3650">
          <cell r="A3650"/>
          <cell r="B3650"/>
          <cell r="C3650"/>
          <cell r="D3650"/>
          <cell r="E3650"/>
          <cell r="L3650" t="e">
            <v>#DIV/0!</v>
          </cell>
          <cell r="M3650">
            <v>0</v>
          </cell>
        </row>
        <row r="3651">
          <cell r="A3651"/>
          <cell r="B3651"/>
          <cell r="C3651"/>
          <cell r="D3651"/>
          <cell r="E3651"/>
          <cell r="L3651" t="e">
            <v>#DIV/0!</v>
          </cell>
          <cell r="M3651">
            <v>0</v>
          </cell>
        </row>
        <row r="3652">
          <cell r="A3652"/>
          <cell r="B3652"/>
          <cell r="C3652"/>
          <cell r="D3652"/>
          <cell r="E3652"/>
          <cell r="L3652" t="e">
            <v>#DIV/0!</v>
          </cell>
          <cell r="M3652">
            <v>0</v>
          </cell>
        </row>
        <row r="3653">
          <cell r="A3653"/>
          <cell r="B3653"/>
          <cell r="C3653"/>
          <cell r="D3653"/>
          <cell r="E3653"/>
          <cell r="L3653" t="e">
            <v>#DIV/0!</v>
          </cell>
          <cell r="M3653">
            <v>0</v>
          </cell>
        </row>
        <row r="3654">
          <cell r="A3654"/>
          <cell r="B3654"/>
          <cell r="C3654"/>
          <cell r="D3654"/>
          <cell r="E3654"/>
          <cell r="L3654" t="e">
            <v>#DIV/0!</v>
          </cell>
          <cell r="M3654">
            <v>0</v>
          </cell>
        </row>
        <row r="3655">
          <cell r="A3655"/>
          <cell r="B3655"/>
          <cell r="C3655"/>
          <cell r="D3655"/>
          <cell r="E3655"/>
          <cell r="L3655" t="e">
            <v>#DIV/0!</v>
          </cell>
          <cell r="M3655">
            <v>0</v>
          </cell>
        </row>
        <row r="3656">
          <cell r="A3656"/>
          <cell r="B3656"/>
          <cell r="C3656"/>
          <cell r="D3656"/>
          <cell r="E3656"/>
          <cell r="L3656" t="e">
            <v>#DIV/0!</v>
          </cell>
          <cell r="M3656">
            <v>0</v>
          </cell>
        </row>
        <row r="3657">
          <cell r="A3657"/>
          <cell r="B3657"/>
          <cell r="C3657"/>
          <cell r="D3657"/>
          <cell r="E3657"/>
          <cell r="L3657" t="e">
            <v>#DIV/0!</v>
          </cell>
          <cell r="M3657">
            <v>0</v>
          </cell>
        </row>
        <row r="3658">
          <cell r="A3658"/>
          <cell r="B3658"/>
          <cell r="C3658"/>
          <cell r="D3658"/>
          <cell r="E3658"/>
          <cell r="L3658" t="e">
            <v>#DIV/0!</v>
          </cell>
          <cell r="M3658">
            <v>0</v>
          </cell>
        </row>
        <row r="3659">
          <cell r="A3659"/>
          <cell r="B3659"/>
          <cell r="C3659"/>
          <cell r="D3659"/>
          <cell r="E3659"/>
          <cell r="L3659" t="e">
            <v>#DIV/0!</v>
          </cell>
          <cell r="M3659">
            <v>0</v>
          </cell>
        </row>
        <row r="3660">
          <cell r="A3660"/>
          <cell r="B3660"/>
          <cell r="C3660"/>
          <cell r="D3660"/>
          <cell r="E3660"/>
          <cell r="L3660" t="e">
            <v>#DIV/0!</v>
          </cell>
          <cell r="M3660">
            <v>0</v>
          </cell>
        </row>
        <row r="3661">
          <cell r="A3661"/>
          <cell r="B3661"/>
          <cell r="C3661"/>
          <cell r="D3661"/>
          <cell r="E3661"/>
          <cell r="L3661" t="e">
            <v>#DIV/0!</v>
          </cell>
          <cell r="M3661">
            <v>0</v>
          </cell>
        </row>
        <row r="3662">
          <cell r="A3662"/>
          <cell r="B3662"/>
          <cell r="C3662"/>
          <cell r="D3662"/>
          <cell r="E3662"/>
          <cell r="L3662" t="e">
            <v>#DIV/0!</v>
          </cell>
          <cell r="M3662">
            <v>0</v>
          </cell>
        </row>
        <row r="3663">
          <cell r="A3663"/>
          <cell r="B3663"/>
          <cell r="C3663"/>
          <cell r="D3663"/>
          <cell r="E3663"/>
          <cell r="L3663" t="e">
            <v>#DIV/0!</v>
          </cell>
          <cell r="M3663">
            <v>0</v>
          </cell>
        </row>
        <row r="3664">
          <cell r="A3664"/>
          <cell r="B3664"/>
          <cell r="C3664"/>
          <cell r="D3664"/>
          <cell r="E3664"/>
          <cell r="L3664" t="e">
            <v>#DIV/0!</v>
          </cell>
          <cell r="M3664">
            <v>0</v>
          </cell>
        </row>
        <row r="3665">
          <cell r="A3665"/>
          <cell r="B3665"/>
          <cell r="C3665"/>
          <cell r="D3665"/>
          <cell r="E3665"/>
          <cell r="L3665" t="e">
            <v>#DIV/0!</v>
          </cell>
          <cell r="M3665">
            <v>0</v>
          </cell>
        </row>
        <row r="3666">
          <cell r="A3666"/>
          <cell r="B3666"/>
          <cell r="C3666"/>
          <cell r="D3666"/>
          <cell r="E3666"/>
          <cell r="L3666" t="e">
            <v>#DIV/0!</v>
          </cell>
          <cell r="M3666">
            <v>0</v>
          </cell>
        </row>
        <row r="3667">
          <cell r="A3667"/>
          <cell r="B3667"/>
          <cell r="C3667"/>
          <cell r="D3667"/>
          <cell r="E3667"/>
          <cell r="L3667" t="e">
            <v>#DIV/0!</v>
          </cell>
          <cell r="M3667">
            <v>0</v>
          </cell>
        </row>
        <row r="3668">
          <cell r="A3668"/>
          <cell r="B3668"/>
          <cell r="C3668"/>
          <cell r="D3668"/>
          <cell r="E3668"/>
          <cell r="L3668" t="e">
            <v>#DIV/0!</v>
          </cell>
          <cell r="M3668">
            <v>0</v>
          </cell>
        </row>
        <row r="3669">
          <cell r="A3669"/>
          <cell r="B3669"/>
          <cell r="C3669"/>
          <cell r="D3669"/>
          <cell r="E3669"/>
          <cell r="L3669" t="e">
            <v>#DIV/0!</v>
          </cell>
          <cell r="M3669">
            <v>0</v>
          </cell>
        </row>
        <row r="3670">
          <cell r="A3670"/>
          <cell r="B3670"/>
          <cell r="C3670"/>
          <cell r="D3670"/>
          <cell r="E3670"/>
          <cell r="L3670" t="e">
            <v>#DIV/0!</v>
          </cell>
          <cell r="M3670">
            <v>0</v>
          </cell>
        </row>
        <row r="3671">
          <cell r="A3671"/>
          <cell r="B3671"/>
          <cell r="C3671"/>
          <cell r="D3671"/>
          <cell r="E3671"/>
          <cell r="L3671" t="e">
            <v>#DIV/0!</v>
          </cell>
          <cell r="M3671">
            <v>0</v>
          </cell>
        </row>
        <row r="3672">
          <cell r="A3672"/>
          <cell r="B3672"/>
          <cell r="C3672"/>
          <cell r="D3672"/>
          <cell r="E3672"/>
          <cell r="L3672" t="e">
            <v>#DIV/0!</v>
          </cell>
          <cell r="M3672">
            <v>0</v>
          </cell>
        </row>
        <row r="3673">
          <cell r="A3673"/>
          <cell r="B3673"/>
          <cell r="C3673"/>
          <cell r="D3673"/>
          <cell r="E3673"/>
          <cell r="L3673" t="e">
            <v>#DIV/0!</v>
          </cell>
          <cell r="M3673">
            <v>0</v>
          </cell>
        </row>
        <row r="3674">
          <cell r="A3674"/>
          <cell r="B3674"/>
          <cell r="C3674"/>
          <cell r="D3674"/>
          <cell r="E3674"/>
          <cell r="L3674" t="e">
            <v>#DIV/0!</v>
          </cell>
          <cell r="M3674">
            <v>0</v>
          </cell>
        </row>
        <row r="3675">
          <cell r="A3675"/>
          <cell r="B3675"/>
          <cell r="C3675"/>
          <cell r="D3675"/>
          <cell r="E3675"/>
          <cell r="L3675" t="e">
            <v>#DIV/0!</v>
          </cell>
          <cell r="M3675">
            <v>0</v>
          </cell>
        </row>
        <row r="3676">
          <cell r="A3676"/>
          <cell r="B3676"/>
          <cell r="C3676"/>
          <cell r="D3676"/>
          <cell r="E3676"/>
          <cell r="L3676" t="e">
            <v>#DIV/0!</v>
          </cell>
          <cell r="M3676">
            <v>0</v>
          </cell>
        </row>
        <row r="3677">
          <cell r="A3677"/>
          <cell r="B3677"/>
          <cell r="C3677"/>
          <cell r="D3677"/>
          <cell r="E3677"/>
          <cell r="L3677" t="e">
            <v>#DIV/0!</v>
          </cell>
          <cell r="M3677">
            <v>0</v>
          </cell>
        </row>
        <row r="3678">
          <cell r="A3678"/>
          <cell r="B3678"/>
          <cell r="C3678"/>
          <cell r="D3678"/>
          <cell r="E3678"/>
          <cell r="L3678" t="e">
            <v>#DIV/0!</v>
          </cell>
          <cell r="M3678">
            <v>0</v>
          </cell>
        </row>
        <row r="3679">
          <cell r="A3679"/>
          <cell r="B3679"/>
          <cell r="C3679"/>
          <cell r="D3679"/>
          <cell r="E3679"/>
          <cell r="L3679" t="e">
            <v>#DIV/0!</v>
          </cell>
          <cell r="M3679">
            <v>0</v>
          </cell>
        </row>
        <row r="3680">
          <cell r="A3680"/>
          <cell r="B3680"/>
          <cell r="C3680"/>
          <cell r="D3680"/>
          <cell r="E3680"/>
          <cell r="L3680" t="e">
            <v>#DIV/0!</v>
          </cell>
          <cell r="M3680">
            <v>0</v>
          </cell>
        </row>
        <row r="3681">
          <cell r="A3681"/>
          <cell r="B3681"/>
          <cell r="C3681"/>
          <cell r="D3681"/>
          <cell r="E3681"/>
          <cell r="L3681" t="e">
            <v>#DIV/0!</v>
          </cell>
          <cell r="M3681">
            <v>0</v>
          </cell>
        </row>
        <row r="3682">
          <cell r="A3682"/>
          <cell r="B3682"/>
          <cell r="C3682"/>
          <cell r="D3682"/>
          <cell r="E3682"/>
          <cell r="L3682" t="e">
            <v>#DIV/0!</v>
          </cell>
          <cell r="M3682">
            <v>0</v>
          </cell>
        </row>
        <row r="3683">
          <cell r="A3683"/>
          <cell r="B3683"/>
          <cell r="C3683"/>
          <cell r="D3683"/>
          <cell r="E3683"/>
          <cell r="L3683" t="e">
            <v>#DIV/0!</v>
          </cell>
          <cell r="M3683">
            <v>0</v>
          </cell>
        </row>
        <row r="3684">
          <cell r="A3684"/>
          <cell r="B3684"/>
          <cell r="C3684"/>
          <cell r="D3684"/>
          <cell r="E3684"/>
          <cell r="L3684" t="e">
            <v>#DIV/0!</v>
          </cell>
          <cell r="M3684">
            <v>0</v>
          </cell>
        </row>
        <row r="3685">
          <cell r="A3685"/>
          <cell r="B3685"/>
          <cell r="C3685"/>
          <cell r="D3685"/>
          <cell r="E3685"/>
          <cell r="L3685" t="e">
            <v>#DIV/0!</v>
          </cell>
          <cell r="M3685">
            <v>0</v>
          </cell>
        </row>
        <row r="3686">
          <cell r="A3686"/>
          <cell r="B3686"/>
          <cell r="C3686"/>
          <cell r="D3686"/>
          <cell r="E3686"/>
          <cell r="L3686" t="e">
            <v>#DIV/0!</v>
          </cell>
          <cell r="M3686">
            <v>0</v>
          </cell>
        </row>
        <row r="3687">
          <cell r="A3687"/>
          <cell r="B3687"/>
          <cell r="C3687"/>
          <cell r="D3687"/>
          <cell r="E3687"/>
          <cell r="L3687" t="e">
            <v>#DIV/0!</v>
          </cell>
          <cell r="M3687">
            <v>0</v>
          </cell>
        </row>
        <row r="3688">
          <cell r="A3688"/>
          <cell r="B3688"/>
          <cell r="C3688"/>
          <cell r="D3688"/>
          <cell r="E3688"/>
          <cell r="L3688" t="e">
            <v>#DIV/0!</v>
          </cell>
          <cell r="M3688">
            <v>0</v>
          </cell>
        </row>
        <row r="3689">
          <cell r="A3689"/>
          <cell r="B3689"/>
          <cell r="C3689"/>
          <cell r="D3689"/>
          <cell r="E3689"/>
          <cell r="L3689" t="e">
            <v>#DIV/0!</v>
          </cell>
          <cell r="M3689">
            <v>0</v>
          </cell>
        </row>
        <row r="3690">
          <cell r="A3690"/>
          <cell r="B3690"/>
          <cell r="C3690"/>
          <cell r="D3690"/>
          <cell r="E3690"/>
          <cell r="L3690" t="e">
            <v>#DIV/0!</v>
          </cell>
          <cell r="M3690">
            <v>0</v>
          </cell>
        </row>
        <row r="3691">
          <cell r="A3691"/>
          <cell r="B3691"/>
          <cell r="C3691"/>
          <cell r="D3691"/>
          <cell r="E3691"/>
          <cell r="L3691" t="e">
            <v>#DIV/0!</v>
          </cell>
          <cell r="M3691">
            <v>0</v>
          </cell>
        </row>
        <row r="3692">
          <cell r="A3692"/>
          <cell r="B3692"/>
          <cell r="C3692"/>
          <cell r="D3692"/>
          <cell r="E3692"/>
          <cell r="L3692" t="e">
            <v>#DIV/0!</v>
          </cell>
          <cell r="M3692">
            <v>0</v>
          </cell>
        </row>
        <row r="3693">
          <cell r="A3693"/>
          <cell r="B3693"/>
          <cell r="C3693"/>
          <cell r="D3693"/>
          <cell r="E3693"/>
          <cell r="L3693" t="e">
            <v>#DIV/0!</v>
          </cell>
          <cell r="M3693">
            <v>0</v>
          </cell>
        </row>
        <row r="3694">
          <cell r="A3694"/>
          <cell r="B3694"/>
          <cell r="C3694"/>
          <cell r="D3694"/>
          <cell r="E3694"/>
          <cell r="L3694" t="e">
            <v>#DIV/0!</v>
          </cell>
          <cell r="M3694">
            <v>0</v>
          </cell>
        </row>
        <row r="3695">
          <cell r="A3695"/>
          <cell r="B3695"/>
          <cell r="C3695"/>
          <cell r="D3695"/>
          <cell r="E3695"/>
          <cell r="L3695" t="e">
            <v>#DIV/0!</v>
          </cell>
          <cell r="M3695">
            <v>0</v>
          </cell>
        </row>
        <row r="3696">
          <cell r="A3696"/>
          <cell r="B3696"/>
          <cell r="C3696"/>
          <cell r="D3696"/>
          <cell r="E3696"/>
          <cell r="L3696" t="e">
            <v>#DIV/0!</v>
          </cell>
          <cell r="M3696">
            <v>0</v>
          </cell>
        </row>
        <row r="3697">
          <cell r="A3697"/>
          <cell r="B3697"/>
          <cell r="C3697"/>
          <cell r="D3697"/>
          <cell r="E3697"/>
          <cell r="L3697" t="e">
            <v>#DIV/0!</v>
          </cell>
          <cell r="M3697">
            <v>0</v>
          </cell>
        </row>
        <row r="3698">
          <cell r="A3698"/>
          <cell r="B3698"/>
          <cell r="C3698"/>
          <cell r="D3698"/>
          <cell r="E3698"/>
          <cell r="L3698" t="e">
            <v>#DIV/0!</v>
          </cell>
          <cell r="M3698">
            <v>0</v>
          </cell>
        </row>
        <row r="3699">
          <cell r="A3699"/>
          <cell r="B3699"/>
          <cell r="C3699"/>
          <cell r="D3699"/>
          <cell r="E3699"/>
          <cell r="L3699" t="e">
            <v>#DIV/0!</v>
          </cell>
          <cell r="M3699">
            <v>0</v>
          </cell>
        </row>
        <row r="3700">
          <cell r="A3700"/>
          <cell r="B3700"/>
          <cell r="C3700"/>
          <cell r="D3700"/>
          <cell r="E3700"/>
          <cell r="L3700" t="e">
            <v>#DIV/0!</v>
          </cell>
          <cell r="M3700">
            <v>0</v>
          </cell>
        </row>
        <row r="3701">
          <cell r="A3701"/>
          <cell r="B3701"/>
          <cell r="C3701"/>
          <cell r="D3701"/>
          <cell r="E3701"/>
          <cell r="L3701" t="e">
            <v>#DIV/0!</v>
          </cell>
          <cell r="M3701">
            <v>0</v>
          </cell>
        </row>
        <row r="3702">
          <cell r="A3702"/>
          <cell r="B3702"/>
          <cell r="C3702"/>
          <cell r="D3702"/>
          <cell r="E3702"/>
          <cell r="L3702" t="e">
            <v>#DIV/0!</v>
          </cell>
          <cell r="M3702">
            <v>0</v>
          </cell>
        </row>
        <row r="3703">
          <cell r="A3703"/>
          <cell r="B3703"/>
          <cell r="C3703"/>
          <cell r="D3703"/>
          <cell r="E3703"/>
          <cell r="L3703" t="e">
            <v>#DIV/0!</v>
          </cell>
          <cell r="M3703">
            <v>0</v>
          </cell>
        </row>
        <row r="3704">
          <cell r="A3704"/>
          <cell r="B3704"/>
          <cell r="C3704"/>
          <cell r="D3704"/>
          <cell r="E3704"/>
          <cell r="L3704" t="e">
            <v>#DIV/0!</v>
          </cell>
          <cell r="M3704">
            <v>0</v>
          </cell>
        </row>
        <row r="3705">
          <cell r="A3705"/>
          <cell r="B3705"/>
          <cell r="C3705"/>
          <cell r="D3705"/>
          <cell r="E3705"/>
          <cell r="L3705" t="e">
            <v>#DIV/0!</v>
          </cell>
          <cell r="M3705">
            <v>0</v>
          </cell>
        </row>
        <row r="3706">
          <cell r="A3706"/>
          <cell r="B3706"/>
          <cell r="C3706"/>
          <cell r="D3706"/>
          <cell r="E3706"/>
          <cell r="L3706" t="e">
            <v>#DIV/0!</v>
          </cell>
          <cell r="M3706">
            <v>0</v>
          </cell>
        </row>
        <row r="3707">
          <cell r="A3707"/>
          <cell r="B3707"/>
          <cell r="C3707"/>
          <cell r="D3707"/>
          <cell r="E3707"/>
          <cell r="L3707" t="e">
            <v>#DIV/0!</v>
          </cell>
          <cell r="M3707">
            <v>0</v>
          </cell>
        </row>
        <row r="3708">
          <cell r="A3708"/>
          <cell r="B3708"/>
          <cell r="C3708"/>
          <cell r="D3708"/>
          <cell r="E3708"/>
          <cell r="L3708" t="e">
            <v>#DIV/0!</v>
          </cell>
          <cell r="M3708">
            <v>0</v>
          </cell>
        </row>
        <row r="3709">
          <cell r="A3709"/>
          <cell r="B3709"/>
          <cell r="C3709"/>
          <cell r="D3709"/>
          <cell r="E3709"/>
          <cell r="L3709" t="e">
            <v>#DIV/0!</v>
          </cell>
          <cell r="M3709">
            <v>0</v>
          </cell>
        </row>
        <row r="3710">
          <cell r="A3710"/>
          <cell r="B3710"/>
          <cell r="C3710"/>
          <cell r="D3710"/>
          <cell r="E3710"/>
          <cell r="L3710" t="e">
            <v>#DIV/0!</v>
          </cell>
          <cell r="M3710">
            <v>0</v>
          </cell>
        </row>
        <row r="3711">
          <cell r="A3711"/>
          <cell r="B3711"/>
          <cell r="C3711"/>
          <cell r="D3711"/>
          <cell r="E3711"/>
          <cell r="L3711" t="e">
            <v>#DIV/0!</v>
          </cell>
          <cell r="M3711">
            <v>0</v>
          </cell>
        </row>
        <row r="3712">
          <cell r="A3712"/>
          <cell r="B3712"/>
          <cell r="C3712"/>
          <cell r="D3712"/>
          <cell r="E3712"/>
          <cell r="L3712" t="e">
            <v>#DIV/0!</v>
          </cell>
          <cell r="M3712">
            <v>0</v>
          </cell>
        </row>
        <row r="3713">
          <cell r="A3713"/>
          <cell r="B3713"/>
          <cell r="C3713"/>
          <cell r="D3713"/>
          <cell r="E3713"/>
          <cell r="L3713" t="e">
            <v>#DIV/0!</v>
          </cell>
          <cell r="M3713">
            <v>0</v>
          </cell>
        </row>
        <row r="3714">
          <cell r="A3714"/>
          <cell r="B3714"/>
          <cell r="C3714"/>
          <cell r="D3714"/>
          <cell r="E3714"/>
          <cell r="L3714" t="e">
            <v>#DIV/0!</v>
          </cell>
          <cell r="M3714">
            <v>0</v>
          </cell>
        </row>
        <row r="3715">
          <cell r="A3715"/>
          <cell r="B3715"/>
          <cell r="C3715"/>
          <cell r="D3715"/>
          <cell r="E3715"/>
          <cell r="L3715" t="e">
            <v>#DIV/0!</v>
          </cell>
          <cell r="M3715">
            <v>0</v>
          </cell>
        </row>
        <row r="3716">
          <cell r="A3716"/>
          <cell r="B3716"/>
          <cell r="C3716"/>
          <cell r="D3716"/>
          <cell r="E3716"/>
          <cell r="L3716" t="e">
            <v>#DIV/0!</v>
          </cell>
          <cell r="M3716">
            <v>0</v>
          </cell>
        </row>
        <row r="3717">
          <cell r="A3717"/>
          <cell r="B3717"/>
          <cell r="C3717"/>
          <cell r="D3717"/>
          <cell r="E3717"/>
          <cell r="L3717" t="e">
            <v>#DIV/0!</v>
          </cell>
          <cell r="M3717">
            <v>0</v>
          </cell>
        </row>
        <row r="3718">
          <cell r="A3718"/>
          <cell r="B3718"/>
          <cell r="C3718"/>
          <cell r="D3718"/>
          <cell r="E3718"/>
          <cell r="L3718" t="e">
            <v>#DIV/0!</v>
          </cell>
          <cell r="M3718">
            <v>0</v>
          </cell>
        </row>
        <row r="3719">
          <cell r="A3719"/>
          <cell r="B3719"/>
          <cell r="C3719"/>
          <cell r="D3719"/>
          <cell r="E3719"/>
          <cell r="L3719" t="e">
            <v>#DIV/0!</v>
          </cell>
          <cell r="M3719">
            <v>0</v>
          </cell>
        </row>
        <row r="3720">
          <cell r="A3720"/>
          <cell r="B3720"/>
          <cell r="C3720"/>
          <cell r="D3720"/>
          <cell r="E3720"/>
          <cell r="L3720" t="e">
            <v>#DIV/0!</v>
          </cell>
          <cell r="M3720">
            <v>0</v>
          </cell>
        </row>
        <row r="3721">
          <cell r="A3721"/>
          <cell r="B3721"/>
          <cell r="C3721"/>
          <cell r="D3721"/>
          <cell r="E3721"/>
          <cell r="L3721" t="e">
            <v>#DIV/0!</v>
          </cell>
          <cell r="M3721">
            <v>0</v>
          </cell>
        </row>
        <row r="3722">
          <cell r="A3722"/>
          <cell r="B3722"/>
          <cell r="C3722"/>
          <cell r="D3722"/>
          <cell r="E3722"/>
          <cell r="L3722" t="e">
            <v>#DIV/0!</v>
          </cell>
          <cell r="M3722">
            <v>0</v>
          </cell>
        </row>
        <row r="3723">
          <cell r="A3723"/>
          <cell r="B3723"/>
          <cell r="C3723"/>
          <cell r="D3723"/>
          <cell r="E3723"/>
          <cell r="L3723" t="e">
            <v>#DIV/0!</v>
          </cell>
          <cell r="M3723">
            <v>0</v>
          </cell>
        </row>
        <row r="3724">
          <cell r="A3724"/>
          <cell r="B3724"/>
          <cell r="C3724"/>
          <cell r="D3724"/>
          <cell r="E3724"/>
          <cell r="L3724" t="e">
            <v>#DIV/0!</v>
          </cell>
          <cell r="M3724">
            <v>0</v>
          </cell>
        </row>
        <row r="3725">
          <cell r="A3725"/>
          <cell r="B3725"/>
          <cell r="C3725"/>
          <cell r="D3725"/>
          <cell r="E3725"/>
          <cell r="L3725" t="e">
            <v>#DIV/0!</v>
          </cell>
          <cell r="M3725">
            <v>0</v>
          </cell>
        </row>
        <row r="3726">
          <cell r="A3726"/>
          <cell r="B3726"/>
          <cell r="C3726"/>
          <cell r="D3726"/>
          <cell r="E3726"/>
          <cell r="L3726" t="e">
            <v>#DIV/0!</v>
          </cell>
          <cell r="M3726">
            <v>0</v>
          </cell>
        </row>
        <row r="3727">
          <cell r="A3727"/>
          <cell r="B3727"/>
          <cell r="C3727"/>
          <cell r="D3727"/>
          <cell r="E3727"/>
          <cell r="L3727" t="e">
            <v>#DIV/0!</v>
          </cell>
          <cell r="M3727">
            <v>0</v>
          </cell>
        </row>
        <row r="3728">
          <cell r="A3728"/>
          <cell r="B3728"/>
          <cell r="C3728"/>
          <cell r="D3728"/>
          <cell r="E3728"/>
          <cell r="L3728" t="e">
            <v>#DIV/0!</v>
          </cell>
          <cell r="M3728">
            <v>0</v>
          </cell>
        </row>
        <row r="3729">
          <cell r="A3729"/>
          <cell r="B3729"/>
          <cell r="C3729"/>
          <cell r="D3729"/>
          <cell r="E3729"/>
          <cell r="L3729" t="e">
            <v>#DIV/0!</v>
          </cell>
          <cell r="M3729">
            <v>0</v>
          </cell>
        </row>
        <row r="3730">
          <cell r="A3730"/>
          <cell r="B3730"/>
          <cell r="C3730"/>
          <cell r="D3730"/>
          <cell r="E3730"/>
          <cell r="L3730" t="e">
            <v>#DIV/0!</v>
          </cell>
          <cell r="M3730">
            <v>0</v>
          </cell>
        </row>
        <row r="3731">
          <cell r="A3731"/>
          <cell r="B3731"/>
          <cell r="C3731"/>
          <cell r="D3731"/>
          <cell r="E3731"/>
          <cell r="L3731" t="e">
            <v>#DIV/0!</v>
          </cell>
          <cell r="M3731">
            <v>0</v>
          </cell>
        </row>
        <row r="3732">
          <cell r="A3732"/>
          <cell r="B3732"/>
          <cell r="C3732"/>
          <cell r="D3732"/>
          <cell r="E3732"/>
          <cell r="L3732" t="e">
            <v>#DIV/0!</v>
          </cell>
          <cell r="M3732">
            <v>0</v>
          </cell>
        </row>
        <row r="3733">
          <cell r="A3733"/>
          <cell r="B3733"/>
          <cell r="C3733"/>
          <cell r="D3733"/>
          <cell r="E3733"/>
          <cell r="L3733" t="e">
            <v>#DIV/0!</v>
          </cell>
          <cell r="M3733">
            <v>0</v>
          </cell>
        </row>
        <row r="3734">
          <cell r="A3734"/>
          <cell r="B3734"/>
          <cell r="C3734"/>
          <cell r="D3734"/>
          <cell r="E3734"/>
          <cell r="L3734" t="e">
            <v>#DIV/0!</v>
          </cell>
          <cell r="M3734">
            <v>0</v>
          </cell>
        </row>
        <row r="3735">
          <cell r="A3735"/>
          <cell r="B3735"/>
          <cell r="C3735"/>
          <cell r="D3735"/>
          <cell r="E3735"/>
          <cell r="L3735" t="e">
            <v>#DIV/0!</v>
          </cell>
          <cell r="M3735">
            <v>0</v>
          </cell>
        </row>
        <row r="3736">
          <cell r="A3736"/>
          <cell r="B3736"/>
          <cell r="C3736"/>
          <cell r="D3736"/>
          <cell r="E3736"/>
          <cell r="L3736" t="e">
            <v>#DIV/0!</v>
          </cell>
          <cell r="M3736">
            <v>0</v>
          </cell>
        </row>
        <row r="3737">
          <cell r="A3737"/>
          <cell r="B3737"/>
          <cell r="C3737"/>
          <cell r="D3737"/>
          <cell r="E3737"/>
          <cell r="L3737" t="e">
            <v>#DIV/0!</v>
          </cell>
          <cell r="M3737">
            <v>0</v>
          </cell>
        </row>
        <row r="3738">
          <cell r="A3738"/>
          <cell r="B3738"/>
          <cell r="C3738"/>
          <cell r="D3738"/>
          <cell r="E3738"/>
          <cell r="L3738" t="e">
            <v>#DIV/0!</v>
          </cell>
          <cell r="M3738">
            <v>0</v>
          </cell>
        </row>
        <row r="3739">
          <cell r="A3739"/>
          <cell r="B3739"/>
          <cell r="C3739"/>
          <cell r="D3739"/>
          <cell r="E3739"/>
          <cell r="L3739" t="e">
            <v>#DIV/0!</v>
          </cell>
          <cell r="M3739">
            <v>0</v>
          </cell>
        </row>
        <row r="3740">
          <cell r="A3740"/>
          <cell r="B3740"/>
          <cell r="C3740"/>
          <cell r="D3740"/>
          <cell r="E3740"/>
          <cell r="L3740" t="e">
            <v>#DIV/0!</v>
          </cell>
          <cell r="M3740">
            <v>0</v>
          </cell>
        </row>
        <row r="3741">
          <cell r="A3741"/>
          <cell r="B3741"/>
          <cell r="C3741"/>
          <cell r="D3741"/>
          <cell r="E3741"/>
          <cell r="L3741" t="e">
            <v>#DIV/0!</v>
          </cell>
          <cell r="M3741">
            <v>0</v>
          </cell>
        </row>
        <row r="3742">
          <cell r="A3742"/>
          <cell r="B3742"/>
          <cell r="C3742"/>
          <cell r="D3742"/>
          <cell r="E3742"/>
          <cell r="L3742" t="e">
            <v>#DIV/0!</v>
          </cell>
          <cell r="M3742">
            <v>0</v>
          </cell>
        </row>
        <row r="3743">
          <cell r="A3743"/>
          <cell r="B3743"/>
          <cell r="C3743"/>
          <cell r="D3743"/>
          <cell r="E3743"/>
          <cell r="L3743" t="e">
            <v>#DIV/0!</v>
          </cell>
          <cell r="M3743">
            <v>0</v>
          </cell>
        </row>
        <row r="3744">
          <cell r="A3744"/>
          <cell r="B3744"/>
          <cell r="C3744"/>
          <cell r="D3744"/>
          <cell r="E3744"/>
          <cell r="L3744" t="e">
            <v>#DIV/0!</v>
          </cell>
          <cell r="M3744">
            <v>0</v>
          </cell>
        </row>
        <row r="3745">
          <cell r="A3745"/>
          <cell r="B3745"/>
          <cell r="C3745"/>
          <cell r="D3745"/>
          <cell r="E3745"/>
          <cell r="L3745" t="e">
            <v>#DIV/0!</v>
          </cell>
          <cell r="M3745">
            <v>0</v>
          </cell>
        </row>
        <row r="3746">
          <cell r="A3746"/>
          <cell r="B3746"/>
          <cell r="C3746"/>
          <cell r="D3746"/>
          <cell r="E3746"/>
          <cell r="L3746" t="e">
            <v>#DIV/0!</v>
          </cell>
          <cell r="M3746">
            <v>0</v>
          </cell>
        </row>
        <row r="3747">
          <cell r="A3747"/>
          <cell r="B3747"/>
          <cell r="C3747"/>
          <cell r="D3747"/>
          <cell r="E3747"/>
          <cell r="L3747" t="e">
            <v>#DIV/0!</v>
          </cell>
          <cell r="M3747">
            <v>0</v>
          </cell>
        </row>
        <row r="3748">
          <cell r="A3748"/>
          <cell r="B3748"/>
          <cell r="C3748"/>
          <cell r="D3748"/>
          <cell r="E3748"/>
          <cell r="L3748" t="e">
            <v>#DIV/0!</v>
          </cell>
          <cell r="M3748">
            <v>0</v>
          </cell>
        </row>
        <row r="3749">
          <cell r="A3749"/>
          <cell r="B3749"/>
          <cell r="C3749"/>
          <cell r="D3749"/>
          <cell r="E3749"/>
          <cell r="L3749" t="e">
            <v>#DIV/0!</v>
          </cell>
          <cell r="M3749">
            <v>0</v>
          </cell>
        </row>
        <row r="3750">
          <cell r="A3750"/>
          <cell r="B3750"/>
          <cell r="C3750"/>
          <cell r="D3750"/>
          <cell r="E3750"/>
          <cell r="L3750" t="e">
            <v>#DIV/0!</v>
          </cell>
          <cell r="M3750">
            <v>0</v>
          </cell>
        </row>
        <row r="3751">
          <cell r="A3751"/>
          <cell r="B3751"/>
          <cell r="C3751"/>
          <cell r="D3751"/>
          <cell r="E3751"/>
          <cell r="L3751" t="e">
            <v>#DIV/0!</v>
          </cell>
          <cell r="M3751">
            <v>0</v>
          </cell>
        </row>
        <row r="3752">
          <cell r="A3752"/>
          <cell r="B3752"/>
          <cell r="C3752"/>
          <cell r="D3752"/>
          <cell r="E3752"/>
          <cell r="L3752" t="e">
            <v>#DIV/0!</v>
          </cell>
          <cell r="M3752">
            <v>0</v>
          </cell>
        </row>
        <row r="3753">
          <cell r="A3753"/>
          <cell r="B3753"/>
          <cell r="C3753"/>
          <cell r="D3753"/>
          <cell r="E3753"/>
          <cell r="L3753" t="e">
            <v>#DIV/0!</v>
          </cell>
          <cell r="M3753">
            <v>0</v>
          </cell>
        </row>
        <row r="3754">
          <cell r="A3754"/>
          <cell r="B3754"/>
          <cell r="C3754"/>
          <cell r="D3754"/>
          <cell r="E3754"/>
          <cell r="L3754" t="e">
            <v>#DIV/0!</v>
          </cell>
          <cell r="M3754">
            <v>0</v>
          </cell>
        </row>
        <row r="3755">
          <cell r="A3755"/>
          <cell r="B3755"/>
          <cell r="C3755"/>
          <cell r="D3755"/>
          <cell r="E3755"/>
          <cell r="L3755" t="e">
            <v>#DIV/0!</v>
          </cell>
          <cell r="M3755">
            <v>0</v>
          </cell>
        </row>
        <row r="3756">
          <cell r="A3756"/>
          <cell r="B3756"/>
          <cell r="C3756"/>
          <cell r="D3756"/>
          <cell r="E3756"/>
          <cell r="L3756" t="e">
            <v>#DIV/0!</v>
          </cell>
          <cell r="M3756">
            <v>0</v>
          </cell>
        </row>
        <row r="3757">
          <cell r="A3757"/>
          <cell r="B3757"/>
          <cell r="C3757"/>
          <cell r="D3757"/>
          <cell r="E3757"/>
          <cell r="L3757" t="e">
            <v>#DIV/0!</v>
          </cell>
          <cell r="M3757">
            <v>0</v>
          </cell>
        </row>
        <row r="3758">
          <cell r="A3758"/>
          <cell r="B3758"/>
          <cell r="C3758"/>
          <cell r="D3758"/>
          <cell r="E3758"/>
          <cell r="L3758" t="e">
            <v>#DIV/0!</v>
          </cell>
          <cell r="M3758">
            <v>0</v>
          </cell>
        </row>
        <row r="3759">
          <cell r="A3759"/>
          <cell r="B3759"/>
          <cell r="C3759"/>
          <cell r="D3759"/>
          <cell r="E3759"/>
          <cell r="L3759" t="e">
            <v>#DIV/0!</v>
          </cell>
          <cell r="M3759">
            <v>0</v>
          </cell>
        </row>
        <row r="3760">
          <cell r="A3760"/>
          <cell r="B3760"/>
          <cell r="C3760"/>
          <cell r="D3760"/>
          <cell r="E3760"/>
          <cell r="L3760" t="e">
            <v>#DIV/0!</v>
          </cell>
          <cell r="M3760">
            <v>0</v>
          </cell>
        </row>
        <row r="3761">
          <cell r="A3761"/>
          <cell r="B3761"/>
          <cell r="C3761"/>
          <cell r="D3761"/>
          <cell r="E3761"/>
          <cell r="L3761" t="e">
            <v>#DIV/0!</v>
          </cell>
          <cell r="M3761">
            <v>0</v>
          </cell>
        </row>
        <row r="3762">
          <cell r="A3762"/>
          <cell r="B3762"/>
          <cell r="C3762"/>
          <cell r="D3762"/>
          <cell r="E3762"/>
          <cell r="L3762" t="e">
            <v>#DIV/0!</v>
          </cell>
          <cell r="M3762">
            <v>0</v>
          </cell>
        </row>
        <row r="3763">
          <cell r="A3763"/>
          <cell r="B3763"/>
          <cell r="C3763"/>
          <cell r="D3763"/>
          <cell r="E3763"/>
          <cell r="L3763" t="e">
            <v>#DIV/0!</v>
          </cell>
          <cell r="M3763">
            <v>0</v>
          </cell>
        </row>
        <row r="3764">
          <cell r="A3764"/>
          <cell r="B3764"/>
          <cell r="C3764"/>
          <cell r="D3764"/>
          <cell r="E3764"/>
          <cell r="L3764" t="e">
            <v>#DIV/0!</v>
          </cell>
          <cell r="M3764">
            <v>0</v>
          </cell>
        </row>
        <row r="3765">
          <cell r="A3765"/>
          <cell r="B3765"/>
          <cell r="C3765"/>
          <cell r="D3765"/>
          <cell r="E3765"/>
          <cell r="L3765" t="e">
            <v>#DIV/0!</v>
          </cell>
          <cell r="M3765">
            <v>0</v>
          </cell>
        </row>
        <row r="3766">
          <cell r="A3766"/>
          <cell r="B3766"/>
          <cell r="C3766"/>
          <cell r="D3766"/>
          <cell r="E3766"/>
          <cell r="L3766" t="e">
            <v>#DIV/0!</v>
          </cell>
          <cell r="M3766">
            <v>0</v>
          </cell>
        </row>
        <row r="3767">
          <cell r="A3767"/>
          <cell r="B3767"/>
          <cell r="C3767"/>
          <cell r="D3767"/>
          <cell r="E3767"/>
          <cell r="L3767" t="e">
            <v>#DIV/0!</v>
          </cell>
          <cell r="M3767">
            <v>0</v>
          </cell>
        </row>
        <row r="3768">
          <cell r="A3768"/>
          <cell r="B3768"/>
          <cell r="C3768"/>
          <cell r="D3768"/>
          <cell r="E3768"/>
          <cell r="L3768" t="e">
            <v>#DIV/0!</v>
          </cell>
          <cell r="M3768">
            <v>0</v>
          </cell>
        </row>
        <row r="3769">
          <cell r="A3769"/>
          <cell r="B3769"/>
          <cell r="C3769"/>
          <cell r="D3769"/>
          <cell r="E3769"/>
          <cell r="L3769" t="e">
            <v>#DIV/0!</v>
          </cell>
          <cell r="M3769">
            <v>0</v>
          </cell>
        </row>
        <row r="3770">
          <cell r="A3770"/>
          <cell r="B3770"/>
          <cell r="C3770"/>
          <cell r="D3770"/>
          <cell r="E3770"/>
          <cell r="L3770" t="e">
            <v>#DIV/0!</v>
          </cell>
          <cell r="M3770">
            <v>0</v>
          </cell>
        </row>
        <row r="3771">
          <cell r="A3771"/>
          <cell r="B3771"/>
          <cell r="C3771"/>
          <cell r="D3771"/>
          <cell r="E3771"/>
          <cell r="L3771" t="e">
            <v>#DIV/0!</v>
          </cell>
          <cell r="M3771">
            <v>0</v>
          </cell>
        </row>
        <row r="3772">
          <cell r="A3772"/>
          <cell r="B3772"/>
          <cell r="C3772"/>
          <cell r="D3772"/>
          <cell r="E3772"/>
          <cell r="L3772" t="e">
            <v>#DIV/0!</v>
          </cell>
          <cell r="M3772">
            <v>0</v>
          </cell>
        </row>
        <row r="3773">
          <cell r="A3773"/>
          <cell r="B3773"/>
          <cell r="C3773"/>
          <cell r="D3773"/>
          <cell r="E3773"/>
          <cell r="L3773" t="e">
            <v>#DIV/0!</v>
          </cell>
          <cell r="M3773">
            <v>0</v>
          </cell>
        </row>
        <row r="3774">
          <cell r="A3774"/>
          <cell r="B3774"/>
          <cell r="C3774"/>
          <cell r="D3774"/>
          <cell r="E3774"/>
          <cell r="L3774" t="e">
            <v>#DIV/0!</v>
          </cell>
          <cell r="M3774">
            <v>0</v>
          </cell>
        </row>
        <row r="3775">
          <cell r="A3775"/>
          <cell r="B3775"/>
          <cell r="C3775"/>
          <cell r="D3775"/>
          <cell r="E3775"/>
          <cell r="L3775" t="e">
            <v>#DIV/0!</v>
          </cell>
          <cell r="M3775">
            <v>0</v>
          </cell>
        </row>
        <row r="3776">
          <cell r="A3776"/>
          <cell r="B3776"/>
          <cell r="C3776"/>
          <cell r="D3776"/>
          <cell r="E3776"/>
          <cell r="L3776" t="e">
            <v>#DIV/0!</v>
          </cell>
          <cell r="M3776">
            <v>0</v>
          </cell>
        </row>
        <row r="3777">
          <cell r="A3777"/>
          <cell r="B3777"/>
          <cell r="C3777"/>
          <cell r="D3777"/>
          <cell r="E3777"/>
          <cell r="L3777" t="e">
            <v>#DIV/0!</v>
          </cell>
          <cell r="M3777">
            <v>0</v>
          </cell>
        </row>
        <row r="3778">
          <cell r="A3778"/>
          <cell r="B3778"/>
          <cell r="C3778"/>
          <cell r="D3778"/>
          <cell r="E3778"/>
          <cell r="L3778" t="e">
            <v>#DIV/0!</v>
          </cell>
          <cell r="M3778">
            <v>0</v>
          </cell>
        </row>
        <row r="3779">
          <cell r="A3779"/>
          <cell r="B3779"/>
          <cell r="C3779"/>
          <cell r="D3779"/>
          <cell r="E3779"/>
          <cell r="L3779" t="e">
            <v>#DIV/0!</v>
          </cell>
          <cell r="M3779">
            <v>0</v>
          </cell>
        </row>
        <row r="3780">
          <cell r="A3780"/>
          <cell r="B3780"/>
          <cell r="C3780"/>
          <cell r="D3780"/>
          <cell r="E3780"/>
          <cell r="L3780" t="e">
            <v>#DIV/0!</v>
          </cell>
          <cell r="M3780">
            <v>0</v>
          </cell>
        </row>
        <row r="3781">
          <cell r="A3781"/>
          <cell r="B3781"/>
          <cell r="C3781"/>
          <cell r="D3781"/>
          <cell r="E3781"/>
          <cell r="L3781" t="e">
            <v>#DIV/0!</v>
          </cell>
          <cell r="M3781">
            <v>0</v>
          </cell>
        </row>
        <row r="3782">
          <cell r="A3782"/>
          <cell r="B3782"/>
          <cell r="C3782"/>
          <cell r="D3782"/>
          <cell r="E3782"/>
          <cell r="L3782" t="e">
            <v>#DIV/0!</v>
          </cell>
          <cell r="M3782">
            <v>0</v>
          </cell>
        </row>
        <row r="3783">
          <cell r="A3783"/>
          <cell r="B3783"/>
          <cell r="C3783"/>
          <cell r="D3783"/>
          <cell r="E3783"/>
          <cell r="L3783" t="e">
            <v>#DIV/0!</v>
          </cell>
          <cell r="M3783">
            <v>0</v>
          </cell>
        </row>
        <row r="3784">
          <cell r="A3784"/>
          <cell r="B3784"/>
          <cell r="C3784"/>
          <cell r="D3784"/>
          <cell r="E3784"/>
          <cell r="L3784" t="e">
            <v>#DIV/0!</v>
          </cell>
          <cell r="M3784">
            <v>0</v>
          </cell>
        </row>
        <row r="3785">
          <cell r="A3785"/>
          <cell r="B3785"/>
          <cell r="C3785"/>
          <cell r="D3785"/>
          <cell r="E3785"/>
          <cell r="L3785" t="e">
            <v>#DIV/0!</v>
          </cell>
          <cell r="M3785">
            <v>0</v>
          </cell>
        </row>
        <row r="3786">
          <cell r="A3786"/>
          <cell r="B3786"/>
          <cell r="C3786"/>
          <cell r="D3786"/>
          <cell r="E3786"/>
          <cell r="L3786" t="e">
            <v>#DIV/0!</v>
          </cell>
          <cell r="M3786">
            <v>0</v>
          </cell>
        </row>
        <row r="3787">
          <cell r="A3787"/>
          <cell r="B3787"/>
          <cell r="C3787"/>
          <cell r="D3787"/>
          <cell r="E3787"/>
          <cell r="L3787" t="e">
            <v>#DIV/0!</v>
          </cell>
          <cell r="M3787">
            <v>0</v>
          </cell>
        </row>
        <row r="3788">
          <cell r="A3788"/>
          <cell r="B3788"/>
          <cell r="C3788"/>
          <cell r="D3788"/>
          <cell r="E3788"/>
          <cell r="L3788" t="e">
            <v>#DIV/0!</v>
          </cell>
          <cell r="M3788">
            <v>0</v>
          </cell>
        </row>
        <row r="3789">
          <cell r="A3789"/>
          <cell r="B3789"/>
          <cell r="C3789"/>
          <cell r="D3789"/>
          <cell r="E3789"/>
          <cell r="L3789" t="e">
            <v>#DIV/0!</v>
          </cell>
          <cell r="M3789">
            <v>0</v>
          </cell>
        </row>
        <row r="3790">
          <cell r="A3790"/>
          <cell r="B3790"/>
          <cell r="C3790"/>
          <cell r="D3790"/>
          <cell r="E3790"/>
          <cell r="L3790" t="e">
            <v>#DIV/0!</v>
          </cell>
          <cell r="M3790">
            <v>0</v>
          </cell>
        </row>
        <row r="3791">
          <cell r="A3791"/>
          <cell r="B3791"/>
          <cell r="C3791"/>
          <cell r="D3791"/>
          <cell r="E3791"/>
          <cell r="L3791" t="e">
            <v>#DIV/0!</v>
          </cell>
          <cell r="M3791">
            <v>0</v>
          </cell>
        </row>
        <row r="3792">
          <cell r="A3792"/>
          <cell r="B3792"/>
          <cell r="C3792"/>
          <cell r="D3792"/>
          <cell r="E3792"/>
          <cell r="L3792" t="e">
            <v>#DIV/0!</v>
          </cell>
          <cell r="M3792">
            <v>0</v>
          </cell>
        </row>
        <row r="3793">
          <cell r="A3793"/>
          <cell r="B3793"/>
          <cell r="C3793"/>
          <cell r="D3793"/>
          <cell r="E3793"/>
          <cell r="L3793" t="e">
            <v>#DIV/0!</v>
          </cell>
          <cell r="M3793">
            <v>0</v>
          </cell>
        </row>
        <row r="3794">
          <cell r="A3794"/>
          <cell r="B3794"/>
          <cell r="C3794"/>
          <cell r="D3794"/>
          <cell r="E3794"/>
          <cell r="L3794" t="e">
            <v>#DIV/0!</v>
          </cell>
          <cell r="M3794">
            <v>0</v>
          </cell>
        </row>
        <row r="3795">
          <cell r="A3795"/>
          <cell r="B3795"/>
          <cell r="C3795"/>
          <cell r="D3795"/>
          <cell r="E3795"/>
          <cell r="L3795" t="e">
            <v>#DIV/0!</v>
          </cell>
          <cell r="M3795">
            <v>0</v>
          </cell>
        </row>
        <row r="3796">
          <cell r="A3796"/>
          <cell r="B3796"/>
          <cell r="C3796"/>
          <cell r="D3796"/>
          <cell r="E3796"/>
          <cell r="L3796" t="e">
            <v>#DIV/0!</v>
          </cell>
          <cell r="M3796">
            <v>0</v>
          </cell>
        </row>
        <row r="3797">
          <cell r="A3797"/>
          <cell r="B3797"/>
          <cell r="C3797"/>
          <cell r="D3797"/>
          <cell r="E3797"/>
          <cell r="L3797" t="e">
            <v>#DIV/0!</v>
          </cell>
          <cell r="M3797">
            <v>0</v>
          </cell>
        </row>
        <row r="3798">
          <cell r="A3798"/>
          <cell r="B3798"/>
          <cell r="C3798"/>
          <cell r="D3798"/>
          <cell r="E3798"/>
          <cell r="L3798" t="e">
            <v>#DIV/0!</v>
          </cell>
          <cell r="M3798">
            <v>0</v>
          </cell>
        </row>
        <row r="3799">
          <cell r="A3799"/>
          <cell r="B3799"/>
          <cell r="C3799"/>
          <cell r="D3799"/>
          <cell r="E3799"/>
          <cell r="L3799" t="e">
            <v>#DIV/0!</v>
          </cell>
          <cell r="M3799">
            <v>0</v>
          </cell>
        </row>
        <row r="3800">
          <cell r="A3800"/>
          <cell r="B3800"/>
          <cell r="C3800"/>
          <cell r="D3800"/>
          <cell r="E3800"/>
          <cell r="L3800" t="e">
            <v>#DIV/0!</v>
          </cell>
          <cell r="M3800">
            <v>0</v>
          </cell>
        </row>
        <row r="3801">
          <cell r="A3801"/>
          <cell r="B3801"/>
          <cell r="C3801"/>
          <cell r="D3801"/>
          <cell r="E3801"/>
          <cell r="L3801" t="e">
            <v>#DIV/0!</v>
          </cell>
          <cell r="M3801">
            <v>0</v>
          </cell>
        </row>
        <row r="3802">
          <cell r="A3802"/>
          <cell r="B3802"/>
          <cell r="C3802"/>
          <cell r="D3802"/>
          <cell r="E3802"/>
          <cell r="L3802" t="e">
            <v>#DIV/0!</v>
          </cell>
          <cell r="M3802">
            <v>0</v>
          </cell>
        </row>
        <row r="3803">
          <cell r="A3803"/>
          <cell r="B3803"/>
          <cell r="C3803"/>
          <cell r="D3803"/>
          <cell r="E3803"/>
          <cell r="L3803" t="e">
            <v>#DIV/0!</v>
          </cell>
          <cell r="M3803">
            <v>0</v>
          </cell>
        </row>
        <row r="3804">
          <cell r="A3804"/>
          <cell r="B3804"/>
          <cell r="C3804"/>
          <cell r="D3804"/>
          <cell r="E3804"/>
          <cell r="L3804" t="e">
            <v>#DIV/0!</v>
          </cell>
          <cell r="M3804">
            <v>0</v>
          </cell>
        </row>
        <row r="3805">
          <cell r="A3805"/>
          <cell r="B3805"/>
          <cell r="C3805"/>
          <cell r="D3805"/>
          <cell r="E3805"/>
          <cell r="L3805" t="e">
            <v>#DIV/0!</v>
          </cell>
          <cell r="M3805">
            <v>0</v>
          </cell>
        </row>
        <row r="3806">
          <cell r="A3806"/>
          <cell r="B3806"/>
          <cell r="C3806"/>
          <cell r="D3806"/>
          <cell r="E3806"/>
          <cell r="L3806" t="e">
            <v>#DIV/0!</v>
          </cell>
          <cell r="M3806">
            <v>0</v>
          </cell>
        </row>
        <row r="3807">
          <cell r="A3807"/>
          <cell r="B3807"/>
          <cell r="C3807"/>
          <cell r="D3807"/>
          <cell r="E3807"/>
          <cell r="L3807" t="e">
            <v>#DIV/0!</v>
          </cell>
          <cell r="M3807">
            <v>0</v>
          </cell>
        </row>
        <row r="3808">
          <cell r="A3808"/>
          <cell r="B3808"/>
          <cell r="C3808"/>
          <cell r="D3808"/>
          <cell r="E3808"/>
          <cell r="L3808" t="e">
            <v>#DIV/0!</v>
          </cell>
          <cell r="M3808">
            <v>0</v>
          </cell>
        </row>
        <row r="3809">
          <cell r="A3809"/>
          <cell r="B3809"/>
          <cell r="C3809"/>
          <cell r="D3809"/>
          <cell r="E3809"/>
          <cell r="L3809" t="e">
            <v>#DIV/0!</v>
          </cell>
          <cell r="M3809">
            <v>0</v>
          </cell>
        </row>
        <row r="3810">
          <cell r="A3810"/>
          <cell r="B3810"/>
          <cell r="C3810"/>
          <cell r="D3810"/>
          <cell r="E3810"/>
          <cell r="L3810" t="e">
            <v>#DIV/0!</v>
          </cell>
          <cell r="M3810">
            <v>0</v>
          </cell>
        </row>
        <row r="3811">
          <cell r="A3811"/>
          <cell r="B3811"/>
          <cell r="C3811"/>
          <cell r="D3811"/>
          <cell r="E3811"/>
          <cell r="L3811" t="e">
            <v>#DIV/0!</v>
          </cell>
          <cell r="M3811">
            <v>0</v>
          </cell>
        </row>
        <row r="3812">
          <cell r="A3812"/>
          <cell r="B3812"/>
          <cell r="C3812"/>
          <cell r="D3812"/>
          <cell r="E3812"/>
          <cell r="L3812" t="e">
            <v>#DIV/0!</v>
          </cell>
          <cell r="M3812">
            <v>0</v>
          </cell>
        </row>
        <row r="3813">
          <cell r="A3813"/>
          <cell r="B3813"/>
          <cell r="C3813"/>
          <cell r="D3813"/>
          <cell r="E3813"/>
          <cell r="L3813" t="e">
            <v>#DIV/0!</v>
          </cell>
          <cell r="M3813">
            <v>0</v>
          </cell>
        </row>
        <row r="3814">
          <cell r="A3814"/>
          <cell r="B3814"/>
          <cell r="C3814"/>
          <cell r="D3814"/>
          <cell r="E3814"/>
          <cell r="L3814" t="e">
            <v>#DIV/0!</v>
          </cell>
          <cell r="M3814">
            <v>0</v>
          </cell>
        </row>
        <row r="3815">
          <cell r="A3815"/>
          <cell r="B3815"/>
          <cell r="C3815"/>
          <cell r="D3815"/>
          <cell r="E3815"/>
          <cell r="L3815" t="e">
            <v>#DIV/0!</v>
          </cell>
          <cell r="M3815">
            <v>0</v>
          </cell>
        </row>
        <row r="3816">
          <cell r="A3816"/>
          <cell r="B3816"/>
          <cell r="C3816"/>
          <cell r="D3816"/>
          <cell r="E3816"/>
          <cell r="L3816" t="e">
            <v>#DIV/0!</v>
          </cell>
          <cell r="M3816">
            <v>0</v>
          </cell>
        </row>
        <row r="3817">
          <cell r="A3817"/>
          <cell r="B3817"/>
          <cell r="C3817"/>
          <cell r="D3817"/>
          <cell r="E3817"/>
          <cell r="L3817" t="e">
            <v>#DIV/0!</v>
          </cell>
          <cell r="M3817">
            <v>0</v>
          </cell>
        </row>
        <row r="3818">
          <cell r="A3818"/>
          <cell r="B3818"/>
          <cell r="C3818"/>
          <cell r="D3818"/>
          <cell r="E3818"/>
          <cell r="L3818" t="e">
            <v>#DIV/0!</v>
          </cell>
          <cell r="M3818">
            <v>0</v>
          </cell>
        </row>
        <row r="3819">
          <cell r="A3819"/>
          <cell r="B3819"/>
          <cell r="C3819"/>
          <cell r="D3819"/>
          <cell r="E3819"/>
          <cell r="L3819" t="e">
            <v>#DIV/0!</v>
          </cell>
          <cell r="M3819">
            <v>0</v>
          </cell>
        </row>
        <row r="3820">
          <cell r="A3820"/>
          <cell r="B3820"/>
          <cell r="C3820"/>
          <cell r="D3820"/>
          <cell r="E3820"/>
          <cell r="L3820" t="e">
            <v>#DIV/0!</v>
          </cell>
          <cell r="M3820">
            <v>0</v>
          </cell>
        </row>
        <row r="3821">
          <cell r="A3821"/>
          <cell r="B3821"/>
          <cell r="C3821"/>
          <cell r="D3821"/>
          <cell r="E3821"/>
          <cell r="L3821" t="e">
            <v>#DIV/0!</v>
          </cell>
          <cell r="M3821">
            <v>0</v>
          </cell>
        </row>
        <row r="3822">
          <cell r="A3822"/>
          <cell r="B3822"/>
          <cell r="C3822"/>
          <cell r="D3822"/>
          <cell r="E3822"/>
          <cell r="L3822" t="e">
            <v>#DIV/0!</v>
          </cell>
          <cell r="M3822">
            <v>0</v>
          </cell>
        </row>
        <row r="3823">
          <cell r="A3823"/>
          <cell r="B3823"/>
          <cell r="C3823"/>
          <cell r="D3823"/>
          <cell r="E3823"/>
          <cell r="L3823" t="e">
            <v>#DIV/0!</v>
          </cell>
          <cell r="M3823">
            <v>0</v>
          </cell>
        </row>
        <row r="3824">
          <cell r="A3824"/>
          <cell r="B3824"/>
          <cell r="C3824"/>
          <cell r="D3824"/>
          <cell r="E3824"/>
          <cell r="L3824" t="e">
            <v>#DIV/0!</v>
          </cell>
          <cell r="M3824">
            <v>0</v>
          </cell>
        </row>
        <row r="3825">
          <cell r="A3825"/>
          <cell r="B3825"/>
          <cell r="C3825"/>
          <cell r="D3825"/>
          <cell r="E3825"/>
          <cell r="L3825" t="e">
            <v>#DIV/0!</v>
          </cell>
          <cell r="M3825">
            <v>0</v>
          </cell>
        </row>
        <row r="3826">
          <cell r="A3826"/>
          <cell r="B3826"/>
          <cell r="C3826"/>
          <cell r="D3826"/>
          <cell r="E3826"/>
          <cell r="L3826" t="e">
            <v>#DIV/0!</v>
          </cell>
          <cell r="M3826">
            <v>0</v>
          </cell>
        </row>
        <row r="3827">
          <cell r="A3827"/>
          <cell r="B3827"/>
          <cell r="C3827"/>
          <cell r="D3827"/>
          <cell r="E3827"/>
          <cell r="L3827" t="e">
            <v>#DIV/0!</v>
          </cell>
          <cell r="M3827">
            <v>0</v>
          </cell>
        </row>
        <row r="3828">
          <cell r="A3828"/>
          <cell r="B3828"/>
          <cell r="C3828"/>
          <cell r="D3828"/>
          <cell r="E3828"/>
          <cell r="L3828" t="e">
            <v>#DIV/0!</v>
          </cell>
          <cell r="M3828">
            <v>0</v>
          </cell>
        </row>
        <row r="3829">
          <cell r="A3829"/>
          <cell r="B3829"/>
          <cell r="C3829"/>
          <cell r="D3829"/>
          <cell r="E3829"/>
          <cell r="L3829" t="e">
            <v>#DIV/0!</v>
          </cell>
          <cell r="M3829">
            <v>0</v>
          </cell>
        </row>
        <row r="3830">
          <cell r="A3830"/>
          <cell r="B3830"/>
          <cell r="C3830"/>
          <cell r="D3830"/>
          <cell r="E3830"/>
          <cell r="L3830" t="e">
            <v>#DIV/0!</v>
          </cell>
          <cell r="M3830">
            <v>0</v>
          </cell>
        </row>
        <row r="3831">
          <cell r="A3831"/>
          <cell r="B3831"/>
          <cell r="C3831"/>
          <cell r="D3831"/>
          <cell r="E3831"/>
          <cell r="L3831" t="e">
            <v>#DIV/0!</v>
          </cell>
          <cell r="M3831">
            <v>0</v>
          </cell>
        </row>
        <row r="3832">
          <cell r="A3832"/>
          <cell r="B3832"/>
          <cell r="C3832"/>
          <cell r="D3832"/>
          <cell r="E3832"/>
          <cell r="L3832" t="e">
            <v>#DIV/0!</v>
          </cell>
          <cell r="M3832">
            <v>0</v>
          </cell>
        </row>
        <row r="3833">
          <cell r="A3833"/>
          <cell r="B3833"/>
          <cell r="C3833"/>
          <cell r="D3833"/>
          <cell r="E3833"/>
          <cell r="L3833" t="e">
            <v>#DIV/0!</v>
          </cell>
          <cell r="M3833">
            <v>0</v>
          </cell>
        </row>
        <row r="3834">
          <cell r="A3834"/>
          <cell r="B3834"/>
          <cell r="C3834"/>
          <cell r="D3834"/>
          <cell r="E3834"/>
          <cell r="L3834" t="e">
            <v>#DIV/0!</v>
          </cell>
          <cell r="M3834">
            <v>0</v>
          </cell>
        </row>
        <row r="3835">
          <cell r="A3835"/>
          <cell r="B3835"/>
          <cell r="C3835"/>
          <cell r="D3835"/>
          <cell r="E3835"/>
          <cell r="L3835" t="e">
            <v>#DIV/0!</v>
          </cell>
          <cell r="M3835">
            <v>0</v>
          </cell>
        </row>
        <row r="3836">
          <cell r="A3836"/>
          <cell r="B3836"/>
          <cell r="C3836"/>
          <cell r="D3836"/>
          <cell r="E3836"/>
          <cell r="L3836" t="e">
            <v>#DIV/0!</v>
          </cell>
          <cell r="M3836">
            <v>0</v>
          </cell>
        </row>
        <row r="3837">
          <cell r="A3837"/>
          <cell r="B3837"/>
          <cell r="C3837"/>
          <cell r="D3837"/>
          <cell r="E3837"/>
          <cell r="L3837" t="e">
            <v>#DIV/0!</v>
          </cell>
          <cell r="M3837">
            <v>0</v>
          </cell>
        </row>
        <row r="3838">
          <cell r="A3838"/>
          <cell r="B3838"/>
          <cell r="C3838"/>
          <cell r="D3838"/>
          <cell r="E3838"/>
          <cell r="L3838" t="e">
            <v>#DIV/0!</v>
          </cell>
          <cell r="M3838">
            <v>0</v>
          </cell>
        </row>
        <row r="3839">
          <cell r="A3839"/>
          <cell r="B3839"/>
          <cell r="C3839"/>
          <cell r="D3839"/>
          <cell r="E3839"/>
          <cell r="L3839" t="e">
            <v>#DIV/0!</v>
          </cell>
          <cell r="M3839">
            <v>0</v>
          </cell>
        </row>
        <row r="3840">
          <cell r="A3840"/>
          <cell r="B3840"/>
          <cell r="C3840"/>
          <cell r="D3840"/>
          <cell r="E3840"/>
          <cell r="L3840" t="e">
            <v>#DIV/0!</v>
          </cell>
          <cell r="M3840">
            <v>0</v>
          </cell>
        </row>
        <row r="3841">
          <cell r="A3841"/>
          <cell r="B3841"/>
          <cell r="C3841"/>
          <cell r="D3841"/>
          <cell r="E3841"/>
          <cell r="L3841" t="e">
            <v>#DIV/0!</v>
          </cell>
          <cell r="M3841">
            <v>0</v>
          </cell>
        </row>
        <row r="3842">
          <cell r="A3842"/>
          <cell r="B3842"/>
          <cell r="C3842"/>
          <cell r="D3842"/>
          <cell r="E3842"/>
          <cell r="L3842" t="e">
            <v>#DIV/0!</v>
          </cell>
          <cell r="M3842">
            <v>0</v>
          </cell>
        </row>
        <row r="3843">
          <cell r="A3843"/>
          <cell r="B3843"/>
          <cell r="C3843"/>
          <cell r="D3843"/>
          <cell r="E3843"/>
          <cell r="L3843" t="e">
            <v>#DIV/0!</v>
          </cell>
          <cell r="M3843">
            <v>0</v>
          </cell>
        </row>
        <row r="3844">
          <cell r="A3844"/>
          <cell r="B3844"/>
          <cell r="C3844"/>
          <cell r="D3844"/>
          <cell r="E3844"/>
          <cell r="L3844" t="e">
            <v>#DIV/0!</v>
          </cell>
          <cell r="M3844">
            <v>0</v>
          </cell>
        </row>
        <row r="3845">
          <cell r="A3845"/>
          <cell r="B3845"/>
          <cell r="C3845"/>
          <cell r="D3845"/>
          <cell r="E3845"/>
          <cell r="L3845" t="e">
            <v>#DIV/0!</v>
          </cell>
          <cell r="M3845">
            <v>0</v>
          </cell>
        </row>
        <row r="3846">
          <cell r="A3846"/>
          <cell r="B3846"/>
          <cell r="C3846"/>
          <cell r="D3846"/>
          <cell r="E3846"/>
          <cell r="L3846" t="e">
            <v>#DIV/0!</v>
          </cell>
          <cell r="M3846">
            <v>0</v>
          </cell>
        </row>
        <row r="3847">
          <cell r="A3847"/>
          <cell r="B3847"/>
          <cell r="C3847"/>
          <cell r="D3847"/>
          <cell r="E3847"/>
          <cell r="L3847" t="e">
            <v>#DIV/0!</v>
          </cell>
          <cell r="M3847">
            <v>0</v>
          </cell>
        </row>
        <row r="3848">
          <cell r="A3848"/>
          <cell r="B3848"/>
          <cell r="C3848"/>
          <cell r="D3848"/>
          <cell r="E3848"/>
          <cell r="L3848" t="e">
            <v>#DIV/0!</v>
          </cell>
          <cell r="M3848">
            <v>0</v>
          </cell>
        </row>
        <row r="3849">
          <cell r="A3849"/>
          <cell r="B3849"/>
          <cell r="C3849"/>
          <cell r="D3849"/>
          <cell r="E3849"/>
          <cell r="L3849" t="e">
            <v>#DIV/0!</v>
          </cell>
          <cell r="M3849">
            <v>0</v>
          </cell>
        </row>
        <row r="3850">
          <cell r="A3850"/>
          <cell r="B3850"/>
          <cell r="C3850"/>
          <cell r="D3850"/>
          <cell r="E3850"/>
          <cell r="L3850" t="e">
            <v>#DIV/0!</v>
          </cell>
          <cell r="M3850">
            <v>0</v>
          </cell>
        </row>
        <row r="3851">
          <cell r="A3851"/>
          <cell r="B3851"/>
          <cell r="C3851"/>
          <cell r="D3851"/>
          <cell r="E3851"/>
          <cell r="L3851" t="e">
            <v>#DIV/0!</v>
          </cell>
          <cell r="M3851">
            <v>0</v>
          </cell>
        </row>
        <row r="3852">
          <cell r="A3852"/>
          <cell r="B3852"/>
          <cell r="C3852"/>
          <cell r="D3852"/>
          <cell r="E3852"/>
          <cell r="L3852" t="e">
            <v>#DIV/0!</v>
          </cell>
          <cell r="M3852">
            <v>0</v>
          </cell>
        </row>
        <row r="3853">
          <cell r="A3853"/>
          <cell r="B3853"/>
          <cell r="C3853"/>
          <cell r="D3853"/>
          <cell r="E3853"/>
          <cell r="L3853" t="e">
            <v>#DIV/0!</v>
          </cell>
          <cell r="M3853">
            <v>0</v>
          </cell>
        </row>
        <row r="3854">
          <cell r="A3854"/>
          <cell r="B3854"/>
          <cell r="C3854"/>
          <cell r="D3854"/>
          <cell r="E3854"/>
          <cell r="L3854" t="e">
            <v>#DIV/0!</v>
          </cell>
          <cell r="M3854">
            <v>0</v>
          </cell>
        </row>
        <row r="3855">
          <cell r="A3855"/>
          <cell r="B3855"/>
          <cell r="C3855"/>
          <cell r="D3855"/>
          <cell r="E3855"/>
          <cell r="L3855" t="e">
            <v>#DIV/0!</v>
          </cell>
          <cell r="M3855">
            <v>0</v>
          </cell>
        </row>
        <row r="3856">
          <cell r="A3856"/>
          <cell r="B3856"/>
          <cell r="C3856"/>
          <cell r="D3856"/>
          <cell r="E3856"/>
          <cell r="L3856" t="e">
            <v>#DIV/0!</v>
          </cell>
          <cell r="M3856">
            <v>0</v>
          </cell>
        </row>
        <row r="3857">
          <cell r="A3857"/>
          <cell r="B3857"/>
          <cell r="C3857"/>
          <cell r="D3857"/>
          <cell r="E3857"/>
          <cell r="L3857" t="e">
            <v>#DIV/0!</v>
          </cell>
          <cell r="M3857">
            <v>0</v>
          </cell>
        </row>
        <row r="3858">
          <cell r="A3858"/>
          <cell r="B3858"/>
          <cell r="C3858"/>
          <cell r="D3858"/>
          <cell r="E3858"/>
          <cell r="L3858" t="e">
            <v>#DIV/0!</v>
          </cell>
          <cell r="M3858">
            <v>0</v>
          </cell>
        </row>
        <row r="3859">
          <cell r="A3859"/>
          <cell r="B3859"/>
          <cell r="C3859"/>
          <cell r="D3859"/>
          <cell r="E3859"/>
          <cell r="L3859" t="e">
            <v>#DIV/0!</v>
          </cell>
          <cell r="M3859">
            <v>0</v>
          </cell>
        </row>
        <row r="3860">
          <cell r="A3860"/>
          <cell r="B3860"/>
          <cell r="C3860"/>
          <cell r="D3860"/>
          <cell r="E3860"/>
          <cell r="L3860" t="e">
            <v>#DIV/0!</v>
          </cell>
          <cell r="M3860">
            <v>0</v>
          </cell>
        </row>
        <row r="3861">
          <cell r="A3861"/>
          <cell r="B3861"/>
          <cell r="C3861"/>
          <cell r="D3861"/>
          <cell r="E3861"/>
          <cell r="L3861" t="e">
            <v>#DIV/0!</v>
          </cell>
          <cell r="M3861">
            <v>0</v>
          </cell>
        </row>
        <row r="3862">
          <cell r="A3862"/>
          <cell r="B3862"/>
          <cell r="C3862"/>
          <cell r="D3862"/>
          <cell r="E3862"/>
          <cell r="L3862" t="e">
            <v>#DIV/0!</v>
          </cell>
          <cell r="M3862">
            <v>0</v>
          </cell>
        </row>
        <row r="3863">
          <cell r="A3863"/>
          <cell r="B3863"/>
          <cell r="C3863"/>
          <cell r="D3863"/>
          <cell r="E3863"/>
          <cell r="L3863" t="e">
            <v>#DIV/0!</v>
          </cell>
          <cell r="M3863">
            <v>0</v>
          </cell>
        </row>
        <row r="3864">
          <cell r="A3864"/>
          <cell r="B3864"/>
          <cell r="C3864"/>
          <cell r="D3864"/>
          <cell r="E3864"/>
          <cell r="L3864" t="e">
            <v>#DIV/0!</v>
          </cell>
          <cell r="M3864">
            <v>0</v>
          </cell>
        </row>
        <row r="3865">
          <cell r="A3865"/>
          <cell r="B3865"/>
          <cell r="C3865"/>
          <cell r="D3865"/>
          <cell r="E3865"/>
          <cell r="L3865" t="e">
            <v>#DIV/0!</v>
          </cell>
          <cell r="M3865">
            <v>0</v>
          </cell>
        </row>
        <row r="3866">
          <cell r="A3866"/>
          <cell r="B3866"/>
          <cell r="C3866"/>
          <cell r="D3866"/>
          <cell r="E3866"/>
          <cell r="L3866" t="e">
            <v>#DIV/0!</v>
          </cell>
          <cell r="M3866">
            <v>0</v>
          </cell>
        </row>
        <row r="3867">
          <cell r="A3867"/>
          <cell r="B3867"/>
          <cell r="C3867"/>
          <cell r="D3867"/>
          <cell r="E3867"/>
          <cell r="L3867" t="e">
            <v>#DIV/0!</v>
          </cell>
          <cell r="M3867">
            <v>0</v>
          </cell>
        </row>
        <row r="3868">
          <cell r="A3868"/>
          <cell r="B3868"/>
          <cell r="C3868"/>
          <cell r="D3868"/>
          <cell r="E3868"/>
          <cell r="L3868" t="e">
            <v>#DIV/0!</v>
          </cell>
          <cell r="M3868">
            <v>0</v>
          </cell>
        </row>
        <row r="3869">
          <cell r="A3869"/>
          <cell r="B3869"/>
          <cell r="C3869"/>
          <cell r="D3869"/>
          <cell r="E3869"/>
          <cell r="L3869" t="e">
            <v>#DIV/0!</v>
          </cell>
          <cell r="M3869">
            <v>0</v>
          </cell>
        </row>
        <row r="3870">
          <cell r="A3870"/>
          <cell r="B3870"/>
          <cell r="C3870"/>
          <cell r="D3870"/>
          <cell r="E3870"/>
          <cell r="L3870" t="e">
            <v>#DIV/0!</v>
          </cell>
          <cell r="M3870">
            <v>0</v>
          </cell>
        </row>
        <row r="3871">
          <cell r="A3871"/>
          <cell r="B3871"/>
          <cell r="C3871"/>
          <cell r="D3871"/>
          <cell r="E3871"/>
          <cell r="L3871" t="e">
            <v>#DIV/0!</v>
          </cell>
          <cell r="M3871">
            <v>0</v>
          </cell>
        </row>
        <row r="3872">
          <cell r="A3872"/>
          <cell r="B3872"/>
          <cell r="C3872"/>
          <cell r="D3872"/>
          <cell r="E3872"/>
          <cell r="L3872" t="e">
            <v>#DIV/0!</v>
          </cell>
          <cell r="M3872">
            <v>0</v>
          </cell>
        </row>
        <row r="3873">
          <cell r="A3873"/>
          <cell r="B3873"/>
          <cell r="C3873"/>
          <cell r="D3873"/>
          <cell r="E3873"/>
          <cell r="L3873" t="e">
            <v>#DIV/0!</v>
          </cell>
          <cell r="M3873">
            <v>0</v>
          </cell>
        </row>
        <row r="3874">
          <cell r="A3874"/>
          <cell r="B3874"/>
          <cell r="C3874"/>
          <cell r="D3874"/>
          <cell r="E3874"/>
          <cell r="L3874" t="e">
            <v>#DIV/0!</v>
          </cell>
          <cell r="M3874">
            <v>0</v>
          </cell>
        </row>
        <row r="3875">
          <cell r="A3875"/>
          <cell r="B3875"/>
          <cell r="C3875"/>
          <cell r="D3875"/>
          <cell r="E3875"/>
          <cell r="L3875" t="e">
            <v>#DIV/0!</v>
          </cell>
          <cell r="M3875">
            <v>0</v>
          </cell>
        </row>
        <row r="3876">
          <cell r="A3876"/>
          <cell r="B3876"/>
          <cell r="C3876"/>
          <cell r="D3876"/>
          <cell r="E3876"/>
          <cell r="L3876" t="e">
            <v>#DIV/0!</v>
          </cell>
          <cell r="M3876">
            <v>0</v>
          </cell>
        </row>
        <row r="3877">
          <cell r="A3877"/>
          <cell r="B3877"/>
          <cell r="C3877"/>
          <cell r="D3877"/>
          <cell r="E3877"/>
          <cell r="L3877" t="e">
            <v>#DIV/0!</v>
          </cell>
          <cell r="M3877">
            <v>0</v>
          </cell>
        </row>
        <row r="3878">
          <cell r="A3878"/>
          <cell r="B3878"/>
          <cell r="C3878"/>
          <cell r="D3878"/>
          <cell r="E3878"/>
          <cell r="L3878" t="e">
            <v>#DIV/0!</v>
          </cell>
          <cell r="M3878">
            <v>0</v>
          </cell>
        </row>
        <row r="3879">
          <cell r="A3879"/>
          <cell r="B3879"/>
          <cell r="C3879"/>
          <cell r="D3879"/>
          <cell r="E3879"/>
          <cell r="L3879" t="e">
            <v>#DIV/0!</v>
          </cell>
          <cell r="M3879">
            <v>0</v>
          </cell>
        </row>
        <row r="3880">
          <cell r="A3880"/>
          <cell r="B3880"/>
          <cell r="C3880"/>
          <cell r="D3880"/>
          <cell r="E3880"/>
          <cell r="L3880" t="e">
            <v>#DIV/0!</v>
          </cell>
          <cell r="M3880">
            <v>0</v>
          </cell>
        </row>
        <row r="3881">
          <cell r="A3881"/>
          <cell r="B3881"/>
          <cell r="C3881"/>
          <cell r="D3881"/>
          <cell r="E3881"/>
          <cell r="L3881" t="e">
            <v>#DIV/0!</v>
          </cell>
          <cell r="M3881">
            <v>0</v>
          </cell>
        </row>
        <row r="3882">
          <cell r="A3882"/>
          <cell r="B3882"/>
          <cell r="C3882"/>
          <cell r="D3882"/>
          <cell r="E3882"/>
          <cell r="L3882" t="e">
            <v>#DIV/0!</v>
          </cell>
          <cell r="M3882">
            <v>0</v>
          </cell>
        </row>
        <row r="3883">
          <cell r="A3883"/>
          <cell r="B3883"/>
          <cell r="C3883"/>
          <cell r="D3883"/>
          <cell r="E3883"/>
          <cell r="L3883" t="e">
            <v>#DIV/0!</v>
          </cell>
          <cell r="M3883">
            <v>0</v>
          </cell>
        </row>
        <row r="3884">
          <cell r="A3884"/>
          <cell r="B3884"/>
          <cell r="C3884"/>
          <cell r="D3884"/>
          <cell r="E3884"/>
          <cell r="L3884" t="e">
            <v>#DIV/0!</v>
          </cell>
          <cell r="M3884">
            <v>0</v>
          </cell>
        </row>
        <row r="3885">
          <cell r="A3885"/>
          <cell r="B3885"/>
          <cell r="C3885"/>
          <cell r="D3885"/>
          <cell r="E3885"/>
          <cell r="L3885" t="e">
            <v>#DIV/0!</v>
          </cell>
          <cell r="M3885">
            <v>0</v>
          </cell>
        </row>
        <row r="3886">
          <cell r="A3886"/>
          <cell r="B3886"/>
          <cell r="C3886"/>
          <cell r="D3886"/>
          <cell r="E3886"/>
          <cell r="L3886" t="e">
            <v>#DIV/0!</v>
          </cell>
          <cell r="M3886">
            <v>0</v>
          </cell>
        </row>
        <row r="3887">
          <cell r="A3887"/>
          <cell r="B3887"/>
          <cell r="C3887"/>
          <cell r="D3887"/>
          <cell r="E3887"/>
          <cell r="L3887" t="e">
            <v>#DIV/0!</v>
          </cell>
          <cell r="M3887">
            <v>0</v>
          </cell>
        </row>
        <row r="3888">
          <cell r="A3888"/>
          <cell r="B3888"/>
          <cell r="C3888"/>
          <cell r="D3888"/>
          <cell r="E3888"/>
          <cell r="L3888" t="e">
            <v>#DIV/0!</v>
          </cell>
          <cell r="M3888">
            <v>0</v>
          </cell>
        </row>
        <row r="3889">
          <cell r="A3889"/>
          <cell r="B3889"/>
          <cell r="C3889"/>
          <cell r="D3889"/>
          <cell r="E3889"/>
          <cell r="L3889" t="e">
            <v>#DIV/0!</v>
          </cell>
          <cell r="M3889">
            <v>0</v>
          </cell>
        </row>
        <row r="3890">
          <cell r="A3890"/>
          <cell r="B3890"/>
          <cell r="C3890"/>
          <cell r="D3890"/>
          <cell r="E3890"/>
          <cell r="L3890" t="e">
            <v>#DIV/0!</v>
          </cell>
          <cell r="M3890">
            <v>0</v>
          </cell>
        </row>
        <row r="3891">
          <cell r="A3891"/>
          <cell r="B3891"/>
          <cell r="C3891"/>
          <cell r="D3891"/>
          <cell r="E3891"/>
          <cell r="L3891" t="e">
            <v>#DIV/0!</v>
          </cell>
          <cell r="M3891">
            <v>0</v>
          </cell>
        </row>
        <row r="3892">
          <cell r="A3892"/>
          <cell r="B3892"/>
          <cell r="C3892"/>
          <cell r="D3892"/>
          <cell r="E3892"/>
          <cell r="L3892" t="e">
            <v>#DIV/0!</v>
          </cell>
          <cell r="M3892">
            <v>0</v>
          </cell>
        </row>
        <row r="3893">
          <cell r="A3893"/>
          <cell r="B3893"/>
          <cell r="C3893"/>
          <cell r="D3893"/>
          <cell r="E3893"/>
          <cell r="L3893" t="e">
            <v>#DIV/0!</v>
          </cell>
          <cell r="M3893">
            <v>0</v>
          </cell>
        </row>
        <row r="3894">
          <cell r="A3894"/>
          <cell r="B3894"/>
          <cell r="C3894"/>
          <cell r="D3894"/>
          <cell r="E3894"/>
          <cell r="L3894" t="e">
            <v>#DIV/0!</v>
          </cell>
          <cell r="M3894">
            <v>0</v>
          </cell>
        </row>
        <row r="3895">
          <cell r="A3895"/>
          <cell r="B3895"/>
          <cell r="C3895"/>
          <cell r="D3895"/>
          <cell r="E3895"/>
          <cell r="L3895" t="e">
            <v>#DIV/0!</v>
          </cell>
          <cell r="M3895">
            <v>0</v>
          </cell>
        </row>
        <row r="3896">
          <cell r="A3896"/>
          <cell r="B3896"/>
          <cell r="C3896"/>
          <cell r="D3896"/>
          <cell r="E3896"/>
          <cell r="L3896" t="e">
            <v>#DIV/0!</v>
          </cell>
          <cell r="M3896">
            <v>0</v>
          </cell>
        </row>
        <row r="3897">
          <cell r="A3897"/>
          <cell r="B3897"/>
          <cell r="C3897"/>
          <cell r="D3897"/>
          <cell r="E3897"/>
          <cell r="L3897" t="e">
            <v>#DIV/0!</v>
          </cell>
          <cell r="M3897">
            <v>0</v>
          </cell>
        </row>
        <row r="3898">
          <cell r="A3898"/>
          <cell r="B3898"/>
          <cell r="C3898"/>
          <cell r="D3898"/>
          <cell r="E3898"/>
          <cell r="L3898" t="e">
            <v>#DIV/0!</v>
          </cell>
          <cell r="M3898">
            <v>0</v>
          </cell>
        </row>
        <row r="3899">
          <cell r="A3899"/>
          <cell r="B3899"/>
          <cell r="C3899"/>
          <cell r="D3899"/>
          <cell r="E3899"/>
          <cell r="L3899" t="e">
            <v>#DIV/0!</v>
          </cell>
          <cell r="M3899">
            <v>0</v>
          </cell>
        </row>
        <row r="3900">
          <cell r="A3900"/>
          <cell r="B3900"/>
          <cell r="C3900"/>
          <cell r="D3900"/>
          <cell r="E3900"/>
          <cell r="L3900" t="e">
            <v>#DIV/0!</v>
          </cell>
          <cell r="M3900">
            <v>0</v>
          </cell>
        </row>
        <row r="3901">
          <cell r="A3901"/>
          <cell r="B3901"/>
          <cell r="C3901"/>
          <cell r="D3901"/>
          <cell r="E3901"/>
          <cell r="L3901" t="e">
            <v>#DIV/0!</v>
          </cell>
          <cell r="M3901">
            <v>0</v>
          </cell>
        </row>
        <row r="3902">
          <cell r="A3902"/>
          <cell r="B3902"/>
          <cell r="C3902"/>
          <cell r="D3902"/>
          <cell r="E3902"/>
          <cell r="L3902" t="e">
            <v>#DIV/0!</v>
          </cell>
          <cell r="M3902">
            <v>0</v>
          </cell>
        </row>
        <row r="3903">
          <cell r="A3903"/>
          <cell r="B3903"/>
          <cell r="C3903"/>
          <cell r="D3903"/>
          <cell r="E3903"/>
          <cell r="L3903" t="e">
            <v>#DIV/0!</v>
          </cell>
          <cell r="M3903">
            <v>0</v>
          </cell>
        </row>
        <row r="3904">
          <cell r="A3904"/>
          <cell r="B3904"/>
          <cell r="C3904"/>
          <cell r="D3904"/>
          <cell r="E3904"/>
          <cell r="L3904" t="e">
            <v>#DIV/0!</v>
          </cell>
          <cell r="M3904">
            <v>0</v>
          </cell>
        </row>
        <row r="3905">
          <cell r="A3905"/>
          <cell r="B3905"/>
          <cell r="C3905"/>
          <cell r="D3905"/>
          <cell r="E3905"/>
          <cell r="L3905" t="e">
            <v>#DIV/0!</v>
          </cell>
          <cell r="M3905">
            <v>0</v>
          </cell>
        </row>
        <row r="3906">
          <cell r="A3906"/>
          <cell r="B3906"/>
          <cell r="C3906"/>
          <cell r="D3906"/>
          <cell r="E3906"/>
          <cell r="L3906" t="e">
            <v>#DIV/0!</v>
          </cell>
          <cell r="M3906">
            <v>0</v>
          </cell>
        </row>
        <row r="3907">
          <cell r="A3907"/>
          <cell r="B3907"/>
          <cell r="C3907"/>
          <cell r="D3907"/>
          <cell r="E3907"/>
          <cell r="L3907" t="e">
            <v>#DIV/0!</v>
          </cell>
          <cell r="M3907">
            <v>0</v>
          </cell>
        </row>
        <row r="3908">
          <cell r="A3908"/>
          <cell r="B3908"/>
          <cell r="C3908"/>
          <cell r="D3908"/>
          <cell r="E3908"/>
          <cell r="L3908" t="e">
            <v>#DIV/0!</v>
          </cell>
          <cell r="M3908">
            <v>0</v>
          </cell>
        </row>
        <row r="3909">
          <cell r="A3909"/>
          <cell r="B3909"/>
          <cell r="C3909"/>
          <cell r="D3909"/>
          <cell r="E3909"/>
          <cell r="L3909" t="e">
            <v>#DIV/0!</v>
          </cell>
          <cell r="M3909">
            <v>0</v>
          </cell>
        </row>
        <row r="3910">
          <cell r="A3910"/>
          <cell r="B3910"/>
          <cell r="C3910"/>
          <cell r="D3910"/>
          <cell r="E3910"/>
          <cell r="L3910" t="e">
            <v>#DIV/0!</v>
          </cell>
          <cell r="M3910">
            <v>0</v>
          </cell>
        </row>
        <row r="3911">
          <cell r="A3911"/>
          <cell r="B3911"/>
          <cell r="C3911"/>
          <cell r="D3911"/>
          <cell r="E3911"/>
          <cell r="L3911" t="e">
            <v>#DIV/0!</v>
          </cell>
          <cell r="M3911">
            <v>0</v>
          </cell>
        </row>
        <row r="3912">
          <cell r="A3912"/>
          <cell r="B3912"/>
          <cell r="C3912"/>
          <cell r="D3912"/>
          <cell r="E3912"/>
          <cell r="L3912" t="e">
            <v>#DIV/0!</v>
          </cell>
          <cell r="M3912">
            <v>0</v>
          </cell>
        </row>
        <row r="3913">
          <cell r="A3913"/>
          <cell r="B3913"/>
          <cell r="C3913"/>
          <cell r="D3913"/>
          <cell r="E3913"/>
          <cell r="L3913" t="e">
            <v>#DIV/0!</v>
          </cell>
          <cell r="M3913">
            <v>0</v>
          </cell>
        </row>
        <row r="3914">
          <cell r="A3914"/>
          <cell r="B3914"/>
          <cell r="C3914"/>
          <cell r="D3914"/>
          <cell r="E3914"/>
          <cell r="L3914" t="e">
            <v>#DIV/0!</v>
          </cell>
          <cell r="M3914">
            <v>0</v>
          </cell>
        </row>
        <row r="3915">
          <cell r="A3915"/>
          <cell r="B3915"/>
          <cell r="C3915"/>
          <cell r="D3915"/>
          <cell r="E3915"/>
          <cell r="L3915" t="e">
            <v>#DIV/0!</v>
          </cell>
          <cell r="M3915">
            <v>0</v>
          </cell>
        </row>
        <row r="3916">
          <cell r="A3916"/>
          <cell r="B3916"/>
          <cell r="C3916"/>
          <cell r="D3916"/>
          <cell r="E3916"/>
          <cell r="L3916" t="e">
            <v>#DIV/0!</v>
          </cell>
          <cell r="M3916">
            <v>0</v>
          </cell>
        </row>
        <row r="3917">
          <cell r="A3917"/>
          <cell r="B3917"/>
          <cell r="C3917"/>
          <cell r="D3917"/>
          <cell r="E3917"/>
          <cell r="L3917" t="e">
            <v>#DIV/0!</v>
          </cell>
          <cell r="M3917">
            <v>0</v>
          </cell>
        </row>
        <row r="3918">
          <cell r="A3918"/>
          <cell r="B3918"/>
          <cell r="C3918"/>
          <cell r="D3918"/>
          <cell r="E3918"/>
          <cell r="L3918" t="e">
            <v>#DIV/0!</v>
          </cell>
          <cell r="M3918">
            <v>0</v>
          </cell>
        </row>
        <row r="3919">
          <cell r="A3919"/>
          <cell r="B3919"/>
          <cell r="C3919"/>
          <cell r="D3919"/>
          <cell r="E3919"/>
          <cell r="L3919" t="e">
            <v>#DIV/0!</v>
          </cell>
          <cell r="M3919">
            <v>0</v>
          </cell>
        </row>
        <row r="3920">
          <cell r="A3920"/>
          <cell r="B3920"/>
          <cell r="C3920"/>
          <cell r="D3920"/>
          <cell r="E3920"/>
          <cell r="L3920" t="e">
            <v>#DIV/0!</v>
          </cell>
          <cell r="M3920">
            <v>0</v>
          </cell>
        </row>
        <row r="3921">
          <cell r="A3921"/>
          <cell r="B3921"/>
          <cell r="C3921"/>
          <cell r="D3921"/>
          <cell r="E3921"/>
          <cell r="L3921" t="e">
            <v>#DIV/0!</v>
          </cell>
          <cell r="M3921">
            <v>0</v>
          </cell>
        </row>
        <row r="3922">
          <cell r="A3922"/>
          <cell r="B3922"/>
          <cell r="C3922"/>
          <cell r="D3922"/>
          <cell r="E3922"/>
          <cell r="L3922" t="e">
            <v>#DIV/0!</v>
          </cell>
          <cell r="M3922">
            <v>0</v>
          </cell>
        </row>
        <row r="3923">
          <cell r="A3923"/>
          <cell r="B3923"/>
          <cell r="C3923"/>
          <cell r="D3923"/>
          <cell r="E3923"/>
          <cell r="L3923" t="e">
            <v>#DIV/0!</v>
          </cell>
          <cell r="M3923">
            <v>0</v>
          </cell>
        </row>
        <row r="3924">
          <cell r="A3924"/>
          <cell r="B3924"/>
          <cell r="C3924"/>
          <cell r="D3924"/>
          <cell r="E3924"/>
          <cell r="L3924" t="e">
            <v>#DIV/0!</v>
          </cell>
          <cell r="M3924">
            <v>0</v>
          </cell>
        </row>
        <row r="3925">
          <cell r="A3925"/>
          <cell r="B3925"/>
          <cell r="C3925"/>
          <cell r="D3925"/>
          <cell r="E3925"/>
          <cell r="L3925" t="e">
            <v>#DIV/0!</v>
          </cell>
          <cell r="M3925">
            <v>0</v>
          </cell>
        </row>
        <row r="3926">
          <cell r="A3926"/>
          <cell r="B3926"/>
          <cell r="C3926"/>
          <cell r="D3926"/>
          <cell r="E3926"/>
          <cell r="L3926" t="e">
            <v>#DIV/0!</v>
          </cell>
          <cell r="M3926">
            <v>0</v>
          </cell>
        </row>
        <row r="3927">
          <cell r="A3927"/>
          <cell r="B3927"/>
          <cell r="C3927"/>
          <cell r="D3927"/>
          <cell r="E3927"/>
          <cell r="L3927" t="e">
            <v>#DIV/0!</v>
          </cell>
          <cell r="M3927">
            <v>0</v>
          </cell>
        </row>
        <row r="3928">
          <cell r="A3928"/>
          <cell r="B3928"/>
          <cell r="C3928"/>
          <cell r="D3928"/>
          <cell r="E3928"/>
          <cell r="L3928" t="e">
            <v>#DIV/0!</v>
          </cell>
          <cell r="M3928">
            <v>0</v>
          </cell>
        </row>
        <row r="3929">
          <cell r="A3929"/>
          <cell r="B3929"/>
          <cell r="C3929"/>
          <cell r="D3929"/>
          <cell r="E3929"/>
          <cell r="L3929" t="e">
            <v>#DIV/0!</v>
          </cell>
          <cell r="M3929">
            <v>0</v>
          </cell>
        </row>
        <row r="3930">
          <cell r="A3930"/>
          <cell r="B3930"/>
          <cell r="C3930"/>
          <cell r="D3930"/>
          <cell r="E3930"/>
          <cell r="L3930" t="e">
            <v>#DIV/0!</v>
          </cell>
          <cell r="M3930">
            <v>0</v>
          </cell>
        </row>
        <row r="3931">
          <cell r="A3931"/>
          <cell r="B3931"/>
          <cell r="C3931"/>
          <cell r="D3931"/>
          <cell r="E3931"/>
          <cell r="L3931" t="e">
            <v>#DIV/0!</v>
          </cell>
          <cell r="M3931">
            <v>0</v>
          </cell>
        </row>
        <row r="3932">
          <cell r="A3932"/>
          <cell r="B3932"/>
          <cell r="C3932"/>
          <cell r="D3932"/>
          <cell r="E3932"/>
          <cell r="L3932" t="e">
            <v>#DIV/0!</v>
          </cell>
          <cell r="M3932">
            <v>0</v>
          </cell>
        </row>
        <row r="3933">
          <cell r="A3933"/>
          <cell r="B3933"/>
          <cell r="C3933"/>
          <cell r="D3933"/>
          <cell r="E3933"/>
          <cell r="L3933" t="e">
            <v>#DIV/0!</v>
          </cell>
          <cell r="M3933">
            <v>0</v>
          </cell>
        </row>
        <row r="3934">
          <cell r="A3934"/>
          <cell r="B3934"/>
          <cell r="C3934"/>
          <cell r="D3934"/>
          <cell r="E3934"/>
          <cell r="L3934" t="e">
            <v>#DIV/0!</v>
          </cell>
          <cell r="M3934">
            <v>0</v>
          </cell>
        </row>
        <row r="3935">
          <cell r="A3935"/>
          <cell r="B3935"/>
          <cell r="C3935"/>
          <cell r="D3935"/>
          <cell r="E3935"/>
          <cell r="L3935" t="e">
            <v>#DIV/0!</v>
          </cell>
          <cell r="M3935">
            <v>0</v>
          </cell>
        </row>
        <row r="3936">
          <cell r="A3936"/>
          <cell r="B3936"/>
          <cell r="C3936"/>
          <cell r="D3936"/>
          <cell r="E3936"/>
          <cell r="L3936" t="e">
            <v>#DIV/0!</v>
          </cell>
          <cell r="M3936">
            <v>0</v>
          </cell>
        </row>
        <row r="3937">
          <cell r="A3937"/>
          <cell r="B3937"/>
          <cell r="C3937"/>
          <cell r="D3937"/>
          <cell r="E3937"/>
          <cell r="L3937" t="e">
            <v>#DIV/0!</v>
          </cell>
          <cell r="M3937">
            <v>0</v>
          </cell>
        </row>
        <row r="3938">
          <cell r="A3938"/>
          <cell r="B3938"/>
          <cell r="C3938"/>
          <cell r="D3938"/>
          <cell r="E3938"/>
          <cell r="L3938" t="e">
            <v>#DIV/0!</v>
          </cell>
          <cell r="M3938">
            <v>0</v>
          </cell>
        </row>
        <row r="3939">
          <cell r="A3939"/>
          <cell r="B3939"/>
          <cell r="C3939"/>
          <cell r="D3939"/>
          <cell r="E3939"/>
          <cell r="L3939" t="e">
            <v>#DIV/0!</v>
          </cell>
          <cell r="M3939">
            <v>0</v>
          </cell>
        </row>
        <row r="3940">
          <cell r="A3940"/>
          <cell r="B3940"/>
          <cell r="C3940"/>
          <cell r="D3940"/>
          <cell r="E3940"/>
          <cell r="L3940" t="e">
            <v>#DIV/0!</v>
          </cell>
          <cell r="M3940">
            <v>0</v>
          </cell>
        </row>
        <row r="3941">
          <cell r="A3941"/>
          <cell r="B3941"/>
          <cell r="C3941"/>
          <cell r="D3941"/>
          <cell r="E3941"/>
          <cell r="L3941" t="e">
            <v>#DIV/0!</v>
          </cell>
          <cell r="M3941">
            <v>0</v>
          </cell>
        </row>
        <row r="3942">
          <cell r="A3942"/>
          <cell r="B3942"/>
          <cell r="C3942"/>
          <cell r="D3942"/>
          <cell r="E3942"/>
          <cell r="L3942" t="e">
            <v>#DIV/0!</v>
          </cell>
          <cell r="M3942">
            <v>0</v>
          </cell>
        </row>
        <row r="3943">
          <cell r="A3943"/>
          <cell r="B3943"/>
          <cell r="C3943"/>
          <cell r="D3943"/>
          <cell r="E3943"/>
          <cell r="L3943" t="e">
            <v>#DIV/0!</v>
          </cell>
          <cell r="M3943">
            <v>0</v>
          </cell>
        </row>
        <row r="3944">
          <cell r="A3944"/>
          <cell r="B3944"/>
          <cell r="C3944"/>
          <cell r="D3944"/>
          <cell r="E3944"/>
          <cell r="L3944" t="e">
            <v>#DIV/0!</v>
          </cell>
          <cell r="M3944">
            <v>0</v>
          </cell>
        </row>
        <row r="3945">
          <cell r="A3945"/>
          <cell r="B3945"/>
          <cell r="C3945"/>
          <cell r="D3945"/>
          <cell r="E3945"/>
          <cell r="L3945" t="e">
            <v>#DIV/0!</v>
          </cell>
          <cell r="M3945">
            <v>0</v>
          </cell>
        </row>
        <row r="3946">
          <cell r="A3946"/>
          <cell r="B3946"/>
          <cell r="C3946"/>
          <cell r="D3946"/>
          <cell r="E3946"/>
          <cell r="L3946" t="e">
            <v>#DIV/0!</v>
          </cell>
          <cell r="M3946">
            <v>0</v>
          </cell>
        </row>
        <row r="3947">
          <cell r="A3947"/>
          <cell r="B3947"/>
          <cell r="C3947"/>
          <cell r="D3947"/>
          <cell r="E3947"/>
          <cell r="L3947" t="e">
            <v>#DIV/0!</v>
          </cell>
          <cell r="M3947">
            <v>0</v>
          </cell>
        </row>
        <row r="3948">
          <cell r="A3948"/>
          <cell r="B3948"/>
          <cell r="C3948"/>
          <cell r="D3948"/>
          <cell r="E3948"/>
          <cell r="L3948" t="e">
            <v>#DIV/0!</v>
          </cell>
          <cell r="M3948">
            <v>0</v>
          </cell>
        </row>
        <row r="3949">
          <cell r="A3949"/>
          <cell r="B3949"/>
          <cell r="C3949"/>
          <cell r="D3949"/>
          <cell r="E3949"/>
          <cell r="L3949" t="e">
            <v>#DIV/0!</v>
          </cell>
          <cell r="M3949">
            <v>0</v>
          </cell>
        </row>
        <row r="3950">
          <cell r="A3950"/>
          <cell r="B3950"/>
          <cell r="C3950"/>
          <cell r="D3950"/>
          <cell r="E3950"/>
          <cell r="L3950" t="e">
            <v>#DIV/0!</v>
          </cell>
          <cell r="M3950">
            <v>0</v>
          </cell>
        </row>
        <row r="3951">
          <cell r="A3951"/>
          <cell r="B3951"/>
          <cell r="C3951"/>
          <cell r="D3951"/>
          <cell r="E3951"/>
          <cell r="L3951" t="e">
            <v>#DIV/0!</v>
          </cell>
          <cell r="M3951">
            <v>0</v>
          </cell>
        </row>
        <row r="3952">
          <cell r="A3952"/>
          <cell r="B3952"/>
          <cell r="C3952"/>
          <cell r="D3952"/>
          <cell r="E3952"/>
          <cell r="L3952" t="e">
            <v>#DIV/0!</v>
          </cell>
          <cell r="M3952">
            <v>0</v>
          </cell>
        </row>
        <row r="3953">
          <cell r="E3953"/>
          <cell r="L3953" t="e">
            <v>#DIV/0!</v>
          </cell>
          <cell r="M3953">
            <v>0</v>
          </cell>
        </row>
        <row r="3954">
          <cell r="E3954"/>
          <cell r="L3954" t="e">
            <v>#DIV/0!</v>
          </cell>
          <cell r="M3954">
            <v>0</v>
          </cell>
        </row>
        <row r="3955">
          <cell r="E3955"/>
          <cell r="L3955" t="e">
            <v>#DIV/0!</v>
          </cell>
          <cell r="M3955">
            <v>0</v>
          </cell>
        </row>
        <row r="3956">
          <cell r="E3956"/>
          <cell r="L3956" t="e">
            <v>#DIV/0!</v>
          </cell>
          <cell r="M3956">
            <v>0</v>
          </cell>
        </row>
        <row r="3957">
          <cell r="A3957"/>
          <cell r="B3957"/>
          <cell r="C3957"/>
          <cell r="D3957"/>
          <cell r="E3957"/>
          <cell r="L3957" t="e">
            <v>#DIV/0!</v>
          </cell>
          <cell r="M3957">
            <v>0</v>
          </cell>
        </row>
        <row r="3958">
          <cell r="A3958"/>
          <cell r="B3958"/>
          <cell r="C3958"/>
          <cell r="D3958"/>
          <cell r="E3958"/>
          <cell r="L3958" t="e">
            <v>#DIV/0!</v>
          </cell>
          <cell r="M3958">
            <v>0</v>
          </cell>
        </row>
        <row r="3959">
          <cell r="A3959"/>
          <cell r="B3959"/>
          <cell r="C3959"/>
          <cell r="D3959"/>
          <cell r="E3959"/>
          <cell r="L3959" t="e">
            <v>#DIV/0!</v>
          </cell>
          <cell r="M3959">
            <v>0</v>
          </cell>
        </row>
        <row r="3960">
          <cell r="A3960"/>
          <cell r="B3960"/>
          <cell r="C3960"/>
          <cell r="D3960"/>
          <cell r="E3960"/>
          <cell r="L3960" t="e">
            <v>#DIV/0!</v>
          </cell>
          <cell r="M3960">
            <v>0</v>
          </cell>
        </row>
        <row r="3961">
          <cell r="A3961"/>
          <cell r="B3961"/>
          <cell r="C3961"/>
          <cell r="D3961"/>
          <cell r="E3961"/>
          <cell r="L3961" t="e">
            <v>#DIV/0!</v>
          </cell>
          <cell r="M3961">
            <v>0</v>
          </cell>
        </row>
        <row r="3962">
          <cell r="A3962"/>
          <cell r="B3962"/>
          <cell r="C3962"/>
          <cell r="D3962"/>
          <cell r="E3962"/>
          <cell r="L3962" t="e">
            <v>#DIV/0!</v>
          </cell>
          <cell r="M3962">
            <v>0</v>
          </cell>
        </row>
        <row r="3963">
          <cell r="A3963"/>
          <cell r="B3963"/>
          <cell r="C3963"/>
          <cell r="D3963"/>
          <cell r="E3963"/>
          <cell r="L3963" t="e">
            <v>#DIV/0!</v>
          </cell>
          <cell r="M3963">
            <v>0</v>
          </cell>
        </row>
        <row r="3964">
          <cell r="A3964"/>
          <cell r="B3964"/>
          <cell r="C3964"/>
          <cell r="D3964"/>
          <cell r="E3964"/>
          <cell r="L3964" t="e">
            <v>#DIV/0!</v>
          </cell>
          <cell r="M3964">
            <v>0</v>
          </cell>
        </row>
        <row r="3965">
          <cell r="A3965"/>
          <cell r="B3965"/>
          <cell r="C3965"/>
          <cell r="D3965"/>
          <cell r="E3965"/>
          <cell r="L3965" t="e">
            <v>#DIV/0!</v>
          </cell>
          <cell r="M3965">
            <v>0</v>
          </cell>
        </row>
        <row r="3966">
          <cell r="A3966"/>
          <cell r="B3966"/>
          <cell r="C3966"/>
          <cell r="D3966"/>
          <cell r="E3966"/>
          <cell r="L3966" t="e">
            <v>#DIV/0!</v>
          </cell>
          <cell r="M3966">
            <v>0</v>
          </cell>
        </row>
        <row r="3967">
          <cell r="A3967"/>
          <cell r="B3967"/>
          <cell r="C3967"/>
          <cell r="D3967"/>
          <cell r="E3967"/>
          <cell r="L3967" t="e">
            <v>#DIV/0!</v>
          </cell>
          <cell r="M3967">
            <v>0</v>
          </cell>
        </row>
        <row r="3968">
          <cell r="A3968"/>
          <cell r="B3968"/>
          <cell r="C3968"/>
          <cell r="D3968"/>
          <cell r="E3968"/>
          <cell r="L3968" t="e">
            <v>#DIV/0!</v>
          </cell>
          <cell r="M3968">
            <v>0</v>
          </cell>
        </row>
        <row r="3969">
          <cell r="A3969"/>
          <cell r="B3969"/>
          <cell r="C3969"/>
          <cell r="D3969"/>
          <cell r="E3969"/>
          <cell r="L3969" t="e">
            <v>#DIV/0!</v>
          </cell>
          <cell r="M3969">
            <v>0</v>
          </cell>
        </row>
        <row r="3970">
          <cell r="A3970"/>
          <cell r="B3970"/>
          <cell r="C3970"/>
          <cell r="D3970"/>
          <cell r="E3970"/>
          <cell r="L3970" t="e">
            <v>#DIV/0!</v>
          </cell>
          <cell r="M3970">
            <v>0</v>
          </cell>
        </row>
        <row r="3971">
          <cell r="A3971"/>
          <cell r="B3971"/>
          <cell r="C3971"/>
          <cell r="D3971"/>
          <cell r="E3971"/>
          <cell r="L3971" t="e">
            <v>#DIV/0!</v>
          </cell>
          <cell r="M3971">
            <v>0</v>
          </cell>
        </row>
        <row r="3972">
          <cell r="A3972"/>
          <cell r="B3972"/>
          <cell r="C3972"/>
          <cell r="D3972"/>
          <cell r="E3972"/>
          <cell r="L3972" t="e">
            <v>#DIV/0!</v>
          </cell>
          <cell r="M3972">
            <v>0</v>
          </cell>
        </row>
        <row r="3973">
          <cell r="A3973"/>
          <cell r="B3973"/>
          <cell r="C3973"/>
          <cell r="D3973"/>
          <cell r="E3973"/>
          <cell r="L3973" t="e">
            <v>#DIV/0!</v>
          </cell>
          <cell r="M3973">
            <v>0</v>
          </cell>
        </row>
        <row r="3974">
          <cell r="A3974"/>
          <cell r="B3974"/>
          <cell r="C3974"/>
          <cell r="D3974"/>
          <cell r="E3974"/>
          <cell r="L3974" t="e">
            <v>#DIV/0!</v>
          </cell>
          <cell r="M3974">
            <v>0</v>
          </cell>
        </row>
        <row r="3975">
          <cell r="A3975"/>
          <cell r="B3975"/>
          <cell r="C3975"/>
          <cell r="D3975"/>
          <cell r="E3975"/>
          <cell r="L3975" t="e">
            <v>#DIV/0!</v>
          </cell>
          <cell r="M3975">
            <v>0</v>
          </cell>
        </row>
        <row r="3976">
          <cell r="A3976"/>
          <cell r="B3976"/>
          <cell r="C3976"/>
          <cell r="D3976"/>
          <cell r="E3976"/>
          <cell r="L3976" t="e">
            <v>#DIV/0!</v>
          </cell>
          <cell r="M3976">
            <v>0</v>
          </cell>
        </row>
        <row r="3977">
          <cell r="A3977"/>
          <cell r="B3977"/>
          <cell r="C3977"/>
          <cell r="D3977"/>
          <cell r="E3977"/>
          <cell r="L3977" t="e">
            <v>#DIV/0!</v>
          </cell>
          <cell r="M3977">
            <v>0</v>
          </cell>
        </row>
        <row r="3978">
          <cell r="A3978"/>
          <cell r="B3978"/>
          <cell r="C3978"/>
          <cell r="D3978"/>
          <cell r="E3978"/>
          <cell r="L3978" t="e">
            <v>#DIV/0!</v>
          </cell>
          <cell r="M3978">
            <v>0</v>
          </cell>
        </row>
        <row r="3979">
          <cell r="A3979"/>
          <cell r="B3979"/>
          <cell r="C3979"/>
          <cell r="D3979"/>
          <cell r="E3979"/>
          <cell r="L3979" t="e">
            <v>#DIV/0!</v>
          </cell>
          <cell r="M3979">
            <v>0</v>
          </cell>
        </row>
        <row r="3980">
          <cell r="A3980"/>
          <cell r="B3980"/>
          <cell r="C3980"/>
          <cell r="D3980"/>
          <cell r="E3980"/>
          <cell r="L3980" t="e">
            <v>#DIV/0!</v>
          </cell>
          <cell r="M3980">
            <v>0</v>
          </cell>
        </row>
        <row r="3981">
          <cell r="A3981"/>
          <cell r="B3981"/>
          <cell r="C3981"/>
          <cell r="D3981"/>
          <cell r="E3981"/>
          <cell r="L3981" t="e">
            <v>#DIV/0!</v>
          </cell>
          <cell r="M3981">
            <v>0</v>
          </cell>
        </row>
        <row r="3982">
          <cell r="A3982"/>
          <cell r="B3982"/>
          <cell r="C3982"/>
          <cell r="D3982"/>
          <cell r="E3982"/>
          <cell r="L3982" t="e">
            <v>#DIV/0!</v>
          </cell>
          <cell r="M3982">
            <v>0</v>
          </cell>
        </row>
        <row r="3983">
          <cell r="A3983"/>
          <cell r="B3983"/>
          <cell r="C3983"/>
          <cell r="D3983"/>
          <cell r="E3983"/>
          <cell r="L3983" t="e">
            <v>#DIV/0!</v>
          </cell>
          <cell r="M3983">
            <v>0</v>
          </cell>
        </row>
        <row r="3984">
          <cell r="A3984"/>
          <cell r="B3984"/>
          <cell r="C3984"/>
          <cell r="D3984"/>
          <cell r="E3984"/>
          <cell r="L3984" t="e">
            <v>#DIV/0!</v>
          </cell>
          <cell r="M3984">
            <v>0</v>
          </cell>
        </row>
        <row r="3985">
          <cell r="A3985"/>
          <cell r="B3985"/>
          <cell r="C3985"/>
          <cell r="D3985"/>
          <cell r="E3985"/>
          <cell r="L3985" t="e">
            <v>#DIV/0!</v>
          </cell>
          <cell r="M3985">
            <v>0</v>
          </cell>
        </row>
        <row r="3986">
          <cell r="A3986"/>
          <cell r="B3986"/>
          <cell r="C3986"/>
          <cell r="D3986"/>
          <cell r="E3986"/>
          <cell r="L3986" t="e">
            <v>#DIV/0!</v>
          </cell>
          <cell r="M3986">
            <v>0</v>
          </cell>
        </row>
        <row r="3987">
          <cell r="A3987"/>
          <cell r="B3987"/>
          <cell r="C3987"/>
          <cell r="D3987"/>
          <cell r="E3987"/>
          <cell r="L3987" t="e">
            <v>#DIV/0!</v>
          </cell>
          <cell r="M3987">
            <v>0</v>
          </cell>
        </row>
        <row r="3988">
          <cell r="A3988"/>
          <cell r="B3988"/>
          <cell r="C3988"/>
          <cell r="D3988"/>
          <cell r="E3988"/>
          <cell r="L3988" t="e">
            <v>#DIV/0!</v>
          </cell>
          <cell r="M3988">
            <v>0</v>
          </cell>
        </row>
        <row r="3989">
          <cell r="A3989"/>
          <cell r="B3989"/>
          <cell r="C3989"/>
          <cell r="D3989"/>
          <cell r="E3989"/>
          <cell r="L3989" t="e">
            <v>#DIV/0!</v>
          </cell>
          <cell r="M3989">
            <v>0</v>
          </cell>
        </row>
        <row r="3990">
          <cell r="A3990"/>
          <cell r="B3990"/>
          <cell r="C3990"/>
          <cell r="D3990"/>
          <cell r="E3990"/>
          <cell r="L3990" t="e">
            <v>#DIV/0!</v>
          </cell>
          <cell r="M3990">
            <v>0</v>
          </cell>
        </row>
        <row r="3991">
          <cell r="A3991"/>
          <cell r="B3991"/>
          <cell r="C3991"/>
          <cell r="D3991"/>
          <cell r="E3991"/>
          <cell r="L3991" t="e">
            <v>#DIV/0!</v>
          </cell>
          <cell r="M3991">
            <v>0</v>
          </cell>
        </row>
        <row r="3992">
          <cell r="A3992"/>
          <cell r="B3992"/>
          <cell r="C3992"/>
          <cell r="D3992"/>
          <cell r="E3992"/>
          <cell r="L3992" t="e">
            <v>#DIV/0!</v>
          </cell>
          <cell r="M3992">
            <v>0</v>
          </cell>
        </row>
        <row r="3993">
          <cell r="A3993"/>
          <cell r="B3993"/>
          <cell r="C3993"/>
          <cell r="D3993"/>
          <cell r="E3993"/>
          <cell r="L3993" t="e">
            <v>#DIV/0!</v>
          </cell>
          <cell r="M3993">
            <v>0</v>
          </cell>
        </row>
        <row r="3994">
          <cell r="A3994"/>
          <cell r="B3994"/>
          <cell r="C3994"/>
          <cell r="D3994"/>
          <cell r="E3994"/>
          <cell r="L3994" t="e">
            <v>#DIV/0!</v>
          </cell>
          <cell r="M3994">
            <v>0</v>
          </cell>
        </row>
        <row r="3995">
          <cell r="A3995"/>
          <cell r="B3995"/>
          <cell r="C3995"/>
          <cell r="D3995"/>
          <cell r="E3995"/>
          <cell r="L3995" t="e">
            <v>#DIV/0!</v>
          </cell>
          <cell r="M3995">
            <v>0</v>
          </cell>
        </row>
        <row r="3996">
          <cell r="A3996"/>
          <cell r="B3996"/>
          <cell r="C3996"/>
          <cell r="D3996"/>
          <cell r="E3996"/>
          <cell r="L3996" t="e">
            <v>#DIV/0!</v>
          </cell>
          <cell r="M3996">
            <v>0</v>
          </cell>
        </row>
        <row r="3997">
          <cell r="A3997"/>
          <cell r="B3997"/>
          <cell r="C3997"/>
          <cell r="D3997"/>
          <cell r="E3997"/>
          <cell r="L3997" t="e">
            <v>#DIV/0!</v>
          </cell>
          <cell r="M3997">
            <v>0</v>
          </cell>
        </row>
        <row r="3998">
          <cell r="A3998"/>
          <cell r="B3998"/>
          <cell r="C3998"/>
          <cell r="D3998"/>
          <cell r="E3998"/>
          <cell r="L3998" t="e">
            <v>#DIV/0!</v>
          </cell>
          <cell r="M3998">
            <v>0</v>
          </cell>
        </row>
        <row r="3999">
          <cell r="A3999"/>
          <cell r="B3999"/>
          <cell r="C3999"/>
          <cell r="D3999"/>
          <cell r="E3999"/>
          <cell r="L3999" t="e">
            <v>#DIV/0!</v>
          </cell>
          <cell r="M3999">
            <v>0</v>
          </cell>
        </row>
        <row r="4000">
          <cell r="A4000"/>
          <cell r="B4000"/>
          <cell r="C4000"/>
          <cell r="D4000"/>
          <cell r="E4000"/>
          <cell r="L4000" t="e">
            <v>#DIV/0!</v>
          </cell>
          <cell r="M4000">
            <v>0</v>
          </cell>
        </row>
        <row r="4001">
          <cell r="A4001"/>
          <cell r="B4001"/>
          <cell r="C4001"/>
          <cell r="D4001"/>
          <cell r="E4001"/>
          <cell r="L4001" t="e">
            <v>#DIV/0!</v>
          </cell>
          <cell r="M4001">
            <v>0</v>
          </cell>
        </row>
        <row r="4002">
          <cell r="A4002"/>
          <cell r="B4002"/>
          <cell r="C4002"/>
          <cell r="D4002"/>
          <cell r="E4002"/>
          <cell r="L4002" t="e">
            <v>#DIV/0!</v>
          </cell>
          <cell r="M4002">
            <v>0</v>
          </cell>
        </row>
        <row r="4003">
          <cell r="A4003"/>
          <cell r="B4003"/>
          <cell r="C4003"/>
          <cell r="D4003"/>
          <cell r="E4003"/>
          <cell r="L4003" t="e">
            <v>#DIV/0!</v>
          </cell>
          <cell r="M4003">
            <v>0</v>
          </cell>
        </row>
        <row r="4004">
          <cell r="A4004"/>
          <cell r="B4004"/>
          <cell r="C4004"/>
          <cell r="D4004"/>
          <cell r="E4004"/>
          <cell r="L4004" t="e">
            <v>#DIV/0!</v>
          </cell>
          <cell r="M4004">
            <v>0</v>
          </cell>
        </row>
        <row r="4005">
          <cell r="A4005"/>
          <cell r="B4005"/>
          <cell r="C4005"/>
          <cell r="D4005"/>
          <cell r="E4005"/>
          <cell r="L4005" t="e">
            <v>#DIV/0!</v>
          </cell>
          <cell r="M4005">
            <v>0</v>
          </cell>
        </row>
        <row r="4006">
          <cell r="A4006"/>
          <cell r="B4006"/>
          <cell r="C4006"/>
          <cell r="D4006"/>
          <cell r="E4006"/>
          <cell r="L4006" t="e">
            <v>#DIV/0!</v>
          </cell>
          <cell r="M4006">
            <v>0</v>
          </cell>
        </row>
        <row r="4007">
          <cell r="A4007"/>
          <cell r="B4007"/>
          <cell r="C4007"/>
          <cell r="D4007"/>
          <cell r="E4007"/>
          <cell r="L4007" t="e">
            <v>#DIV/0!</v>
          </cell>
          <cell r="M4007">
            <v>0</v>
          </cell>
        </row>
        <row r="4008">
          <cell r="A4008"/>
          <cell r="B4008"/>
          <cell r="C4008"/>
          <cell r="D4008"/>
          <cell r="E4008"/>
          <cell r="L4008" t="e">
            <v>#DIV/0!</v>
          </cell>
          <cell r="M4008">
            <v>0</v>
          </cell>
        </row>
        <row r="4009">
          <cell r="A4009"/>
          <cell r="B4009"/>
          <cell r="C4009"/>
          <cell r="D4009"/>
          <cell r="E4009"/>
          <cell r="L4009" t="e">
            <v>#DIV/0!</v>
          </cell>
          <cell r="M4009">
            <v>0</v>
          </cell>
        </row>
        <row r="4010">
          <cell r="A4010"/>
          <cell r="B4010"/>
          <cell r="C4010"/>
          <cell r="D4010"/>
          <cell r="E4010"/>
          <cell r="L4010" t="e">
            <v>#DIV/0!</v>
          </cell>
          <cell r="M4010">
            <v>0</v>
          </cell>
        </row>
        <row r="4011">
          <cell r="A4011"/>
          <cell r="B4011"/>
          <cell r="C4011"/>
          <cell r="D4011"/>
          <cell r="E4011"/>
          <cell r="L4011" t="e">
            <v>#DIV/0!</v>
          </cell>
          <cell r="M4011">
            <v>0</v>
          </cell>
        </row>
        <row r="4012">
          <cell r="A4012"/>
          <cell r="B4012"/>
          <cell r="C4012"/>
          <cell r="D4012"/>
          <cell r="E4012"/>
          <cell r="L4012" t="e">
            <v>#DIV/0!</v>
          </cell>
          <cell r="M4012">
            <v>0</v>
          </cell>
        </row>
        <row r="4013">
          <cell r="A4013"/>
          <cell r="B4013"/>
          <cell r="C4013"/>
          <cell r="D4013"/>
          <cell r="E4013"/>
          <cell r="L4013" t="e">
            <v>#DIV/0!</v>
          </cell>
          <cell r="M4013">
            <v>0</v>
          </cell>
        </row>
        <row r="4014">
          <cell r="A4014"/>
          <cell r="B4014"/>
          <cell r="C4014"/>
          <cell r="D4014"/>
          <cell r="E4014"/>
          <cell r="L4014" t="e">
            <v>#DIV/0!</v>
          </cell>
          <cell r="M4014">
            <v>0</v>
          </cell>
        </row>
        <row r="4015">
          <cell r="A4015"/>
          <cell r="B4015"/>
          <cell r="C4015"/>
          <cell r="D4015"/>
          <cell r="E4015"/>
          <cell r="L4015" t="e">
            <v>#DIV/0!</v>
          </cell>
          <cell r="M4015">
            <v>0</v>
          </cell>
        </row>
        <row r="4016">
          <cell r="A4016"/>
          <cell r="B4016"/>
          <cell r="C4016"/>
          <cell r="D4016"/>
          <cell r="E4016"/>
          <cell r="L4016" t="e">
            <v>#DIV/0!</v>
          </cell>
          <cell r="M4016">
            <v>0</v>
          </cell>
        </row>
        <row r="4017">
          <cell r="A4017"/>
          <cell r="B4017"/>
          <cell r="C4017"/>
          <cell r="D4017"/>
          <cell r="E4017"/>
          <cell r="L4017" t="e">
            <v>#DIV/0!</v>
          </cell>
          <cell r="M4017">
            <v>0</v>
          </cell>
        </row>
        <row r="4018">
          <cell r="A4018"/>
          <cell r="B4018"/>
          <cell r="C4018"/>
          <cell r="D4018"/>
          <cell r="E4018"/>
          <cell r="L4018" t="e">
            <v>#DIV/0!</v>
          </cell>
          <cell r="M4018">
            <v>0</v>
          </cell>
        </row>
        <row r="4019">
          <cell r="A4019"/>
          <cell r="B4019"/>
          <cell r="C4019"/>
          <cell r="D4019"/>
          <cell r="E4019"/>
          <cell r="L4019" t="e">
            <v>#DIV/0!</v>
          </cell>
          <cell r="M4019">
            <v>0</v>
          </cell>
        </row>
        <row r="4020">
          <cell r="A4020"/>
          <cell r="B4020"/>
          <cell r="C4020"/>
          <cell r="D4020"/>
          <cell r="E4020"/>
          <cell r="L4020" t="e">
            <v>#DIV/0!</v>
          </cell>
          <cell r="M4020">
            <v>0</v>
          </cell>
        </row>
        <row r="4021">
          <cell r="A4021"/>
          <cell r="B4021"/>
          <cell r="C4021"/>
          <cell r="D4021"/>
          <cell r="E4021"/>
          <cell r="L4021" t="e">
            <v>#DIV/0!</v>
          </cell>
          <cell r="M4021">
            <v>0</v>
          </cell>
        </row>
        <row r="4022">
          <cell r="A4022"/>
          <cell r="B4022"/>
          <cell r="C4022"/>
          <cell r="D4022"/>
          <cell r="E4022"/>
          <cell r="L4022" t="e">
            <v>#DIV/0!</v>
          </cell>
          <cell r="M4022">
            <v>0</v>
          </cell>
        </row>
        <row r="4023">
          <cell r="A4023"/>
          <cell r="B4023"/>
          <cell r="C4023"/>
          <cell r="D4023"/>
          <cell r="E4023"/>
          <cell r="L4023" t="e">
            <v>#DIV/0!</v>
          </cell>
          <cell r="M4023">
            <v>0</v>
          </cell>
        </row>
        <row r="4024">
          <cell r="A4024"/>
          <cell r="B4024"/>
          <cell r="C4024"/>
          <cell r="D4024"/>
          <cell r="E4024"/>
          <cell r="L4024" t="e">
            <v>#DIV/0!</v>
          </cell>
          <cell r="M4024">
            <v>0</v>
          </cell>
        </row>
        <row r="4025">
          <cell r="A4025"/>
          <cell r="B4025"/>
          <cell r="C4025"/>
          <cell r="D4025"/>
          <cell r="E4025"/>
          <cell r="L4025" t="e">
            <v>#DIV/0!</v>
          </cell>
          <cell r="M4025">
            <v>0</v>
          </cell>
        </row>
        <row r="4026">
          <cell r="A4026"/>
          <cell r="B4026"/>
          <cell r="C4026"/>
          <cell r="D4026"/>
          <cell r="E4026"/>
          <cell r="L4026" t="e">
            <v>#DIV/0!</v>
          </cell>
          <cell r="M4026">
            <v>0</v>
          </cell>
        </row>
        <row r="4027">
          <cell r="A4027"/>
          <cell r="B4027"/>
          <cell r="C4027"/>
          <cell r="D4027"/>
          <cell r="E4027"/>
          <cell r="L4027" t="e">
            <v>#DIV/0!</v>
          </cell>
          <cell r="M4027">
            <v>0</v>
          </cell>
        </row>
        <row r="4028">
          <cell r="A4028"/>
          <cell r="B4028"/>
          <cell r="C4028"/>
          <cell r="D4028"/>
          <cell r="E4028"/>
          <cell r="L4028" t="e">
            <v>#DIV/0!</v>
          </cell>
          <cell r="M4028">
            <v>0</v>
          </cell>
        </row>
        <row r="4029">
          <cell r="A4029"/>
          <cell r="B4029"/>
          <cell r="C4029"/>
          <cell r="D4029"/>
          <cell r="E4029"/>
          <cell r="L4029" t="e">
            <v>#DIV/0!</v>
          </cell>
          <cell r="M4029">
            <v>0</v>
          </cell>
        </row>
        <row r="4030">
          <cell r="A4030"/>
          <cell r="B4030"/>
          <cell r="C4030"/>
          <cell r="D4030"/>
          <cell r="E4030"/>
          <cell r="L4030" t="e">
            <v>#DIV/0!</v>
          </cell>
          <cell r="M4030">
            <v>0</v>
          </cell>
        </row>
        <row r="4031">
          <cell r="A4031"/>
          <cell r="B4031"/>
          <cell r="C4031"/>
          <cell r="D4031"/>
          <cell r="E4031"/>
          <cell r="L4031" t="e">
            <v>#DIV/0!</v>
          </cell>
          <cell r="M4031">
            <v>0</v>
          </cell>
        </row>
        <row r="4032">
          <cell r="A4032"/>
          <cell r="B4032"/>
          <cell r="C4032"/>
          <cell r="D4032"/>
          <cell r="E4032"/>
          <cell r="L4032" t="e">
            <v>#DIV/0!</v>
          </cell>
          <cell r="M4032">
            <v>0</v>
          </cell>
        </row>
        <row r="4033">
          <cell r="A4033"/>
          <cell r="B4033"/>
          <cell r="C4033"/>
          <cell r="D4033"/>
          <cell r="E4033"/>
          <cell r="L4033" t="e">
            <v>#DIV/0!</v>
          </cell>
          <cell r="M4033">
            <v>0</v>
          </cell>
        </row>
        <row r="4034">
          <cell r="A4034"/>
          <cell r="B4034"/>
          <cell r="C4034"/>
          <cell r="D4034"/>
          <cell r="E4034"/>
          <cell r="L4034" t="e">
            <v>#DIV/0!</v>
          </cell>
          <cell r="M4034">
            <v>0</v>
          </cell>
        </row>
        <row r="4035">
          <cell r="A4035"/>
          <cell r="B4035"/>
          <cell r="C4035"/>
          <cell r="D4035"/>
          <cell r="E4035"/>
          <cell r="L4035" t="e">
            <v>#DIV/0!</v>
          </cell>
          <cell r="M4035">
            <v>0</v>
          </cell>
        </row>
        <row r="4036">
          <cell r="A4036"/>
          <cell r="B4036"/>
          <cell r="C4036"/>
          <cell r="D4036"/>
          <cell r="E4036"/>
          <cell r="L4036" t="e">
            <v>#DIV/0!</v>
          </cell>
          <cell r="M4036">
            <v>0</v>
          </cell>
        </row>
        <row r="4037">
          <cell r="A4037"/>
          <cell r="B4037"/>
          <cell r="C4037"/>
          <cell r="D4037"/>
          <cell r="E4037"/>
          <cell r="L4037" t="e">
            <v>#DIV/0!</v>
          </cell>
          <cell r="M4037">
            <v>0</v>
          </cell>
        </row>
        <row r="4038">
          <cell r="A4038"/>
          <cell r="B4038"/>
          <cell r="C4038"/>
          <cell r="D4038"/>
          <cell r="E4038"/>
          <cell r="L4038" t="e">
            <v>#DIV/0!</v>
          </cell>
          <cell r="M4038">
            <v>0</v>
          </cell>
        </row>
        <row r="4039">
          <cell r="A4039"/>
          <cell r="B4039"/>
          <cell r="C4039"/>
          <cell r="D4039"/>
          <cell r="E4039"/>
          <cell r="L4039" t="e">
            <v>#DIV/0!</v>
          </cell>
          <cell r="M4039">
            <v>0</v>
          </cell>
        </row>
        <row r="4040">
          <cell r="A4040"/>
          <cell r="B4040"/>
          <cell r="C4040"/>
          <cell r="D4040"/>
          <cell r="E4040"/>
          <cell r="L4040" t="e">
            <v>#DIV/0!</v>
          </cell>
          <cell r="M4040">
            <v>0</v>
          </cell>
        </row>
        <row r="4041">
          <cell r="A4041"/>
          <cell r="B4041"/>
          <cell r="C4041"/>
          <cell r="D4041"/>
          <cell r="E4041"/>
          <cell r="L4041" t="e">
            <v>#DIV/0!</v>
          </cell>
          <cell r="M4041">
            <v>0</v>
          </cell>
        </row>
        <row r="4042">
          <cell r="A4042"/>
          <cell r="B4042"/>
          <cell r="C4042"/>
          <cell r="D4042"/>
          <cell r="E4042"/>
          <cell r="L4042" t="e">
            <v>#DIV/0!</v>
          </cell>
          <cell r="M4042">
            <v>0</v>
          </cell>
        </row>
        <row r="4043">
          <cell r="A4043"/>
          <cell r="B4043"/>
          <cell r="C4043"/>
          <cell r="D4043"/>
          <cell r="E4043"/>
          <cell r="L4043" t="e">
            <v>#DIV/0!</v>
          </cell>
          <cell r="M4043">
            <v>0</v>
          </cell>
        </row>
        <row r="4044">
          <cell r="A4044"/>
          <cell r="B4044"/>
          <cell r="C4044"/>
          <cell r="D4044"/>
          <cell r="E4044"/>
          <cell r="L4044" t="e">
            <v>#DIV/0!</v>
          </cell>
          <cell r="M4044">
            <v>0</v>
          </cell>
        </row>
        <row r="4045">
          <cell r="A4045"/>
          <cell r="B4045"/>
          <cell r="C4045"/>
          <cell r="D4045"/>
          <cell r="E4045"/>
          <cell r="L4045" t="e">
            <v>#DIV/0!</v>
          </cell>
          <cell r="M4045">
            <v>0</v>
          </cell>
        </row>
        <row r="4046">
          <cell r="A4046"/>
          <cell r="B4046"/>
          <cell r="C4046"/>
          <cell r="D4046"/>
          <cell r="E4046"/>
          <cell r="L4046" t="e">
            <v>#DIV/0!</v>
          </cell>
          <cell r="M4046">
            <v>0</v>
          </cell>
        </row>
        <row r="4047">
          <cell r="A4047"/>
          <cell r="B4047"/>
          <cell r="C4047"/>
          <cell r="D4047"/>
          <cell r="E4047"/>
          <cell r="L4047" t="e">
            <v>#DIV/0!</v>
          </cell>
          <cell r="M4047">
            <v>0</v>
          </cell>
        </row>
        <row r="4048">
          <cell r="A4048"/>
          <cell r="B4048"/>
          <cell r="C4048"/>
          <cell r="D4048"/>
          <cell r="E4048"/>
          <cell r="L4048" t="e">
            <v>#DIV/0!</v>
          </cell>
          <cell r="M4048">
            <v>0</v>
          </cell>
        </row>
        <row r="4049">
          <cell r="A4049"/>
          <cell r="B4049"/>
          <cell r="C4049"/>
          <cell r="D4049"/>
          <cell r="E4049"/>
          <cell r="L4049" t="e">
            <v>#DIV/0!</v>
          </cell>
          <cell r="M4049">
            <v>0</v>
          </cell>
        </row>
        <row r="4050">
          <cell r="A4050"/>
          <cell r="B4050"/>
          <cell r="C4050"/>
          <cell r="D4050"/>
          <cell r="E4050"/>
          <cell r="L4050" t="e">
            <v>#DIV/0!</v>
          </cell>
          <cell r="M4050">
            <v>0</v>
          </cell>
        </row>
        <row r="4051">
          <cell r="A4051"/>
          <cell r="B4051"/>
          <cell r="C4051"/>
          <cell r="D4051"/>
          <cell r="E4051"/>
          <cell r="L4051" t="e">
            <v>#DIV/0!</v>
          </cell>
          <cell r="M4051">
            <v>0</v>
          </cell>
        </row>
        <row r="4052">
          <cell r="A4052"/>
          <cell r="B4052"/>
          <cell r="C4052"/>
          <cell r="D4052"/>
          <cell r="E4052"/>
          <cell r="L4052" t="e">
            <v>#DIV/0!</v>
          </cell>
          <cell r="M4052">
            <v>0</v>
          </cell>
        </row>
        <row r="4053">
          <cell r="A4053"/>
          <cell r="B4053"/>
          <cell r="C4053"/>
          <cell r="D4053"/>
          <cell r="E4053"/>
          <cell r="L4053" t="e">
            <v>#DIV/0!</v>
          </cell>
          <cell r="M4053">
            <v>0</v>
          </cell>
        </row>
        <row r="4054">
          <cell r="A4054"/>
          <cell r="B4054"/>
          <cell r="C4054"/>
          <cell r="D4054"/>
          <cell r="E4054"/>
          <cell r="L4054" t="e">
            <v>#DIV/0!</v>
          </cell>
          <cell r="M4054">
            <v>0</v>
          </cell>
        </row>
        <row r="4055">
          <cell r="A4055"/>
          <cell r="B4055"/>
          <cell r="C4055"/>
          <cell r="D4055"/>
          <cell r="E4055"/>
          <cell r="L4055" t="e">
            <v>#DIV/0!</v>
          </cell>
          <cell r="M4055">
            <v>0</v>
          </cell>
        </row>
        <row r="4056">
          <cell r="A4056"/>
          <cell r="B4056"/>
          <cell r="C4056"/>
          <cell r="D4056"/>
          <cell r="E4056"/>
          <cell r="L4056" t="e">
            <v>#DIV/0!</v>
          </cell>
          <cell r="M4056">
            <v>0</v>
          </cell>
        </row>
        <row r="4057">
          <cell r="A4057"/>
          <cell r="B4057"/>
          <cell r="C4057"/>
          <cell r="D4057"/>
          <cell r="E4057"/>
          <cell r="L4057" t="e">
            <v>#DIV/0!</v>
          </cell>
          <cell r="M4057">
            <v>0</v>
          </cell>
        </row>
        <row r="4058">
          <cell r="A4058"/>
          <cell r="B4058"/>
          <cell r="C4058"/>
          <cell r="D4058"/>
          <cell r="E4058"/>
          <cell r="L4058" t="e">
            <v>#DIV/0!</v>
          </cell>
          <cell r="M4058">
            <v>0</v>
          </cell>
        </row>
        <row r="4059">
          <cell r="A4059"/>
          <cell r="B4059"/>
          <cell r="C4059"/>
          <cell r="D4059"/>
          <cell r="E4059"/>
          <cell r="L4059" t="e">
            <v>#DIV/0!</v>
          </cell>
          <cell r="M4059">
            <v>0</v>
          </cell>
        </row>
        <row r="4060">
          <cell r="A4060"/>
          <cell r="B4060"/>
          <cell r="C4060"/>
          <cell r="D4060"/>
          <cell r="E4060"/>
          <cell r="L4060" t="e">
            <v>#DIV/0!</v>
          </cell>
          <cell r="M4060">
            <v>0</v>
          </cell>
        </row>
        <row r="4061">
          <cell r="A4061"/>
          <cell r="B4061"/>
          <cell r="C4061"/>
          <cell r="D4061"/>
          <cell r="E4061"/>
          <cell r="L4061" t="e">
            <v>#DIV/0!</v>
          </cell>
          <cell r="M4061">
            <v>0</v>
          </cell>
        </row>
        <row r="4062">
          <cell r="A4062"/>
          <cell r="B4062"/>
          <cell r="C4062"/>
          <cell r="D4062"/>
          <cell r="E4062"/>
          <cell r="L4062" t="e">
            <v>#DIV/0!</v>
          </cell>
          <cell r="M4062">
            <v>0</v>
          </cell>
        </row>
        <row r="4063">
          <cell r="A4063"/>
          <cell r="B4063"/>
          <cell r="C4063"/>
          <cell r="D4063"/>
          <cell r="E4063"/>
          <cell r="L4063" t="e">
            <v>#DIV/0!</v>
          </cell>
          <cell r="M4063">
            <v>0</v>
          </cell>
        </row>
        <row r="4064">
          <cell r="A4064"/>
          <cell r="B4064"/>
          <cell r="C4064"/>
          <cell r="D4064"/>
          <cell r="E4064"/>
          <cell r="L4064" t="e">
            <v>#DIV/0!</v>
          </cell>
          <cell r="M4064">
            <v>0</v>
          </cell>
        </row>
        <row r="4065">
          <cell r="A4065"/>
          <cell r="B4065"/>
          <cell r="C4065"/>
          <cell r="D4065"/>
          <cell r="E4065"/>
          <cell r="L4065" t="e">
            <v>#DIV/0!</v>
          </cell>
          <cell r="M4065">
            <v>0</v>
          </cell>
        </row>
        <row r="4066">
          <cell r="A4066"/>
          <cell r="B4066"/>
          <cell r="C4066"/>
          <cell r="D4066"/>
          <cell r="E4066"/>
          <cell r="L4066" t="e">
            <v>#DIV/0!</v>
          </cell>
          <cell r="M4066">
            <v>0</v>
          </cell>
        </row>
        <row r="4067">
          <cell r="A4067"/>
          <cell r="B4067"/>
          <cell r="C4067"/>
          <cell r="D4067"/>
          <cell r="E4067"/>
          <cell r="L4067" t="e">
            <v>#DIV/0!</v>
          </cell>
          <cell r="M4067">
            <v>0</v>
          </cell>
        </row>
        <row r="4068">
          <cell r="A4068"/>
          <cell r="B4068"/>
          <cell r="C4068"/>
          <cell r="D4068"/>
          <cell r="E4068"/>
          <cell r="L4068" t="e">
            <v>#DIV/0!</v>
          </cell>
          <cell r="M4068">
            <v>0</v>
          </cell>
        </row>
        <row r="4069">
          <cell r="A4069"/>
          <cell r="B4069"/>
          <cell r="C4069"/>
          <cell r="D4069"/>
          <cell r="E4069"/>
          <cell r="L4069" t="e">
            <v>#DIV/0!</v>
          </cell>
          <cell r="M4069">
            <v>0</v>
          </cell>
        </row>
        <row r="4070">
          <cell r="A4070"/>
          <cell r="B4070"/>
          <cell r="C4070"/>
          <cell r="D4070"/>
          <cell r="E4070"/>
          <cell r="L4070" t="e">
            <v>#DIV/0!</v>
          </cell>
          <cell r="M4070">
            <v>0</v>
          </cell>
        </row>
        <row r="4071">
          <cell r="A4071"/>
          <cell r="B4071"/>
          <cell r="C4071"/>
          <cell r="D4071"/>
          <cell r="E4071"/>
          <cell r="L4071" t="e">
            <v>#DIV/0!</v>
          </cell>
          <cell r="M4071">
            <v>0</v>
          </cell>
        </row>
        <row r="4072">
          <cell r="A4072"/>
          <cell r="B4072"/>
          <cell r="C4072"/>
          <cell r="D4072"/>
          <cell r="E4072"/>
          <cell r="L4072" t="e">
            <v>#DIV/0!</v>
          </cell>
          <cell r="M4072">
            <v>0</v>
          </cell>
        </row>
        <row r="4073">
          <cell r="A4073"/>
          <cell r="B4073"/>
          <cell r="C4073"/>
          <cell r="D4073"/>
          <cell r="E4073"/>
          <cell r="L4073" t="e">
            <v>#DIV/0!</v>
          </cell>
          <cell r="M4073">
            <v>0</v>
          </cell>
        </row>
        <row r="4074">
          <cell r="A4074"/>
          <cell r="B4074"/>
          <cell r="C4074"/>
          <cell r="D4074"/>
          <cell r="E4074"/>
          <cell r="L4074" t="e">
            <v>#DIV/0!</v>
          </cell>
          <cell r="M4074">
            <v>0</v>
          </cell>
        </row>
        <row r="4075">
          <cell r="A4075"/>
          <cell r="B4075"/>
          <cell r="C4075"/>
          <cell r="D4075"/>
          <cell r="E4075"/>
          <cell r="L4075" t="e">
            <v>#DIV/0!</v>
          </cell>
          <cell r="M4075">
            <v>0</v>
          </cell>
        </row>
        <row r="4076">
          <cell r="A4076"/>
          <cell r="B4076"/>
          <cell r="C4076"/>
          <cell r="D4076"/>
          <cell r="E4076"/>
          <cell r="L4076" t="e">
            <v>#DIV/0!</v>
          </cell>
          <cell r="M4076">
            <v>0</v>
          </cell>
        </row>
        <row r="4077">
          <cell r="A4077"/>
          <cell r="B4077"/>
          <cell r="C4077"/>
          <cell r="D4077"/>
          <cell r="E4077"/>
          <cell r="L4077" t="e">
            <v>#DIV/0!</v>
          </cell>
          <cell r="M4077">
            <v>0</v>
          </cell>
        </row>
        <row r="4078">
          <cell r="A4078"/>
          <cell r="B4078"/>
          <cell r="C4078"/>
          <cell r="D4078"/>
          <cell r="E4078"/>
          <cell r="L4078" t="e">
            <v>#DIV/0!</v>
          </cell>
          <cell r="M4078">
            <v>0</v>
          </cell>
        </row>
        <row r="4079">
          <cell r="A4079"/>
          <cell r="B4079"/>
          <cell r="C4079"/>
          <cell r="D4079"/>
          <cell r="E4079"/>
          <cell r="L4079" t="e">
            <v>#DIV/0!</v>
          </cell>
          <cell r="M4079">
            <v>0</v>
          </cell>
        </row>
        <row r="4080">
          <cell r="A4080"/>
          <cell r="B4080"/>
          <cell r="C4080"/>
          <cell r="D4080"/>
          <cell r="E4080"/>
          <cell r="L4080" t="e">
            <v>#DIV/0!</v>
          </cell>
          <cell r="M4080">
            <v>0</v>
          </cell>
        </row>
        <row r="4081">
          <cell r="A4081"/>
          <cell r="B4081"/>
          <cell r="C4081"/>
          <cell r="D4081"/>
          <cell r="E4081"/>
          <cell r="L4081" t="e">
            <v>#DIV/0!</v>
          </cell>
          <cell r="M4081">
            <v>0</v>
          </cell>
        </row>
        <row r="4082">
          <cell r="A4082"/>
          <cell r="B4082"/>
          <cell r="C4082"/>
          <cell r="D4082"/>
          <cell r="E4082"/>
          <cell r="L4082" t="e">
            <v>#DIV/0!</v>
          </cell>
          <cell r="M4082">
            <v>0</v>
          </cell>
        </row>
        <row r="4083">
          <cell r="A4083"/>
          <cell r="B4083"/>
          <cell r="C4083"/>
          <cell r="D4083"/>
          <cell r="E4083"/>
          <cell r="L4083" t="e">
            <v>#DIV/0!</v>
          </cell>
          <cell r="M4083">
            <v>0</v>
          </cell>
        </row>
        <row r="4084">
          <cell r="A4084"/>
          <cell r="B4084"/>
          <cell r="C4084"/>
          <cell r="D4084"/>
          <cell r="E4084"/>
          <cell r="L4084" t="e">
            <v>#DIV/0!</v>
          </cell>
          <cell r="M4084">
            <v>0</v>
          </cell>
        </row>
        <row r="4085">
          <cell r="A4085"/>
          <cell r="B4085"/>
          <cell r="C4085"/>
          <cell r="D4085"/>
          <cell r="E4085"/>
          <cell r="L4085" t="e">
            <v>#DIV/0!</v>
          </cell>
          <cell r="M4085">
            <v>0</v>
          </cell>
        </row>
        <row r="4086">
          <cell r="A4086"/>
          <cell r="B4086"/>
          <cell r="C4086"/>
          <cell r="D4086"/>
          <cell r="E4086"/>
          <cell r="L4086" t="e">
            <v>#DIV/0!</v>
          </cell>
          <cell r="M4086">
            <v>0</v>
          </cell>
        </row>
        <row r="4087">
          <cell r="A4087"/>
          <cell r="B4087"/>
          <cell r="C4087"/>
          <cell r="D4087"/>
          <cell r="E4087"/>
          <cell r="L4087" t="e">
            <v>#DIV/0!</v>
          </cell>
          <cell r="M4087">
            <v>0</v>
          </cell>
        </row>
        <row r="4088">
          <cell r="A4088"/>
          <cell r="B4088"/>
          <cell r="C4088"/>
          <cell r="D4088"/>
          <cell r="E4088"/>
          <cell r="L4088" t="e">
            <v>#DIV/0!</v>
          </cell>
          <cell r="M4088">
            <v>0</v>
          </cell>
        </row>
        <row r="4089">
          <cell r="A4089"/>
          <cell r="B4089"/>
          <cell r="C4089"/>
          <cell r="D4089"/>
          <cell r="E4089"/>
          <cell r="L4089" t="e">
            <v>#DIV/0!</v>
          </cell>
          <cell r="M4089">
            <v>0</v>
          </cell>
        </row>
        <row r="4090">
          <cell r="A4090"/>
          <cell r="B4090"/>
          <cell r="C4090"/>
          <cell r="D4090"/>
          <cell r="E4090"/>
          <cell r="L4090" t="e">
            <v>#DIV/0!</v>
          </cell>
          <cell r="M4090">
            <v>0</v>
          </cell>
        </row>
        <row r="4091">
          <cell r="A4091"/>
          <cell r="B4091"/>
          <cell r="C4091"/>
          <cell r="D4091"/>
          <cell r="E4091"/>
          <cell r="L4091" t="e">
            <v>#DIV/0!</v>
          </cell>
          <cell r="M4091">
            <v>0</v>
          </cell>
        </row>
        <row r="4092">
          <cell r="A4092"/>
          <cell r="B4092"/>
          <cell r="C4092"/>
          <cell r="D4092"/>
          <cell r="E4092"/>
          <cell r="L4092" t="e">
            <v>#DIV/0!</v>
          </cell>
          <cell r="M4092">
            <v>0</v>
          </cell>
        </row>
        <row r="4093">
          <cell r="A4093"/>
          <cell r="B4093"/>
          <cell r="C4093"/>
          <cell r="D4093"/>
          <cell r="E4093"/>
          <cell r="L4093" t="e">
            <v>#DIV/0!</v>
          </cell>
          <cell r="M4093">
            <v>0</v>
          </cell>
        </row>
        <row r="4094">
          <cell r="A4094"/>
          <cell r="B4094"/>
          <cell r="C4094"/>
          <cell r="D4094"/>
          <cell r="E4094"/>
          <cell r="L4094" t="e">
            <v>#DIV/0!</v>
          </cell>
          <cell r="M4094">
            <v>0</v>
          </cell>
        </row>
        <row r="4095">
          <cell r="A4095"/>
          <cell r="B4095"/>
          <cell r="C4095"/>
          <cell r="D4095"/>
          <cell r="E4095"/>
          <cell r="L4095" t="e">
            <v>#DIV/0!</v>
          </cell>
          <cell r="M4095">
            <v>0</v>
          </cell>
        </row>
        <row r="4096">
          <cell r="A4096"/>
          <cell r="B4096"/>
          <cell r="C4096"/>
          <cell r="D4096"/>
          <cell r="E4096"/>
          <cell r="L4096" t="e">
            <v>#DIV/0!</v>
          </cell>
          <cell r="M4096">
            <v>0</v>
          </cell>
        </row>
        <row r="4097">
          <cell r="A4097"/>
          <cell r="B4097"/>
          <cell r="C4097"/>
          <cell r="D4097"/>
          <cell r="E4097"/>
          <cell r="L4097" t="e">
            <v>#DIV/0!</v>
          </cell>
          <cell r="M4097">
            <v>0</v>
          </cell>
        </row>
        <row r="4098">
          <cell r="A4098"/>
          <cell r="B4098"/>
          <cell r="C4098"/>
          <cell r="D4098"/>
          <cell r="E4098"/>
          <cell r="L4098" t="e">
            <v>#DIV/0!</v>
          </cell>
          <cell r="M4098">
            <v>0</v>
          </cell>
        </row>
        <row r="4099">
          <cell r="A4099"/>
          <cell r="B4099"/>
          <cell r="C4099"/>
          <cell r="D4099"/>
          <cell r="E4099"/>
          <cell r="L4099" t="e">
            <v>#DIV/0!</v>
          </cell>
          <cell r="M4099">
            <v>0</v>
          </cell>
        </row>
        <row r="4100">
          <cell r="A4100"/>
          <cell r="B4100"/>
          <cell r="C4100"/>
          <cell r="D4100"/>
          <cell r="E4100"/>
          <cell r="L4100" t="e">
            <v>#DIV/0!</v>
          </cell>
          <cell r="M4100">
            <v>0</v>
          </cell>
        </row>
        <row r="4101">
          <cell r="A4101"/>
          <cell r="B4101"/>
          <cell r="C4101"/>
          <cell r="D4101"/>
          <cell r="E4101"/>
          <cell r="L4101" t="e">
            <v>#DIV/0!</v>
          </cell>
          <cell r="M4101">
            <v>0</v>
          </cell>
        </row>
        <row r="4102">
          <cell r="A4102"/>
          <cell r="B4102"/>
          <cell r="C4102"/>
          <cell r="D4102"/>
          <cell r="E4102"/>
          <cell r="L4102" t="e">
            <v>#DIV/0!</v>
          </cell>
          <cell r="M4102">
            <v>0</v>
          </cell>
        </row>
        <row r="4103">
          <cell r="A4103"/>
          <cell r="B4103"/>
          <cell r="C4103"/>
          <cell r="D4103"/>
          <cell r="E4103"/>
          <cell r="L4103" t="e">
            <v>#DIV/0!</v>
          </cell>
          <cell r="M4103">
            <v>0</v>
          </cell>
        </row>
        <row r="4104">
          <cell r="A4104"/>
          <cell r="B4104"/>
          <cell r="C4104"/>
          <cell r="D4104"/>
          <cell r="E4104"/>
          <cell r="L4104" t="e">
            <v>#DIV/0!</v>
          </cell>
          <cell r="M4104">
            <v>0</v>
          </cell>
        </row>
        <row r="4105">
          <cell r="A4105"/>
          <cell r="B4105"/>
          <cell r="C4105"/>
          <cell r="D4105"/>
          <cell r="E4105"/>
          <cell r="L4105" t="e">
            <v>#DIV/0!</v>
          </cell>
          <cell r="M4105">
            <v>0</v>
          </cell>
        </row>
        <row r="4106">
          <cell r="A4106"/>
          <cell r="B4106"/>
          <cell r="C4106"/>
          <cell r="D4106"/>
          <cell r="E4106"/>
          <cell r="L4106" t="e">
            <v>#DIV/0!</v>
          </cell>
          <cell r="M4106">
            <v>0</v>
          </cell>
        </row>
        <row r="4107">
          <cell r="A4107"/>
          <cell r="B4107"/>
          <cell r="C4107"/>
          <cell r="D4107"/>
          <cell r="E4107"/>
          <cell r="L4107" t="e">
            <v>#DIV/0!</v>
          </cell>
          <cell r="M4107">
            <v>0</v>
          </cell>
        </row>
        <row r="4108">
          <cell r="A4108"/>
          <cell r="B4108"/>
          <cell r="C4108"/>
          <cell r="D4108"/>
          <cell r="E4108"/>
          <cell r="L4108" t="e">
            <v>#DIV/0!</v>
          </cell>
          <cell r="M4108">
            <v>0</v>
          </cell>
        </row>
        <row r="4109">
          <cell r="A4109"/>
          <cell r="B4109"/>
          <cell r="C4109"/>
          <cell r="D4109"/>
          <cell r="E4109"/>
          <cell r="L4109" t="e">
            <v>#DIV/0!</v>
          </cell>
          <cell r="M4109">
            <v>0</v>
          </cell>
        </row>
        <row r="4110">
          <cell r="A4110"/>
          <cell r="B4110"/>
          <cell r="C4110"/>
          <cell r="D4110"/>
          <cell r="E4110"/>
          <cell r="L4110" t="e">
            <v>#DIV/0!</v>
          </cell>
          <cell r="M4110">
            <v>0</v>
          </cell>
        </row>
        <row r="4111">
          <cell r="A4111"/>
          <cell r="B4111"/>
          <cell r="C4111"/>
          <cell r="D4111"/>
          <cell r="E4111"/>
          <cell r="L4111" t="e">
            <v>#DIV/0!</v>
          </cell>
          <cell r="M4111">
            <v>0</v>
          </cell>
        </row>
        <row r="4112">
          <cell r="A4112"/>
          <cell r="B4112"/>
          <cell r="C4112"/>
          <cell r="D4112"/>
          <cell r="E4112"/>
          <cell r="L4112" t="e">
            <v>#DIV/0!</v>
          </cell>
          <cell r="M4112">
            <v>0</v>
          </cell>
        </row>
        <row r="4113">
          <cell r="A4113"/>
          <cell r="B4113"/>
          <cell r="C4113"/>
          <cell r="D4113"/>
          <cell r="E4113"/>
          <cell r="L4113" t="e">
            <v>#DIV/0!</v>
          </cell>
          <cell r="M4113">
            <v>0</v>
          </cell>
        </row>
        <row r="4114">
          <cell r="A4114"/>
          <cell r="B4114"/>
          <cell r="C4114"/>
          <cell r="D4114"/>
          <cell r="E4114"/>
          <cell r="L4114" t="e">
            <v>#DIV/0!</v>
          </cell>
          <cell r="M4114">
            <v>0</v>
          </cell>
        </row>
        <row r="4115">
          <cell r="A4115"/>
          <cell r="B4115"/>
          <cell r="C4115"/>
          <cell r="D4115"/>
          <cell r="E4115"/>
          <cell r="L4115" t="e">
            <v>#DIV/0!</v>
          </cell>
          <cell r="M4115">
            <v>0</v>
          </cell>
        </row>
        <row r="4116">
          <cell r="A4116"/>
          <cell r="B4116"/>
          <cell r="C4116"/>
          <cell r="D4116"/>
          <cell r="E4116"/>
          <cell r="L4116" t="e">
            <v>#DIV/0!</v>
          </cell>
          <cell r="M4116">
            <v>0</v>
          </cell>
        </row>
        <row r="4117">
          <cell r="A4117"/>
          <cell r="B4117"/>
          <cell r="C4117"/>
          <cell r="D4117"/>
          <cell r="E4117"/>
          <cell r="L4117" t="e">
            <v>#DIV/0!</v>
          </cell>
          <cell r="M4117">
            <v>0</v>
          </cell>
        </row>
        <row r="4118">
          <cell r="A4118"/>
          <cell r="B4118"/>
          <cell r="C4118"/>
          <cell r="D4118"/>
          <cell r="E4118"/>
          <cell r="L4118" t="e">
            <v>#DIV/0!</v>
          </cell>
          <cell r="M4118">
            <v>0</v>
          </cell>
        </row>
        <row r="4119">
          <cell r="A4119"/>
          <cell r="B4119"/>
          <cell r="C4119"/>
          <cell r="D4119"/>
          <cell r="E4119"/>
          <cell r="L4119" t="e">
            <v>#DIV/0!</v>
          </cell>
          <cell r="M4119">
            <v>0</v>
          </cell>
        </row>
        <row r="4120">
          <cell r="A4120"/>
          <cell r="B4120"/>
          <cell r="C4120"/>
          <cell r="D4120"/>
          <cell r="E4120"/>
          <cell r="L4120" t="e">
            <v>#DIV/0!</v>
          </cell>
          <cell r="M4120">
            <v>0</v>
          </cell>
        </row>
        <row r="4121">
          <cell r="A4121"/>
          <cell r="B4121"/>
          <cell r="C4121"/>
          <cell r="D4121"/>
          <cell r="E4121"/>
          <cell r="L4121" t="e">
            <v>#DIV/0!</v>
          </cell>
          <cell r="M4121">
            <v>0</v>
          </cell>
        </row>
        <row r="4122">
          <cell r="A4122"/>
          <cell r="B4122"/>
          <cell r="C4122"/>
          <cell r="D4122"/>
          <cell r="E4122"/>
          <cell r="L4122" t="e">
            <v>#DIV/0!</v>
          </cell>
          <cell r="M4122">
            <v>0</v>
          </cell>
        </row>
        <row r="4123">
          <cell r="A4123"/>
          <cell r="B4123"/>
          <cell r="C4123"/>
          <cell r="D4123"/>
          <cell r="E4123"/>
          <cell r="L4123" t="e">
            <v>#DIV/0!</v>
          </cell>
          <cell r="M4123">
            <v>0</v>
          </cell>
        </row>
        <row r="4124">
          <cell r="A4124"/>
          <cell r="B4124"/>
          <cell r="C4124"/>
          <cell r="D4124"/>
          <cell r="E4124"/>
          <cell r="L4124" t="e">
            <v>#DIV/0!</v>
          </cell>
          <cell r="M4124">
            <v>0</v>
          </cell>
        </row>
        <row r="4125">
          <cell r="A4125"/>
          <cell r="B4125"/>
          <cell r="C4125"/>
          <cell r="D4125"/>
          <cell r="E4125"/>
          <cell r="L4125" t="e">
            <v>#DIV/0!</v>
          </cell>
          <cell r="M4125">
            <v>0</v>
          </cell>
        </row>
        <row r="4126">
          <cell r="A4126"/>
          <cell r="B4126"/>
          <cell r="C4126"/>
          <cell r="D4126"/>
          <cell r="E4126"/>
          <cell r="L4126" t="e">
            <v>#DIV/0!</v>
          </cell>
          <cell r="M4126">
            <v>0</v>
          </cell>
        </row>
        <row r="4127">
          <cell r="A4127"/>
          <cell r="B4127"/>
          <cell r="C4127"/>
          <cell r="D4127"/>
          <cell r="E4127"/>
          <cell r="L4127" t="e">
            <v>#DIV/0!</v>
          </cell>
          <cell r="M4127">
            <v>0</v>
          </cell>
        </row>
        <row r="4128">
          <cell r="A4128"/>
          <cell r="B4128"/>
          <cell r="C4128"/>
          <cell r="D4128"/>
          <cell r="E4128"/>
          <cell r="L4128" t="e">
            <v>#DIV/0!</v>
          </cell>
          <cell r="M4128">
            <v>0</v>
          </cell>
        </row>
        <row r="4129">
          <cell r="A4129"/>
          <cell r="B4129"/>
          <cell r="C4129"/>
          <cell r="D4129"/>
          <cell r="E4129"/>
          <cell r="L4129" t="e">
            <v>#DIV/0!</v>
          </cell>
          <cell r="M4129">
            <v>0</v>
          </cell>
        </row>
        <row r="4130">
          <cell r="A4130"/>
          <cell r="B4130"/>
          <cell r="C4130"/>
          <cell r="D4130"/>
          <cell r="E4130"/>
          <cell r="L4130" t="e">
            <v>#DIV/0!</v>
          </cell>
          <cell r="M4130">
            <v>0</v>
          </cell>
        </row>
        <row r="4131">
          <cell r="A4131"/>
          <cell r="B4131"/>
          <cell r="C4131"/>
          <cell r="D4131"/>
          <cell r="E4131"/>
          <cell r="L4131" t="e">
            <v>#DIV/0!</v>
          </cell>
          <cell r="M4131">
            <v>0</v>
          </cell>
        </row>
        <row r="4132">
          <cell r="A4132"/>
          <cell r="B4132"/>
          <cell r="C4132"/>
          <cell r="D4132"/>
          <cell r="E4132"/>
          <cell r="L4132" t="e">
            <v>#DIV/0!</v>
          </cell>
          <cell r="M4132">
            <v>0</v>
          </cell>
        </row>
        <row r="4133">
          <cell r="A4133"/>
          <cell r="B4133"/>
          <cell r="C4133"/>
          <cell r="D4133"/>
          <cell r="E4133"/>
          <cell r="L4133" t="e">
            <v>#DIV/0!</v>
          </cell>
          <cell r="M4133">
            <v>0</v>
          </cell>
        </row>
        <row r="4134">
          <cell r="A4134"/>
          <cell r="B4134"/>
          <cell r="C4134"/>
          <cell r="D4134"/>
          <cell r="E4134"/>
          <cell r="L4134" t="e">
            <v>#DIV/0!</v>
          </cell>
          <cell r="M4134">
            <v>0</v>
          </cell>
        </row>
        <row r="4135">
          <cell r="A4135"/>
          <cell r="B4135"/>
          <cell r="C4135"/>
          <cell r="D4135"/>
          <cell r="L4135" t="e">
            <v>#DIV/0!</v>
          </cell>
          <cell r="M4135">
            <v>0</v>
          </cell>
        </row>
        <row r="4136">
          <cell r="A4136"/>
          <cell r="B4136"/>
          <cell r="C4136"/>
          <cell r="D4136"/>
          <cell r="L4136" t="e">
            <v>#DIV/0!</v>
          </cell>
          <cell r="M4136">
            <v>0</v>
          </cell>
        </row>
        <row r="4137">
          <cell r="A4137"/>
          <cell r="B4137"/>
          <cell r="C4137"/>
          <cell r="D4137"/>
          <cell r="L4137" t="e">
            <v>#DIV/0!</v>
          </cell>
          <cell r="M4137">
            <v>0</v>
          </cell>
        </row>
        <row r="4138">
          <cell r="A4138"/>
          <cell r="B4138"/>
          <cell r="C4138"/>
          <cell r="D4138"/>
          <cell r="L4138" t="e">
            <v>#DIV/0!</v>
          </cell>
          <cell r="M4138">
            <v>0</v>
          </cell>
        </row>
        <row r="4139">
          <cell r="L4139" t="e">
            <v>#DIV/0!</v>
          </cell>
          <cell r="M4139">
            <v>0</v>
          </cell>
        </row>
        <row r="4140">
          <cell r="L4140" t="e">
            <v>#DIV/0!</v>
          </cell>
          <cell r="M4140">
            <v>0</v>
          </cell>
        </row>
        <row r="4141">
          <cell r="L4141" t="e">
            <v>#DIV/0!</v>
          </cell>
          <cell r="M4141">
            <v>0</v>
          </cell>
        </row>
        <row r="4142">
          <cell r="L4142" t="e">
            <v>#DIV/0!</v>
          </cell>
          <cell r="M4142">
            <v>0</v>
          </cell>
        </row>
        <row r="4143">
          <cell r="L4143" t="e">
            <v>#DIV/0!</v>
          </cell>
          <cell r="M4143">
            <v>0</v>
          </cell>
        </row>
        <row r="4144">
          <cell r="L4144" t="e">
            <v>#DIV/0!</v>
          </cell>
          <cell r="M4144">
            <v>0</v>
          </cell>
        </row>
        <row r="4145">
          <cell r="L4145" t="e">
            <v>#DIV/0!</v>
          </cell>
          <cell r="M4145">
            <v>0</v>
          </cell>
        </row>
        <row r="4146">
          <cell r="L4146" t="e">
            <v>#DIV/0!</v>
          </cell>
          <cell r="M4146">
            <v>0</v>
          </cell>
        </row>
        <row r="4147">
          <cell r="L4147" t="e">
            <v>#DIV/0!</v>
          </cell>
          <cell r="M4147">
            <v>0</v>
          </cell>
        </row>
        <row r="4148">
          <cell r="L4148" t="e">
            <v>#DIV/0!</v>
          </cell>
          <cell r="M4148">
            <v>0</v>
          </cell>
        </row>
        <row r="4149">
          <cell r="L4149" t="e">
            <v>#DIV/0!</v>
          </cell>
          <cell r="M4149">
            <v>0</v>
          </cell>
        </row>
        <row r="4150">
          <cell r="L4150" t="e">
            <v>#DIV/0!</v>
          </cell>
          <cell r="M4150">
            <v>0</v>
          </cell>
        </row>
        <row r="4151">
          <cell r="L4151" t="e">
            <v>#DIV/0!</v>
          </cell>
          <cell r="M4151">
            <v>0</v>
          </cell>
        </row>
        <row r="4152">
          <cell r="L4152" t="e">
            <v>#DIV/0!</v>
          </cell>
          <cell r="M4152">
            <v>0</v>
          </cell>
        </row>
        <row r="4153">
          <cell r="L4153" t="e">
            <v>#DIV/0!</v>
          </cell>
          <cell r="M4153">
            <v>0</v>
          </cell>
        </row>
        <row r="4154">
          <cell r="L4154" t="e">
            <v>#DIV/0!</v>
          </cell>
          <cell r="M4154">
            <v>0</v>
          </cell>
        </row>
        <row r="4155">
          <cell r="L4155" t="e">
            <v>#DIV/0!</v>
          </cell>
          <cell r="M4155">
            <v>0</v>
          </cell>
        </row>
        <row r="4156">
          <cell r="L4156" t="e">
            <v>#DIV/0!</v>
          </cell>
          <cell r="M4156">
            <v>0</v>
          </cell>
        </row>
        <row r="4157">
          <cell r="L4157" t="e">
            <v>#DIV/0!</v>
          </cell>
          <cell r="M4157">
            <v>0</v>
          </cell>
        </row>
        <row r="4158">
          <cell r="L4158" t="e">
            <v>#DIV/0!</v>
          </cell>
          <cell r="M4158">
            <v>0</v>
          </cell>
        </row>
        <row r="4159">
          <cell r="L4159" t="e">
            <v>#DIV/0!</v>
          </cell>
          <cell r="M4159">
            <v>0</v>
          </cell>
        </row>
        <row r="4160">
          <cell r="L4160" t="e">
            <v>#DIV/0!</v>
          </cell>
          <cell r="M4160">
            <v>0</v>
          </cell>
        </row>
        <row r="4161">
          <cell r="L4161" t="e">
            <v>#DIV/0!</v>
          </cell>
          <cell r="M4161">
            <v>0</v>
          </cell>
        </row>
        <row r="4162">
          <cell r="L4162" t="e">
            <v>#DIV/0!</v>
          </cell>
          <cell r="M4162">
            <v>0</v>
          </cell>
        </row>
        <row r="4163">
          <cell r="L4163" t="e">
            <v>#DIV/0!</v>
          </cell>
          <cell r="M4163">
            <v>0</v>
          </cell>
        </row>
        <row r="4164">
          <cell r="L4164" t="e">
            <v>#DIV/0!</v>
          </cell>
          <cell r="M4164">
            <v>0</v>
          </cell>
        </row>
        <row r="4165">
          <cell r="L4165" t="e">
            <v>#DIV/0!</v>
          </cell>
          <cell r="M4165">
            <v>0</v>
          </cell>
        </row>
        <row r="4166">
          <cell r="L4166" t="e">
            <v>#DIV/0!</v>
          </cell>
          <cell r="M4166">
            <v>0</v>
          </cell>
        </row>
        <row r="4167">
          <cell r="L4167" t="e">
            <v>#DIV/0!</v>
          </cell>
          <cell r="M4167">
            <v>0</v>
          </cell>
        </row>
        <row r="4168">
          <cell r="L4168" t="e">
            <v>#DIV/0!</v>
          </cell>
          <cell r="M4168">
            <v>0</v>
          </cell>
        </row>
        <row r="4169">
          <cell r="L4169" t="e">
            <v>#DIV/0!</v>
          </cell>
          <cell r="M4169">
            <v>0</v>
          </cell>
        </row>
        <row r="4170">
          <cell r="L4170" t="e">
            <v>#DIV/0!</v>
          </cell>
          <cell r="M4170">
            <v>0</v>
          </cell>
        </row>
        <row r="4171">
          <cell r="L4171" t="e">
            <v>#DIV/0!</v>
          </cell>
          <cell r="M4171">
            <v>0</v>
          </cell>
        </row>
        <row r="4172">
          <cell r="L4172" t="e">
            <v>#DIV/0!</v>
          </cell>
          <cell r="M4172">
            <v>0</v>
          </cell>
        </row>
        <row r="4173">
          <cell r="L4173" t="e">
            <v>#DIV/0!</v>
          </cell>
          <cell r="M4173">
            <v>0</v>
          </cell>
        </row>
        <row r="4174">
          <cell r="L4174" t="e">
            <v>#DIV/0!</v>
          </cell>
          <cell r="M4174">
            <v>0</v>
          </cell>
        </row>
        <row r="4175">
          <cell r="L4175" t="e">
            <v>#DIV/0!</v>
          </cell>
          <cell r="M4175">
            <v>0</v>
          </cell>
        </row>
        <row r="4176">
          <cell r="L4176" t="e">
            <v>#DIV/0!</v>
          </cell>
          <cell r="M4176">
            <v>0</v>
          </cell>
        </row>
        <row r="4177">
          <cell r="L4177" t="e">
            <v>#DIV/0!</v>
          </cell>
          <cell r="M4177">
            <v>0</v>
          </cell>
        </row>
        <row r="4178">
          <cell r="L4178" t="e">
            <v>#DIV/0!</v>
          </cell>
          <cell r="M4178">
            <v>0</v>
          </cell>
        </row>
        <row r="4179">
          <cell r="L4179" t="e">
            <v>#DIV/0!</v>
          </cell>
          <cell r="M4179">
            <v>0</v>
          </cell>
        </row>
        <row r="4180">
          <cell r="L4180" t="e">
            <v>#DIV/0!</v>
          </cell>
          <cell r="M4180">
            <v>0</v>
          </cell>
        </row>
        <row r="4181">
          <cell r="L4181" t="e">
            <v>#DIV/0!</v>
          </cell>
          <cell r="M4181">
            <v>0</v>
          </cell>
        </row>
        <row r="4182">
          <cell r="L4182" t="e">
            <v>#DIV/0!</v>
          </cell>
          <cell r="M4182">
            <v>0</v>
          </cell>
        </row>
        <row r="4183">
          <cell r="L4183" t="e">
            <v>#DIV/0!</v>
          </cell>
          <cell r="M4183">
            <v>0</v>
          </cell>
        </row>
        <row r="4184">
          <cell r="A4184"/>
          <cell r="L4184" t="e">
            <v>#DIV/0!</v>
          </cell>
          <cell r="M4184">
            <v>0</v>
          </cell>
        </row>
        <row r="4185">
          <cell r="L4185" t="e">
            <v>#DIV/0!</v>
          </cell>
          <cell r="M4185">
            <v>0</v>
          </cell>
        </row>
        <row r="4186">
          <cell r="L4186" t="e">
            <v>#DIV/0!</v>
          </cell>
          <cell r="M4186">
            <v>0</v>
          </cell>
        </row>
        <row r="4187">
          <cell r="L4187" t="e">
            <v>#DIV/0!</v>
          </cell>
          <cell r="M4187">
            <v>0</v>
          </cell>
        </row>
        <row r="4188">
          <cell r="L4188" t="e">
            <v>#DIV/0!</v>
          </cell>
          <cell r="M4188">
            <v>0</v>
          </cell>
        </row>
        <row r="4189">
          <cell r="L4189" t="e">
            <v>#DIV/0!</v>
          </cell>
          <cell r="M4189">
            <v>0</v>
          </cell>
        </row>
        <row r="4190">
          <cell r="L4190" t="e">
            <v>#DIV/0!</v>
          </cell>
          <cell r="M4190">
            <v>0</v>
          </cell>
        </row>
        <row r="4191">
          <cell r="L4191" t="e">
            <v>#DIV/0!</v>
          </cell>
          <cell r="M4191">
            <v>0</v>
          </cell>
        </row>
        <row r="4192">
          <cell r="L4192" t="e">
            <v>#DIV/0!</v>
          </cell>
          <cell r="M4192">
            <v>0</v>
          </cell>
        </row>
        <row r="4193">
          <cell r="L4193" t="e">
            <v>#DIV/0!</v>
          </cell>
          <cell r="M4193">
            <v>0</v>
          </cell>
        </row>
        <row r="4194">
          <cell r="L4194" t="e">
            <v>#DIV/0!</v>
          </cell>
          <cell r="M4194">
            <v>0</v>
          </cell>
        </row>
        <row r="4195">
          <cell r="L4195" t="e">
            <v>#DIV/0!</v>
          </cell>
          <cell r="M4195">
            <v>0</v>
          </cell>
        </row>
        <row r="4196">
          <cell r="L4196" t="e">
            <v>#DIV/0!</v>
          </cell>
          <cell r="M4196">
            <v>0</v>
          </cell>
        </row>
        <row r="4197">
          <cell r="L4197" t="e">
            <v>#DIV/0!</v>
          </cell>
          <cell r="M4197">
            <v>0</v>
          </cell>
        </row>
        <row r="4198">
          <cell r="L4198" t="e">
            <v>#DIV/0!</v>
          </cell>
          <cell r="M4198">
            <v>0</v>
          </cell>
        </row>
        <row r="4199">
          <cell r="L4199" t="e">
            <v>#DIV/0!</v>
          </cell>
          <cell r="M4199">
            <v>0</v>
          </cell>
        </row>
        <row r="4200">
          <cell r="L4200" t="e">
            <v>#DIV/0!</v>
          </cell>
          <cell r="M4200">
            <v>0</v>
          </cell>
        </row>
        <row r="4201">
          <cell r="L4201" t="e">
            <v>#DIV/0!</v>
          </cell>
          <cell r="M4201">
            <v>0</v>
          </cell>
        </row>
        <row r="4202">
          <cell r="L4202" t="e">
            <v>#DIV/0!</v>
          </cell>
          <cell r="M4202">
            <v>0</v>
          </cell>
        </row>
        <row r="4203">
          <cell r="L4203" t="e">
            <v>#DIV/0!</v>
          </cell>
          <cell r="M4203">
            <v>0</v>
          </cell>
        </row>
        <row r="4204">
          <cell r="L4204" t="e">
            <v>#DIV/0!</v>
          </cell>
          <cell r="M4204">
            <v>0</v>
          </cell>
        </row>
        <row r="4205">
          <cell r="L4205" t="e">
            <v>#DIV/0!</v>
          </cell>
          <cell r="M4205">
            <v>0</v>
          </cell>
        </row>
        <row r="4206">
          <cell r="L4206" t="e">
            <v>#DIV/0!</v>
          </cell>
          <cell r="M4206">
            <v>0</v>
          </cell>
        </row>
        <row r="4207">
          <cell r="L4207" t="e">
            <v>#DIV/0!</v>
          </cell>
          <cell r="M4207">
            <v>0</v>
          </cell>
        </row>
        <row r="4208">
          <cell r="L4208" t="e">
            <v>#DIV/0!</v>
          </cell>
          <cell r="M4208">
            <v>0</v>
          </cell>
        </row>
        <row r="4209">
          <cell r="L4209" t="e">
            <v>#DIV/0!</v>
          </cell>
          <cell r="M4209">
            <v>0</v>
          </cell>
        </row>
        <row r="4210">
          <cell r="L4210" t="e">
            <v>#DIV/0!</v>
          </cell>
          <cell r="M4210">
            <v>0</v>
          </cell>
        </row>
        <row r="4211">
          <cell r="L4211" t="e">
            <v>#DIV/0!</v>
          </cell>
          <cell r="M4211">
            <v>0</v>
          </cell>
        </row>
        <row r="4212">
          <cell r="L4212" t="e">
            <v>#DIV/0!</v>
          </cell>
          <cell r="M4212">
            <v>0</v>
          </cell>
        </row>
        <row r="4213">
          <cell r="L4213" t="e">
            <v>#DIV/0!</v>
          </cell>
          <cell r="M4213">
            <v>0</v>
          </cell>
        </row>
        <row r="4214">
          <cell r="L4214" t="e">
            <v>#DIV/0!</v>
          </cell>
          <cell r="M4214">
            <v>0</v>
          </cell>
        </row>
        <row r="4215">
          <cell r="L4215" t="e">
            <v>#DIV/0!</v>
          </cell>
          <cell r="M4215">
            <v>0</v>
          </cell>
        </row>
        <row r="4216">
          <cell r="L4216" t="e">
            <v>#DIV/0!</v>
          </cell>
          <cell r="M4216">
            <v>0</v>
          </cell>
        </row>
        <row r="4217">
          <cell r="L4217" t="e">
            <v>#DIV/0!</v>
          </cell>
          <cell r="M4217">
            <v>0</v>
          </cell>
        </row>
        <row r="4218">
          <cell r="L4218" t="e">
            <v>#DIV/0!</v>
          </cell>
          <cell r="M4218">
            <v>0</v>
          </cell>
        </row>
        <row r="4219">
          <cell r="L4219" t="e">
            <v>#DIV/0!</v>
          </cell>
          <cell r="M4219">
            <v>0</v>
          </cell>
        </row>
        <row r="4220">
          <cell r="L4220" t="e">
            <v>#DIV/0!</v>
          </cell>
          <cell r="M4220">
            <v>0</v>
          </cell>
        </row>
        <row r="4221">
          <cell r="L4221" t="e">
            <v>#DIV/0!</v>
          </cell>
          <cell r="M4221">
            <v>0</v>
          </cell>
        </row>
        <row r="4222">
          <cell r="L4222" t="e">
            <v>#DIV/0!</v>
          </cell>
          <cell r="M4222">
            <v>0</v>
          </cell>
        </row>
        <row r="4223">
          <cell r="L4223" t="e">
            <v>#DIV/0!</v>
          </cell>
          <cell r="M4223">
            <v>0</v>
          </cell>
        </row>
        <row r="4224">
          <cell r="L4224" t="e">
            <v>#DIV/0!</v>
          </cell>
          <cell r="M4224">
            <v>0</v>
          </cell>
        </row>
        <row r="4225">
          <cell r="L4225" t="e">
            <v>#DIV/0!</v>
          </cell>
          <cell r="M4225">
            <v>0</v>
          </cell>
        </row>
        <row r="4226">
          <cell r="L4226" t="e">
            <v>#DIV/0!</v>
          </cell>
          <cell r="M4226">
            <v>0</v>
          </cell>
        </row>
        <row r="4227">
          <cell r="L4227" t="e">
            <v>#DIV/0!</v>
          </cell>
          <cell r="M4227">
            <v>0</v>
          </cell>
        </row>
        <row r="4228">
          <cell r="L4228" t="e">
            <v>#DIV/0!</v>
          </cell>
          <cell r="M4228">
            <v>0</v>
          </cell>
        </row>
        <row r="4229">
          <cell r="L4229" t="e">
            <v>#DIV/0!</v>
          </cell>
          <cell r="M4229">
            <v>0</v>
          </cell>
        </row>
        <row r="4230">
          <cell r="L4230" t="e">
            <v>#DIV/0!</v>
          </cell>
          <cell r="M4230">
            <v>0</v>
          </cell>
        </row>
        <row r="4231">
          <cell r="L4231" t="e">
            <v>#DIV/0!</v>
          </cell>
          <cell r="M4231">
            <v>0</v>
          </cell>
        </row>
        <row r="4232">
          <cell r="L4232" t="e">
            <v>#DIV/0!</v>
          </cell>
          <cell r="M4232">
            <v>0</v>
          </cell>
        </row>
        <row r="4233">
          <cell r="L4233" t="e">
            <v>#DIV/0!</v>
          </cell>
          <cell r="M4233">
            <v>0</v>
          </cell>
        </row>
        <row r="4234">
          <cell r="L4234" t="e">
            <v>#DIV/0!</v>
          </cell>
          <cell r="M4234">
            <v>0</v>
          </cell>
        </row>
        <row r="4235">
          <cell r="L4235" t="e">
            <v>#DIV/0!</v>
          </cell>
          <cell r="M4235">
            <v>0</v>
          </cell>
        </row>
        <row r="4236">
          <cell r="L4236" t="e">
            <v>#DIV/0!</v>
          </cell>
          <cell r="M4236">
            <v>0</v>
          </cell>
        </row>
        <row r="4237">
          <cell r="L4237" t="e">
            <v>#DIV/0!</v>
          </cell>
          <cell r="M4237">
            <v>0</v>
          </cell>
        </row>
        <row r="4238">
          <cell r="L4238" t="e">
            <v>#DIV/0!</v>
          </cell>
          <cell r="M4238">
            <v>0</v>
          </cell>
        </row>
        <row r="4239">
          <cell r="L4239" t="e">
            <v>#DIV/0!</v>
          </cell>
          <cell r="M4239">
            <v>0</v>
          </cell>
        </row>
        <row r="4240">
          <cell r="L4240" t="e">
            <v>#DIV/0!</v>
          </cell>
          <cell r="M4240">
            <v>0</v>
          </cell>
        </row>
        <row r="4241">
          <cell r="L4241" t="e">
            <v>#DIV/0!</v>
          </cell>
          <cell r="M4241">
            <v>0</v>
          </cell>
        </row>
        <row r="4242">
          <cell r="L4242" t="e">
            <v>#DIV/0!</v>
          </cell>
          <cell r="M4242">
            <v>0</v>
          </cell>
        </row>
        <row r="4243">
          <cell r="L4243" t="e">
            <v>#DIV/0!</v>
          </cell>
          <cell r="M4243">
            <v>0</v>
          </cell>
        </row>
        <row r="4244">
          <cell r="L4244" t="e">
            <v>#DIV/0!</v>
          </cell>
          <cell r="M4244">
            <v>0</v>
          </cell>
        </row>
        <row r="4245">
          <cell r="L4245" t="e">
            <v>#DIV/0!</v>
          </cell>
          <cell r="M4245">
            <v>0</v>
          </cell>
        </row>
        <row r="4246">
          <cell r="L4246" t="e">
            <v>#DIV/0!</v>
          </cell>
          <cell r="M4246">
            <v>0</v>
          </cell>
        </row>
        <row r="4247">
          <cell r="L4247" t="e">
            <v>#DIV/0!</v>
          </cell>
          <cell r="M4247">
            <v>0</v>
          </cell>
        </row>
        <row r="4248">
          <cell r="L4248" t="e">
            <v>#DIV/0!</v>
          </cell>
          <cell r="M4248">
            <v>0</v>
          </cell>
        </row>
        <row r="4249">
          <cell r="L4249" t="e">
            <v>#DIV/0!</v>
          </cell>
          <cell r="M4249">
            <v>0</v>
          </cell>
        </row>
        <row r="4250">
          <cell r="L4250" t="e">
            <v>#DIV/0!</v>
          </cell>
          <cell r="M4250">
            <v>0</v>
          </cell>
        </row>
        <row r="4251">
          <cell r="L4251" t="e">
            <v>#DIV/0!</v>
          </cell>
          <cell r="M4251">
            <v>0</v>
          </cell>
        </row>
        <row r="4252">
          <cell r="L4252" t="e">
            <v>#DIV/0!</v>
          </cell>
          <cell r="M4252">
            <v>0</v>
          </cell>
        </row>
        <row r="4253">
          <cell r="L4253" t="e">
            <v>#DIV/0!</v>
          </cell>
          <cell r="M4253">
            <v>0</v>
          </cell>
        </row>
        <row r="4254">
          <cell r="L4254" t="e">
            <v>#DIV/0!</v>
          </cell>
          <cell r="M4254">
            <v>0</v>
          </cell>
        </row>
        <row r="4255">
          <cell r="L4255" t="e">
            <v>#DIV/0!</v>
          </cell>
          <cell r="M4255">
            <v>0</v>
          </cell>
        </row>
        <row r="4256">
          <cell r="L4256" t="e">
            <v>#DIV/0!</v>
          </cell>
          <cell r="M4256">
            <v>0</v>
          </cell>
        </row>
        <row r="4257">
          <cell r="L4257" t="e">
            <v>#DIV/0!</v>
          </cell>
          <cell r="M4257">
            <v>0</v>
          </cell>
        </row>
        <row r="4258">
          <cell r="L4258" t="e">
            <v>#DIV/0!</v>
          </cell>
          <cell r="M4258">
            <v>0</v>
          </cell>
        </row>
        <row r="4259">
          <cell r="L4259" t="e">
            <v>#DIV/0!</v>
          </cell>
          <cell r="M4259">
            <v>0</v>
          </cell>
        </row>
        <row r="4260">
          <cell r="L4260" t="e">
            <v>#DIV/0!</v>
          </cell>
          <cell r="M4260">
            <v>0</v>
          </cell>
        </row>
        <row r="4261">
          <cell r="L4261" t="e">
            <v>#DIV/0!</v>
          </cell>
          <cell r="M4261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EUR PLEIN"/>
    </sheetNames>
    <sheetDataSet>
      <sheetData sheetId="0">
        <row r="1">
          <cell r="L1" t="str">
            <v>Semaine prochaine</v>
          </cell>
        </row>
        <row r="2">
          <cell r="H2"/>
          <cell r="I2"/>
          <cell r="J2"/>
          <cell r="K2" t="str">
            <v>Légende :</v>
          </cell>
          <cell r="L2" t="str">
            <v>Cette semaine</v>
          </cell>
        </row>
        <row r="3">
          <cell r="H3"/>
          <cell r="I3"/>
          <cell r="J3"/>
          <cell r="K3"/>
          <cell r="L3" t="str">
            <v>Livré</v>
          </cell>
        </row>
        <row r="4">
          <cell r="F4" t="str">
            <v>N° CONTENEUR</v>
          </cell>
          <cell r="G4" t="str">
            <v>NAVIRE</v>
          </cell>
          <cell r="H4" t="str">
            <v>ETD</v>
          </cell>
          <cell r="I4" t="str">
            <v>ATD</v>
          </cell>
          <cell r="J4" t="str">
            <v>ETA</v>
          </cell>
          <cell r="K4" t="str">
            <v>DDL ESTIMEE</v>
          </cell>
          <cell r="L4" t="str">
            <v>DDL CONFIRMEE</v>
          </cell>
        </row>
        <row r="5">
          <cell r="F5" t="str">
            <v>ONEU0587126</v>
          </cell>
          <cell r="G5" t="str">
            <v>SALAHUDDIN</v>
          </cell>
          <cell r="H5">
            <v>45239</v>
          </cell>
          <cell r="I5">
            <v>45240</v>
          </cell>
          <cell r="J5">
            <v>45280</v>
          </cell>
          <cell r="K5">
            <v>45285</v>
          </cell>
          <cell r="L5">
            <v>45293.333333333336</v>
          </cell>
        </row>
        <row r="6">
          <cell r="F6" t="str">
            <v>ONEU0587337</v>
          </cell>
          <cell r="G6" t="str">
            <v>SALAHUDDIN</v>
          </cell>
          <cell r="H6">
            <v>45239</v>
          </cell>
          <cell r="I6">
            <v>45240</v>
          </cell>
          <cell r="J6">
            <v>45280</v>
          </cell>
          <cell r="K6">
            <v>45286</v>
          </cell>
          <cell r="L6">
            <v>45294.333333333336</v>
          </cell>
        </row>
        <row r="7">
          <cell r="F7" t="str">
            <v>ONEU2242458</v>
          </cell>
          <cell r="G7" t="str">
            <v>SALAHUDDIN</v>
          </cell>
          <cell r="H7">
            <v>45242</v>
          </cell>
          <cell r="I7">
            <v>45245</v>
          </cell>
          <cell r="J7">
            <v>45286</v>
          </cell>
          <cell r="K7">
            <v>45294</v>
          </cell>
          <cell r="L7">
            <v>45295.333333333336</v>
          </cell>
        </row>
        <row r="8">
          <cell r="F8" t="str">
            <v>EMCU8639799</v>
          </cell>
          <cell r="G8" t="str">
            <v>CMA CGM SCANDOLA</v>
          </cell>
          <cell r="H8">
            <v>45260</v>
          </cell>
          <cell r="I8">
            <v>45268</v>
          </cell>
          <cell r="J8">
            <v>45310</v>
          </cell>
          <cell r="K8">
            <v>45315</v>
          </cell>
          <cell r="L8">
            <v>45315.333333333336</v>
          </cell>
        </row>
        <row r="9">
          <cell r="F9" t="str">
            <v>TCKU4390356</v>
          </cell>
          <cell r="G9" t="str">
            <v>AL MURABBA</v>
          </cell>
          <cell r="H9">
            <v>45256</v>
          </cell>
          <cell r="I9">
            <v>45260</v>
          </cell>
          <cell r="J9">
            <v>45316</v>
          </cell>
          <cell r="K9">
            <v>45322</v>
          </cell>
          <cell r="L9">
            <v>45322.333333333336</v>
          </cell>
        </row>
        <row r="10">
          <cell r="F10" t="str">
            <v>EMCU8649708</v>
          </cell>
          <cell r="G10" t="str">
            <v>THALASSA AVRA</v>
          </cell>
          <cell r="H10">
            <v>45267</v>
          </cell>
          <cell r="I10">
            <v>45267</v>
          </cell>
          <cell r="J10">
            <v>44950</v>
          </cell>
          <cell r="K10">
            <v>45327</v>
          </cell>
          <cell r="L10">
            <v>45329</v>
          </cell>
        </row>
        <row r="11">
          <cell r="F11" t="str">
            <v>ONEU5335549</v>
          </cell>
          <cell r="G11" t="str">
            <v>AFIF</v>
          </cell>
          <cell r="H11">
            <v>45285</v>
          </cell>
          <cell r="I11">
            <v>45654</v>
          </cell>
          <cell r="J11">
            <v>45346</v>
          </cell>
          <cell r="K11">
            <v>45351</v>
          </cell>
          <cell r="L11">
            <v>45352.291666666664</v>
          </cell>
        </row>
        <row r="12">
          <cell r="F12" t="str">
            <v>ONEU5338492</v>
          </cell>
          <cell r="G12" t="str">
            <v>AL JASRAH</v>
          </cell>
          <cell r="H12">
            <v>44933</v>
          </cell>
          <cell r="I12">
            <v>45299</v>
          </cell>
          <cell r="J12">
            <v>45356</v>
          </cell>
          <cell r="K12">
            <v>45363</v>
          </cell>
          <cell r="L12">
            <v>45362.333333333336</v>
          </cell>
        </row>
        <row r="13">
          <cell r="F13" t="str">
            <v>NYKU3694619</v>
          </cell>
          <cell r="G13" t="str">
            <v>AL JASRAH</v>
          </cell>
          <cell r="H13">
            <v>45298</v>
          </cell>
          <cell r="I13">
            <v>45299</v>
          </cell>
          <cell r="J13">
            <v>45357</v>
          </cell>
          <cell r="K13">
            <v>45363</v>
          </cell>
          <cell r="L13">
            <v>45362.53125</v>
          </cell>
        </row>
        <row r="14">
          <cell r="F14" t="str">
            <v>TXGU5772279</v>
          </cell>
          <cell r="G14" t="str">
            <v>EVER GOODS</v>
          </cell>
          <cell r="H14">
            <v>45311</v>
          </cell>
          <cell r="I14">
            <v>45312</v>
          </cell>
          <cell r="J14">
            <v>45364</v>
          </cell>
          <cell r="K14">
            <v>45369</v>
          </cell>
          <cell r="L14">
            <v>45370.333333333336</v>
          </cell>
        </row>
        <row r="15">
          <cell r="F15" t="str">
            <v>GCNU1430544</v>
          </cell>
          <cell r="G15" t="str">
            <v>APL SINGAPURA</v>
          </cell>
          <cell r="H15">
            <v>45316</v>
          </cell>
          <cell r="I15">
            <v>45316</v>
          </cell>
          <cell r="J15">
            <v>45364</v>
          </cell>
          <cell r="K15">
            <v>45369</v>
          </cell>
          <cell r="L15">
            <v>45370.53125</v>
          </cell>
        </row>
        <row r="16">
          <cell r="F16" t="str">
            <v>EGHU3383288</v>
          </cell>
          <cell r="G16" t="str">
            <v>CMA CGM CEDRUS</v>
          </cell>
          <cell r="H16">
            <v>45322</v>
          </cell>
          <cell r="I16">
            <v>45326</v>
          </cell>
          <cell r="J16">
            <v>45367</v>
          </cell>
          <cell r="K16">
            <v>45371</v>
          </cell>
          <cell r="L16">
            <v>45376.333333333336</v>
          </cell>
        </row>
        <row r="17">
          <cell r="F17" t="str">
            <v>BMOU5228530</v>
          </cell>
          <cell r="G17" t="str">
            <v xml:space="preserve">EVER TOP </v>
          </cell>
          <cell r="H17">
            <v>45316</v>
          </cell>
          <cell r="I17">
            <v>45318</v>
          </cell>
          <cell r="J17">
            <v>45364</v>
          </cell>
          <cell r="K17">
            <v>45373</v>
          </cell>
          <cell r="L17">
            <v>45376</v>
          </cell>
        </row>
        <row r="18">
          <cell r="F18" t="str">
            <v>OOLU9267994</v>
          </cell>
          <cell r="G18" t="str">
            <v>OOCL France 058W</v>
          </cell>
          <cell r="H18">
            <v>45337</v>
          </cell>
          <cell r="I18">
            <v>45340</v>
          </cell>
          <cell r="J18">
            <v>45376</v>
          </cell>
          <cell r="K18">
            <v>45379</v>
          </cell>
          <cell r="L18">
            <v>45384.333333333336</v>
          </cell>
        </row>
        <row r="19">
          <cell r="F19" t="str">
            <v>GCNU1430478</v>
          </cell>
          <cell r="G19" t="str">
            <v>COSCO SHIPPING ARIES</v>
          </cell>
          <cell r="H19">
            <v>45323</v>
          </cell>
          <cell r="I19">
            <v>45330</v>
          </cell>
          <cell r="J19">
            <v>45374</v>
          </cell>
          <cell r="K19">
            <v>45379</v>
          </cell>
          <cell r="L19">
            <v>45385.333333333336</v>
          </cell>
        </row>
        <row r="20">
          <cell r="F20" t="str">
            <v>102 CTNS / 1,551M3</v>
          </cell>
          <cell r="G20" t="str">
            <v>YM INAUGURATION</v>
          </cell>
          <cell r="H20">
            <v>45320</v>
          </cell>
          <cell r="I20">
            <v>45318</v>
          </cell>
          <cell r="J20">
            <v>45374</v>
          </cell>
          <cell r="K20">
            <v>45387</v>
          </cell>
          <cell r="L20">
            <v>45391</v>
          </cell>
        </row>
        <row r="21">
          <cell r="F21" t="str">
            <v>BMOU5045062</v>
          </cell>
          <cell r="G21" t="str">
            <v>EVER FRAME</v>
          </cell>
          <cell r="H21">
            <v>45341</v>
          </cell>
          <cell r="I21">
            <v>45341</v>
          </cell>
          <cell r="J21">
            <v>45387</v>
          </cell>
          <cell r="K21">
            <v>45393</v>
          </cell>
          <cell r="L21">
            <v>45393.333333333336</v>
          </cell>
        </row>
        <row r="22">
          <cell r="F22" t="str">
            <v>FCIU9781389</v>
          </cell>
          <cell r="G22" t="str">
            <v>EVER FRAME</v>
          </cell>
          <cell r="H22">
            <v>45341</v>
          </cell>
          <cell r="I22">
            <v>45341</v>
          </cell>
          <cell r="J22">
            <v>45387</v>
          </cell>
          <cell r="K22">
            <v>45393</v>
          </cell>
          <cell r="L22">
            <v>45394.291666666664</v>
          </cell>
        </row>
        <row r="23">
          <cell r="F23" t="str">
            <v>EITU1666382</v>
          </cell>
          <cell r="G23" t="str">
            <v xml:space="preserve">CSCL MERCURY </v>
          </cell>
          <cell r="H23">
            <v>45357</v>
          </cell>
          <cell r="I23">
            <v>45358</v>
          </cell>
          <cell r="J23">
            <v>45402</v>
          </cell>
          <cell r="K23">
            <v>45412</v>
          </cell>
          <cell r="L23">
            <v>45412</v>
          </cell>
        </row>
        <row r="24">
          <cell r="F24" t="str">
            <v>ONEU3174276</v>
          </cell>
          <cell r="G24" t="str">
            <v>AL MURABBA</v>
          </cell>
          <cell r="H24">
            <v>45382</v>
          </cell>
          <cell r="I24">
            <v>45384</v>
          </cell>
          <cell r="J24">
            <v>45432</v>
          </cell>
          <cell r="K24">
            <v>45439</v>
          </cell>
          <cell r="L24">
            <v>45441.333333333336</v>
          </cell>
        </row>
        <row r="25">
          <cell r="F25" t="str">
            <v>OOLU0616101</v>
          </cell>
          <cell r="G25" t="str">
            <v>CMA CGM TENERE</v>
          </cell>
          <cell r="H25">
            <v>45423</v>
          </cell>
          <cell r="I25">
            <v>45423</v>
          </cell>
          <cell r="J25">
            <v>45455</v>
          </cell>
          <cell r="K25">
            <v>45461</v>
          </cell>
          <cell r="L25">
            <v>45469.53125</v>
          </cell>
        </row>
        <row r="26">
          <cell r="F26" t="str">
            <v>OOLU0275833</v>
          </cell>
          <cell r="G26" t="str">
            <v>CMA CGM TENERE</v>
          </cell>
          <cell r="H26">
            <v>45423</v>
          </cell>
          <cell r="I26">
            <v>45423</v>
          </cell>
          <cell r="J26">
            <v>45455</v>
          </cell>
          <cell r="K26">
            <v>45461</v>
          </cell>
          <cell r="L26">
            <v>45474.3125</v>
          </cell>
        </row>
        <row r="27">
          <cell r="F27" t="str">
            <v>BSIU2840152</v>
          </cell>
          <cell r="G27" t="str">
            <v>CMA CGM TENERE</v>
          </cell>
          <cell r="H27">
            <v>45423</v>
          </cell>
          <cell r="I27">
            <v>45423</v>
          </cell>
          <cell r="J27">
            <v>45455</v>
          </cell>
          <cell r="K27">
            <v>45461</v>
          </cell>
          <cell r="L27">
            <v>45481.291666666664</v>
          </cell>
        </row>
        <row r="28">
          <cell r="F28" t="str">
            <v>CSNU4044183</v>
          </cell>
          <cell r="G28" t="str">
            <v>CSCL ARCTIC OCEAN</v>
          </cell>
          <cell r="H28">
            <v>45457</v>
          </cell>
          <cell r="I28">
            <v>45461</v>
          </cell>
          <cell r="J28">
            <v>45506</v>
          </cell>
          <cell r="K28">
            <v>45512</v>
          </cell>
          <cell r="L28">
            <v>45512.291666666664</v>
          </cell>
        </row>
        <row r="29">
          <cell r="F29" t="str">
            <v>CBHU8835219</v>
          </cell>
          <cell r="G29" t="str">
            <v>CSCL ARCTIC OCEAN</v>
          </cell>
          <cell r="H29">
            <v>45457</v>
          </cell>
          <cell r="I29">
            <v>45461</v>
          </cell>
          <cell r="J29">
            <v>45506</v>
          </cell>
          <cell r="K29">
            <v>45512</v>
          </cell>
          <cell r="L29">
            <v>45524.291666666664</v>
          </cell>
        </row>
        <row r="30">
          <cell r="F30" t="str">
            <v>JYSU2000028</v>
          </cell>
          <cell r="G30" t="str">
            <v>CMA CGM GREENLAND</v>
          </cell>
          <cell r="H30">
            <v>45484</v>
          </cell>
          <cell r="I30">
            <v>45484</v>
          </cell>
          <cell r="J30">
            <v>45520</v>
          </cell>
          <cell r="K30">
            <v>45526</v>
          </cell>
          <cell r="L30">
            <v>45533.291666666664</v>
          </cell>
        </row>
        <row r="31">
          <cell r="F31" t="str">
            <v>JYSU2000352</v>
          </cell>
          <cell r="G31" t="str">
            <v xml:space="preserve">CMA CGM MUSSET </v>
          </cell>
          <cell r="H31">
            <v>45488</v>
          </cell>
          <cell r="I31">
            <v>45490</v>
          </cell>
          <cell r="J31">
            <v>45533</v>
          </cell>
          <cell r="K31">
            <v>45539</v>
          </cell>
          <cell r="L31">
            <v>45539.333333333336</v>
          </cell>
        </row>
        <row r="32">
          <cell r="F32" t="str">
            <v>TGBU7976556</v>
          </cell>
          <cell r="G32" t="str">
            <v>COSCO SHIPPING NEBULA</v>
          </cell>
          <cell r="H32">
            <v>45484</v>
          </cell>
          <cell r="I32">
            <v>45486</v>
          </cell>
          <cell r="J32">
            <v>45536</v>
          </cell>
          <cell r="K32">
            <v>45539</v>
          </cell>
          <cell r="L32">
            <v>45540.333333333336</v>
          </cell>
        </row>
        <row r="33">
          <cell r="F33" t="str">
            <v>YMMU1208700</v>
          </cell>
          <cell r="G33" t="str">
            <v>AL MURABBA</v>
          </cell>
          <cell r="H33">
            <v>45513</v>
          </cell>
          <cell r="I33">
            <v>45495</v>
          </cell>
          <cell r="J33">
            <v>45552</v>
          </cell>
          <cell r="K33">
            <v>45558</v>
          </cell>
          <cell r="L33">
            <v>45558.333333333336</v>
          </cell>
        </row>
        <row r="34">
          <cell r="F34" t="str">
            <v>HMMU6093757</v>
          </cell>
          <cell r="G34" t="str">
            <v>ONE FOCUS V.0002W</v>
          </cell>
          <cell r="H34">
            <v>45513</v>
          </cell>
          <cell r="I34">
            <v>45519</v>
          </cell>
          <cell r="J34">
            <v>45571</v>
          </cell>
          <cell r="K34">
            <v>45575</v>
          </cell>
          <cell r="L34">
            <v>45575.333333333336</v>
          </cell>
        </row>
        <row r="35">
          <cell r="F35" t="str">
            <v>SKIU4800478</v>
          </cell>
          <cell r="G35" t="str">
            <v>ONE MADRID</v>
          </cell>
          <cell r="H35">
            <v>45520</v>
          </cell>
          <cell r="I35">
            <v>45522</v>
          </cell>
          <cell r="J35">
            <v>45575</v>
          </cell>
          <cell r="K35">
            <v>45581</v>
          </cell>
          <cell r="L35">
            <v>45581.333333333336</v>
          </cell>
        </row>
        <row r="36">
          <cell r="F36" t="str">
            <v>TEMU0235124</v>
          </cell>
          <cell r="G36" t="str">
            <v>ONE MADRID</v>
          </cell>
          <cell r="H36">
            <v>45520</v>
          </cell>
          <cell r="I36">
            <v>45522</v>
          </cell>
          <cell r="J36">
            <v>45575</v>
          </cell>
          <cell r="K36">
            <v>45581</v>
          </cell>
          <cell r="L36">
            <v>45581.53125</v>
          </cell>
        </row>
        <row r="37">
          <cell r="F37" t="str">
            <v>MAGU5483354</v>
          </cell>
          <cell r="G37" t="str">
            <v>TRAIN</v>
          </cell>
          <cell r="H37">
            <v>45556</v>
          </cell>
          <cell r="I37">
            <v>45557</v>
          </cell>
          <cell r="J37">
            <v>45583</v>
          </cell>
          <cell r="K37">
            <v>45587</v>
          </cell>
          <cell r="L37">
            <v>45596</v>
          </cell>
        </row>
        <row r="38">
          <cell r="F38" t="str">
            <v>HDMU4739109</v>
          </cell>
          <cell r="G38" t="str">
            <v>AFIF</v>
          </cell>
          <cell r="H38">
            <v>45535</v>
          </cell>
          <cell r="I38">
            <v>45537</v>
          </cell>
          <cell r="J38">
            <v>45589</v>
          </cell>
          <cell r="K38">
            <v>45594</v>
          </cell>
          <cell r="L38">
            <v>45594.25</v>
          </cell>
        </row>
        <row r="39">
          <cell r="F39" t="str">
            <v>HDMU2846730</v>
          </cell>
          <cell r="G39" t="str">
            <v>AFIF</v>
          </cell>
          <cell r="H39">
            <v>45535</v>
          </cell>
          <cell r="I39">
            <v>45537</v>
          </cell>
          <cell r="J39">
            <v>45589</v>
          </cell>
          <cell r="K39">
            <v>45594</v>
          </cell>
          <cell r="L39">
            <v>45594.520833333336</v>
          </cell>
        </row>
        <row r="40">
          <cell r="F40" t="str">
            <v>FFAU5402140</v>
          </cell>
          <cell r="G40" t="str">
            <v>TRAIN</v>
          </cell>
          <cell r="H40">
            <v>45570</v>
          </cell>
          <cell r="I40">
            <v>45570</v>
          </cell>
          <cell r="J40">
            <v>45597</v>
          </cell>
          <cell r="K40">
            <v>45600</v>
          </cell>
          <cell r="L40">
            <v>45600</v>
          </cell>
        </row>
        <row r="41">
          <cell r="F41" t="str">
            <v>ONEU0275107</v>
          </cell>
          <cell r="G41" t="str">
            <v>AFIF</v>
          </cell>
          <cell r="H41">
            <v>45537</v>
          </cell>
          <cell r="I41">
            <v>45537</v>
          </cell>
          <cell r="J41">
            <v>45590</v>
          </cell>
          <cell r="K41">
            <v>45601</v>
          </cell>
          <cell r="L41">
            <v>45601</v>
          </cell>
        </row>
        <row r="42">
          <cell r="F42" t="str">
            <v>YMLU9021651</v>
          </cell>
          <cell r="G42" t="str">
            <v>LINAH</v>
          </cell>
          <cell r="H42">
            <v>45547</v>
          </cell>
          <cell r="I42">
            <v>45547</v>
          </cell>
          <cell r="J42">
            <v>45596</v>
          </cell>
          <cell r="K42">
            <v>45608</v>
          </cell>
          <cell r="L42">
            <v>45608</v>
          </cell>
        </row>
        <row r="43">
          <cell r="F43" t="str">
            <v>TCKU1891755</v>
          </cell>
          <cell r="G43" t="str">
            <v>CMA CGM JULES VERNE</v>
          </cell>
          <cell r="H43">
            <v>45562</v>
          </cell>
          <cell r="I43" t="str">
            <v>27-sept.</v>
          </cell>
          <cell r="J43">
            <v>45609</v>
          </cell>
          <cell r="K43">
            <v>45615</v>
          </cell>
          <cell r="L43">
            <v>45615.333333333336</v>
          </cell>
        </row>
        <row r="44">
          <cell r="F44" t="str">
            <v>FCIU8690685</v>
          </cell>
          <cell r="G44" t="str">
            <v>TRAIN</v>
          </cell>
          <cell r="H44">
            <v>45591</v>
          </cell>
          <cell r="I44">
            <v>45591</v>
          </cell>
          <cell r="J44">
            <v>45612</v>
          </cell>
          <cell r="K44">
            <v>45616</v>
          </cell>
          <cell r="L44">
            <v>45617</v>
          </cell>
        </row>
        <row r="45">
          <cell r="F45" t="str">
            <v>HAKU0004967</v>
          </cell>
          <cell r="G45" t="str">
            <v>CMA CGM IGUACU</v>
          </cell>
          <cell r="H45">
            <v>45570</v>
          </cell>
          <cell r="I45">
            <v>45576</v>
          </cell>
          <cell r="J45">
            <v>45610</v>
          </cell>
          <cell r="K45">
            <v>45616</v>
          </cell>
          <cell r="L45">
            <v>45621.333333333336</v>
          </cell>
        </row>
        <row r="46">
          <cell r="F46" t="str">
            <v>TLLU1623790</v>
          </cell>
          <cell r="G46" t="str">
            <v>CMA CGM IGUACU</v>
          </cell>
          <cell r="H46">
            <v>45575</v>
          </cell>
          <cell r="I46">
            <v>45576</v>
          </cell>
          <cell r="J46">
            <v>45610</v>
          </cell>
          <cell r="K46">
            <v>45616</v>
          </cell>
          <cell r="L46">
            <v>45621.520833333336</v>
          </cell>
        </row>
        <row r="47">
          <cell r="F47" t="str">
            <v>DFSU1139442</v>
          </cell>
          <cell r="G47" t="str">
            <v>AL DHAIL</v>
          </cell>
          <cell r="H47">
            <v>45567</v>
          </cell>
          <cell r="I47">
            <v>45573</v>
          </cell>
          <cell r="J47">
            <v>45622</v>
          </cell>
          <cell r="K47">
            <v>45628</v>
          </cell>
          <cell r="L47">
            <v>45630.333333333336</v>
          </cell>
        </row>
        <row r="48">
          <cell r="F48" t="str">
            <v>OOLU9538993</v>
          </cell>
          <cell r="G48" t="str">
            <v>CMA CGM GREENLAND</v>
          </cell>
          <cell r="H48">
            <v>45596</v>
          </cell>
          <cell r="I48">
            <v>45596</v>
          </cell>
          <cell r="J48">
            <v>45632</v>
          </cell>
          <cell r="K48">
            <v>45637</v>
          </cell>
          <cell r="L48">
            <v>45642.333333333336</v>
          </cell>
        </row>
        <row r="49">
          <cell r="F49" t="str">
            <v>HMMU6473335</v>
          </cell>
          <cell r="G49" t="str">
            <v>ONE FOREVER</v>
          </cell>
          <cell r="H49">
            <v>45567</v>
          </cell>
          <cell r="I49">
            <v>45578</v>
          </cell>
          <cell r="J49">
            <v>45634</v>
          </cell>
          <cell r="K49">
            <v>45639</v>
          </cell>
          <cell r="L49">
            <v>45644.333333333336</v>
          </cell>
        </row>
        <row r="50">
          <cell r="F50" t="str">
            <v>FCIU9625175</v>
          </cell>
          <cell r="G50" t="str">
            <v>CMA CGM BALI</v>
          </cell>
          <cell r="H50">
            <v>45603</v>
          </cell>
          <cell r="I50">
            <v>45603</v>
          </cell>
          <cell r="J50">
            <v>45640</v>
          </cell>
          <cell r="K50">
            <v>45645</v>
          </cell>
          <cell r="L50">
            <v>45646.333333333336</v>
          </cell>
        </row>
        <row r="51">
          <cell r="F51" t="str">
            <v>SLEU2478628</v>
          </cell>
          <cell r="G51" t="str">
            <v>APL CHANGI</v>
          </cell>
          <cell r="H51">
            <v>45961</v>
          </cell>
          <cell r="I51">
            <v>45965</v>
          </cell>
          <cell r="J51">
            <v>46006</v>
          </cell>
          <cell r="K51">
            <v>46010</v>
          </cell>
          <cell r="L51">
            <v>46028.333333333336</v>
          </cell>
        </row>
        <row r="52">
          <cell r="F52" t="str">
            <v>SEGU4602828</v>
          </cell>
          <cell r="G52" t="str">
            <v>CMA CGM UNITY</v>
          </cell>
          <cell r="H52">
            <v>45976</v>
          </cell>
          <cell r="I52">
            <v>45979</v>
          </cell>
          <cell r="J52">
            <v>46018</v>
          </cell>
          <cell r="K52">
            <v>46022</v>
          </cell>
          <cell r="L52">
            <v>46031.291666666664</v>
          </cell>
        </row>
        <row r="53">
          <cell r="F53" t="str">
            <v>NEOU2249915</v>
          </cell>
          <cell r="G53" t="str">
            <v>CMA CGM GRACE BAY</v>
          </cell>
          <cell r="H53">
            <v>45984</v>
          </cell>
          <cell r="I53">
            <v>45982</v>
          </cell>
          <cell r="J53">
            <v>46030</v>
          </cell>
          <cell r="K53">
            <v>46037</v>
          </cell>
          <cell r="L53">
            <v>46036.333333333336</v>
          </cell>
        </row>
        <row r="54">
          <cell r="F54" t="str">
            <v>SGRU2236310</v>
          </cell>
          <cell r="G54" t="str">
            <v>CMA CGM IGUACU</v>
          </cell>
          <cell r="H54">
            <v>45998</v>
          </cell>
          <cell r="I54">
            <v>45999</v>
          </cell>
          <cell r="J54">
            <v>46040</v>
          </cell>
          <cell r="K54">
            <v>46045</v>
          </cell>
          <cell r="L54">
            <v>46049.333333333336</v>
          </cell>
        </row>
        <row r="55">
          <cell r="F55" t="str">
            <v>TCNU3339544</v>
          </cell>
          <cell r="G55" t="str">
            <v>CMA CGM SCANDOLA</v>
          </cell>
          <cell r="H55">
            <v>46003</v>
          </cell>
          <cell r="I55">
            <v>46004</v>
          </cell>
          <cell r="J55">
            <v>46046</v>
          </cell>
          <cell r="K55">
            <v>46051</v>
          </cell>
          <cell r="L55">
            <v>46055.333333333336</v>
          </cell>
        </row>
        <row r="56">
          <cell r="F56" t="str">
            <v>CMAU6128009</v>
          </cell>
          <cell r="G56" t="str">
            <v>CMA CGM SCANDOLA</v>
          </cell>
          <cell r="H56">
            <v>46003</v>
          </cell>
          <cell r="I56">
            <v>46004</v>
          </cell>
          <cell r="J56">
            <v>46046</v>
          </cell>
          <cell r="K56">
            <v>46051</v>
          </cell>
          <cell r="L56">
            <v>46056.333333333336</v>
          </cell>
        </row>
        <row r="57">
          <cell r="F57" t="str">
            <v>SGRU2234719</v>
          </cell>
          <cell r="G57" t="str">
            <v>CMA CGM KIMBERLEY</v>
          </cell>
          <cell r="H57">
            <v>46010</v>
          </cell>
          <cell r="I57">
            <v>46011</v>
          </cell>
          <cell r="J57">
            <v>46052</v>
          </cell>
          <cell r="K57">
            <v>46059</v>
          </cell>
          <cell r="L57">
            <v>46057.333333333336</v>
          </cell>
        </row>
        <row r="58">
          <cell r="F58" t="str">
            <v>SGRU2236645</v>
          </cell>
          <cell r="G58" t="str">
            <v>CMA CGM KIMBERLEY</v>
          </cell>
          <cell r="H58">
            <v>46010</v>
          </cell>
          <cell r="I58">
            <v>46011</v>
          </cell>
          <cell r="J58">
            <v>46052</v>
          </cell>
          <cell r="K58">
            <v>46059</v>
          </cell>
          <cell r="L58">
            <v>46058.53125</v>
          </cell>
        </row>
        <row r="59">
          <cell r="F59" t="str">
            <v>SEGU4259410</v>
          </cell>
          <cell r="G59" t="str">
            <v>CMA CGM KIMBERLEY</v>
          </cell>
          <cell r="H59">
            <v>46010</v>
          </cell>
          <cell r="I59">
            <v>46011</v>
          </cell>
          <cell r="J59">
            <v>46052</v>
          </cell>
          <cell r="K59">
            <v>46059</v>
          </cell>
          <cell r="L59">
            <v>46059.333333333336</v>
          </cell>
        </row>
        <row r="60">
          <cell r="F60" t="str">
            <v>CMAU8411614</v>
          </cell>
          <cell r="G60" t="str">
            <v>CMA CGM KIMBERLEY</v>
          </cell>
          <cell r="H60">
            <v>46010</v>
          </cell>
          <cell r="I60">
            <v>46011</v>
          </cell>
          <cell r="J60">
            <v>46052</v>
          </cell>
          <cell r="K60">
            <v>46059</v>
          </cell>
          <cell r="L60">
            <v>46062.53125</v>
          </cell>
        </row>
        <row r="61">
          <cell r="F61" t="str">
            <v>APZU4406614</v>
          </cell>
          <cell r="G61" t="str">
            <v>CMA CGM KIMBERLEY</v>
          </cell>
          <cell r="H61">
            <v>46010</v>
          </cell>
          <cell r="I61">
            <v>46011</v>
          </cell>
          <cell r="J61">
            <v>46052</v>
          </cell>
          <cell r="K61">
            <v>46059</v>
          </cell>
          <cell r="L61">
            <v>46063.333333333336</v>
          </cell>
        </row>
        <row r="62">
          <cell r="F62" t="str">
            <v>BEAU4091177</v>
          </cell>
          <cell r="G62" t="str">
            <v>CMA CGM SCANDOLA</v>
          </cell>
          <cell r="H62">
            <v>46003</v>
          </cell>
          <cell r="I62">
            <v>46004</v>
          </cell>
          <cell r="J62">
            <v>46060</v>
          </cell>
          <cell r="K62">
            <v>46065</v>
          </cell>
          <cell r="L62">
            <v>46066.291666666664</v>
          </cell>
        </row>
        <row r="63">
          <cell r="F63" t="str">
            <v>SGRU2236795</v>
          </cell>
          <cell r="G63" t="str">
            <v>CMA CGM SCANDOLA</v>
          </cell>
          <cell r="H63">
            <v>46003</v>
          </cell>
          <cell r="I63">
            <v>46004</v>
          </cell>
          <cell r="J63">
            <v>46060</v>
          </cell>
          <cell r="K63">
            <v>46065</v>
          </cell>
          <cell r="L63">
            <v>46069.333333333336</v>
          </cell>
        </row>
        <row r="64">
          <cell r="F64" t="str">
            <v>SGRU2253998</v>
          </cell>
          <cell r="G64" t="str">
            <v>CMA CGM GREENLAND</v>
          </cell>
          <cell r="H64">
            <v>46022</v>
          </cell>
          <cell r="I64">
            <v>46025</v>
          </cell>
          <cell r="J64">
            <v>46066</v>
          </cell>
          <cell r="K64">
            <v>46069</v>
          </cell>
          <cell r="L64">
            <v>46071.333333333336</v>
          </cell>
        </row>
        <row r="65">
          <cell r="F65" t="str">
            <v>FFAU4995647</v>
          </cell>
          <cell r="G65" t="str">
            <v>CMA CGM LAGUNA</v>
          </cell>
          <cell r="H65">
            <v>46022</v>
          </cell>
          <cell r="I65">
            <v>46029</v>
          </cell>
          <cell r="J65">
            <v>46065</v>
          </cell>
          <cell r="K65">
            <v>46072</v>
          </cell>
          <cell r="L65">
            <v>46071.53125</v>
          </cell>
        </row>
        <row r="66">
          <cell r="F66" t="str">
            <v>FFAU4412631</v>
          </cell>
          <cell r="G66" t="str">
            <v>CMA CGM LAGUNA</v>
          </cell>
          <cell r="H66">
            <v>46022</v>
          </cell>
          <cell r="I66">
            <v>46029</v>
          </cell>
          <cell r="J66">
            <v>46065</v>
          </cell>
          <cell r="K66">
            <v>46072</v>
          </cell>
          <cell r="L66">
            <v>46072.333333333336</v>
          </cell>
        </row>
        <row r="67">
          <cell r="F67" t="str">
            <v>TGBU3898959</v>
          </cell>
          <cell r="G67" t="str">
            <v>ONE FREEDOM</v>
          </cell>
          <cell r="H67">
            <v>46021</v>
          </cell>
          <cell r="I67">
            <v>46021</v>
          </cell>
          <cell r="J67">
            <v>46079</v>
          </cell>
          <cell r="K67">
            <v>46093</v>
          </cell>
          <cell r="L67">
            <v>46093.333333333336</v>
          </cell>
        </row>
        <row r="68">
          <cell r="F68" t="str">
            <v>NEOU2252333</v>
          </cell>
          <cell r="G68" t="str">
            <v>CMA CGM CEDRUS</v>
          </cell>
          <cell r="H68">
            <v>46046</v>
          </cell>
          <cell r="I68">
            <v>46046</v>
          </cell>
          <cell r="J68">
            <v>46085</v>
          </cell>
          <cell r="K68">
            <v>46097</v>
          </cell>
          <cell r="L68">
            <v>46097.333333333336</v>
          </cell>
        </row>
        <row r="69">
          <cell r="F69" t="str">
            <v>BMOU3185337</v>
          </cell>
          <cell r="G69" t="str">
            <v>ZEPHYR LUMOS</v>
          </cell>
          <cell r="H69">
            <v>46026</v>
          </cell>
          <cell r="I69">
            <v>46027</v>
          </cell>
          <cell r="J69">
            <v>46081</v>
          </cell>
          <cell r="K69">
            <v>46098</v>
          </cell>
          <cell r="L69">
            <v>46098.53125</v>
          </cell>
        </row>
        <row r="70">
          <cell r="F70" t="str">
            <v>NEOU2252312</v>
          </cell>
          <cell r="G70" t="str">
            <v>CMA CGM CEDRUS</v>
          </cell>
          <cell r="H70">
            <v>46046</v>
          </cell>
          <cell r="I70">
            <v>46046</v>
          </cell>
          <cell r="J70">
            <v>46085</v>
          </cell>
          <cell r="K70">
            <v>46098</v>
          </cell>
          <cell r="L70">
            <v>46098.333333333336</v>
          </cell>
        </row>
        <row r="71">
          <cell r="F71" t="str">
            <v>YMMU1140160</v>
          </cell>
          <cell r="G71" t="str">
            <v>ZEPHYR LUMOS</v>
          </cell>
          <cell r="H71">
            <v>46026</v>
          </cell>
          <cell r="I71">
            <v>46027</v>
          </cell>
          <cell r="J71">
            <v>46081</v>
          </cell>
          <cell r="K71">
            <v>46099</v>
          </cell>
          <cell r="L71">
            <v>46099.333333333336</v>
          </cell>
        </row>
        <row r="72">
          <cell r="F72" t="str">
            <v>YMMU7519525</v>
          </cell>
          <cell r="G72" t="str">
            <v>ZEPHYR LUMOS</v>
          </cell>
          <cell r="H72">
            <v>46026</v>
          </cell>
          <cell r="I72">
            <v>46027</v>
          </cell>
          <cell r="J72">
            <v>46081</v>
          </cell>
          <cell r="K72">
            <v>46099</v>
          </cell>
          <cell r="L72">
            <v>46099.53125</v>
          </cell>
        </row>
        <row r="73">
          <cell r="F73" t="str">
            <v>NEOU2252204</v>
          </cell>
          <cell r="G73" t="str">
            <v>CMA CGM JULES VERNE</v>
          </cell>
          <cell r="H73">
            <v>46045</v>
          </cell>
          <cell r="I73">
            <v>46049</v>
          </cell>
          <cell r="J73">
            <v>46091</v>
          </cell>
          <cell r="K73">
            <v>46100</v>
          </cell>
          <cell r="L73">
            <v>46100.53125</v>
          </cell>
        </row>
        <row r="74">
          <cell r="F74" t="str">
            <v>SEGU5731455</v>
          </cell>
          <cell r="G74" t="str">
            <v>CMA CGM JULES VERNE</v>
          </cell>
          <cell r="H74">
            <v>46045</v>
          </cell>
          <cell r="I74">
            <v>46049</v>
          </cell>
          <cell r="J74">
            <v>46091</v>
          </cell>
          <cell r="K74">
            <v>46100</v>
          </cell>
          <cell r="L74">
            <v>46100.333333333336</v>
          </cell>
        </row>
        <row r="75">
          <cell r="F75" t="str">
            <v>JYSU2003813</v>
          </cell>
          <cell r="G75" t="str">
            <v>CMA CGM JULES VERNE</v>
          </cell>
          <cell r="H75">
            <v>46053</v>
          </cell>
          <cell r="I75">
            <v>46052</v>
          </cell>
          <cell r="J75">
            <v>46091</v>
          </cell>
          <cell r="K75">
            <v>46101</v>
          </cell>
          <cell r="L75">
            <v>46101.291666666664</v>
          </cell>
        </row>
        <row r="76">
          <cell r="F76" t="str">
            <v>JYSU2003705</v>
          </cell>
          <cell r="G76" t="str">
            <v>CMA CGM APOLLON</v>
          </cell>
          <cell r="H76">
            <v>46059</v>
          </cell>
          <cell r="I76">
            <v>46061</v>
          </cell>
          <cell r="J76">
            <v>46105</v>
          </cell>
          <cell r="K76">
            <v>46112</v>
          </cell>
          <cell r="L76" t="str">
            <v>Estimée : 31-mars</v>
          </cell>
        </row>
        <row r="77">
          <cell r="F77" t="str">
            <v>CMAU5744735</v>
          </cell>
          <cell r="G77" t="str">
            <v>CMA CGM ALEXANDER VON HUMBOLDT</v>
          </cell>
          <cell r="H77">
            <v>46072</v>
          </cell>
          <cell r="I77"/>
          <cell r="J77">
            <v>46112</v>
          </cell>
          <cell r="K77">
            <v>46119</v>
          </cell>
          <cell r="L77" t="str">
            <v>Estimée : 07-avril</v>
          </cell>
        </row>
        <row r="78">
          <cell r="F78" t="str">
            <v>CMAU7538142</v>
          </cell>
          <cell r="G78" t="str">
            <v>CMA CGM ALEXANDER VON HUMBOLDT</v>
          </cell>
          <cell r="H78">
            <v>46072</v>
          </cell>
          <cell r="I78"/>
          <cell r="J78">
            <v>46112</v>
          </cell>
          <cell r="K78">
            <v>46119</v>
          </cell>
          <cell r="L78" t="str">
            <v>Estimée : 07-avril</v>
          </cell>
        </row>
        <row r="79">
          <cell r="F79" t="str">
            <v>RESU2004119</v>
          </cell>
          <cell r="G79" t="str">
            <v>CMA CGM ALEXANDER VON HUMBOLDT</v>
          </cell>
          <cell r="H79">
            <v>46072</v>
          </cell>
          <cell r="I79"/>
          <cell r="J79">
            <v>46112</v>
          </cell>
          <cell r="K79">
            <v>46119</v>
          </cell>
          <cell r="L79" t="str">
            <v>Estimée : 07-avril</v>
          </cell>
        </row>
        <row r="80">
          <cell r="F80" t="str">
            <v>TLLU4162583</v>
          </cell>
          <cell r="G80" t="str">
            <v>CMA CGM ALEXANDER VON HUMBOLDT</v>
          </cell>
          <cell r="H80">
            <v>46072</v>
          </cell>
          <cell r="I80"/>
          <cell r="J80">
            <v>46112</v>
          </cell>
          <cell r="K80">
            <v>46119</v>
          </cell>
          <cell r="L80" t="str">
            <v>Estimée : 07-avril</v>
          </cell>
        </row>
        <row r="81">
          <cell r="F81" t="str">
            <v>CMAU3481028</v>
          </cell>
          <cell r="G81" t="str">
            <v>CMA CGM GRACE BAY</v>
          </cell>
          <cell r="H81">
            <v>46082</v>
          </cell>
          <cell r="I81"/>
          <cell r="J81">
            <v>46119</v>
          </cell>
          <cell r="K81">
            <v>46132</v>
          </cell>
          <cell r="L81" t="str">
            <v>Estimée : 20-avril</v>
          </cell>
        </row>
        <row r="82">
          <cell r="F82" t="str">
            <v>CMAU8355260</v>
          </cell>
          <cell r="G82" t="str">
            <v>CMA CGM GRACE BAY</v>
          </cell>
          <cell r="H82">
            <v>46082</v>
          </cell>
          <cell r="I82"/>
          <cell r="J82">
            <v>46119</v>
          </cell>
          <cell r="K82">
            <v>46132</v>
          </cell>
          <cell r="L82" t="str">
            <v>Estimée : 20-avril</v>
          </cell>
        </row>
        <row r="83">
          <cell r="F83" t="str">
            <v>CMAU3481028</v>
          </cell>
          <cell r="G83" t="str">
            <v>CMA CGM GRACE BAY</v>
          </cell>
          <cell r="H83">
            <v>46082</v>
          </cell>
          <cell r="I83"/>
          <cell r="J83">
            <v>46119</v>
          </cell>
          <cell r="K83">
            <v>46132</v>
          </cell>
          <cell r="L83" t="str">
            <v>Estimée : 20-avril</v>
          </cell>
        </row>
        <row r="84">
          <cell r="F84" t="str">
            <v>TCNU4044888</v>
          </cell>
          <cell r="G84" t="str">
            <v>CMA CGM GRACE BAY</v>
          </cell>
          <cell r="H84">
            <v>46082</v>
          </cell>
          <cell r="I84"/>
          <cell r="J84">
            <v>46119</v>
          </cell>
          <cell r="K84">
            <v>46132</v>
          </cell>
          <cell r="L84" t="str">
            <v>Estimée : 20-avril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ENEUR PLEIN"/>
    </sheetNames>
    <sheetDataSet>
      <sheetData sheetId="0">
        <row r="1">
          <cell r="L1" t="str">
            <v>Semaine prochaine</v>
          </cell>
        </row>
        <row r="2">
          <cell r="H2"/>
          <cell r="I2"/>
          <cell r="J2"/>
          <cell r="K2" t="str">
            <v>Légende :</v>
          </cell>
          <cell r="L2" t="str">
            <v>Cette semaine</v>
          </cell>
        </row>
        <row r="3">
          <cell r="H3"/>
          <cell r="I3"/>
          <cell r="J3"/>
          <cell r="K3"/>
          <cell r="L3" t="str">
            <v>Livré</v>
          </cell>
        </row>
        <row r="4">
          <cell r="F4" t="str">
            <v>N° CONTENEUR</v>
          </cell>
          <cell r="G4" t="str">
            <v>NAVIRE</v>
          </cell>
          <cell r="H4" t="str">
            <v>ETD</v>
          </cell>
          <cell r="I4" t="str">
            <v>ATD</v>
          </cell>
          <cell r="J4" t="str">
            <v>ETA</v>
          </cell>
          <cell r="K4" t="str">
            <v>DDL ESTIMEE</v>
          </cell>
          <cell r="L4" t="str">
            <v>DDL CONFIRMEE</v>
          </cell>
        </row>
        <row r="5">
          <cell r="F5" t="str">
            <v>ONEU0587126</v>
          </cell>
          <cell r="G5" t="str">
            <v>SALAHUDDIN</v>
          </cell>
          <cell r="H5">
            <v>45239</v>
          </cell>
          <cell r="I5">
            <v>45240</v>
          </cell>
          <cell r="J5">
            <v>45280</v>
          </cell>
          <cell r="K5">
            <v>45285</v>
          </cell>
          <cell r="L5">
            <v>45293.333333333336</v>
          </cell>
        </row>
        <row r="6">
          <cell r="F6" t="str">
            <v>ONEU0587337</v>
          </cell>
          <cell r="G6" t="str">
            <v>SALAHUDDIN</v>
          </cell>
          <cell r="H6">
            <v>45239</v>
          </cell>
          <cell r="I6">
            <v>45240</v>
          </cell>
          <cell r="J6">
            <v>45280</v>
          </cell>
          <cell r="K6">
            <v>45286</v>
          </cell>
          <cell r="L6">
            <v>45294.333333333336</v>
          </cell>
        </row>
        <row r="7">
          <cell r="F7" t="str">
            <v>ONEU2242458</v>
          </cell>
          <cell r="G7" t="str">
            <v>SALAHUDDIN</v>
          </cell>
          <cell r="H7">
            <v>45242</v>
          </cell>
          <cell r="I7">
            <v>45245</v>
          </cell>
          <cell r="J7">
            <v>45286</v>
          </cell>
          <cell r="K7">
            <v>45294</v>
          </cell>
          <cell r="L7">
            <v>45295.333333333336</v>
          </cell>
        </row>
        <row r="8">
          <cell r="F8" t="str">
            <v>EMCU8639799</v>
          </cell>
          <cell r="G8" t="str">
            <v>CMA CGM SCANDOLA</v>
          </cell>
          <cell r="H8">
            <v>45260</v>
          </cell>
          <cell r="I8">
            <v>45268</v>
          </cell>
          <cell r="J8">
            <v>45310</v>
          </cell>
          <cell r="K8">
            <v>45315</v>
          </cell>
          <cell r="L8">
            <v>45315.333333333336</v>
          </cell>
        </row>
        <row r="9">
          <cell r="F9" t="str">
            <v>TCKU4390356</v>
          </cell>
          <cell r="G9" t="str">
            <v>AL MURABBA</v>
          </cell>
          <cell r="H9">
            <v>45256</v>
          </cell>
          <cell r="I9">
            <v>45260</v>
          </cell>
          <cell r="J9">
            <v>45316</v>
          </cell>
          <cell r="K9">
            <v>45322</v>
          </cell>
          <cell r="L9">
            <v>45322.333333333336</v>
          </cell>
        </row>
        <row r="10">
          <cell r="F10" t="str">
            <v>EMCU8649708</v>
          </cell>
          <cell r="G10" t="str">
            <v>THALASSA AVRA</v>
          </cell>
          <cell r="H10">
            <v>45267</v>
          </cell>
          <cell r="I10">
            <v>45267</v>
          </cell>
          <cell r="J10">
            <v>44950</v>
          </cell>
          <cell r="K10">
            <v>45327</v>
          </cell>
          <cell r="L10">
            <v>45329</v>
          </cell>
        </row>
        <row r="11">
          <cell r="F11" t="str">
            <v>ONEU5335549</v>
          </cell>
          <cell r="G11" t="str">
            <v>AFIF</v>
          </cell>
          <cell r="H11">
            <v>45285</v>
          </cell>
          <cell r="I11">
            <v>45654</v>
          </cell>
          <cell r="J11">
            <v>45346</v>
          </cell>
          <cell r="K11">
            <v>45351</v>
          </cell>
          <cell r="L11">
            <v>45352.291666666664</v>
          </cell>
        </row>
        <row r="12">
          <cell r="F12" t="str">
            <v>ONEU5338492</v>
          </cell>
          <cell r="G12" t="str">
            <v>AL JASRAH</v>
          </cell>
          <cell r="H12">
            <v>44933</v>
          </cell>
          <cell r="I12">
            <v>45299</v>
          </cell>
          <cell r="J12">
            <v>45356</v>
          </cell>
          <cell r="K12">
            <v>45363</v>
          </cell>
          <cell r="L12">
            <v>45362.333333333336</v>
          </cell>
        </row>
        <row r="13">
          <cell r="F13" t="str">
            <v>NYKU3694619</v>
          </cell>
          <cell r="G13" t="str">
            <v>AL JASRAH</v>
          </cell>
          <cell r="H13">
            <v>45298</v>
          </cell>
          <cell r="I13">
            <v>45299</v>
          </cell>
          <cell r="J13">
            <v>45357</v>
          </cell>
          <cell r="K13">
            <v>45363</v>
          </cell>
          <cell r="L13">
            <v>45362.53125</v>
          </cell>
        </row>
        <row r="14">
          <cell r="F14" t="str">
            <v>TXGU5772279</v>
          </cell>
          <cell r="G14" t="str">
            <v>EVER GOODS</v>
          </cell>
          <cell r="H14">
            <v>45311</v>
          </cell>
          <cell r="I14">
            <v>45312</v>
          </cell>
          <cell r="J14">
            <v>45364</v>
          </cell>
          <cell r="K14">
            <v>45369</v>
          </cell>
          <cell r="L14">
            <v>45370.333333333336</v>
          </cell>
        </row>
        <row r="15">
          <cell r="F15" t="str">
            <v>GCNU1430544</v>
          </cell>
          <cell r="G15" t="str">
            <v>APL SINGAPURA</v>
          </cell>
          <cell r="H15">
            <v>45316</v>
          </cell>
          <cell r="I15">
            <v>45316</v>
          </cell>
          <cell r="J15">
            <v>45364</v>
          </cell>
          <cell r="K15">
            <v>45369</v>
          </cell>
          <cell r="L15">
            <v>45370.53125</v>
          </cell>
        </row>
        <row r="16">
          <cell r="F16" t="str">
            <v>EGHU3383288</v>
          </cell>
          <cell r="G16" t="str">
            <v>CMA CGM CEDRUS</v>
          </cell>
          <cell r="H16">
            <v>45322</v>
          </cell>
          <cell r="I16">
            <v>45326</v>
          </cell>
          <cell r="J16">
            <v>45367</v>
          </cell>
          <cell r="K16">
            <v>45371</v>
          </cell>
          <cell r="L16">
            <v>45376.333333333336</v>
          </cell>
        </row>
        <row r="17">
          <cell r="F17" t="str">
            <v>BMOU5228530</v>
          </cell>
          <cell r="G17" t="str">
            <v xml:space="preserve">EVER TOP </v>
          </cell>
          <cell r="H17">
            <v>45316</v>
          </cell>
          <cell r="I17">
            <v>45318</v>
          </cell>
          <cell r="J17">
            <v>45364</v>
          </cell>
          <cell r="K17">
            <v>45373</v>
          </cell>
          <cell r="L17">
            <v>45376</v>
          </cell>
        </row>
        <row r="18">
          <cell r="F18" t="str">
            <v>OOLU9267994</v>
          </cell>
          <cell r="G18" t="str">
            <v>OOCL France 058W</v>
          </cell>
          <cell r="H18">
            <v>45337</v>
          </cell>
          <cell r="I18">
            <v>45340</v>
          </cell>
          <cell r="J18">
            <v>45376</v>
          </cell>
          <cell r="K18">
            <v>45379</v>
          </cell>
          <cell r="L18">
            <v>45384.333333333336</v>
          </cell>
        </row>
        <row r="19">
          <cell r="F19" t="str">
            <v>GCNU1430478</v>
          </cell>
          <cell r="G19" t="str">
            <v>COSCO SHIPPING ARIES</v>
          </cell>
          <cell r="H19">
            <v>45323</v>
          </cell>
          <cell r="I19">
            <v>45330</v>
          </cell>
          <cell r="J19">
            <v>45374</v>
          </cell>
          <cell r="K19">
            <v>45379</v>
          </cell>
          <cell r="L19">
            <v>45385.333333333336</v>
          </cell>
        </row>
        <row r="20">
          <cell r="F20" t="str">
            <v>102 CTNS / 1,551M3</v>
          </cell>
          <cell r="G20" t="str">
            <v>YM INAUGURATION</v>
          </cell>
          <cell r="H20">
            <v>45320</v>
          </cell>
          <cell r="I20">
            <v>45318</v>
          </cell>
          <cell r="J20">
            <v>45374</v>
          </cell>
          <cell r="K20">
            <v>45387</v>
          </cell>
          <cell r="L20">
            <v>45391</v>
          </cell>
        </row>
        <row r="21">
          <cell r="F21" t="str">
            <v>BMOU5045062</v>
          </cell>
          <cell r="G21" t="str">
            <v>EVER FRAME</v>
          </cell>
          <cell r="H21">
            <v>45341</v>
          </cell>
          <cell r="I21">
            <v>45341</v>
          </cell>
          <cell r="J21">
            <v>45387</v>
          </cell>
          <cell r="K21">
            <v>45393</v>
          </cell>
          <cell r="L21">
            <v>45393.333333333336</v>
          </cell>
        </row>
        <row r="22">
          <cell r="F22" t="str">
            <v>FCIU9781389</v>
          </cell>
          <cell r="G22" t="str">
            <v>EVER FRAME</v>
          </cell>
          <cell r="H22">
            <v>45341</v>
          </cell>
          <cell r="I22">
            <v>45341</v>
          </cell>
          <cell r="J22">
            <v>45387</v>
          </cell>
          <cell r="K22">
            <v>45393</v>
          </cell>
          <cell r="L22">
            <v>45394.291666666664</v>
          </cell>
        </row>
        <row r="23">
          <cell r="F23" t="str">
            <v>EITU1666382</v>
          </cell>
          <cell r="G23" t="str">
            <v xml:space="preserve">CSCL MERCURY </v>
          </cell>
          <cell r="H23">
            <v>45357</v>
          </cell>
          <cell r="I23">
            <v>45358</v>
          </cell>
          <cell r="J23">
            <v>45402</v>
          </cell>
          <cell r="K23">
            <v>45412</v>
          </cell>
          <cell r="L23">
            <v>45412</v>
          </cell>
        </row>
        <row r="24">
          <cell r="F24" t="str">
            <v>ONEU3174276</v>
          </cell>
          <cell r="G24" t="str">
            <v>AL MURABBA</v>
          </cell>
          <cell r="H24">
            <v>45382</v>
          </cell>
          <cell r="I24">
            <v>45384</v>
          </cell>
          <cell r="J24">
            <v>45432</v>
          </cell>
          <cell r="K24">
            <v>45439</v>
          </cell>
          <cell r="L24">
            <v>45441.333333333336</v>
          </cell>
        </row>
        <row r="25">
          <cell r="F25" t="str">
            <v>OOLU0616101</v>
          </cell>
          <cell r="G25" t="str">
            <v>CMA CGM TENERE</v>
          </cell>
          <cell r="H25">
            <v>45423</v>
          </cell>
          <cell r="I25">
            <v>45423</v>
          </cell>
          <cell r="J25">
            <v>45455</v>
          </cell>
          <cell r="K25">
            <v>45461</v>
          </cell>
          <cell r="L25">
            <v>45469.53125</v>
          </cell>
        </row>
        <row r="26">
          <cell r="F26" t="str">
            <v>OOLU0275833</v>
          </cell>
          <cell r="G26" t="str">
            <v>CMA CGM TENERE</v>
          </cell>
          <cell r="H26">
            <v>45423</v>
          </cell>
          <cell r="I26">
            <v>45423</v>
          </cell>
          <cell r="J26">
            <v>45455</v>
          </cell>
          <cell r="K26">
            <v>45461</v>
          </cell>
          <cell r="L26">
            <v>45474.3125</v>
          </cell>
        </row>
        <row r="27">
          <cell r="F27" t="str">
            <v>BSIU2840152</v>
          </cell>
          <cell r="G27" t="str">
            <v>CMA CGM TENERE</v>
          </cell>
          <cell r="H27">
            <v>45423</v>
          </cell>
          <cell r="I27">
            <v>45423</v>
          </cell>
          <cell r="J27">
            <v>45455</v>
          </cell>
          <cell r="K27">
            <v>45461</v>
          </cell>
          <cell r="L27">
            <v>45481.291666666664</v>
          </cell>
        </row>
        <row r="28">
          <cell r="F28" t="str">
            <v>CSNU4044183</v>
          </cell>
          <cell r="G28" t="str">
            <v>CSCL ARCTIC OCEAN</v>
          </cell>
          <cell r="H28">
            <v>45457</v>
          </cell>
          <cell r="I28">
            <v>45461</v>
          </cell>
          <cell r="J28">
            <v>45506</v>
          </cell>
          <cell r="K28">
            <v>45512</v>
          </cell>
          <cell r="L28">
            <v>45512.291666666664</v>
          </cell>
        </row>
        <row r="29">
          <cell r="F29" t="str">
            <v>CBHU8835219</v>
          </cell>
          <cell r="G29" t="str">
            <v>CSCL ARCTIC OCEAN</v>
          </cell>
          <cell r="H29">
            <v>45457</v>
          </cell>
          <cell r="I29">
            <v>45461</v>
          </cell>
          <cell r="J29">
            <v>45506</v>
          </cell>
          <cell r="K29">
            <v>45512</v>
          </cell>
          <cell r="L29">
            <v>45524.291666666664</v>
          </cell>
        </row>
        <row r="30">
          <cell r="F30" t="str">
            <v>JYSU2000028</v>
          </cell>
          <cell r="G30" t="str">
            <v>CMA CGM GREENLAND</v>
          </cell>
          <cell r="H30">
            <v>45484</v>
          </cell>
          <cell r="I30">
            <v>45484</v>
          </cell>
          <cell r="J30">
            <v>45520</v>
          </cell>
          <cell r="K30">
            <v>45526</v>
          </cell>
          <cell r="L30">
            <v>45533.291666666664</v>
          </cell>
        </row>
        <row r="31">
          <cell r="F31" t="str">
            <v>JYSU2000352</v>
          </cell>
          <cell r="G31" t="str">
            <v xml:space="preserve">CMA CGM MUSSET </v>
          </cell>
          <cell r="H31">
            <v>45488</v>
          </cell>
          <cell r="I31">
            <v>45490</v>
          </cell>
          <cell r="J31">
            <v>45533</v>
          </cell>
          <cell r="K31">
            <v>45539</v>
          </cell>
          <cell r="L31">
            <v>45539.333333333336</v>
          </cell>
        </row>
        <row r="32">
          <cell r="F32" t="str">
            <v>TGBU7976556</v>
          </cell>
          <cell r="G32" t="str">
            <v>COSCO SHIPPING NEBULA</v>
          </cell>
          <cell r="H32">
            <v>45484</v>
          </cell>
          <cell r="I32">
            <v>45486</v>
          </cell>
          <cell r="J32">
            <v>45536</v>
          </cell>
          <cell r="K32">
            <v>45539</v>
          </cell>
          <cell r="L32">
            <v>45540.333333333336</v>
          </cell>
        </row>
        <row r="33">
          <cell r="F33" t="str">
            <v>YMMU1208700</v>
          </cell>
          <cell r="G33" t="str">
            <v>AL MURABBA</v>
          </cell>
          <cell r="H33">
            <v>45513</v>
          </cell>
          <cell r="I33">
            <v>45495</v>
          </cell>
          <cell r="J33">
            <v>45552</v>
          </cell>
          <cell r="K33">
            <v>45558</v>
          </cell>
          <cell r="L33">
            <v>45558.333333333336</v>
          </cell>
        </row>
        <row r="34">
          <cell r="F34" t="str">
            <v>HMMU6093757</v>
          </cell>
          <cell r="G34" t="str">
            <v>ONE FOCUS V.0002W</v>
          </cell>
          <cell r="H34">
            <v>45513</v>
          </cell>
          <cell r="I34">
            <v>45519</v>
          </cell>
          <cell r="J34">
            <v>45571</v>
          </cell>
          <cell r="K34">
            <v>45575</v>
          </cell>
          <cell r="L34">
            <v>45575.333333333336</v>
          </cell>
        </row>
        <row r="35">
          <cell r="F35" t="str">
            <v>SKIU4800478</v>
          </cell>
          <cell r="G35" t="str">
            <v>ONE MADRID</v>
          </cell>
          <cell r="H35">
            <v>45520</v>
          </cell>
          <cell r="I35">
            <v>45522</v>
          </cell>
          <cell r="J35">
            <v>45575</v>
          </cell>
          <cell r="K35">
            <v>45581</v>
          </cell>
          <cell r="L35">
            <v>45581.333333333336</v>
          </cell>
        </row>
        <row r="36">
          <cell r="F36" t="str">
            <v>TEMU0235124</v>
          </cell>
          <cell r="G36" t="str">
            <v>ONE MADRID</v>
          </cell>
          <cell r="H36">
            <v>45520</v>
          </cell>
          <cell r="I36">
            <v>45522</v>
          </cell>
          <cell r="J36">
            <v>45575</v>
          </cell>
          <cell r="K36">
            <v>45581</v>
          </cell>
          <cell r="L36">
            <v>45581.53125</v>
          </cell>
        </row>
        <row r="37">
          <cell r="F37" t="str">
            <v>MAGU5483354</v>
          </cell>
          <cell r="G37" t="str">
            <v>TRAIN</v>
          </cell>
          <cell r="H37">
            <v>45556</v>
          </cell>
          <cell r="I37">
            <v>45557</v>
          </cell>
          <cell r="J37">
            <v>45583</v>
          </cell>
          <cell r="K37">
            <v>45587</v>
          </cell>
          <cell r="L37">
            <v>45596</v>
          </cell>
        </row>
        <row r="38">
          <cell r="F38" t="str">
            <v>HDMU4739109</v>
          </cell>
          <cell r="G38" t="str">
            <v>AFIF</v>
          </cell>
          <cell r="H38">
            <v>45535</v>
          </cell>
          <cell r="I38">
            <v>45537</v>
          </cell>
          <cell r="J38">
            <v>45589</v>
          </cell>
          <cell r="K38">
            <v>45594</v>
          </cell>
          <cell r="L38">
            <v>45594.25</v>
          </cell>
        </row>
        <row r="39">
          <cell r="F39" t="str">
            <v>HDMU2846730</v>
          </cell>
          <cell r="G39" t="str">
            <v>AFIF</v>
          </cell>
          <cell r="H39">
            <v>45535</v>
          </cell>
          <cell r="I39">
            <v>45537</v>
          </cell>
          <cell r="J39">
            <v>45589</v>
          </cell>
          <cell r="K39">
            <v>45594</v>
          </cell>
          <cell r="L39">
            <v>45594.520833333336</v>
          </cell>
        </row>
        <row r="40">
          <cell r="F40" t="str">
            <v>FFAU5402140</v>
          </cell>
          <cell r="G40" t="str">
            <v>TRAIN</v>
          </cell>
          <cell r="H40">
            <v>45570</v>
          </cell>
          <cell r="I40">
            <v>45570</v>
          </cell>
          <cell r="J40">
            <v>45597</v>
          </cell>
          <cell r="K40">
            <v>45600</v>
          </cell>
          <cell r="L40">
            <v>45600</v>
          </cell>
        </row>
        <row r="41">
          <cell r="F41" t="str">
            <v>ONEU0275107</v>
          </cell>
          <cell r="G41" t="str">
            <v>AFIF</v>
          </cell>
          <cell r="H41">
            <v>45537</v>
          </cell>
          <cell r="I41">
            <v>45537</v>
          </cell>
          <cell r="J41">
            <v>45590</v>
          </cell>
          <cell r="K41">
            <v>45601</v>
          </cell>
          <cell r="L41">
            <v>45601</v>
          </cell>
        </row>
        <row r="42">
          <cell r="F42" t="str">
            <v>YMLU9021651</v>
          </cell>
          <cell r="G42" t="str">
            <v>LINAH</v>
          </cell>
          <cell r="H42">
            <v>45547</v>
          </cell>
          <cell r="I42">
            <v>45547</v>
          </cell>
          <cell r="J42">
            <v>45596</v>
          </cell>
          <cell r="K42">
            <v>45608</v>
          </cell>
          <cell r="L42">
            <v>45608</v>
          </cell>
        </row>
        <row r="43">
          <cell r="F43" t="str">
            <v>TCKU1891755</v>
          </cell>
          <cell r="G43" t="str">
            <v>CMA CGM JULES VERNE</v>
          </cell>
          <cell r="H43">
            <v>45562</v>
          </cell>
          <cell r="I43" t="str">
            <v>27-sept.</v>
          </cell>
          <cell r="J43">
            <v>45609</v>
          </cell>
          <cell r="K43">
            <v>45615</v>
          </cell>
          <cell r="L43">
            <v>45615.333333333336</v>
          </cell>
        </row>
        <row r="44">
          <cell r="F44" t="str">
            <v>FCIU8690685</v>
          </cell>
          <cell r="G44" t="str">
            <v>TRAIN</v>
          </cell>
          <cell r="H44">
            <v>45591</v>
          </cell>
          <cell r="I44">
            <v>45591</v>
          </cell>
          <cell r="J44">
            <v>45612</v>
          </cell>
          <cell r="K44">
            <v>45616</v>
          </cell>
          <cell r="L44">
            <v>45617</v>
          </cell>
        </row>
        <row r="45">
          <cell r="F45" t="str">
            <v>HAKU0004967</v>
          </cell>
          <cell r="G45" t="str">
            <v>CMA CGM IGUACU</v>
          </cell>
          <cell r="H45">
            <v>45570</v>
          </cell>
          <cell r="I45">
            <v>45576</v>
          </cell>
          <cell r="J45">
            <v>45610</v>
          </cell>
          <cell r="K45">
            <v>45616</v>
          </cell>
          <cell r="L45">
            <v>45621.333333333336</v>
          </cell>
        </row>
        <row r="46">
          <cell r="F46" t="str">
            <v>TLLU1623790</v>
          </cell>
          <cell r="G46" t="str">
            <v>CMA CGM IGUACU</v>
          </cell>
          <cell r="H46">
            <v>45575</v>
          </cell>
          <cell r="I46">
            <v>45576</v>
          </cell>
          <cell r="J46">
            <v>45610</v>
          </cell>
          <cell r="K46">
            <v>45616</v>
          </cell>
          <cell r="L46">
            <v>45621.520833333336</v>
          </cell>
        </row>
        <row r="47">
          <cell r="F47" t="str">
            <v>DFSU1139442</v>
          </cell>
          <cell r="G47" t="str">
            <v>AL DHAIL</v>
          </cell>
          <cell r="H47">
            <v>45567</v>
          </cell>
          <cell r="I47">
            <v>45573</v>
          </cell>
          <cell r="J47">
            <v>45622</v>
          </cell>
          <cell r="K47">
            <v>45628</v>
          </cell>
          <cell r="L47">
            <v>45630.333333333336</v>
          </cell>
        </row>
        <row r="48">
          <cell r="F48" t="str">
            <v>OOLU9538993</v>
          </cell>
          <cell r="G48" t="str">
            <v>CMA CGM GREENLAND</v>
          </cell>
          <cell r="H48">
            <v>45596</v>
          </cell>
          <cell r="I48">
            <v>45596</v>
          </cell>
          <cell r="J48">
            <v>45632</v>
          </cell>
          <cell r="K48">
            <v>45637</v>
          </cell>
          <cell r="L48">
            <v>45642.333333333336</v>
          </cell>
        </row>
        <row r="49">
          <cell r="F49" t="str">
            <v>HMMU6473335</v>
          </cell>
          <cell r="G49" t="str">
            <v>ONE FOREVER</v>
          </cell>
          <cell r="H49">
            <v>45567</v>
          </cell>
          <cell r="I49">
            <v>45578</v>
          </cell>
          <cell r="J49">
            <v>45634</v>
          </cell>
          <cell r="K49">
            <v>45639</v>
          </cell>
          <cell r="L49">
            <v>45644.333333333336</v>
          </cell>
        </row>
        <row r="50">
          <cell r="F50" t="str">
            <v>FCIU9625175</v>
          </cell>
          <cell r="G50" t="str">
            <v>CMA CGM BALI</v>
          </cell>
          <cell r="H50">
            <v>45603</v>
          </cell>
          <cell r="I50">
            <v>45603</v>
          </cell>
          <cell r="J50">
            <v>45640</v>
          </cell>
          <cell r="K50">
            <v>45645</v>
          </cell>
          <cell r="L50">
            <v>45646.333333333336</v>
          </cell>
        </row>
        <row r="51">
          <cell r="F51" t="str">
            <v>CMAU0096413</v>
          </cell>
          <cell r="G51" t="str">
            <v>CMA CGM CAPE COD</v>
          </cell>
          <cell r="H51">
            <v>45603</v>
          </cell>
          <cell r="I51">
            <v>45603</v>
          </cell>
          <cell r="J51">
            <v>45646</v>
          </cell>
          <cell r="K51">
            <v>45663</v>
          </cell>
          <cell r="L51">
            <v>45663.333333333336</v>
          </cell>
        </row>
        <row r="52">
          <cell r="F52" t="str">
            <v>GAOU6298167</v>
          </cell>
          <cell r="G52" t="str">
            <v>CMA CGM CAPE COD</v>
          </cell>
          <cell r="H52">
            <v>45603</v>
          </cell>
          <cell r="I52">
            <v>45603</v>
          </cell>
          <cell r="J52">
            <v>45646</v>
          </cell>
          <cell r="K52">
            <v>45663</v>
          </cell>
          <cell r="L52">
            <v>45663.53125</v>
          </cell>
        </row>
        <row r="53">
          <cell r="F53" t="str">
            <v>SLEU2356851</v>
          </cell>
          <cell r="G53" t="str">
            <v>CMA CGM KIMBERLEY</v>
          </cell>
          <cell r="H53">
            <v>45617</v>
          </cell>
          <cell r="I53">
            <v>45617</v>
          </cell>
          <cell r="J53">
            <v>45653</v>
          </cell>
          <cell r="K53">
            <v>45666</v>
          </cell>
          <cell r="L53">
            <v>45670.333333333336</v>
          </cell>
        </row>
        <row r="54">
          <cell r="F54" t="str">
            <v>EGHU8204050</v>
          </cell>
          <cell r="G54" t="str">
            <v>CMA CGM MAUI</v>
          </cell>
          <cell r="H54">
            <v>45624</v>
          </cell>
          <cell r="I54">
            <v>45624</v>
          </cell>
          <cell r="J54">
            <v>45294</v>
          </cell>
          <cell r="K54">
            <v>45672</v>
          </cell>
          <cell r="L54">
            <v>45671.333333333336</v>
          </cell>
        </row>
        <row r="55">
          <cell r="F55" t="str">
            <v>CSNU8622417</v>
          </cell>
          <cell r="G55" t="str">
            <v>CMA CGM MAUI</v>
          </cell>
          <cell r="H55">
            <v>45624</v>
          </cell>
          <cell r="I55">
            <v>45624</v>
          </cell>
          <cell r="J55">
            <v>45294</v>
          </cell>
          <cell r="K55">
            <v>45672</v>
          </cell>
          <cell r="L55">
            <v>45671.53125</v>
          </cell>
        </row>
        <row r="56">
          <cell r="F56" t="str">
            <v>OOLU0467651</v>
          </cell>
          <cell r="G56" t="str">
            <v>CMA CGM BIG SUR</v>
          </cell>
          <cell r="H56">
            <v>45642</v>
          </cell>
          <cell r="I56">
            <v>45642</v>
          </cell>
          <cell r="J56">
            <v>45315</v>
          </cell>
          <cell r="K56">
            <v>45687</v>
          </cell>
          <cell r="L56">
            <v>45688</v>
          </cell>
        </row>
        <row r="57">
          <cell r="F57" t="str">
            <v>EMCU8907124</v>
          </cell>
          <cell r="G57" t="str">
            <v>CMA CGM UNITY</v>
          </cell>
          <cell r="H57">
            <v>45642</v>
          </cell>
          <cell r="I57">
            <v>45642</v>
          </cell>
          <cell r="J57">
            <v>45688</v>
          </cell>
          <cell r="K57">
            <v>45698</v>
          </cell>
          <cell r="L57">
            <v>45698.333333333336</v>
          </cell>
        </row>
        <row r="58">
          <cell r="F58" t="str">
            <v>OOLU8960812</v>
          </cell>
          <cell r="G58" t="str">
            <v>CMA CGM UNITY</v>
          </cell>
          <cell r="H58">
            <v>45642</v>
          </cell>
          <cell r="I58">
            <v>45642</v>
          </cell>
          <cell r="J58">
            <v>45688</v>
          </cell>
          <cell r="K58">
            <v>45698</v>
          </cell>
          <cell r="L58">
            <v>45698.53125</v>
          </cell>
        </row>
        <row r="59">
          <cell r="F59" t="str">
            <v>CAAU5200649</v>
          </cell>
          <cell r="G59" t="str">
            <v>CMA CGM UNITY</v>
          </cell>
          <cell r="H59">
            <v>45652</v>
          </cell>
          <cell r="I59">
            <v>46017</v>
          </cell>
          <cell r="J59">
            <v>45701</v>
          </cell>
          <cell r="K59">
            <v>45707</v>
          </cell>
          <cell r="L59">
            <v>45707.333333333336</v>
          </cell>
        </row>
        <row r="60">
          <cell r="F60" t="str">
            <v>OOCU0571675</v>
          </cell>
          <cell r="G60" t="str">
            <v>CMA CGM GRACE BAY</v>
          </cell>
          <cell r="H60">
            <v>45659</v>
          </cell>
          <cell r="I60">
            <v>45659</v>
          </cell>
          <cell r="J60">
            <v>45705</v>
          </cell>
          <cell r="K60">
            <v>45709</v>
          </cell>
          <cell r="L60">
            <v>45712.333333333336</v>
          </cell>
        </row>
        <row r="61">
          <cell r="F61" t="str">
            <v>WFHU5189663</v>
          </cell>
          <cell r="G61" t="str">
            <v>CMA CGM SCANDOLA</v>
          </cell>
          <cell r="H61">
            <v>45673</v>
          </cell>
          <cell r="I61">
            <v>45673</v>
          </cell>
          <cell r="J61">
            <v>45717</v>
          </cell>
          <cell r="K61">
            <v>45726</v>
          </cell>
          <cell r="L61">
            <v>45727.333333333336</v>
          </cell>
        </row>
        <row r="62">
          <cell r="F62" t="str">
            <v>EITU0478945</v>
          </cell>
          <cell r="G62" t="str">
            <v>CMA CGM SCANDOLA</v>
          </cell>
          <cell r="H62">
            <v>45673</v>
          </cell>
          <cell r="I62">
            <v>45673</v>
          </cell>
          <cell r="J62">
            <v>45717</v>
          </cell>
          <cell r="K62">
            <v>45726</v>
          </cell>
          <cell r="L62">
            <v>45727.53125</v>
          </cell>
        </row>
        <row r="63">
          <cell r="F63" t="str">
            <v>TCNU7768697</v>
          </cell>
          <cell r="G63" t="str">
            <v>CMA CGM SCANDOLA</v>
          </cell>
          <cell r="H63">
            <v>45673</v>
          </cell>
          <cell r="I63">
            <v>45673</v>
          </cell>
          <cell r="J63">
            <v>45717</v>
          </cell>
          <cell r="K63">
            <v>45729</v>
          </cell>
          <cell r="L63">
            <v>45729.333333333336</v>
          </cell>
        </row>
        <row r="64">
          <cell r="F64" t="str">
            <v>EGSU3583335</v>
          </cell>
          <cell r="G64" t="str">
            <v>CMA CGM SCANDOLA</v>
          </cell>
          <cell r="H64">
            <v>45673</v>
          </cell>
          <cell r="I64">
            <v>45673</v>
          </cell>
          <cell r="J64">
            <v>45717</v>
          </cell>
          <cell r="K64">
            <v>45729</v>
          </cell>
          <cell r="L64">
            <v>45729.53125</v>
          </cell>
        </row>
        <row r="65">
          <cell r="F65" t="str">
            <v>EGSU1442641</v>
          </cell>
          <cell r="G65" t="str">
            <v>CMA CGM EVERGLADE</v>
          </cell>
          <cell r="H65">
            <v>45680</v>
          </cell>
          <cell r="I65">
            <v>45680</v>
          </cell>
          <cell r="J65">
            <v>45724</v>
          </cell>
          <cell r="K65">
            <v>45736</v>
          </cell>
          <cell r="L65">
            <v>45736.333333333336</v>
          </cell>
        </row>
        <row r="66">
          <cell r="F66" t="str">
            <v>EGSU3583823</v>
          </cell>
          <cell r="G66" t="str">
            <v>CMA CGM EVERGLADE</v>
          </cell>
          <cell r="H66">
            <v>45680</v>
          </cell>
          <cell r="I66">
            <v>45680</v>
          </cell>
          <cell r="J66">
            <v>45724</v>
          </cell>
          <cell r="K66">
            <v>45736</v>
          </cell>
          <cell r="L66">
            <v>45736.53125</v>
          </cell>
        </row>
        <row r="67">
          <cell r="F67" t="str">
            <v>DRYU2996958</v>
          </cell>
          <cell r="G67" t="str">
            <v>CMA CGM GREENLAND</v>
          </cell>
          <cell r="H67">
            <v>45689</v>
          </cell>
          <cell r="I67">
            <v>45701</v>
          </cell>
          <cell r="J67">
            <v>45737</v>
          </cell>
          <cell r="K67">
            <v>45754</v>
          </cell>
          <cell r="L67">
            <v>45754.333333333336</v>
          </cell>
        </row>
        <row r="68">
          <cell r="F68" t="str">
            <v>EGSU9785098</v>
          </cell>
          <cell r="G68" t="str">
            <v>CMA CGM BALI</v>
          </cell>
          <cell r="H68">
            <v>45706</v>
          </cell>
          <cell r="I68">
            <v>45708</v>
          </cell>
          <cell r="J68">
            <v>45744</v>
          </cell>
          <cell r="K68">
            <v>45754</v>
          </cell>
          <cell r="L68">
            <v>45754.53125</v>
          </cell>
        </row>
        <row r="69">
          <cell r="F69" t="str">
            <v>EMCU1835594</v>
          </cell>
          <cell r="G69" t="str">
            <v>CMA CGM SCANDOLA</v>
          </cell>
          <cell r="H69">
            <v>45673</v>
          </cell>
          <cell r="I69">
            <v>45673</v>
          </cell>
          <cell r="J69">
            <v>45717</v>
          </cell>
          <cell r="K69">
            <v>45755</v>
          </cell>
          <cell r="L69">
            <v>45755</v>
          </cell>
        </row>
        <row r="70">
          <cell r="F70" t="str">
            <v>EGSU1200967</v>
          </cell>
          <cell r="G70" t="str">
            <v>CMA CGM BALI</v>
          </cell>
          <cell r="H70">
            <v>45706</v>
          </cell>
          <cell r="I70">
            <v>45708</v>
          </cell>
          <cell r="J70">
            <v>45744</v>
          </cell>
          <cell r="K70">
            <v>45755</v>
          </cell>
          <cell r="L70">
            <v>45755.333333333336</v>
          </cell>
        </row>
        <row r="71">
          <cell r="F71" t="str">
            <v>TCNU3914279</v>
          </cell>
          <cell r="G71" t="str">
            <v>CMA CGM BALI</v>
          </cell>
          <cell r="H71">
            <v>45706</v>
          </cell>
          <cell r="I71">
            <v>45708</v>
          </cell>
          <cell r="J71">
            <v>45744</v>
          </cell>
          <cell r="K71">
            <v>45755</v>
          </cell>
          <cell r="L71">
            <v>45755.53125</v>
          </cell>
        </row>
        <row r="72">
          <cell r="F72" t="str">
            <v>EGSU1076199</v>
          </cell>
          <cell r="G72" t="str">
            <v>CMA CGM CAPE COD</v>
          </cell>
          <cell r="H72">
            <v>45715</v>
          </cell>
          <cell r="I72">
            <v>45715</v>
          </cell>
          <cell r="J72">
            <v>45763</v>
          </cell>
          <cell r="K72">
            <v>45771</v>
          </cell>
          <cell r="L72">
            <v>45771.333333333336</v>
          </cell>
        </row>
        <row r="73">
          <cell r="F73" t="str">
            <v>EGSU3621184</v>
          </cell>
          <cell r="G73" t="str">
            <v>CMA CGM KIMBERLEY</v>
          </cell>
          <cell r="H73">
            <v>45721</v>
          </cell>
          <cell r="I73">
            <v>45732</v>
          </cell>
          <cell r="J73">
            <v>45769</v>
          </cell>
          <cell r="K73">
            <v>45775</v>
          </cell>
          <cell r="L73">
            <v>45775.583333333336</v>
          </cell>
        </row>
        <row r="74">
          <cell r="F74" t="str">
            <v>EMCU8390828</v>
          </cell>
          <cell r="G74" t="str">
            <v xml:space="preserve">CMA CGM ARCTIC </v>
          </cell>
          <cell r="H74">
            <v>45743</v>
          </cell>
          <cell r="I74">
            <v>45746</v>
          </cell>
          <cell r="J74">
            <v>45789</v>
          </cell>
          <cell r="K74">
            <v>45796</v>
          </cell>
          <cell r="L74">
            <v>45799.333333333336</v>
          </cell>
        </row>
        <row r="75">
          <cell r="F75" t="str">
            <v>ECMU2741252</v>
          </cell>
          <cell r="G75" t="str">
            <v xml:space="preserve">CMA CGM ARCTIC </v>
          </cell>
          <cell r="H75">
            <v>45743</v>
          </cell>
          <cell r="I75">
            <v>45746</v>
          </cell>
          <cell r="J75">
            <v>45809</v>
          </cell>
          <cell r="K75">
            <v>45813</v>
          </cell>
          <cell r="L75">
            <v>45818.333333333336</v>
          </cell>
        </row>
        <row r="76">
          <cell r="F76" t="str">
            <v>ECMU2754028</v>
          </cell>
          <cell r="G76" t="str">
            <v xml:space="preserve">CMA CGM ARCTIC </v>
          </cell>
          <cell r="H76">
            <v>45743</v>
          </cell>
          <cell r="I76">
            <v>45746</v>
          </cell>
          <cell r="J76">
            <v>45809</v>
          </cell>
          <cell r="K76">
            <v>45813</v>
          </cell>
          <cell r="L76">
            <v>45825.53125</v>
          </cell>
        </row>
        <row r="77">
          <cell r="F77" t="str">
            <v>TRHU3858100</v>
          </cell>
          <cell r="G77" t="str">
            <v>CMA CGM GRACE BAY</v>
          </cell>
          <cell r="H77">
            <v>45764</v>
          </cell>
          <cell r="I77">
            <v>45765</v>
          </cell>
          <cell r="J77">
            <v>45812</v>
          </cell>
          <cell r="K77">
            <v>45819</v>
          </cell>
          <cell r="L77">
            <v>45824.333333333336</v>
          </cell>
        </row>
        <row r="78">
          <cell r="F78" t="str">
            <v>TRHU2449900</v>
          </cell>
          <cell r="G78" t="str">
            <v>CMA CGM GRACE BAY</v>
          </cell>
          <cell r="H78">
            <v>45764</v>
          </cell>
          <cell r="I78">
            <v>45765</v>
          </cell>
          <cell r="J78">
            <v>45812</v>
          </cell>
          <cell r="K78">
            <v>45819</v>
          </cell>
          <cell r="L78">
            <v>45824.53125</v>
          </cell>
        </row>
        <row r="79">
          <cell r="F79" t="str">
            <v>UETU7644007</v>
          </cell>
          <cell r="G79" t="str">
            <v>CMA CGM GRACE BAY</v>
          </cell>
          <cell r="H79">
            <v>45764</v>
          </cell>
          <cell r="I79">
            <v>45765</v>
          </cell>
          <cell r="J79">
            <v>45812</v>
          </cell>
          <cell r="K79">
            <v>45819</v>
          </cell>
          <cell r="L79">
            <v>45825.333333333336</v>
          </cell>
        </row>
        <row r="80">
          <cell r="F80" t="str">
            <v>BSIU3265802</v>
          </cell>
          <cell r="G80" t="str">
            <v>EMMA MAERSK</v>
          </cell>
          <cell r="H80">
            <v>45788</v>
          </cell>
          <cell r="I80">
            <v>45788</v>
          </cell>
          <cell r="J80">
            <v>45834</v>
          </cell>
          <cell r="K80">
            <v>45839</v>
          </cell>
          <cell r="L80">
            <v>45845.291666666664</v>
          </cell>
        </row>
        <row r="81">
          <cell r="F81" t="str">
            <v>FCGU2328218</v>
          </cell>
          <cell r="G81" t="str">
            <v>MSC JOSEFINA</v>
          </cell>
          <cell r="H81">
            <v>45815</v>
          </cell>
          <cell r="I81">
            <v>45816</v>
          </cell>
          <cell r="J81">
            <v>45863</v>
          </cell>
          <cell r="K81">
            <v>45869</v>
          </cell>
          <cell r="L81">
            <v>45869.291666666664</v>
          </cell>
        </row>
        <row r="82">
          <cell r="F82" t="str">
            <v>TRHU1477105</v>
          </cell>
          <cell r="G82" t="str">
            <v>COSCO SHIPPING PISCES</v>
          </cell>
          <cell r="H82">
            <v>45820</v>
          </cell>
          <cell r="I82">
            <v>45820</v>
          </cell>
          <cell r="J82">
            <v>45870</v>
          </cell>
          <cell r="K82">
            <v>45875</v>
          </cell>
          <cell r="L82">
            <v>45883.291666666664</v>
          </cell>
        </row>
        <row r="83">
          <cell r="F83" t="str">
            <v>EGHU9634061</v>
          </cell>
          <cell r="G83" t="str">
            <v>EVER GOLDEN</v>
          </cell>
          <cell r="H83">
            <v>45818</v>
          </cell>
          <cell r="I83">
            <v>45821</v>
          </cell>
          <cell r="J83">
            <v>45870</v>
          </cell>
          <cell r="K83">
            <v>45875</v>
          </cell>
          <cell r="L83">
            <v>45887.291666666664</v>
          </cell>
        </row>
        <row r="84">
          <cell r="F84" t="str">
            <v>ONEU1367189</v>
          </cell>
          <cell r="G84" t="str">
            <v>YM WISDOW</v>
          </cell>
          <cell r="H84">
            <v>45824</v>
          </cell>
          <cell r="I84">
            <v>45824</v>
          </cell>
          <cell r="J84">
            <v>45868</v>
          </cell>
          <cell r="K84">
            <v>45884</v>
          </cell>
          <cell r="L84">
            <v>45895</v>
          </cell>
        </row>
        <row r="85">
          <cell r="F85" t="str">
            <v>YMLU8612006</v>
          </cell>
          <cell r="G85" t="str">
            <v>ONE FRIENDSHIP</v>
          </cell>
          <cell r="H85">
            <v>45829</v>
          </cell>
          <cell r="I85">
            <v>45833</v>
          </cell>
          <cell r="J85">
            <v>45882</v>
          </cell>
          <cell r="K85">
            <v>45890</v>
          </cell>
          <cell r="L85">
            <v>45890.291666666664</v>
          </cell>
        </row>
        <row r="86">
          <cell r="F86" t="str">
            <v>BSIU9932707</v>
          </cell>
          <cell r="G86" t="str">
            <v>ONE FRIENDSHIP</v>
          </cell>
          <cell r="H86">
            <v>45833</v>
          </cell>
          <cell r="I86">
            <v>45833</v>
          </cell>
          <cell r="J86">
            <v>45882</v>
          </cell>
          <cell r="K86">
            <v>45890</v>
          </cell>
          <cell r="L86">
            <v>45895.291666666664</v>
          </cell>
        </row>
        <row r="87">
          <cell r="F87" t="str">
            <v>OBLU4050357</v>
          </cell>
          <cell r="G87" t="str">
            <v>INCRES</v>
          </cell>
          <cell r="H87">
            <v>45838</v>
          </cell>
          <cell r="I87">
            <v>45838</v>
          </cell>
          <cell r="J87">
            <v>45891</v>
          </cell>
          <cell r="K87">
            <v>45902</v>
          </cell>
          <cell r="L87">
            <v>45909.375</v>
          </cell>
        </row>
        <row r="88">
          <cell r="F88" t="str">
            <v>FSCU4619116</v>
          </cell>
          <cell r="G88" t="str">
            <v>CMA CGM UNITY</v>
          </cell>
          <cell r="H88">
            <v>45857</v>
          </cell>
          <cell r="I88">
            <v>45864</v>
          </cell>
          <cell r="J88">
            <v>45907</v>
          </cell>
          <cell r="K88">
            <v>45915</v>
          </cell>
          <cell r="L88">
            <v>45917.333333333336</v>
          </cell>
        </row>
        <row r="89">
          <cell r="F89" t="str">
            <v>NEWU2238451</v>
          </cell>
          <cell r="G89" t="str">
            <v>CMA CGM UNITY</v>
          </cell>
          <cell r="H89">
            <v>45857</v>
          </cell>
          <cell r="I89">
            <v>45864</v>
          </cell>
          <cell r="J89">
            <v>45907</v>
          </cell>
          <cell r="K89">
            <v>45915</v>
          </cell>
          <cell r="L89">
            <v>45918.333333333336</v>
          </cell>
        </row>
        <row r="90">
          <cell r="F90" t="str">
            <v>TCNU7363908</v>
          </cell>
          <cell r="G90" t="str">
            <v>CMA CGM UNITY</v>
          </cell>
          <cell r="H90">
            <v>45857</v>
          </cell>
          <cell r="I90">
            <v>45864</v>
          </cell>
          <cell r="J90">
            <v>45907</v>
          </cell>
          <cell r="K90">
            <v>45915</v>
          </cell>
          <cell r="L90">
            <v>45919.291666666664</v>
          </cell>
        </row>
        <row r="91">
          <cell r="F91" t="str">
            <v>NEWU2238467</v>
          </cell>
          <cell r="G91" t="str">
            <v>CMA CGM UNITY</v>
          </cell>
          <cell r="H91">
            <v>45865</v>
          </cell>
          <cell r="I91">
            <v>45864</v>
          </cell>
          <cell r="J91">
            <v>45907</v>
          </cell>
          <cell r="K91">
            <v>45915</v>
          </cell>
          <cell r="L91">
            <v>45917.53125</v>
          </cell>
        </row>
        <row r="92">
          <cell r="F92" t="str">
            <v>KBRU2570399</v>
          </cell>
          <cell r="G92" t="str">
            <v>CMA CGM UNITY</v>
          </cell>
          <cell r="H92">
            <v>45872</v>
          </cell>
          <cell r="I92">
            <v>45871</v>
          </cell>
          <cell r="J92">
            <v>45907</v>
          </cell>
          <cell r="K92">
            <v>45915</v>
          </cell>
          <cell r="L92">
            <v>45918.53125</v>
          </cell>
        </row>
        <row r="93">
          <cell r="F93" t="str">
            <v>CSFU9681685</v>
          </cell>
          <cell r="G93" t="str">
            <v>CMA CGM GRACE BAY</v>
          </cell>
          <cell r="H93">
            <v>45882</v>
          </cell>
          <cell r="I93">
            <v>45882</v>
          </cell>
          <cell r="J93">
            <v>45918</v>
          </cell>
          <cell r="K93">
            <v>45924</v>
          </cell>
          <cell r="L93">
            <v>45926.291666666664</v>
          </cell>
        </row>
        <row r="94">
          <cell r="F94" t="str">
            <v>CSFU9662577</v>
          </cell>
          <cell r="G94" t="str">
            <v>CMA CGM GRACE BAY</v>
          </cell>
          <cell r="H94">
            <v>45882</v>
          </cell>
          <cell r="I94">
            <v>45882</v>
          </cell>
          <cell r="J94">
            <v>45918</v>
          </cell>
          <cell r="K94">
            <v>45924</v>
          </cell>
          <cell r="L94">
            <v>45925.333333333336</v>
          </cell>
        </row>
        <row r="95">
          <cell r="F95" t="str">
            <v>SEGU4599431</v>
          </cell>
          <cell r="G95" t="str">
            <v>CMA CGM SCANDOLA</v>
          </cell>
          <cell r="H95">
            <v>45890</v>
          </cell>
          <cell r="I95">
            <v>45890</v>
          </cell>
          <cell r="J95">
            <v>45933</v>
          </cell>
          <cell r="K95">
            <v>45940</v>
          </cell>
          <cell r="L95">
            <v>45943.333333333336</v>
          </cell>
        </row>
        <row r="96">
          <cell r="F96" t="str">
            <v>NVLU2025586</v>
          </cell>
          <cell r="G96" t="str">
            <v>CMA CGM GREENLAND</v>
          </cell>
          <cell r="H96">
            <v>45913</v>
          </cell>
          <cell r="I96">
            <v>45919</v>
          </cell>
          <cell r="J96">
            <v>45971</v>
          </cell>
          <cell r="K96">
            <v>45978</v>
          </cell>
          <cell r="L96">
            <v>45978.333333333336</v>
          </cell>
        </row>
        <row r="97">
          <cell r="F97" t="str">
            <v>NVLU2025760</v>
          </cell>
          <cell r="G97" t="str">
            <v>CMA CGM GREENLAND</v>
          </cell>
          <cell r="H97">
            <v>45913</v>
          </cell>
          <cell r="I97">
            <v>45919</v>
          </cell>
          <cell r="J97">
            <v>45971</v>
          </cell>
          <cell r="K97">
            <v>45978</v>
          </cell>
          <cell r="L97">
            <v>45979.53125</v>
          </cell>
        </row>
        <row r="98">
          <cell r="F98" t="str">
            <v>NVLU2025890</v>
          </cell>
          <cell r="G98" t="str">
            <v>CMA CGM GREENLAND</v>
          </cell>
          <cell r="H98">
            <v>45913</v>
          </cell>
          <cell r="I98">
            <v>45919</v>
          </cell>
          <cell r="J98">
            <v>45971</v>
          </cell>
          <cell r="K98">
            <v>45978</v>
          </cell>
          <cell r="L98">
            <v>45985.53125</v>
          </cell>
        </row>
        <row r="99">
          <cell r="F99" t="str">
            <v>GESU6951969</v>
          </cell>
          <cell r="G99" t="str">
            <v>CMA CGM GREENLAND</v>
          </cell>
          <cell r="H99">
            <v>45913</v>
          </cell>
          <cell r="I99">
            <v>45919</v>
          </cell>
          <cell r="J99">
            <v>45971</v>
          </cell>
          <cell r="K99">
            <v>45978</v>
          </cell>
          <cell r="L99">
            <v>45985.333333333336</v>
          </cell>
        </row>
        <row r="100">
          <cell r="F100" t="str">
            <v>FFAU1605529</v>
          </cell>
          <cell r="G100" t="str">
            <v>CMA CGM BIG SUR</v>
          </cell>
          <cell r="H100">
            <v>45930</v>
          </cell>
          <cell r="I100">
            <v>45936</v>
          </cell>
          <cell r="J100">
            <v>45963</v>
          </cell>
          <cell r="K100">
            <v>45981</v>
          </cell>
          <cell r="L100">
            <v>45980.333333333336</v>
          </cell>
        </row>
        <row r="101">
          <cell r="F101" t="str">
            <v>NYKU0732232</v>
          </cell>
          <cell r="G101" t="str">
            <v>ONE FANTASTIC</v>
          </cell>
          <cell r="H101">
            <v>45929</v>
          </cell>
          <cell r="I101">
            <v>45931</v>
          </cell>
          <cell r="J101">
            <v>45981</v>
          </cell>
          <cell r="K101">
            <v>45989</v>
          </cell>
          <cell r="L101">
            <v>45996</v>
          </cell>
        </row>
        <row r="102">
          <cell r="F102" t="str">
            <v>SEGU5383200</v>
          </cell>
          <cell r="G102" t="str">
            <v>CMA CGM MEXICO</v>
          </cell>
          <cell r="H102">
            <v>45936</v>
          </cell>
          <cell r="I102">
            <v>45944</v>
          </cell>
          <cell r="J102">
            <v>45986</v>
          </cell>
          <cell r="K102">
            <v>45993</v>
          </cell>
          <cell r="L102">
            <v>45994.333333333336</v>
          </cell>
        </row>
        <row r="103">
          <cell r="F103" t="str">
            <v>SLEU2478628</v>
          </cell>
          <cell r="G103" t="str">
            <v>APL CHANGI</v>
          </cell>
          <cell r="H103">
            <v>45961</v>
          </cell>
          <cell r="I103">
            <v>45965</v>
          </cell>
          <cell r="J103">
            <v>46006</v>
          </cell>
          <cell r="K103">
            <v>46010</v>
          </cell>
          <cell r="L103">
            <v>46028.333333333336</v>
          </cell>
        </row>
        <row r="104">
          <cell r="F104" t="str">
            <v>SEGU4602828</v>
          </cell>
          <cell r="G104" t="str">
            <v>CMA CGM UNITY</v>
          </cell>
          <cell r="H104">
            <v>45976</v>
          </cell>
          <cell r="I104">
            <v>45979</v>
          </cell>
          <cell r="J104">
            <v>46018</v>
          </cell>
          <cell r="K104">
            <v>46022</v>
          </cell>
          <cell r="L104" t="str">
            <v>Estimée : 05-janv</v>
          </cell>
        </row>
        <row r="105">
          <cell r="F105" t="str">
            <v>NEOU2249915</v>
          </cell>
          <cell r="G105" t="str">
            <v>CMA CGM GRACE BAY</v>
          </cell>
          <cell r="H105">
            <v>45984</v>
          </cell>
          <cell r="I105">
            <v>45982</v>
          </cell>
          <cell r="J105">
            <v>46020</v>
          </cell>
          <cell r="K105">
            <v>46028</v>
          </cell>
          <cell r="L105" t="str">
            <v>Estimée : 06-janv</v>
          </cell>
        </row>
        <row r="106">
          <cell r="F106" t="str">
            <v>SGRU2236310</v>
          </cell>
          <cell r="G106" t="str">
            <v>CMA CGM IGUACU</v>
          </cell>
          <cell r="H106">
            <v>45998</v>
          </cell>
          <cell r="I106">
            <v>45999</v>
          </cell>
          <cell r="J106">
            <v>45671</v>
          </cell>
          <cell r="K106">
            <v>46043</v>
          </cell>
          <cell r="L106" t="str">
            <v>Estimée : 21-janv</v>
          </cell>
        </row>
        <row r="107">
          <cell r="F107" t="str">
            <v>TCNU3339544</v>
          </cell>
          <cell r="G107" t="str">
            <v>CMA CGM SCANDOLA</v>
          </cell>
          <cell r="H107">
            <v>46003</v>
          </cell>
          <cell r="I107">
            <v>46004</v>
          </cell>
          <cell r="J107">
            <v>46042</v>
          </cell>
          <cell r="K107">
            <v>46049</v>
          </cell>
          <cell r="L107" t="str">
            <v>Estimée : 27-janv</v>
          </cell>
        </row>
        <row r="108">
          <cell r="F108" t="str">
            <v>CMAU6128009</v>
          </cell>
          <cell r="G108" t="str">
            <v>CMA CGM SCANDOLA</v>
          </cell>
          <cell r="H108">
            <v>46003</v>
          </cell>
          <cell r="I108">
            <v>46004</v>
          </cell>
          <cell r="J108">
            <v>46042</v>
          </cell>
          <cell r="K108">
            <v>46049</v>
          </cell>
          <cell r="L108" t="str">
            <v>Estimée : 27-janv</v>
          </cell>
        </row>
        <row r="109">
          <cell r="F109" t="str">
            <v>BEAU4091177</v>
          </cell>
          <cell r="G109" t="str">
            <v>CMA CGM SCANDOLA</v>
          </cell>
          <cell r="H109">
            <v>46003</v>
          </cell>
          <cell r="I109">
            <v>46004</v>
          </cell>
          <cell r="J109">
            <v>46048</v>
          </cell>
          <cell r="K109">
            <v>46055</v>
          </cell>
          <cell r="L109" t="str">
            <v>Estimée : 02-fev</v>
          </cell>
        </row>
        <row r="110">
          <cell r="F110" t="str">
            <v>SGRU2236795</v>
          </cell>
          <cell r="G110" t="str">
            <v>CMA CGM SCANDOLA</v>
          </cell>
          <cell r="H110">
            <v>46003</v>
          </cell>
          <cell r="I110">
            <v>46004</v>
          </cell>
          <cell r="J110">
            <v>45683</v>
          </cell>
          <cell r="K110">
            <v>46055</v>
          </cell>
          <cell r="L110" t="str">
            <v>Estimée : 02-fev</v>
          </cell>
        </row>
        <row r="111">
          <cell r="F111" t="str">
            <v>CMAU8411614</v>
          </cell>
          <cell r="G111" t="str">
            <v>CMA CGM KIMBERLEY</v>
          </cell>
          <cell r="H111">
            <v>46010</v>
          </cell>
          <cell r="I111"/>
          <cell r="J111">
            <v>46049</v>
          </cell>
          <cell r="K111">
            <v>46063</v>
          </cell>
          <cell r="L111" t="str">
            <v>Estimée : 10-fév</v>
          </cell>
        </row>
        <row r="112">
          <cell r="F112" t="str">
            <v>SGRU2234719</v>
          </cell>
          <cell r="G112" t="str">
            <v>CMA CGM KIMBERLEY</v>
          </cell>
          <cell r="H112">
            <v>46010</v>
          </cell>
          <cell r="I112"/>
          <cell r="J112">
            <v>46049</v>
          </cell>
          <cell r="K112">
            <v>46063</v>
          </cell>
          <cell r="L112" t="str">
            <v>Estimée : 10-fév</v>
          </cell>
        </row>
        <row r="113">
          <cell r="F113" t="str">
            <v>SGRU2236645</v>
          </cell>
          <cell r="G113" t="str">
            <v>CMA CGM KIMBERLEY</v>
          </cell>
          <cell r="H113">
            <v>46010</v>
          </cell>
          <cell r="I113"/>
          <cell r="J113">
            <v>46049</v>
          </cell>
          <cell r="K113">
            <v>46063</v>
          </cell>
          <cell r="L113" t="str">
            <v>Estimée : 10-fév</v>
          </cell>
        </row>
        <row r="114">
          <cell r="F114" t="str">
            <v>SEGU4259410</v>
          </cell>
          <cell r="G114" t="str">
            <v>CMA CGM KIMBERLEY</v>
          </cell>
          <cell r="H114">
            <v>46010</v>
          </cell>
          <cell r="I114"/>
          <cell r="J114">
            <v>46049</v>
          </cell>
          <cell r="K114">
            <v>46063</v>
          </cell>
          <cell r="L114" t="str">
            <v>Estimée : 10-fév</v>
          </cell>
        </row>
        <row r="115">
          <cell r="F115" t="str">
            <v>SEGU4259410</v>
          </cell>
          <cell r="G115" t="str">
            <v>CMA CGM KIMBERLEY</v>
          </cell>
          <cell r="H115">
            <v>46010</v>
          </cell>
          <cell r="I115"/>
          <cell r="J115">
            <v>46049</v>
          </cell>
          <cell r="K115">
            <v>46063</v>
          </cell>
          <cell r="L115" t="str">
            <v>Estimée : 10-fév</v>
          </cell>
        </row>
        <row r="116">
          <cell r="F116" t="str">
            <v>APZU4406614</v>
          </cell>
          <cell r="G116" t="str">
            <v>CMA CGM KIMBERLEY</v>
          </cell>
          <cell r="H116">
            <v>46010</v>
          </cell>
          <cell r="I116"/>
          <cell r="J116">
            <v>46049</v>
          </cell>
          <cell r="K116">
            <v>46063</v>
          </cell>
          <cell r="L116" t="str">
            <v>Estimée : 10-fév</v>
          </cell>
        </row>
        <row r="117">
          <cell r="F117" t="str">
            <v>TGBU3898959</v>
          </cell>
          <cell r="G117" t="str">
            <v>ONE FREEDOM</v>
          </cell>
          <cell r="H117">
            <v>46021</v>
          </cell>
          <cell r="I117"/>
          <cell r="J117">
            <v>45702</v>
          </cell>
          <cell r="K117">
            <v>46072</v>
          </cell>
          <cell r="L117" t="str">
            <v>Estimée : 19-fév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1C5E-A9EB-4659-A34F-528E9BCD0777}">
  <sheetPr filterMode="1"/>
  <dimension ref="A1:AU755"/>
  <sheetViews>
    <sheetView tabSelected="1" topLeftCell="AD1" zoomScaleNormal="100" workbookViewId="0">
      <pane ySplit="4" topLeftCell="A386" activePane="bottomLeft" state="frozen"/>
      <selection pane="bottomLeft" activeCell="AH766" sqref="AH766"/>
    </sheetView>
  </sheetViews>
  <sheetFormatPr baseColWidth="10" defaultColWidth="11.42578125" defaultRowHeight="15" x14ac:dyDescent="0.25"/>
  <cols>
    <col min="1" max="1" width="2.28515625" style="181" bestFit="1" customWidth="1"/>
    <col min="2" max="2" width="13.28515625" style="591" bestFit="1" customWidth="1"/>
    <col min="3" max="3" width="19.5703125" style="181" bestFit="1" customWidth="1"/>
    <col min="4" max="4" width="12.42578125" style="181" customWidth="1"/>
    <col min="5" max="5" width="11.7109375" style="181" customWidth="1"/>
    <col min="6" max="6" width="20.140625" style="181" customWidth="1"/>
    <col min="7" max="7" width="22.140625" style="181" customWidth="1"/>
    <col min="8" max="8" width="22" style="181" customWidth="1"/>
    <col min="9" max="9" width="13.5703125" style="181" customWidth="1"/>
    <col min="10" max="10" width="13.42578125" style="181" customWidth="1"/>
    <col min="11" max="11" width="24" style="181" customWidth="1"/>
    <col min="12" max="12" width="13.28515625" style="181" customWidth="1"/>
    <col min="13" max="13" width="12" style="592" customWidth="1"/>
    <col min="14" max="14" width="16.85546875" style="593" customWidth="1"/>
    <col min="15" max="15" width="13.140625" style="181" bestFit="1" customWidth="1"/>
    <col min="16" max="16" width="72" style="181" customWidth="1"/>
    <col min="17" max="17" width="15" style="181" customWidth="1"/>
    <col min="18" max="18" width="10" style="181" bestFit="1" customWidth="1"/>
    <col min="19" max="19" width="19.7109375" style="181" customWidth="1"/>
    <col min="20" max="20" width="15.42578125" style="181" customWidth="1"/>
    <col min="21" max="21" width="11.85546875" style="212" customWidth="1"/>
    <col min="22" max="22" width="15.7109375" style="181" customWidth="1"/>
    <col min="23" max="23" width="10.5703125" style="181" customWidth="1"/>
    <col min="24" max="25" width="11.28515625" style="181" customWidth="1"/>
    <col min="26" max="26" width="12.140625" style="181" customWidth="1"/>
    <col min="27" max="27" width="23.42578125" style="181" customWidth="1"/>
    <col min="28" max="28" width="20.42578125" style="181" customWidth="1"/>
    <col min="29" max="29" width="18.140625" style="181" customWidth="1"/>
    <col min="30" max="30" width="21.140625" style="181" customWidth="1"/>
    <col min="31" max="31" width="19.42578125" style="181" customWidth="1"/>
    <col min="32" max="32" width="21.85546875" style="181" customWidth="1"/>
    <col min="33" max="33" width="13.85546875" style="181" customWidth="1"/>
    <col min="34" max="34" width="15.42578125" style="181" customWidth="1"/>
    <col min="35" max="35" width="18.85546875" style="213" customWidth="1"/>
    <col min="36" max="36" width="11.5703125" style="173" customWidth="1"/>
    <col min="37" max="37" width="19.42578125" style="213" bestFit="1" customWidth="1"/>
    <col min="38" max="38" width="18" style="181" customWidth="1"/>
    <col min="39" max="39" width="21.140625" style="181" customWidth="1"/>
    <col min="40" max="40" width="15" style="181" customWidth="1"/>
    <col min="41" max="41" width="15.28515625" style="181" bestFit="1" customWidth="1"/>
    <col min="42" max="42" width="17.28515625" style="181" bestFit="1" customWidth="1"/>
    <col min="43" max="43" width="60.140625" style="181" bestFit="1" customWidth="1"/>
    <col min="44" max="44" width="36.140625" style="181" bestFit="1" customWidth="1"/>
    <col min="45" max="45" width="21.42578125" style="181" bestFit="1" customWidth="1"/>
    <col min="46" max="46" width="31.28515625" style="181" bestFit="1" customWidth="1"/>
    <col min="47" max="47" width="16.42578125" style="181" customWidth="1"/>
    <col min="48" max="16384" width="11.42578125" style="181"/>
  </cols>
  <sheetData>
    <row r="1" spans="1:46" x14ac:dyDescent="0.25">
      <c r="A1" s="197"/>
      <c r="B1" s="625" t="s">
        <v>0</v>
      </c>
      <c r="C1" s="617" t="s">
        <v>352</v>
      </c>
      <c r="D1" s="618"/>
      <c r="E1" s="617" t="s">
        <v>1</v>
      </c>
      <c r="F1" s="618"/>
      <c r="G1" s="175" t="s">
        <v>3</v>
      </c>
      <c r="H1" s="176" t="s">
        <v>2</v>
      </c>
      <c r="I1" s="385" t="s">
        <v>4</v>
      </c>
      <c r="J1" s="175" t="s">
        <v>352</v>
      </c>
      <c r="K1" s="175" t="s">
        <v>1</v>
      </c>
      <c r="L1" s="648" t="s">
        <v>2</v>
      </c>
      <c r="M1" s="618"/>
      <c r="N1" s="176" t="s">
        <v>3</v>
      </c>
      <c r="P1" s="177"/>
      <c r="Q1" s="177"/>
      <c r="R1" s="198"/>
      <c r="S1" s="199"/>
      <c r="T1" s="200"/>
      <c r="U1" s="201"/>
      <c r="V1" s="200"/>
      <c r="W1" s="202"/>
      <c r="X1" s="203"/>
      <c r="Y1" s="204"/>
      <c r="Z1" s="204"/>
      <c r="AA1" s="1"/>
      <c r="AB1" s="1"/>
      <c r="AC1" s="205"/>
      <c r="AD1" s="1"/>
      <c r="AE1" s="2"/>
      <c r="AF1" s="1"/>
      <c r="AG1" s="1"/>
      <c r="AH1" s="197"/>
      <c r="AI1" s="206"/>
      <c r="AJ1" s="172">
        <f ca="1">TODAY()</f>
        <v>46098</v>
      </c>
      <c r="AK1" s="206"/>
      <c r="AL1" s="206"/>
      <c r="AM1" s="3"/>
      <c r="AN1" s="197"/>
      <c r="AO1" s="197"/>
      <c r="AP1" s="197"/>
      <c r="AQ1" s="197"/>
      <c r="AR1" s="197"/>
      <c r="AS1" s="197"/>
      <c r="AT1" s="197"/>
    </row>
    <row r="2" spans="1:46" ht="15.75" thickBot="1" x14ac:dyDescent="0.3">
      <c r="A2" s="197"/>
      <c r="B2" s="626"/>
      <c r="C2" s="619" t="s">
        <v>354</v>
      </c>
      <c r="D2" s="616"/>
      <c r="E2" s="615" t="s">
        <v>5</v>
      </c>
      <c r="F2" s="616"/>
      <c r="G2" s="387">
        <v>397879909</v>
      </c>
      <c r="H2" s="388" t="s">
        <v>6</v>
      </c>
      <c r="I2" s="386"/>
      <c r="J2" s="389" t="s">
        <v>353</v>
      </c>
      <c r="K2" s="214" t="s">
        <v>7</v>
      </c>
      <c r="L2" s="646" t="s">
        <v>8</v>
      </c>
      <c r="M2" s="647"/>
      <c r="N2" s="215">
        <v>41996020800033</v>
      </c>
      <c r="P2" s="216"/>
      <c r="Q2" s="216"/>
      <c r="R2" s="198"/>
      <c r="S2" s="199"/>
      <c r="T2" s="200"/>
      <c r="U2" s="201"/>
      <c r="V2" s="200"/>
      <c r="W2" s="202"/>
      <c r="X2" s="203"/>
      <c r="Y2" s="204"/>
      <c r="Z2" s="204"/>
      <c r="AA2" s="1"/>
      <c r="AB2" s="1"/>
      <c r="AC2" s="205"/>
      <c r="AD2" s="1"/>
      <c r="AE2" s="2"/>
      <c r="AF2" s="1"/>
      <c r="AG2" s="1"/>
      <c r="AH2" s="197"/>
      <c r="AI2" s="206"/>
      <c r="AJ2" s="217"/>
      <c r="AK2" s="206"/>
      <c r="AL2" s="206"/>
      <c r="AM2" s="3"/>
      <c r="AN2" s="197"/>
      <c r="AO2" s="197"/>
      <c r="AP2" s="197"/>
      <c r="AQ2" s="197"/>
      <c r="AR2" s="197"/>
      <c r="AS2" s="197"/>
      <c r="AT2" s="197"/>
    </row>
    <row r="3" spans="1:46" ht="15" customHeight="1" thickBot="1" x14ac:dyDescent="0.3">
      <c r="A3" s="197"/>
      <c r="B3" s="627" t="s">
        <v>9</v>
      </c>
      <c r="C3" s="628"/>
      <c r="D3" s="628"/>
      <c r="E3" s="629"/>
      <c r="F3" s="628"/>
      <c r="G3" s="628"/>
      <c r="H3" s="628"/>
      <c r="I3" s="628"/>
      <c r="J3" s="628"/>
      <c r="K3" s="628"/>
      <c r="L3" s="628"/>
      <c r="M3" s="630"/>
      <c r="N3" s="631"/>
      <c r="O3" s="632" t="s">
        <v>10</v>
      </c>
      <c r="P3" s="633"/>
      <c r="Q3" s="633"/>
      <c r="R3" s="634"/>
      <c r="S3" s="635" t="s">
        <v>11</v>
      </c>
      <c r="T3" s="636"/>
      <c r="U3" s="636"/>
      <c r="V3" s="637"/>
      <c r="W3" s="638" t="s">
        <v>12</v>
      </c>
      <c r="X3" s="639"/>
      <c r="Y3" s="639"/>
      <c r="Z3" s="640"/>
      <c r="AA3" s="641" t="s">
        <v>237</v>
      </c>
      <c r="AB3" s="642"/>
      <c r="AC3" s="642"/>
      <c r="AD3" s="642"/>
      <c r="AE3" s="643"/>
      <c r="AF3" s="644"/>
      <c r="AG3" s="644"/>
      <c r="AH3" s="645"/>
      <c r="AI3" s="620" t="s">
        <v>13</v>
      </c>
      <c r="AJ3" s="621"/>
      <c r="AK3" s="622"/>
      <c r="AL3" s="623"/>
      <c r="AM3" s="623"/>
      <c r="AN3" s="623"/>
      <c r="AO3" s="623"/>
      <c r="AP3" s="623"/>
      <c r="AQ3" s="623"/>
      <c r="AR3" s="623"/>
      <c r="AS3" s="623"/>
      <c r="AT3" s="624"/>
    </row>
    <row r="4" spans="1:46" s="419" customFormat="1" ht="64.5" thickBot="1" x14ac:dyDescent="0.25">
      <c r="A4" s="390"/>
      <c r="B4" s="391" t="s">
        <v>14</v>
      </c>
      <c r="C4" s="392" t="s">
        <v>15</v>
      </c>
      <c r="D4" s="393" t="s">
        <v>16</v>
      </c>
      <c r="E4" s="394" t="s">
        <v>17</v>
      </c>
      <c r="F4" s="395" t="s">
        <v>18</v>
      </c>
      <c r="G4" s="393" t="s">
        <v>19</v>
      </c>
      <c r="H4" s="393" t="s">
        <v>232</v>
      </c>
      <c r="I4" s="396" t="s">
        <v>20</v>
      </c>
      <c r="J4" s="397" t="s">
        <v>21</v>
      </c>
      <c r="K4" s="393" t="s">
        <v>22</v>
      </c>
      <c r="L4" s="393" t="s">
        <v>23</v>
      </c>
      <c r="M4" s="398" t="s">
        <v>889</v>
      </c>
      <c r="N4" s="399" t="s">
        <v>24</v>
      </c>
      <c r="O4" s="586" t="s">
        <v>25</v>
      </c>
      <c r="P4" s="400" t="s">
        <v>26</v>
      </c>
      <c r="Q4" s="400" t="s">
        <v>27</v>
      </c>
      <c r="R4" s="401" t="s">
        <v>233</v>
      </c>
      <c r="S4" s="402" t="s">
        <v>235</v>
      </c>
      <c r="T4" s="403" t="s">
        <v>234</v>
      </c>
      <c r="U4" s="404" t="s">
        <v>231</v>
      </c>
      <c r="V4" s="405" t="s">
        <v>28</v>
      </c>
      <c r="W4" s="406" t="s">
        <v>236</v>
      </c>
      <c r="X4" s="407" t="s">
        <v>29</v>
      </c>
      <c r="Y4" s="408" t="s">
        <v>30</v>
      </c>
      <c r="Z4" s="409" t="s">
        <v>31</v>
      </c>
      <c r="AA4" s="410" t="s">
        <v>32</v>
      </c>
      <c r="AB4" s="411" t="s">
        <v>33</v>
      </c>
      <c r="AC4" s="411" t="s">
        <v>34</v>
      </c>
      <c r="AD4" s="411" t="s">
        <v>35</v>
      </c>
      <c r="AE4" s="412" t="s">
        <v>36</v>
      </c>
      <c r="AF4" s="411" t="s">
        <v>37</v>
      </c>
      <c r="AG4" s="411" t="s">
        <v>38</v>
      </c>
      <c r="AH4" s="413" t="s">
        <v>39</v>
      </c>
      <c r="AI4" s="414" t="s">
        <v>230</v>
      </c>
      <c r="AJ4" s="415" t="s">
        <v>217</v>
      </c>
      <c r="AK4" s="416" t="s">
        <v>238</v>
      </c>
      <c r="AL4" s="417" t="s">
        <v>40</v>
      </c>
      <c r="AM4" s="417" t="s">
        <v>239</v>
      </c>
      <c r="AN4" s="417" t="s">
        <v>41</v>
      </c>
      <c r="AO4" s="400" t="s">
        <v>42</v>
      </c>
      <c r="AP4" s="400" t="s">
        <v>240</v>
      </c>
      <c r="AQ4" s="400" t="s">
        <v>256</v>
      </c>
      <c r="AR4" s="400" t="s">
        <v>241</v>
      </c>
      <c r="AS4" s="400" t="s">
        <v>43</v>
      </c>
      <c r="AT4" s="418" t="s">
        <v>44</v>
      </c>
    </row>
    <row r="5" spans="1:46" s="72" customFormat="1" ht="15" hidden="1" customHeight="1" x14ac:dyDescent="0.25">
      <c r="B5" s="267" t="s">
        <v>45</v>
      </c>
      <c r="C5" s="89">
        <v>45922</v>
      </c>
      <c r="D5" s="90">
        <v>25081</v>
      </c>
      <c r="E5" s="528" t="s">
        <v>1022</v>
      </c>
      <c r="F5" s="218" t="s">
        <v>120</v>
      </c>
      <c r="G5" s="353" t="s">
        <v>121</v>
      </c>
      <c r="H5" s="218" t="s">
        <v>4</v>
      </c>
      <c r="I5" s="218" t="s">
        <v>49</v>
      </c>
      <c r="J5" s="218" t="s">
        <v>46</v>
      </c>
      <c r="K5" s="8" t="s">
        <v>204</v>
      </c>
      <c r="L5" s="269">
        <v>45957</v>
      </c>
      <c r="M5" s="381" t="s">
        <v>46</v>
      </c>
      <c r="N5" s="98" t="s">
        <v>49</v>
      </c>
      <c r="O5" s="233" t="s">
        <v>46</v>
      </c>
      <c r="P5" s="24" t="s">
        <v>454</v>
      </c>
      <c r="Q5" s="90">
        <v>1</v>
      </c>
      <c r="R5" s="93">
        <v>3636</v>
      </c>
      <c r="S5" s="94">
        <f t="shared" ref="S5:S68" si="0">Q5*R5</f>
        <v>3636</v>
      </c>
      <c r="T5" s="95">
        <f t="shared" ref="T5:T35" si="1">SUMIF($E$5:$E$9257,E5,$S$5:$S$9257)</f>
        <v>4895</v>
      </c>
      <c r="U5" s="138"/>
      <c r="V5" s="96">
        <f t="shared" ref="V5:V68" si="2">U5+T5</f>
        <v>4895</v>
      </c>
      <c r="W5" s="4" t="e">
        <f>VLOOKUP(O5,[1]Feuil2!$A:$M,6,FALSE)</f>
        <v>#N/A</v>
      </c>
      <c r="X5" s="5" t="e">
        <f>VLOOKUP(O5,[1]Feuil2!$A:$M,13,FALSE)</f>
        <v>#N/A</v>
      </c>
      <c r="Y5" s="6" t="e">
        <f t="shared" ref="Y5:Y36" si="3">(Q5/W5)*X5</f>
        <v>#N/A</v>
      </c>
      <c r="Z5" s="97" t="e">
        <f t="shared" ref="Z5:Z68" si="4">SUMIF($E:$E,E5,$Y:$Y)</f>
        <v>#N/A</v>
      </c>
      <c r="AA5" s="68" t="s">
        <v>48</v>
      </c>
      <c r="AB5" s="67" t="s">
        <v>48</v>
      </c>
      <c r="AC5" s="218" t="s">
        <v>46</v>
      </c>
      <c r="AD5" s="68" t="s">
        <v>48</v>
      </c>
      <c r="AE5" s="20" t="s">
        <v>46</v>
      </c>
      <c r="AF5" s="21" t="s">
        <v>46</v>
      </c>
      <c r="AG5" s="21" t="s">
        <v>46</v>
      </c>
      <c r="AH5" s="98" t="s">
        <v>46</v>
      </c>
      <c r="AI5" s="270" t="s">
        <v>46</v>
      </c>
      <c r="AJ5" s="145" t="s">
        <v>46</v>
      </c>
      <c r="AK5" s="271" t="s">
        <v>46</v>
      </c>
      <c r="AL5" s="222" t="s">
        <v>46</v>
      </c>
      <c r="AM5" s="222" t="s">
        <v>46</v>
      </c>
      <c r="AN5" s="222" t="s">
        <v>46</v>
      </c>
      <c r="AO5" s="222" t="s">
        <v>46</v>
      </c>
      <c r="AP5" s="222" t="s">
        <v>46</v>
      </c>
      <c r="AQ5" s="222" t="s">
        <v>46</v>
      </c>
      <c r="AR5" s="90" t="s">
        <v>46</v>
      </c>
      <c r="AS5" s="90" t="s">
        <v>46</v>
      </c>
      <c r="AT5" s="98" t="s">
        <v>46</v>
      </c>
    </row>
    <row r="6" spans="1:46" s="72" customFormat="1" hidden="1" x14ac:dyDescent="0.25">
      <c r="B6" s="267" t="s">
        <v>45</v>
      </c>
      <c r="C6" s="89">
        <v>45922</v>
      </c>
      <c r="D6" s="90">
        <v>25081</v>
      </c>
      <c r="E6" s="528" t="s">
        <v>1022</v>
      </c>
      <c r="F6" s="218" t="s">
        <v>120</v>
      </c>
      <c r="G6" s="353" t="s">
        <v>121</v>
      </c>
      <c r="H6" s="218" t="s">
        <v>4</v>
      </c>
      <c r="I6" s="218" t="s">
        <v>49</v>
      </c>
      <c r="J6" s="218" t="s">
        <v>46</v>
      </c>
      <c r="K6" s="8" t="s">
        <v>204</v>
      </c>
      <c r="L6" s="269">
        <v>45957</v>
      </c>
      <c r="M6" s="381" t="s">
        <v>46</v>
      </c>
      <c r="N6" s="98" t="s">
        <v>49</v>
      </c>
      <c r="O6" s="233" t="s">
        <v>46</v>
      </c>
      <c r="P6" s="24" t="s">
        <v>455</v>
      </c>
      <c r="Q6" s="90">
        <v>1</v>
      </c>
      <c r="R6" s="93">
        <v>420</v>
      </c>
      <c r="S6" s="94">
        <f t="shared" si="0"/>
        <v>420</v>
      </c>
      <c r="T6" s="95">
        <f t="shared" si="1"/>
        <v>4895</v>
      </c>
      <c r="U6" s="138"/>
      <c r="V6" s="96">
        <f t="shared" si="2"/>
        <v>4895</v>
      </c>
      <c r="W6" s="4" t="e">
        <f>VLOOKUP(O6,[1]Feuil2!$A:$M,6,FALSE)</f>
        <v>#N/A</v>
      </c>
      <c r="X6" s="5" t="e">
        <f>VLOOKUP(O6,[1]Feuil2!$A:$M,13,FALSE)</f>
        <v>#N/A</v>
      </c>
      <c r="Y6" s="6" t="e">
        <f t="shared" si="3"/>
        <v>#N/A</v>
      </c>
      <c r="Z6" s="97" t="e">
        <f t="shared" si="4"/>
        <v>#N/A</v>
      </c>
      <c r="AA6" s="68" t="s">
        <v>48</v>
      </c>
      <c r="AB6" s="67" t="s">
        <v>48</v>
      </c>
      <c r="AC6" s="218" t="s">
        <v>46</v>
      </c>
      <c r="AD6" s="68" t="s">
        <v>48</v>
      </c>
      <c r="AE6" s="20" t="s">
        <v>46</v>
      </c>
      <c r="AF6" s="21" t="s">
        <v>46</v>
      </c>
      <c r="AG6" s="21" t="s">
        <v>46</v>
      </c>
      <c r="AH6" s="98" t="s">
        <v>46</v>
      </c>
      <c r="AI6" s="270" t="s">
        <v>46</v>
      </c>
      <c r="AJ6" s="145" t="s">
        <v>46</v>
      </c>
      <c r="AK6" s="271" t="s">
        <v>46</v>
      </c>
      <c r="AL6" s="271" t="s">
        <v>46</v>
      </c>
      <c r="AM6" s="271" t="s">
        <v>46</v>
      </c>
      <c r="AN6" s="222" t="s">
        <v>46</v>
      </c>
      <c r="AO6" s="222" t="s">
        <v>46</v>
      </c>
      <c r="AP6" s="222" t="s">
        <v>46</v>
      </c>
      <c r="AQ6" s="222" t="s">
        <v>46</v>
      </c>
      <c r="AR6" s="90" t="s">
        <v>46</v>
      </c>
      <c r="AS6" s="90" t="s">
        <v>46</v>
      </c>
      <c r="AT6" s="98" t="s">
        <v>46</v>
      </c>
    </row>
    <row r="7" spans="1:46" s="72" customFormat="1" hidden="1" x14ac:dyDescent="0.25">
      <c r="B7" s="267" t="s">
        <v>45</v>
      </c>
      <c r="C7" s="89">
        <v>45922</v>
      </c>
      <c r="D7" s="90">
        <v>25081</v>
      </c>
      <c r="E7" s="528" t="s">
        <v>1022</v>
      </c>
      <c r="F7" s="218" t="s">
        <v>120</v>
      </c>
      <c r="G7" s="353" t="s">
        <v>121</v>
      </c>
      <c r="H7" s="218" t="s">
        <v>4</v>
      </c>
      <c r="I7" s="218" t="s">
        <v>49</v>
      </c>
      <c r="J7" s="218" t="s">
        <v>46</v>
      </c>
      <c r="K7" s="8" t="s">
        <v>204</v>
      </c>
      <c r="L7" s="269">
        <v>45957</v>
      </c>
      <c r="M7" s="381" t="s">
        <v>46</v>
      </c>
      <c r="N7" s="98" t="s">
        <v>49</v>
      </c>
      <c r="O7" s="233" t="s">
        <v>46</v>
      </c>
      <c r="P7" s="24" t="s">
        <v>456</v>
      </c>
      <c r="Q7" s="90">
        <v>1</v>
      </c>
      <c r="R7" s="93">
        <v>839</v>
      </c>
      <c r="S7" s="94">
        <f t="shared" si="0"/>
        <v>839</v>
      </c>
      <c r="T7" s="95">
        <f t="shared" si="1"/>
        <v>4895</v>
      </c>
      <c r="U7" s="138"/>
      <c r="V7" s="96">
        <f t="shared" si="2"/>
        <v>4895</v>
      </c>
      <c r="W7" s="4" t="e">
        <f>VLOOKUP(O7,[1]Feuil2!$A:$M,6,FALSE)</f>
        <v>#N/A</v>
      </c>
      <c r="X7" s="5" t="e">
        <f>VLOOKUP(O7,[1]Feuil2!$A:$M,13,FALSE)</f>
        <v>#N/A</v>
      </c>
      <c r="Y7" s="6" t="e">
        <f t="shared" si="3"/>
        <v>#N/A</v>
      </c>
      <c r="Z7" s="97" t="e">
        <f t="shared" si="4"/>
        <v>#N/A</v>
      </c>
      <c r="AA7" s="68" t="s">
        <v>48</v>
      </c>
      <c r="AB7" s="67" t="s">
        <v>48</v>
      </c>
      <c r="AC7" s="218" t="s">
        <v>46</v>
      </c>
      <c r="AD7" s="68" t="s">
        <v>48</v>
      </c>
      <c r="AE7" s="20" t="s">
        <v>46</v>
      </c>
      <c r="AF7" s="21" t="s">
        <v>46</v>
      </c>
      <c r="AG7" s="21" t="s">
        <v>46</v>
      </c>
      <c r="AH7" s="98" t="s">
        <v>46</v>
      </c>
      <c r="AI7" s="270" t="s">
        <v>46</v>
      </c>
      <c r="AJ7" s="145" t="s">
        <v>46</v>
      </c>
      <c r="AK7" s="271" t="s">
        <v>46</v>
      </c>
      <c r="AL7" s="271" t="s">
        <v>46</v>
      </c>
      <c r="AM7" s="271" t="s">
        <v>46</v>
      </c>
      <c r="AN7" s="222" t="s">
        <v>46</v>
      </c>
      <c r="AO7" s="222" t="s">
        <v>46</v>
      </c>
      <c r="AP7" s="222" t="s">
        <v>46</v>
      </c>
      <c r="AQ7" s="222" t="s">
        <v>46</v>
      </c>
      <c r="AR7" s="90" t="s">
        <v>46</v>
      </c>
      <c r="AS7" s="90" t="s">
        <v>46</v>
      </c>
      <c r="AT7" s="98" t="s">
        <v>46</v>
      </c>
    </row>
    <row r="8" spans="1:46" s="72" customFormat="1" hidden="1" x14ac:dyDescent="0.25">
      <c r="A8" s="71"/>
      <c r="B8" s="152" t="s">
        <v>45</v>
      </c>
      <c r="C8" s="89">
        <v>45800</v>
      </c>
      <c r="D8" s="129">
        <v>25043</v>
      </c>
      <c r="E8" s="143" t="s">
        <v>281</v>
      </c>
      <c r="F8" s="129" t="s">
        <v>120</v>
      </c>
      <c r="G8" s="129" t="s">
        <v>282</v>
      </c>
      <c r="H8" s="129" t="s">
        <v>4</v>
      </c>
      <c r="I8" s="129" t="s">
        <v>49</v>
      </c>
      <c r="J8" s="129" t="s">
        <v>46</v>
      </c>
      <c r="K8" s="8" t="s">
        <v>968</v>
      </c>
      <c r="L8" s="128">
        <v>46041</v>
      </c>
      <c r="M8" s="381">
        <f t="shared" ref="M8:M71" si="5">DATEDIF(C8,AM8,"M")</f>
        <v>8</v>
      </c>
      <c r="N8" s="480" t="s">
        <v>49</v>
      </c>
      <c r="O8" s="183" t="s">
        <v>283</v>
      </c>
      <c r="P8" s="24" t="s">
        <v>284</v>
      </c>
      <c r="Q8" s="90">
        <v>1000</v>
      </c>
      <c r="R8" s="93">
        <v>0.75</v>
      </c>
      <c r="S8" s="94">
        <f t="shared" si="0"/>
        <v>750</v>
      </c>
      <c r="T8" s="95">
        <f t="shared" si="1"/>
        <v>750</v>
      </c>
      <c r="U8" s="138">
        <v>280</v>
      </c>
      <c r="V8" s="96">
        <f t="shared" si="2"/>
        <v>1030</v>
      </c>
      <c r="W8" s="4">
        <f>VLOOKUP(O8,[1]Feuil2!$A:$M,6,FALSE)</f>
        <v>500</v>
      </c>
      <c r="X8" s="5">
        <f>VLOOKUP(O8,[1]Feuil2!$A:$M,13,FALSE)</f>
        <v>2.8440000000000006E-3</v>
      </c>
      <c r="Y8" s="6">
        <f t="shared" si="3"/>
        <v>5.6880000000000012E-3</v>
      </c>
      <c r="Z8" s="97">
        <f t="shared" si="4"/>
        <v>5.6880000000000012E-3</v>
      </c>
      <c r="AA8" s="68" t="s">
        <v>48</v>
      </c>
      <c r="AB8" s="67" t="s">
        <v>48</v>
      </c>
      <c r="AC8" s="87" t="s">
        <v>55</v>
      </c>
      <c r="AD8" s="69" t="s">
        <v>57</v>
      </c>
      <c r="AE8" s="20">
        <v>45988</v>
      </c>
      <c r="AF8" s="21" t="s">
        <v>637</v>
      </c>
      <c r="AG8" s="21"/>
      <c r="AH8" s="98"/>
      <c r="AI8" s="160">
        <v>45853</v>
      </c>
      <c r="AJ8" s="145">
        <f t="shared" ref="AJ8:AJ20" si="6">DATEDIF(AI8,$AK8,"D")</f>
        <v>150</v>
      </c>
      <c r="AK8" s="100">
        <f>VLOOKUP(AP8,'[2]CONTENEUR PLEIN'!$F:$L,3,FALSE)</f>
        <v>46003</v>
      </c>
      <c r="AL8" s="100">
        <f>VLOOKUP(AP8,'[2]CONTENEUR PLEIN'!$F:$L,5,FALSE)</f>
        <v>46046</v>
      </c>
      <c r="AM8" s="174">
        <f>VLOOKUP(AP8,'[2]CONTENEUR PLEIN'!$F:$L,7,FALSE)</f>
        <v>46056.333333333336</v>
      </c>
      <c r="AN8" s="129" t="s">
        <v>4</v>
      </c>
      <c r="AO8" s="301" t="s">
        <v>698</v>
      </c>
      <c r="AP8" s="301" t="s">
        <v>691</v>
      </c>
      <c r="AQ8" s="301" t="s">
        <v>699</v>
      </c>
      <c r="AR8" s="90" t="str">
        <f>VLOOKUP(AP8,'[2]CONTENEUR PLEIN'!$F:$L,2,FALSE)</f>
        <v>CMA CGM SCANDOLA</v>
      </c>
      <c r="AS8" s="301" t="s">
        <v>316</v>
      </c>
      <c r="AT8" s="98"/>
    </row>
    <row r="9" spans="1:46" s="72" customFormat="1" hidden="1" x14ac:dyDescent="0.25">
      <c r="B9" s="232" t="s">
        <v>45</v>
      </c>
      <c r="C9" s="89">
        <v>45866</v>
      </c>
      <c r="D9" s="90">
        <v>25065</v>
      </c>
      <c r="E9" s="195" t="s">
        <v>380</v>
      </c>
      <c r="F9" s="129" t="s">
        <v>120</v>
      </c>
      <c r="G9" s="191" t="s">
        <v>56</v>
      </c>
      <c r="H9" s="191" t="s">
        <v>148</v>
      </c>
      <c r="I9" s="191" t="s">
        <v>49</v>
      </c>
      <c r="J9" s="191" t="s">
        <v>46</v>
      </c>
      <c r="K9" s="8" t="s">
        <v>770</v>
      </c>
      <c r="L9" s="128">
        <v>46041</v>
      </c>
      <c r="M9" s="381">
        <f t="shared" si="5"/>
        <v>4</v>
      </c>
      <c r="N9" s="98" t="s">
        <v>62</v>
      </c>
      <c r="O9" s="92">
        <v>11410021</v>
      </c>
      <c r="P9" s="24" t="str">
        <f>VLOOKUP(O9,[1]Feuil2!$A:$M,5,FALSE)</f>
        <v>KIT COFFRET SET 3 PCE SEB_TEFAL</v>
      </c>
      <c r="Q9" s="90">
        <v>1800</v>
      </c>
      <c r="R9" s="93">
        <v>0.98699999999999999</v>
      </c>
      <c r="S9" s="94">
        <f t="shared" si="0"/>
        <v>1776.6</v>
      </c>
      <c r="T9" s="95">
        <f t="shared" si="1"/>
        <v>31945.199999999997</v>
      </c>
      <c r="U9" s="138">
        <v>4200</v>
      </c>
      <c r="V9" s="96">
        <f t="shared" si="2"/>
        <v>36145.199999999997</v>
      </c>
      <c r="W9" s="4">
        <f>VLOOKUP(O9,[1]Feuil2!$A:$M,6,FALSE)</f>
        <v>0</v>
      </c>
      <c r="X9" s="5">
        <f>VLOOKUP(O9,[1]Feuil2!$A:$M,13,FALSE)</f>
        <v>0</v>
      </c>
      <c r="Y9" s="6" t="e">
        <f t="shared" si="3"/>
        <v>#DIV/0!</v>
      </c>
      <c r="Z9" s="97" t="e">
        <f t="shared" si="4"/>
        <v>#DIV/0!</v>
      </c>
      <c r="AA9" s="68" t="s">
        <v>48</v>
      </c>
      <c r="AB9" s="67" t="s">
        <v>48</v>
      </c>
      <c r="AC9" s="87" t="s">
        <v>55</v>
      </c>
      <c r="AD9" s="69" t="s">
        <v>57</v>
      </c>
      <c r="AE9" s="20" t="s">
        <v>46</v>
      </c>
      <c r="AF9" s="21" t="s">
        <v>46</v>
      </c>
      <c r="AG9" s="21"/>
      <c r="AH9" s="98"/>
      <c r="AI9" s="160">
        <v>45915</v>
      </c>
      <c r="AJ9" s="145">
        <f t="shared" si="6"/>
        <v>85</v>
      </c>
      <c r="AK9" s="100">
        <v>46000</v>
      </c>
      <c r="AL9" s="99">
        <v>46006</v>
      </c>
      <c r="AM9" s="18">
        <v>46008</v>
      </c>
      <c r="AN9" s="191" t="s">
        <v>4</v>
      </c>
      <c r="AO9" s="320" t="s">
        <v>767</v>
      </c>
      <c r="AP9" s="320" t="s">
        <v>768</v>
      </c>
      <c r="AQ9" s="90">
        <v>20251206001</v>
      </c>
      <c r="AR9" s="320" t="s">
        <v>769</v>
      </c>
      <c r="AS9" s="320" t="s">
        <v>316</v>
      </c>
      <c r="AT9" s="98"/>
    </row>
    <row r="10" spans="1:46" s="72" customFormat="1" hidden="1" x14ac:dyDescent="0.25">
      <c r="B10" s="232" t="s">
        <v>45</v>
      </c>
      <c r="C10" s="89">
        <v>45866</v>
      </c>
      <c r="D10" s="90">
        <v>25065</v>
      </c>
      <c r="E10" s="195" t="s">
        <v>380</v>
      </c>
      <c r="F10" s="129" t="s">
        <v>120</v>
      </c>
      <c r="G10" s="191" t="s">
        <v>56</v>
      </c>
      <c r="H10" s="191" t="s">
        <v>148</v>
      </c>
      <c r="I10" s="191" t="s">
        <v>49</v>
      </c>
      <c r="J10" s="191" t="s">
        <v>46</v>
      </c>
      <c r="K10" s="8" t="s">
        <v>770</v>
      </c>
      <c r="L10" s="128">
        <v>46041</v>
      </c>
      <c r="M10" s="381">
        <f t="shared" si="5"/>
        <v>4</v>
      </c>
      <c r="N10" s="98" t="s">
        <v>62</v>
      </c>
      <c r="O10" s="92">
        <v>11410023</v>
      </c>
      <c r="P10" s="24" t="str">
        <f>VLOOKUP(O10,[1]Feuil2!$A:$M,5,FALSE)</f>
        <v>KIT COFFRET SANTOKU SEB_TEFAL</v>
      </c>
      <c r="Q10" s="90">
        <v>5200</v>
      </c>
      <c r="R10" s="93">
        <v>0.57999999999999996</v>
      </c>
      <c r="S10" s="94">
        <f t="shared" si="0"/>
        <v>3016</v>
      </c>
      <c r="T10" s="95">
        <f t="shared" si="1"/>
        <v>31945.199999999997</v>
      </c>
      <c r="U10" s="138">
        <v>4200</v>
      </c>
      <c r="V10" s="96">
        <f t="shared" si="2"/>
        <v>36145.199999999997</v>
      </c>
      <c r="W10" s="4">
        <f>VLOOKUP(O10,[1]Feuil2!$A:$M,6,FALSE)</f>
        <v>0</v>
      </c>
      <c r="X10" s="5">
        <f>VLOOKUP(O10,[1]Feuil2!$A:$M,13,FALSE)</f>
        <v>0</v>
      </c>
      <c r="Y10" s="6" t="e">
        <f t="shared" si="3"/>
        <v>#DIV/0!</v>
      </c>
      <c r="Z10" s="97" t="e">
        <f t="shared" si="4"/>
        <v>#DIV/0!</v>
      </c>
      <c r="AA10" s="68" t="s">
        <v>48</v>
      </c>
      <c r="AB10" s="67" t="s">
        <v>48</v>
      </c>
      <c r="AC10" s="87" t="s">
        <v>55</v>
      </c>
      <c r="AD10" s="69" t="s">
        <v>57</v>
      </c>
      <c r="AE10" s="20" t="s">
        <v>46</v>
      </c>
      <c r="AF10" s="21" t="s">
        <v>46</v>
      </c>
      <c r="AG10" s="21"/>
      <c r="AH10" s="98"/>
      <c r="AI10" s="160">
        <v>45915</v>
      </c>
      <c r="AJ10" s="145">
        <f t="shared" si="6"/>
        <v>85</v>
      </c>
      <c r="AK10" s="100">
        <v>46000</v>
      </c>
      <c r="AL10" s="100">
        <v>46006</v>
      </c>
      <c r="AM10" s="174">
        <v>46008</v>
      </c>
      <c r="AN10" s="191" t="s">
        <v>4</v>
      </c>
      <c r="AO10" s="320" t="s">
        <v>767</v>
      </c>
      <c r="AP10" s="320" t="s">
        <v>768</v>
      </c>
      <c r="AQ10" s="90">
        <v>20251206001</v>
      </c>
      <c r="AR10" s="320" t="s">
        <v>769</v>
      </c>
      <c r="AS10" s="320" t="s">
        <v>316</v>
      </c>
      <c r="AT10" s="98"/>
    </row>
    <row r="11" spans="1:46" s="72" customFormat="1" hidden="1" x14ac:dyDescent="0.25">
      <c r="B11" s="232" t="s">
        <v>45</v>
      </c>
      <c r="C11" s="89">
        <v>45866</v>
      </c>
      <c r="D11" s="90">
        <v>25065</v>
      </c>
      <c r="E11" s="195" t="s">
        <v>380</v>
      </c>
      <c r="F11" s="129" t="s">
        <v>120</v>
      </c>
      <c r="G11" s="191" t="s">
        <v>56</v>
      </c>
      <c r="H11" s="191" t="s">
        <v>148</v>
      </c>
      <c r="I11" s="191" t="s">
        <v>49</v>
      </c>
      <c r="J11" s="191" t="s">
        <v>46</v>
      </c>
      <c r="K11" s="8" t="s">
        <v>770</v>
      </c>
      <c r="L11" s="128">
        <v>46041</v>
      </c>
      <c r="M11" s="381">
        <f t="shared" si="5"/>
        <v>4</v>
      </c>
      <c r="N11" s="98" t="s">
        <v>62</v>
      </c>
      <c r="O11" s="92">
        <v>11410024</v>
      </c>
      <c r="P11" s="24" t="str">
        <f>VLOOKUP(O11,[1]Feuil2!$A:$M,5,FALSE)</f>
        <v>KIT COFFRET UTILITY SEB_TEFAL</v>
      </c>
      <c r="Q11" s="90">
        <v>6900</v>
      </c>
      <c r="R11" s="93">
        <v>0.47499999999999998</v>
      </c>
      <c r="S11" s="94">
        <f t="shared" si="0"/>
        <v>3277.5</v>
      </c>
      <c r="T11" s="95">
        <f t="shared" si="1"/>
        <v>31945.199999999997</v>
      </c>
      <c r="U11" s="138">
        <v>4200</v>
      </c>
      <c r="V11" s="96">
        <f t="shared" si="2"/>
        <v>36145.199999999997</v>
      </c>
      <c r="W11" s="4">
        <f>VLOOKUP(O11,[1]Feuil2!$A:$M,6,FALSE)</f>
        <v>0</v>
      </c>
      <c r="X11" s="5">
        <f>VLOOKUP(O11,[1]Feuil2!$A:$M,13,FALSE)</f>
        <v>0</v>
      </c>
      <c r="Y11" s="6" t="e">
        <f t="shared" si="3"/>
        <v>#DIV/0!</v>
      </c>
      <c r="Z11" s="97" t="e">
        <f t="shared" si="4"/>
        <v>#DIV/0!</v>
      </c>
      <c r="AA11" s="68" t="s">
        <v>48</v>
      </c>
      <c r="AB11" s="67" t="s">
        <v>48</v>
      </c>
      <c r="AC11" s="87" t="s">
        <v>55</v>
      </c>
      <c r="AD11" s="69" t="s">
        <v>57</v>
      </c>
      <c r="AE11" s="20" t="s">
        <v>46</v>
      </c>
      <c r="AF11" s="21" t="s">
        <v>46</v>
      </c>
      <c r="AG11" s="21"/>
      <c r="AH11" s="98"/>
      <c r="AI11" s="160">
        <v>45915</v>
      </c>
      <c r="AJ11" s="145">
        <f t="shared" si="6"/>
        <v>85</v>
      </c>
      <c r="AK11" s="100">
        <v>46000</v>
      </c>
      <c r="AL11" s="99">
        <v>46006</v>
      </c>
      <c r="AM11" s="18">
        <v>46008</v>
      </c>
      <c r="AN11" s="191" t="s">
        <v>4</v>
      </c>
      <c r="AO11" s="320" t="s">
        <v>767</v>
      </c>
      <c r="AP11" s="320" t="s">
        <v>768</v>
      </c>
      <c r="AQ11" s="90">
        <v>20251206001</v>
      </c>
      <c r="AR11" s="320" t="s">
        <v>769</v>
      </c>
      <c r="AS11" s="320" t="s">
        <v>316</v>
      </c>
      <c r="AT11" s="98"/>
    </row>
    <row r="12" spans="1:46" s="72" customFormat="1" hidden="1" x14ac:dyDescent="0.25">
      <c r="B12" s="232" t="s">
        <v>45</v>
      </c>
      <c r="C12" s="89">
        <v>45866</v>
      </c>
      <c r="D12" s="90">
        <v>25065</v>
      </c>
      <c r="E12" s="195" t="s">
        <v>380</v>
      </c>
      <c r="F12" s="129" t="s">
        <v>120</v>
      </c>
      <c r="G12" s="191" t="s">
        <v>56</v>
      </c>
      <c r="H12" s="191" t="s">
        <v>148</v>
      </c>
      <c r="I12" s="191" t="s">
        <v>49</v>
      </c>
      <c r="J12" s="191" t="s">
        <v>46</v>
      </c>
      <c r="K12" s="8" t="s">
        <v>770</v>
      </c>
      <c r="L12" s="128">
        <v>46041</v>
      </c>
      <c r="M12" s="381">
        <f t="shared" si="5"/>
        <v>4</v>
      </c>
      <c r="N12" s="98" t="s">
        <v>62</v>
      </c>
      <c r="O12" s="299">
        <v>11410036</v>
      </c>
      <c r="P12" s="24" t="str">
        <f>VLOOKUP(O12,[1]Feuil2!$A:$M,5,FALSE)</f>
        <v>KIT COFFRET CHEF SEB_TEFAL</v>
      </c>
      <c r="Q12" s="90">
        <v>5200</v>
      </c>
      <c r="R12" s="93">
        <v>0.57999999999999996</v>
      </c>
      <c r="S12" s="94">
        <f t="shared" si="0"/>
        <v>3016</v>
      </c>
      <c r="T12" s="95">
        <f t="shared" si="1"/>
        <v>31945.199999999997</v>
      </c>
      <c r="U12" s="138">
        <v>4200</v>
      </c>
      <c r="V12" s="96">
        <f t="shared" si="2"/>
        <v>36145.199999999997</v>
      </c>
      <c r="W12" s="4">
        <f>VLOOKUP(O12,[1]Feuil2!$A:$M,6,FALSE)</f>
        <v>0</v>
      </c>
      <c r="X12" s="5">
        <f>VLOOKUP(O12,[1]Feuil2!$A:$M,13,FALSE)</f>
        <v>0</v>
      </c>
      <c r="Y12" s="6" t="e">
        <f t="shared" si="3"/>
        <v>#DIV/0!</v>
      </c>
      <c r="Z12" s="97" t="e">
        <f t="shared" si="4"/>
        <v>#DIV/0!</v>
      </c>
      <c r="AA12" s="68" t="s">
        <v>48</v>
      </c>
      <c r="AB12" s="67" t="s">
        <v>48</v>
      </c>
      <c r="AC12" s="87" t="s">
        <v>55</v>
      </c>
      <c r="AD12" s="69" t="s">
        <v>57</v>
      </c>
      <c r="AE12" s="20" t="s">
        <v>46</v>
      </c>
      <c r="AF12" s="21" t="s">
        <v>46</v>
      </c>
      <c r="AG12" s="21"/>
      <c r="AH12" s="98"/>
      <c r="AI12" s="160">
        <v>45915</v>
      </c>
      <c r="AJ12" s="145">
        <f t="shared" si="6"/>
        <v>85</v>
      </c>
      <c r="AK12" s="100">
        <v>46000</v>
      </c>
      <c r="AL12" s="99">
        <v>46006</v>
      </c>
      <c r="AM12" s="18">
        <v>46008</v>
      </c>
      <c r="AN12" s="191" t="s">
        <v>4</v>
      </c>
      <c r="AO12" s="320" t="s">
        <v>767</v>
      </c>
      <c r="AP12" s="320" t="s">
        <v>768</v>
      </c>
      <c r="AQ12" s="90">
        <v>20251206001</v>
      </c>
      <c r="AR12" s="320" t="s">
        <v>769</v>
      </c>
      <c r="AS12" s="320" t="s">
        <v>316</v>
      </c>
      <c r="AT12" s="98"/>
    </row>
    <row r="13" spans="1:46" s="72" customFormat="1" hidden="1" x14ac:dyDescent="0.25">
      <c r="B13" s="232" t="s">
        <v>45</v>
      </c>
      <c r="C13" s="89">
        <v>45866</v>
      </c>
      <c r="D13" s="90">
        <v>25065</v>
      </c>
      <c r="E13" s="195" t="s">
        <v>380</v>
      </c>
      <c r="F13" s="129" t="s">
        <v>120</v>
      </c>
      <c r="G13" s="191" t="s">
        <v>56</v>
      </c>
      <c r="H13" s="191" t="s">
        <v>148</v>
      </c>
      <c r="I13" s="191" t="s">
        <v>49</v>
      </c>
      <c r="J13" s="191" t="s">
        <v>46</v>
      </c>
      <c r="K13" s="8" t="s">
        <v>1046</v>
      </c>
      <c r="L13" s="128">
        <v>46041</v>
      </c>
      <c r="M13" s="381">
        <f t="shared" si="5"/>
        <v>7</v>
      </c>
      <c r="N13" s="98" t="s">
        <v>62</v>
      </c>
      <c r="O13" s="92">
        <v>11410021</v>
      </c>
      <c r="P13" s="24" t="str">
        <f>VLOOKUP(O13,[1]Feuil2!$A:$M,5,FALSE)</f>
        <v>KIT COFFRET SET 3 PCE SEB_TEFAL</v>
      </c>
      <c r="Q13" s="90">
        <f>5000-1800</f>
        <v>3200</v>
      </c>
      <c r="R13" s="93">
        <v>0.98699999999999999</v>
      </c>
      <c r="S13" s="94">
        <f t="shared" si="0"/>
        <v>3158.4</v>
      </c>
      <c r="T13" s="95">
        <f t="shared" si="1"/>
        <v>31945.199999999997</v>
      </c>
      <c r="U13" s="138">
        <v>4200</v>
      </c>
      <c r="V13" s="96">
        <f t="shared" si="2"/>
        <v>36145.199999999997</v>
      </c>
      <c r="W13" s="4">
        <f>VLOOKUP(O13,[1]Feuil2!$A:$M,6,FALSE)</f>
        <v>0</v>
      </c>
      <c r="X13" s="5">
        <f>VLOOKUP(O13,[1]Feuil2!$A:$M,13,FALSE)</f>
        <v>0</v>
      </c>
      <c r="Y13" s="6" t="e">
        <f t="shared" si="3"/>
        <v>#DIV/0!</v>
      </c>
      <c r="Z13" s="97" t="e">
        <f t="shared" si="4"/>
        <v>#DIV/0!</v>
      </c>
      <c r="AA13" s="68" t="s">
        <v>48</v>
      </c>
      <c r="AB13" s="67" t="s">
        <v>48</v>
      </c>
      <c r="AC13" s="87" t="s">
        <v>55</v>
      </c>
      <c r="AD13" s="69" t="s">
        <v>57</v>
      </c>
      <c r="AE13" s="20" t="s">
        <v>46</v>
      </c>
      <c r="AF13" s="21" t="s">
        <v>46</v>
      </c>
      <c r="AG13" s="21"/>
      <c r="AH13" s="98"/>
      <c r="AI13" s="160">
        <v>45915</v>
      </c>
      <c r="AJ13" s="145">
        <f t="shared" si="6"/>
        <v>106</v>
      </c>
      <c r="AK13" s="100">
        <f>VLOOKUP(AP13,'[2]CONTENEUR PLEIN'!$F:$L,3,FALSE)</f>
        <v>46021</v>
      </c>
      <c r="AL13" s="99">
        <f>VLOOKUP(AP13,'[2]CONTENEUR PLEIN'!$F:$L,5,FALSE)</f>
        <v>46079</v>
      </c>
      <c r="AM13" s="18">
        <f>VLOOKUP(AP13,'[2]CONTENEUR PLEIN'!$F:$L,7,FALSE)</f>
        <v>46093.333333333336</v>
      </c>
      <c r="AN13" s="191" t="s">
        <v>4</v>
      </c>
      <c r="AO13" s="320" t="s">
        <v>765</v>
      </c>
      <c r="AP13" s="320" t="s">
        <v>766</v>
      </c>
      <c r="AQ13" s="90">
        <v>20251222001</v>
      </c>
      <c r="AR13" s="90" t="str">
        <f>VLOOKUP(AP13,'[2]CONTENEUR PLEIN'!$F:$L,2,FALSE)</f>
        <v>ONE FREEDOM</v>
      </c>
      <c r="AS13" s="320" t="s">
        <v>316</v>
      </c>
      <c r="AT13" s="98"/>
    </row>
    <row r="14" spans="1:46" s="72" customFormat="1" ht="15" hidden="1" customHeight="1" x14ac:dyDescent="0.25">
      <c r="B14" s="232" t="s">
        <v>45</v>
      </c>
      <c r="C14" s="89">
        <v>45866</v>
      </c>
      <c r="D14" s="90">
        <v>25065</v>
      </c>
      <c r="E14" s="195" t="s">
        <v>380</v>
      </c>
      <c r="F14" s="129" t="s">
        <v>120</v>
      </c>
      <c r="G14" s="191" t="s">
        <v>56</v>
      </c>
      <c r="H14" s="191" t="s">
        <v>148</v>
      </c>
      <c r="I14" s="191" t="s">
        <v>49</v>
      </c>
      <c r="J14" s="191" t="s">
        <v>46</v>
      </c>
      <c r="K14" s="8" t="s">
        <v>1046</v>
      </c>
      <c r="L14" s="128">
        <v>46041</v>
      </c>
      <c r="M14" s="381">
        <f t="shared" si="5"/>
        <v>7</v>
      </c>
      <c r="N14" s="98" t="s">
        <v>62</v>
      </c>
      <c r="O14" s="92">
        <v>11410023</v>
      </c>
      <c r="P14" s="24" t="str">
        <f>VLOOKUP(O14,[1]Feuil2!$A:$M,5,FALSE)</f>
        <v>KIT COFFRET SANTOKU SEB_TEFAL</v>
      </c>
      <c r="Q14" s="90">
        <f>12520-5200</f>
        <v>7320</v>
      </c>
      <c r="R14" s="93">
        <v>0.57999999999999996</v>
      </c>
      <c r="S14" s="94">
        <f t="shared" si="0"/>
        <v>4245.5999999999995</v>
      </c>
      <c r="T14" s="95">
        <f t="shared" si="1"/>
        <v>31945.199999999997</v>
      </c>
      <c r="U14" s="138">
        <v>4200</v>
      </c>
      <c r="V14" s="96">
        <f t="shared" si="2"/>
        <v>36145.199999999997</v>
      </c>
      <c r="W14" s="4">
        <f>VLOOKUP(O14,[1]Feuil2!$A:$M,6,FALSE)</f>
        <v>0</v>
      </c>
      <c r="X14" s="5">
        <f>VLOOKUP(O14,[1]Feuil2!$A:$M,13,FALSE)</f>
        <v>0</v>
      </c>
      <c r="Y14" s="6" t="e">
        <f t="shared" si="3"/>
        <v>#DIV/0!</v>
      </c>
      <c r="Z14" s="97" t="e">
        <f t="shared" si="4"/>
        <v>#DIV/0!</v>
      </c>
      <c r="AA14" s="68" t="s">
        <v>48</v>
      </c>
      <c r="AB14" s="67" t="s">
        <v>48</v>
      </c>
      <c r="AC14" s="87" t="s">
        <v>55</v>
      </c>
      <c r="AD14" s="69" t="s">
        <v>57</v>
      </c>
      <c r="AE14" s="20" t="s">
        <v>46</v>
      </c>
      <c r="AF14" s="21" t="s">
        <v>46</v>
      </c>
      <c r="AG14" s="21"/>
      <c r="AH14" s="98"/>
      <c r="AI14" s="160">
        <v>45915</v>
      </c>
      <c r="AJ14" s="145">
        <f t="shared" si="6"/>
        <v>106</v>
      </c>
      <c r="AK14" s="100">
        <f>VLOOKUP(AP14,'[2]CONTENEUR PLEIN'!$F:$L,3,FALSE)</f>
        <v>46021</v>
      </c>
      <c r="AL14" s="99">
        <f>VLOOKUP(AP14,'[2]CONTENEUR PLEIN'!$F:$L,5,FALSE)</f>
        <v>46079</v>
      </c>
      <c r="AM14" s="18">
        <f>VLOOKUP(AP14,'[2]CONTENEUR PLEIN'!$F:$L,7,FALSE)</f>
        <v>46093.333333333336</v>
      </c>
      <c r="AN14" s="191" t="s">
        <v>4</v>
      </c>
      <c r="AO14" s="320" t="s">
        <v>765</v>
      </c>
      <c r="AP14" s="320" t="s">
        <v>766</v>
      </c>
      <c r="AQ14" s="90">
        <v>20251222001</v>
      </c>
      <c r="AR14" s="90" t="str">
        <f>VLOOKUP(AP14,'[2]CONTENEUR PLEIN'!$F:$L,2,FALSE)</f>
        <v>ONE FREEDOM</v>
      </c>
      <c r="AS14" s="320" t="s">
        <v>316</v>
      </c>
      <c r="AT14" s="98"/>
    </row>
    <row r="15" spans="1:46" s="72" customFormat="1" hidden="1" x14ac:dyDescent="0.25">
      <c r="B15" s="232" t="s">
        <v>45</v>
      </c>
      <c r="C15" s="89">
        <v>45866</v>
      </c>
      <c r="D15" s="90">
        <v>25065</v>
      </c>
      <c r="E15" s="195" t="s">
        <v>380</v>
      </c>
      <c r="F15" s="129" t="s">
        <v>120</v>
      </c>
      <c r="G15" s="191" t="s">
        <v>56</v>
      </c>
      <c r="H15" s="191" t="s">
        <v>148</v>
      </c>
      <c r="I15" s="191" t="s">
        <v>49</v>
      </c>
      <c r="J15" s="191" t="s">
        <v>46</v>
      </c>
      <c r="K15" s="8" t="s">
        <v>1046</v>
      </c>
      <c r="L15" s="128">
        <v>46041</v>
      </c>
      <c r="M15" s="381">
        <f t="shared" si="5"/>
        <v>7</v>
      </c>
      <c r="N15" s="98" t="s">
        <v>62</v>
      </c>
      <c r="O15" s="92">
        <v>11410024</v>
      </c>
      <c r="P15" s="24" t="str">
        <f>VLOOKUP(O15,[1]Feuil2!$A:$M,5,FALSE)</f>
        <v>KIT COFFRET UTILITY SEB_TEFAL</v>
      </c>
      <c r="Q15" s="90">
        <f>12520-6900</f>
        <v>5620</v>
      </c>
      <c r="R15" s="93">
        <v>0.47499999999999998</v>
      </c>
      <c r="S15" s="94">
        <f t="shared" si="0"/>
        <v>2669.5</v>
      </c>
      <c r="T15" s="95">
        <f t="shared" si="1"/>
        <v>31945.199999999997</v>
      </c>
      <c r="U15" s="138">
        <v>4200</v>
      </c>
      <c r="V15" s="96">
        <f t="shared" si="2"/>
        <v>36145.199999999997</v>
      </c>
      <c r="W15" s="4">
        <f>VLOOKUP(O15,[1]Feuil2!$A:$M,6,FALSE)</f>
        <v>0</v>
      </c>
      <c r="X15" s="5">
        <f>VLOOKUP(O15,[1]Feuil2!$A:$M,13,FALSE)</f>
        <v>0</v>
      </c>
      <c r="Y15" s="6" t="e">
        <f t="shared" si="3"/>
        <v>#DIV/0!</v>
      </c>
      <c r="Z15" s="97" t="e">
        <f t="shared" si="4"/>
        <v>#DIV/0!</v>
      </c>
      <c r="AA15" s="68" t="s">
        <v>48</v>
      </c>
      <c r="AB15" s="67" t="s">
        <v>48</v>
      </c>
      <c r="AC15" s="87" t="s">
        <v>55</v>
      </c>
      <c r="AD15" s="69" t="s">
        <v>57</v>
      </c>
      <c r="AE15" s="20" t="s">
        <v>46</v>
      </c>
      <c r="AF15" s="21" t="s">
        <v>46</v>
      </c>
      <c r="AG15" s="21"/>
      <c r="AH15" s="98"/>
      <c r="AI15" s="160">
        <v>45915</v>
      </c>
      <c r="AJ15" s="145">
        <f t="shared" si="6"/>
        <v>106</v>
      </c>
      <c r="AK15" s="100">
        <f>VLOOKUP(AP15,'[2]CONTENEUR PLEIN'!$F:$L,3,FALSE)</f>
        <v>46021</v>
      </c>
      <c r="AL15" s="100">
        <f>VLOOKUP(AP15,'[2]CONTENEUR PLEIN'!$F:$L,5,FALSE)</f>
        <v>46079</v>
      </c>
      <c r="AM15" s="174">
        <f>VLOOKUP(AP15,'[2]CONTENEUR PLEIN'!$F:$L,7,FALSE)</f>
        <v>46093.333333333336</v>
      </c>
      <c r="AN15" s="191" t="s">
        <v>4</v>
      </c>
      <c r="AO15" s="320" t="s">
        <v>765</v>
      </c>
      <c r="AP15" s="320" t="s">
        <v>766</v>
      </c>
      <c r="AQ15" s="90">
        <v>20251222001</v>
      </c>
      <c r="AR15" s="90" t="str">
        <f>VLOOKUP(AP15,'[2]CONTENEUR PLEIN'!$F:$L,2,FALSE)</f>
        <v>ONE FREEDOM</v>
      </c>
      <c r="AS15" s="320" t="s">
        <v>316</v>
      </c>
      <c r="AT15" s="98"/>
    </row>
    <row r="16" spans="1:46" s="72" customFormat="1" hidden="1" x14ac:dyDescent="0.25">
      <c r="B16" s="232" t="s">
        <v>45</v>
      </c>
      <c r="C16" s="89">
        <v>45866</v>
      </c>
      <c r="D16" s="90">
        <v>25065</v>
      </c>
      <c r="E16" s="195" t="s">
        <v>380</v>
      </c>
      <c r="F16" s="129" t="s">
        <v>120</v>
      </c>
      <c r="G16" s="191" t="s">
        <v>56</v>
      </c>
      <c r="H16" s="191" t="s">
        <v>148</v>
      </c>
      <c r="I16" s="191" t="s">
        <v>49</v>
      </c>
      <c r="J16" s="191" t="s">
        <v>46</v>
      </c>
      <c r="K16" s="8" t="s">
        <v>1046</v>
      </c>
      <c r="L16" s="128">
        <v>46041</v>
      </c>
      <c r="M16" s="381">
        <f t="shared" si="5"/>
        <v>7</v>
      </c>
      <c r="N16" s="98" t="s">
        <v>62</v>
      </c>
      <c r="O16" s="92">
        <v>11410029</v>
      </c>
      <c r="P16" s="24" t="str">
        <f>VLOOKUP(O16,[1]Feuil2!$A:$M,5,FALSE)</f>
        <v>KIT COFFRET UTILITY SEB_T-FAL</v>
      </c>
      <c r="Q16" s="90">
        <v>4000</v>
      </c>
      <c r="R16" s="93">
        <v>0.47499999999999998</v>
      </c>
      <c r="S16" s="94">
        <f t="shared" si="0"/>
        <v>1900</v>
      </c>
      <c r="T16" s="95">
        <f t="shared" si="1"/>
        <v>31945.199999999997</v>
      </c>
      <c r="U16" s="138">
        <v>4200</v>
      </c>
      <c r="V16" s="96">
        <f t="shared" si="2"/>
        <v>36145.199999999997</v>
      </c>
      <c r="W16" s="4">
        <f>VLOOKUP(O16,[1]Feuil2!$A:$M,6,FALSE)</f>
        <v>0</v>
      </c>
      <c r="X16" s="5">
        <f>VLOOKUP(O16,[1]Feuil2!$A:$M,13,FALSE)</f>
        <v>0</v>
      </c>
      <c r="Y16" s="6" t="e">
        <f t="shared" si="3"/>
        <v>#DIV/0!</v>
      </c>
      <c r="Z16" s="97" t="e">
        <f t="shared" si="4"/>
        <v>#DIV/0!</v>
      </c>
      <c r="AA16" s="68" t="s">
        <v>48</v>
      </c>
      <c r="AB16" s="67" t="s">
        <v>48</v>
      </c>
      <c r="AC16" s="87" t="s">
        <v>55</v>
      </c>
      <c r="AD16" s="69" t="s">
        <v>57</v>
      </c>
      <c r="AE16" s="20" t="s">
        <v>46</v>
      </c>
      <c r="AF16" s="21" t="s">
        <v>46</v>
      </c>
      <c r="AG16" s="21"/>
      <c r="AH16" s="98"/>
      <c r="AI16" s="160">
        <v>45915</v>
      </c>
      <c r="AJ16" s="145">
        <f t="shared" si="6"/>
        <v>106</v>
      </c>
      <c r="AK16" s="100">
        <f>VLOOKUP(AP16,'[2]CONTENEUR PLEIN'!$F:$L,3,FALSE)</f>
        <v>46021</v>
      </c>
      <c r="AL16" s="99">
        <f>VLOOKUP(AP16,'[2]CONTENEUR PLEIN'!$F:$L,5,FALSE)</f>
        <v>46079</v>
      </c>
      <c r="AM16" s="18">
        <f>VLOOKUP(AP16,'[2]CONTENEUR PLEIN'!$F:$L,7,FALSE)</f>
        <v>46093.333333333336</v>
      </c>
      <c r="AN16" s="191" t="s">
        <v>4</v>
      </c>
      <c r="AO16" s="320" t="s">
        <v>765</v>
      </c>
      <c r="AP16" s="320" t="s">
        <v>766</v>
      </c>
      <c r="AQ16" s="90">
        <v>20251222001</v>
      </c>
      <c r="AR16" s="90" t="str">
        <f>VLOOKUP(AP16,'[2]CONTENEUR PLEIN'!$F:$L,2,FALSE)</f>
        <v>ONE FREEDOM</v>
      </c>
      <c r="AS16" s="320" t="s">
        <v>316</v>
      </c>
      <c r="AT16" s="98"/>
    </row>
    <row r="17" spans="1:47" s="72" customFormat="1" hidden="1" x14ac:dyDescent="0.25">
      <c r="B17" s="232" t="s">
        <v>45</v>
      </c>
      <c r="C17" s="89">
        <v>45866</v>
      </c>
      <c r="D17" s="90">
        <v>25065</v>
      </c>
      <c r="E17" s="195" t="s">
        <v>380</v>
      </c>
      <c r="F17" s="129" t="s">
        <v>120</v>
      </c>
      <c r="G17" s="191" t="s">
        <v>56</v>
      </c>
      <c r="H17" s="191" t="s">
        <v>148</v>
      </c>
      <c r="I17" s="191" t="s">
        <v>49</v>
      </c>
      <c r="J17" s="191" t="s">
        <v>46</v>
      </c>
      <c r="K17" s="8" t="s">
        <v>1046</v>
      </c>
      <c r="L17" s="128">
        <v>46041</v>
      </c>
      <c r="M17" s="381">
        <f t="shared" si="5"/>
        <v>7</v>
      </c>
      <c r="N17" s="98" t="s">
        <v>62</v>
      </c>
      <c r="O17" s="92">
        <v>11410030</v>
      </c>
      <c r="P17" s="24" t="str">
        <f>VLOOKUP(O17,[1]Feuil2!$A:$M,5,FALSE)</f>
        <v>KIT COFFRET SANTOKU SEB_T-FAL</v>
      </c>
      <c r="Q17" s="90">
        <v>4000</v>
      </c>
      <c r="R17" s="93">
        <v>0.57999999999999996</v>
      </c>
      <c r="S17" s="94">
        <f t="shared" si="0"/>
        <v>2320</v>
      </c>
      <c r="T17" s="95">
        <f t="shared" si="1"/>
        <v>31945.199999999997</v>
      </c>
      <c r="U17" s="138">
        <v>4200</v>
      </c>
      <c r="V17" s="96">
        <f t="shared" si="2"/>
        <v>36145.199999999997</v>
      </c>
      <c r="W17" s="4">
        <f>VLOOKUP(O17,[1]Feuil2!$A:$M,6,FALSE)</f>
        <v>0</v>
      </c>
      <c r="X17" s="5">
        <f>VLOOKUP(O17,[1]Feuil2!$A:$M,13,FALSE)</f>
        <v>0</v>
      </c>
      <c r="Y17" s="6" t="e">
        <f t="shared" si="3"/>
        <v>#DIV/0!</v>
      </c>
      <c r="Z17" s="97" t="e">
        <f t="shared" si="4"/>
        <v>#DIV/0!</v>
      </c>
      <c r="AA17" s="68" t="s">
        <v>48</v>
      </c>
      <c r="AB17" s="67" t="s">
        <v>48</v>
      </c>
      <c r="AC17" s="87" t="s">
        <v>55</v>
      </c>
      <c r="AD17" s="69" t="s">
        <v>57</v>
      </c>
      <c r="AE17" s="20" t="s">
        <v>46</v>
      </c>
      <c r="AF17" s="21" t="s">
        <v>46</v>
      </c>
      <c r="AG17" s="21"/>
      <c r="AH17" s="98"/>
      <c r="AI17" s="160">
        <v>45915</v>
      </c>
      <c r="AJ17" s="145">
        <f t="shared" si="6"/>
        <v>106</v>
      </c>
      <c r="AK17" s="100">
        <f>VLOOKUP(AP17,'[2]CONTENEUR PLEIN'!$F:$L,3,FALSE)</f>
        <v>46021</v>
      </c>
      <c r="AL17" s="99">
        <f>VLOOKUP(AP17,'[2]CONTENEUR PLEIN'!$F:$L,5,FALSE)</f>
        <v>46079</v>
      </c>
      <c r="AM17" s="18">
        <f>VLOOKUP(AP17,'[2]CONTENEUR PLEIN'!$F:$L,7,FALSE)</f>
        <v>46093.333333333336</v>
      </c>
      <c r="AN17" s="191" t="s">
        <v>4</v>
      </c>
      <c r="AO17" s="320" t="s">
        <v>765</v>
      </c>
      <c r="AP17" s="320" t="s">
        <v>766</v>
      </c>
      <c r="AQ17" s="90">
        <v>20251222001</v>
      </c>
      <c r="AR17" s="90" t="str">
        <f>VLOOKUP(AP17,'[2]CONTENEUR PLEIN'!$F:$L,2,FALSE)</f>
        <v>ONE FREEDOM</v>
      </c>
      <c r="AS17" s="320" t="s">
        <v>316</v>
      </c>
      <c r="AT17" s="98"/>
    </row>
    <row r="18" spans="1:47" s="72" customFormat="1" ht="15" hidden="1" customHeight="1" x14ac:dyDescent="0.25">
      <c r="B18" s="599" t="s">
        <v>45</v>
      </c>
      <c r="C18" s="448">
        <v>45866</v>
      </c>
      <c r="D18" s="104">
        <v>25065</v>
      </c>
      <c r="E18" s="538" t="s">
        <v>380</v>
      </c>
      <c r="F18" s="600" t="s">
        <v>120</v>
      </c>
      <c r="G18" s="541" t="s">
        <v>56</v>
      </c>
      <c r="H18" s="541" t="s">
        <v>148</v>
      </c>
      <c r="I18" s="541" t="s">
        <v>49</v>
      </c>
      <c r="J18" s="541" t="s">
        <v>46</v>
      </c>
      <c r="K18" s="8" t="s">
        <v>1046</v>
      </c>
      <c r="L18" s="128">
        <v>46041</v>
      </c>
      <c r="M18" s="449">
        <f t="shared" si="5"/>
        <v>7</v>
      </c>
      <c r="N18" s="450" t="s">
        <v>62</v>
      </c>
      <c r="O18" s="482">
        <v>11410034</v>
      </c>
      <c r="P18" s="451" t="str">
        <f>VLOOKUP(O18,[1]Feuil2!$A:$M,5,FALSE)</f>
        <v>KIT COFFRET CHEF SEB_T-FAL</v>
      </c>
      <c r="Q18" s="104">
        <v>4000</v>
      </c>
      <c r="R18" s="452">
        <v>0.57999999999999996</v>
      </c>
      <c r="S18" s="453">
        <f t="shared" si="0"/>
        <v>2320</v>
      </c>
      <c r="T18" s="454">
        <f t="shared" si="1"/>
        <v>31945.199999999997</v>
      </c>
      <c r="U18" s="455">
        <v>4200</v>
      </c>
      <c r="V18" s="456">
        <f t="shared" si="2"/>
        <v>36145.199999999997</v>
      </c>
      <c r="W18" s="457">
        <f>VLOOKUP(O18,[1]Feuil2!$A:$M,6,FALSE)</f>
        <v>0</v>
      </c>
      <c r="X18" s="59">
        <f>VLOOKUP(O18,[1]Feuil2!$A:$M,13,FALSE)</f>
        <v>0</v>
      </c>
      <c r="Y18" s="458" t="e">
        <f t="shared" si="3"/>
        <v>#DIV/0!</v>
      </c>
      <c r="Z18" s="459" t="e">
        <f t="shared" si="4"/>
        <v>#DIV/0!</v>
      </c>
      <c r="AA18" s="601" t="s">
        <v>48</v>
      </c>
      <c r="AB18" s="602" t="s">
        <v>48</v>
      </c>
      <c r="AC18" s="87" t="s">
        <v>55</v>
      </c>
      <c r="AD18" s="69" t="s">
        <v>57</v>
      </c>
      <c r="AE18" s="460" t="s">
        <v>46</v>
      </c>
      <c r="AF18" s="461" t="s">
        <v>46</v>
      </c>
      <c r="AG18" s="461"/>
      <c r="AH18" s="450"/>
      <c r="AI18" s="566">
        <v>45915</v>
      </c>
      <c r="AJ18" s="603">
        <f t="shared" si="6"/>
        <v>106</v>
      </c>
      <c r="AK18" s="483">
        <f>VLOOKUP(AP18,'[2]CONTENEUR PLEIN'!$F:$L,3,FALSE)</f>
        <v>46021</v>
      </c>
      <c r="AL18" s="484">
        <f>VLOOKUP(AP18,'[2]CONTENEUR PLEIN'!$F:$L,5,FALSE)</f>
        <v>46079</v>
      </c>
      <c r="AM18" s="475">
        <f>VLOOKUP(AP18,'[2]CONTENEUR PLEIN'!$F:$L,7,FALSE)</f>
        <v>46093.333333333336</v>
      </c>
      <c r="AN18" s="541" t="s">
        <v>4</v>
      </c>
      <c r="AO18" s="604" t="s">
        <v>765</v>
      </c>
      <c r="AP18" s="320" t="s">
        <v>766</v>
      </c>
      <c r="AQ18" s="104">
        <v>20251222001</v>
      </c>
      <c r="AR18" s="104" t="str">
        <f>VLOOKUP(AP18,'[2]CONTENEUR PLEIN'!$F:$L,2,FALSE)</f>
        <v>ONE FREEDOM</v>
      </c>
      <c r="AS18" s="604" t="s">
        <v>316</v>
      </c>
      <c r="AT18" s="450"/>
    </row>
    <row r="19" spans="1:47" s="72" customFormat="1" ht="15" hidden="1" customHeight="1" x14ac:dyDescent="0.25">
      <c r="B19" s="232" t="s">
        <v>45</v>
      </c>
      <c r="C19" s="89">
        <v>45866</v>
      </c>
      <c r="D19" s="104">
        <v>25065</v>
      </c>
      <c r="E19" s="538" t="s">
        <v>380</v>
      </c>
      <c r="F19" s="129" t="s">
        <v>120</v>
      </c>
      <c r="G19" s="541" t="s">
        <v>56</v>
      </c>
      <c r="H19" s="191" t="s">
        <v>148</v>
      </c>
      <c r="I19" s="191" t="s">
        <v>49</v>
      </c>
      <c r="J19" s="191" t="s">
        <v>46</v>
      </c>
      <c r="K19" s="8" t="s">
        <v>1046</v>
      </c>
      <c r="L19" s="128">
        <v>46041</v>
      </c>
      <c r="M19" s="381">
        <f t="shared" si="5"/>
        <v>7</v>
      </c>
      <c r="N19" s="98" t="s">
        <v>62</v>
      </c>
      <c r="O19" s="299">
        <v>11410036</v>
      </c>
      <c r="P19" s="24" t="str">
        <f>VLOOKUP(O19,[1]Feuil2!$A:$M,5,FALSE)</f>
        <v>KIT COFFRET CHEF SEB_TEFAL</v>
      </c>
      <c r="Q19" s="90">
        <f>12520-5200</f>
        <v>7320</v>
      </c>
      <c r="R19" s="93">
        <v>0.57999999999999996</v>
      </c>
      <c r="S19" s="94">
        <f t="shared" si="0"/>
        <v>4245.5999999999995</v>
      </c>
      <c r="T19" s="95">
        <f t="shared" si="1"/>
        <v>31945.199999999997</v>
      </c>
      <c r="U19" s="138">
        <v>4200</v>
      </c>
      <c r="V19" s="96">
        <f t="shared" si="2"/>
        <v>36145.199999999997</v>
      </c>
      <c r="W19" s="4">
        <f>VLOOKUP(O19,[1]Feuil2!$A:$M,6,FALSE)</f>
        <v>0</v>
      </c>
      <c r="X19" s="5">
        <f>VLOOKUP(O19,[1]Feuil2!$A:$M,13,FALSE)</f>
        <v>0</v>
      </c>
      <c r="Y19" s="6" t="e">
        <f t="shared" si="3"/>
        <v>#DIV/0!</v>
      </c>
      <c r="Z19" s="97" t="e">
        <f t="shared" si="4"/>
        <v>#DIV/0!</v>
      </c>
      <c r="AA19" s="68" t="s">
        <v>48</v>
      </c>
      <c r="AB19" s="67" t="s">
        <v>48</v>
      </c>
      <c r="AC19" s="87" t="s">
        <v>55</v>
      </c>
      <c r="AD19" s="21" t="s">
        <v>57</v>
      </c>
      <c r="AE19" s="20" t="s">
        <v>46</v>
      </c>
      <c r="AF19" s="21" t="s">
        <v>46</v>
      </c>
      <c r="AG19" s="21"/>
      <c r="AH19" s="98"/>
      <c r="AI19" s="160">
        <v>45915</v>
      </c>
      <c r="AJ19" s="145">
        <f t="shared" si="6"/>
        <v>106</v>
      </c>
      <c r="AK19" s="100">
        <f>VLOOKUP(AP19,'[2]CONTENEUR PLEIN'!$F:$L,3,FALSE)</f>
        <v>46021</v>
      </c>
      <c r="AL19" s="99">
        <f>VLOOKUP(AP19,'[2]CONTENEUR PLEIN'!$F:$L,5,FALSE)</f>
        <v>46079</v>
      </c>
      <c r="AM19" s="18">
        <f>VLOOKUP(AP19,'[2]CONTENEUR PLEIN'!$F:$L,7,FALSE)</f>
        <v>46093.333333333336</v>
      </c>
      <c r="AN19" s="191" t="s">
        <v>4</v>
      </c>
      <c r="AO19" s="320" t="s">
        <v>765</v>
      </c>
      <c r="AP19" s="320" t="s">
        <v>766</v>
      </c>
      <c r="AQ19" s="90">
        <v>20251222001</v>
      </c>
      <c r="AR19" s="90" t="str">
        <f>VLOOKUP(AP19,'[2]CONTENEUR PLEIN'!$F:$L,2,FALSE)</f>
        <v>ONE FREEDOM</v>
      </c>
      <c r="AS19" s="320" t="s">
        <v>316</v>
      </c>
      <c r="AT19" s="98"/>
    </row>
    <row r="20" spans="1:47" s="72" customFormat="1" ht="15" hidden="1" customHeight="1" x14ac:dyDescent="0.25">
      <c r="B20" s="232" t="s">
        <v>45</v>
      </c>
      <c r="C20" s="89">
        <v>45868</v>
      </c>
      <c r="D20" s="104">
        <v>25067</v>
      </c>
      <c r="E20" s="538" t="s">
        <v>381</v>
      </c>
      <c r="F20" s="191" t="s">
        <v>120</v>
      </c>
      <c r="G20" s="541" t="s">
        <v>59</v>
      </c>
      <c r="H20" s="191" t="s">
        <v>46</v>
      </c>
      <c r="I20" s="191" t="s">
        <v>49</v>
      </c>
      <c r="J20" s="191" t="s">
        <v>46</v>
      </c>
      <c r="K20" s="8" t="s">
        <v>938</v>
      </c>
      <c r="L20" s="194">
        <v>46014</v>
      </c>
      <c r="M20" s="381">
        <f t="shared" si="5"/>
        <v>6</v>
      </c>
      <c r="N20" s="98" t="s">
        <v>49</v>
      </c>
      <c r="O20" s="92">
        <v>30590001</v>
      </c>
      <c r="P20" s="24" t="str">
        <f>VLOOKUP(O20,[1]Feuil2!$A:$M,5,FALSE)</f>
        <v>FUSIL A AIGUISER MECHE INOX AVEC ANNEAU VRAC</v>
      </c>
      <c r="Q20" s="90">
        <v>50000</v>
      </c>
      <c r="R20" s="93">
        <v>1.585</v>
      </c>
      <c r="S20" s="94">
        <f t="shared" si="0"/>
        <v>79250</v>
      </c>
      <c r="T20" s="95">
        <f t="shared" si="1"/>
        <v>79250</v>
      </c>
      <c r="U20" s="138"/>
      <c r="V20" s="96">
        <f t="shared" si="2"/>
        <v>79250</v>
      </c>
      <c r="W20" s="4">
        <f>VLOOKUP(O20,[1]Feuil2!$A:$M,6,FALSE)</f>
        <v>36</v>
      </c>
      <c r="X20" s="5">
        <f>VLOOKUP(O20,[1]Feuil2!$A:$M,13,FALSE)</f>
        <v>1.7061E-2</v>
      </c>
      <c r="Y20" s="6">
        <f t="shared" si="3"/>
        <v>23.695833333333333</v>
      </c>
      <c r="Z20" s="97">
        <f t="shared" si="4"/>
        <v>23.695833333333333</v>
      </c>
      <c r="AA20" s="68" t="s">
        <v>48</v>
      </c>
      <c r="AB20" s="67" t="s">
        <v>48</v>
      </c>
      <c r="AC20" s="87" t="s">
        <v>55</v>
      </c>
      <c r="AD20" s="19" t="s">
        <v>57</v>
      </c>
      <c r="AE20" s="20">
        <v>45978</v>
      </c>
      <c r="AF20" s="21" t="s">
        <v>599</v>
      </c>
      <c r="AG20" s="21"/>
      <c r="AH20" s="98"/>
      <c r="AI20" s="160">
        <v>45945</v>
      </c>
      <c r="AJ20" s="145">
        <f t="shared" si="6"/>
        <v>58</v>
      </c>
      <c r="AK20" s="100">
        <f>VLOOKUP(AP20,'[2]CONTENEUR PLEIN'!$F:$L,3,FALSE)</f>
        <v>46003</v>
      </c>
      <c r="AL20" s="99">
        <f>VLOOKUP(AP20,'[2]CONTENEUR PLEIN'!$F:$L,5,FALSE)</f>
        <v>46046</v>
      </c>
      <c r="AM20" s="18">
        <f>VLOOKUP(AP20,'[2]CONTENEUR PLEIN'!$F:$L,7,FALSE)</f>
        <v>46055.333333333336</v>
      </c>
      <c r="AN20" s="191" t="s">
        <v>4</v>
      </c>
      <c r="AO20" s="307" t="s">
        <v>715</v>
      </c>
      <c r="AP20" s="307" t="s">
        <v>681</v>
      </c>
      <c r="AQ20" s="307" t="s">
        <v>716</v>
      </c>
      <c r="AR20" s="90" t="str">
        <f>VLOOKUP(AP20,'[2]CONTENEUR PLEIN'!$F:$L,2,FALSE)</f>
        <v>CMA CGM SCANDOLA</v>
      </c>
      <c r="AS20" s="307" t="s">
        <v>316</v>
      </c>
      <c r="AT20" s="98"/>
    </row>
    <row r="21" spans="1:47" s="72" customFormat="1" ht="15" hidden="1" customHeight="1" x14ac:dyDescent="0.25">
      <c r="B21" s="267" t="s">
        <v>45</v>
      </c>
      <c r="C21" s="89">
        <v>45922</v>
      </c>
      <c r="D21" s="104">
        <v>25081</v>
      </c>
      <c r="E21" s="268" t="s">
        <v>453</v>
      </c>
      <c r="F21" s="218" t="s">
        <v>120</v>
      </c>
      <c r="G21" s="266" t="s">
        <v>121</v>
      </c>
      <c r="H21" s="218" t="s">
        <v>4</v>
      </c>
      <c r="I21" s="218" t="s">
        <v>49</v>
      </c>
      <c r="J21" s="218" t="s">
        <v>46</v>
      </c>
      <c r="K21" s="8" t="s">
        <v>573</v>
      </c>
      <c r="L21" s="269">
        <v>46041</v>
      </c>
      <c r="M21" s="381">
        <f t="shared" si="5"/>
        <v>1</v>
      </c>
      <c r="N21" s="98" t="s">
        <v>49</v>
      </c>
      <c r="O21" s="92">
        <v>10020279</v>
      </c>
      <c r="P21" s="24" t="str">
        <f>VLOOKUP(O21,[1]Feuil2!$A:$M,5,FALSE)</f>
        <v>MITRE MIM PM LAGUIOLE HERITAGE PJT_AVEYRON</v>
      </c>
      <c r="Q21" s="90">
        <v>50</v>
      </c>
      <c r="R21" s="93">
        <v>1.45</v>
      </c>
      <c r="S21" s="94">
        <f t="shared" si="0"/>
        <v>72.5</v>
      </c>
      <c r="T21" s="95">
        <f t="shared" si="1"/>
        <v>3830</v>
      </c>
      <c r="U21" s="138"/>
      <c r="V21" s="96">
        <f t="shared" si="2"/>
        <v>3830</v>
      </c>
      <c r="W21" s="4">
        <f>VLOOKUP(O21,[1]Feuil2!$A:$M,6,FALSE)</f>
        <v>0</v>
      </c>
      <c r="X21" s="5">
        <f>VLOOKUP(O21,[1]Feuil2!$A:$M,13,FALSE)</f>
        <v>0</v>
      </c>
      <c r="Y21" s="6" t="e">
        <f t="shared" si="3"/>
        <v>#DIV/0!</v>
      </c>
      <c r="Z21" s="97" t="e">
        <f t="shared" si="4"/>
        <v>#DIV/0!</v>
      </c>
      <c r="AA21" s="68" t="s">
        <v>48</v>
      </c>
      <c r="AB21" s="67" t="s">
        <v>48</v>
      </c>
      <c r="AC21" s="87" t="s">
        <v>55</v>
      </c>
      <c r="AD21" s="21" t="s">
        <v>57</v>
      </c>
      <c r="AE21" s="20"/>
      <c r="AF21" s="21"/>
      <c r="AG21" s="21"/>
      <c r="AH21" s="98"/>
      <c r="AI21" s="135">
        <v>45986</v>
      </c>
      <c r="AJ21" s="145" t="s">
        <v>49</v>
      </c>
      <c r="AK21" s="100">
        <v>45971</v>
      </c>
      <c r="AL21" s="99">
        <v>45972</v>
      </c>
      <c r="AM21" s="18">
        <v>45973</v>
      </c>
      <c r="AN21" s="474" t="s">
        <v>4</v>
      </c>
      <c r="AO21" s="571" t="s">
        <v>137</v>
      </c>
      <c r="AP21" s="442">
        <v>2533667426</v>
      </c>
      <c r="AQ21" s="526" t="s">
        <v>1021</v>
      </c>
      <c r="AR21" s="571" t="s">
        <v>137</v>
      </c>
      <c r="AS21" s="571" t="s">
        <v>137</v>
      </c>
      <c r="AT21" s="98"/>
    </row>
    <row r="22" spans="1:47" s="72" customFormat="1" ht="15" hidden="1" customHeight="1" x14ac:dyDescent="0.25">
      <c r="B22" s="267" t="s">
        <v>45</v>
      </c>
      <c r="C22" s="89">
        <v>45922</v>
      </c>
      <c r="D22" s="104">
        <v>25081</v>
      </c>
      <c r="E22" s="268" t="s">
        <v>453</v>
      </c>
      <c r="F22" s="218" t="s">
        <v>120</v>
      </c>
      <c r="G22" s="266" t="s">
        <v>121</v>
      </c>
      <c r="H22" s="218" t="s">
        <v>4</v>
      </c>
      <c r="I22" s="218" t="s">
        <v>49</v>
      </c>
      <c r="J22" s="218" t="s">
        <v>46</v>
      </c>
      <c r="K22" s="8" t="s">
        <v>933</v>
      </c>
      <c r="L22" s="269">
        <v>46041</v>
      </c>
      <c r="M22" s="381">
        <f t="shared" si="5"/>
        <v>3</v>
      </c>
      <c r="N22" s="98" t="s">
        <v>49</v>
      </c>
      <c r="O22" s="92">
        <v>10020279</v>
      </c>
      <c r="P22" s="24" t="str">
        <f>VLOOKUP(O22,[1]Feuil2!$A:$M,5,FALSE)</f>
        <v>MITRE MIM PM LAGUIOLE HERITAGE PJT_AVEYRON</v>
      </c>
      <c r="Q22" s="440">
        <v>950</v>
      </c>
      <c r="R22" s="93">
        <v>1.45</v>
      </c>
      <c r="S22" s="94">
        <f t="shared" si="0"/>
        <v>1377.5</v>
      </c>
      <c r="T22" s="95">
        <f t="shared" si="1"/>
        <v>3830</v>
      </c>
      <c r="U22" s="138">
        <v>240</v>
      </c>
      <c r="V22" s="96">
        <f t="shared" si="2"/>
        <v>4070</v>
      </c>
      <c r="W22" s="4">
        <f>VLOOKUP(O22,[1]Feuil2!$A:$M,6,FALSE)</f>
        <v>0</v>
      </c>
      <c r="X22" s="5">
        <f>VLOOKUP(O22,[1]Feuil2!$A:$M,13,FALSE)</f>
        <v>0</v>
      </c>
      <c r="Y22" s="6" t="e">
        <f t="shared" si="3"/>
        <v>#DIV/0!</v>
      </c>
      <c r="Z22" s="97" t="e">
        <f t="shared" si="4"/>
        <v>#DIV/0!</v>
      </c>
      <c r="AA22" s="68" t="s">
        <v>48</v>
      </c>
      <c r="AB22" s="67" t="s">
        <v>48</v>
      </c>
      <c r="AC22" s="90"/>
      <c r="AD22" s="133" t="s">
        <v>61</v>
      </c>
      <c r="AE22" s="20"/>
      <c r="AF22" s="21"/>
      <c r="AG22" s="21"/>
      <c r="AH22" s="98"/>
      <c r="AI22" s="160">
        <v>45986</v>
      </c>
      <c r="AJ22" s="145">
        <f>DATEDIF(AI22,$AK22,"D")</f>
        <v>52</v>
      </c>
      <c r="AK22" s="99">
        <v>46038</v>
      </c>
      <c r="AL22" s="99">
        <v>46041</v>
      </c>
      <c r="AM22" s="18">
        <v>46042</v>
      </c>
      <c r="AN22" s="474" t="s">
        <v>4</v>
      </c>
      <c r="AO22" s="441" t="s">
        <v>137</v>
      </c>
      <c r="AP22" s="442">
        <v>2533667426</v>
      </c>
      <c r="AQ22" s="441" t="s">
        <v>932</v>
      </c>
      <c r="AR22" s="441" t="s">
        <v>137</v>
      </c>
      <c r="AS22" s="314" t="s">
        <v>316</v>
      </c>
      <c r="AT22" s="98"/>
    </row>
    <row r="23" spans="1:47" s="72" customFormat="1" ht="15" hidden="1" customHeight="1" x14ac:dyDescent="0.25">
      <c r="B23" s="267" t="s">
        <v>45</v>
      </c>
      <c r="C23" s="89">
        <v>45922</v>
      </c>
      <c r="D23" s="90">
        <v>25081</v>
      </c>
      <c r="E23" s="268" t="s">
        <v>453</v>
      </c>
      <c r="F23" s="218" t="s">
        <v>120</v>
      </c>
      <c r="G23" s="353" t="s">
        <v>121</v>
      </c>
      <c r="H23" s="218" t="s">
        <v>4</v>
      </c>
      <c r="I23" s="218" t="s">
        <v>49</v>
      </c>
      <c r="J23" s="218" t="s">
        <v>46</v>
      </c>
      <c r="K23" s="8" t="s">
        <v>573</v>
      </c>
      <c r="L23" s="269">
        <v>46041</v>
      </c>
      <c r="M23" s="427">
        <f t="shared" si="5"/>
        <v>3</v>
      </c>
      <c r="N23" s="98" t="s">
        <v>49</v>
      </c>
      <c r="O23" s="92">
        <v>10020280</v>
      </c>
      <c r="P23" s="24" t="str">
        <f>VLOOKUP(O23,[1]Feuil2!$A:$M,5,FALSE)</f>
        <v>MITRE MIM GM LAGUIOLE HERITAGE PJT_AVEYRON</v>
      </c>
      <c r="Q23" s="440">
        <v>100</v>
      </c>
      <c r="R23" s="428">
        <v>2.38</v>
      </c>
      <c r="S23" s="429">
        <f t="shared" si="0"/>
        <v>238</v>
      </c>
      <c r="T23" s="95">
        <f t="shared" si="1"/>
        <v>3830</v>
      </c>
      <c r="U23" s="138">
        <v>240</v>
      </c>
      <c r="V23" s="95">
        <f t="shared" si="2"/>
        <v>4070</v>
      </c>
      <c r="W23" s="430">
        <f>VLOOKUP(O23,[1]Feuil2!$A:$M,6,FALSE)</f>
        <v>0</v>
      </c>
      <c r="X23" s="5">
        <f>VLOOKUP(O23,[1]Feuil2!$A:$M,13,FALSE)</f>
        <v>0</v>
      </c>
      <c r="Y23" s="6" t="e">
        <f t="shared" si="3"/>
        <v>#DIV/0!</v>
      </c>
      <c r="Z23" s="431" t="e">
        <f t="shared" si="4"/>
        <v>#DIV/0!</v>
      </c>
      <c r="AA23" s="67" t="s">
        <v>48</v>
      </c>
      <c r="AB23" s="67" t="s">
        <v>48</v>
      </c>
      <c r="AC23" s="90"/>
      <c r="AD23" s="133" t="s">
        <v>61</v>
      </c>
      <c r="AE23" s="20"/>
      <c r="AF23" s="21"/>
      <c r="AG23" s="21"/>
      <c r="AH23" s="90"/>
      <c r="AI23" s="231">
        <v>45986</v>
      </c>
      <c r="AJ23" s="145">
        <f>DATEDIF(AI23,$AK23,"D")</f>
        <v>52</v>
      </c>
      <c r="AK23" s="99">
        <v>46038</v>
      </c>
      <c r="AL23" s="99">
        <v>46041</v>
      </c>
      <c r="AM23" s="18">
        <v>46042</v>
      </c>
      <c r="AN23" s="474" t="s">
        <v>4</v>
      </c>
      <c r="AO23" s="441" t="s">
        <v>137</v>
      </c>
      <c r="AP23" s="442">
        <v>2533667426</v>
      </c>
      <c r="AQ23" s="526" t="s">
        <v>1021</v>
      </c>
      <c r="AR23" s="441" t="s">
        <v>137</v>
      </c>
      <c r="AS23" s="314" t="s">
        <v>316</v>
      </c>
      <c r="AT23" s="90"/>
    </row>
    <row r="24" spans="1:47" s="72" customFormat="1" ht="15" hidden="1" customHeight="1" x14ac:dyDescent="0.25">
      <c r="B24" s="267" t="s">
        <v>45</v>
      </c>
      <c r="C24" s="89">
        <v>45922</v>
      </c>
      <c r="D24" s="90">
        <v>25081</v>
      </c>
      <c r="E24" s="268" t="s">
        <v>453</v>
      </c>
      <c r="F24" s="218" t="s">
        <v>120</v>
      </c>
      <c r="G24" s="353" t="s">
        <v>121</v>
      </c>
      <c r="H24" s="218" t="s">
        <v>4</v>
      </c>
      <c r="I24" s="218" t="s">
        <v>49</v>
      </c>
      <c r="J24" s="218" t="s">
        <v>46</v>
      </c>
      <c r="K24" s="8" t="s">
        <v>969</v>
      </c>
      <c r="L24" s="269">
        <v>46041</v>
      </c>
      <c r="M24" s="427">
        <f t="shared" si="5"/>
        <v>4</v>
      </c>
      <c r="N24" s="98" t="s">
        <v>49</v>
      </c>
      <c r="O24" s="92">
        <v>10020280</v>
      </c>
      <c r="P24" s="24" t="str">
        <f>VLOOKUP(O24,[1]Feuil2!$A:$M,5,FALSE)</f>
        <v>MITRE MIM GM LAGUIOLE HERITAGE PJT_AVEYRON</v>
      </c>
      <c r="Q24" s="440">
        <v>900</v>
      </c>
      <c r="R24" s="428">
        <v>2.38</v>
      </c>
      <c r="S24" s="429">
        <f t="shared" si="0"/>
        <v>2142</v>
      </c>
      <c r="T24" s="95">
        <f t="shared" si="1"/>
        <v>3830</v>
      </c>
      <c r="U24" s="138">
        <v>240</v>
      </c>
      <c r="V24" s="95">
        <f t="shared" si="2"/>
        <v>4070</v>
      </c>
      <c r="W24" s="430">
        <f>VLOOKUP(O24,[1]Feuil2!$A:$M,6,FALSE)</f>
        <v>0</v>
      </c>
      <c r="X24" s="5">
        <f>VLOOKUP(O24,[1]Feuil2!$A:$M,13,FALSE)</f>
        <v>0</v>
      </c>
      <c r="Y24" s="6" t="e">
        <f t="shared" si="3"/>
        <v>#DIV/0!</v>
      </c>
      <c r="Z24" s="431" t="e">
        <f t="shared" si="4"/>
        <v>#DIV/0!</v>
      </c>
      <c r="AA24" s="67" t="s">
        <v>48</v>
      </c>
      <c r="AB24" s="67" t="s">
        <v>48</v>
      </c>
      <c r="AC24" s="90"/>
      <c r="AD24" s="133" t="s">
        <v>61</v>
      </c>
      <c r="AE24" s="20"/>
      <c r="AF24" s="21"/>
      <c r="AG24" s="21"/>
      <c r="AH24" s="90"/>
      <c r="AI24" s="231">
        <v>45986</v>
      </c>
      <c r="AJ24" s="145">
        <f>DATEDIF(AI24,$AK24,"D")</f>
        <v>24</v>
      </c>
      <c r="AK24" s="99">
        <f>VLOOKUP(AP24,'[2]CONTENEUR PLEIN'!$F:$L,3,FALSE)</f>
        <v>46010</v>
      </c>
      <c r="AL24" s="99">
        <f>VLOOKUP(AP24,'[2]CONTENEUR PLEIN'!$F:$L,5,FALSE)</f>
        <v>46052</v>
      </c>
      <c r="AM24" s="18">
        <f>VLOOKUP(AP24,'[2]CONTENEUR PLEIN'!$F:$L,7,FALSE)</f>
        <v>46057.333333333336</v>
      </c>
      <c r="AN24" s="239" t="s">
        <v>4</v>
      </c>
      <c r="AO24" s="314" t="s">
        <v>754</v>
      </c>
      <c r="AP24" s="314" t="s">
        <v>720</v>
      </c>
      <c r="AQ24" s="314" t="s">
        <v>755</v>
      </c>
      <c r="AR24" s="90" t="str">
        <f>VLOOKUP(AP24,'[2]CONTENEUR PLEIN'!$F:$L,2,FALSE)</f>
        <v>CMA CGM KIMBERLEY</v>
      </c>
      <c r="AS24" s="314" t="s">
        <v>316</v>
      </c>
      <c r="AT24" s="90"/>
    </row>
    <row r="25" spans="1:47" s="72" customFormat="1" ht="15" hidden="1" customHeight="1" x14ac:dyDescent="0.25">
      <c r="B25" s="531" t="s">
        <v>45</v>
      </c>
      <c r="C25" s="448">
        <v>45925</v>
      </c>
      <c r="D25" s="104">
        <v>25082</v>
      </c>
      <c r="E25" s="536" t="s">
        <v>468</v>
      </c>
      <c r="F25" s="481" t="s">
        <v>120</v>
      </c>
      <c r="G25" s="481" t="s">
        <v>56</v>
      </c>
      <c r="H25" s="481" t="s">
        <v>4</v>
      </c>
      <c r="I25" s="481" t="s">
        <v>49</v>
      </c>
      <c r="J25" s="481" t="s">
        <v>46</v>
      </c>
      <c r="K25" s="8" t="s">
        <v>969</v>
      </c>
      <c r="L25" s="128">
        <v>46041</v>
      </c>
      <c r="M25" s="449">
        <f t="shared" si="5"/>
        <v>4</v>
      </c>
      <c r="N25" s="450" t="s">
        <v>49</v>
      </c>
      <c r="O25" s="482">
        <v>11340033</v>
      </c>
      <c r="P25" s="451" t="str">
        <f>VLOOKUP(O25,[1]Feuil2!$A:$M,5,FALSE)</f>
        <v>CALE CARTON POUR BOITE SET DE 3 CTX BRIGADE</v>
      </c>
      <c r="Q25" s="104">
        <v>4000</v>
      </c>
      <c r="R25" s="452">
        <v>0.2</v>
      </c>
      <c r="S25" s="453">
        <f t="shared" si="0"/>
        <v>800</v>
      </c>
      <c r="T25" s="454">
        <f t="shared" si="1"/>
        <v>3360</v>
      </c>
      <c r="U25" s="455">
        <v>145</v>
      </c>
      <c r="V25" s="456">
        <f t="shared" si="2"/>
        <v>3505</v>
      </c>
      <c r="W25" s="457">
        <f>VLOOKUP(O25,[1]Feuil2!$A:$M,6,FALSE)</f>
        <v>0</v>
      </c>
      <c r="X25" s="59">
        <f>VLOOKUP(O25,[1]Feuil2!$A:$M,13,FALSE)</f>
        <v>0</v>
      </c>
      <c r="Y25" s="458" t="e">
        <f t="shared" si="3"/>
        <v>#DIV/0!</v>
      </c>
      <c r="Z25" s="459" t="e">
        <f t="shared" si="4"/>
        <v>#DIV/0!</v>
      </c>
      <c r="AA25" s="68" t="s">
        <v>48</v>
      </c>
      <c r="AB25" s="67" t="s">
        <v>48</v>
      </c>
      <c r="AC25" s="559" t="s">
        <v>55</v>
      </c>
      <c r="AD25" s="461" t="s">
        <v>57</v>
      </c>
      <c r="AE25" s="460">
        <v>45994</v>
      </c>
      <c r="AF25" s="563" t="s">
        <v>652</v>
      </c>
      <c r="AG25" s="461"/>
      <c r="AH25" s="450"/>
      <c r="AI25" s="566">
        <v>45976</v>
      </c>
      <c r="AJ25" s="145">
        <f>DATEDIF(AI25,$AK25,"D")</f>
        <v>34</v>
      </c>
      <c r="AK25" s="483">
        <f>VLOOKUP(AP25,'[2]CONTENEUR PLEIN'!$F:$L,3,FALSE)</f>
        <v>46010</v>
      </c>
      <c r="AL25" s="484">
        <f>VLOOKUP(AP25,'[2]CONTENEUR PLEIN'!$F:$L,5,FALSE)</f>
        <v>46052</v>
      </c>
      <c r="AM25" s="475">
        <f>VLOOKUP(AP25,'[2]CONTENEUR PLEIN'!$F:$L,7,FALSE)</f>
        <v>46057.333333333336</v>
      </c>
      <c r="AN25" s="481" t="s">
        <v>4</v>
      </c>
      <c r="AO25" s="573" t="s">
        <v>746</v>
      </c>
      <c r="AP25" s="573" t="s">
        <v>720</v>
      </c>
      <c r="AQ25" s="104">
        <v>20251209001</v>
      </c>
      <c r="AR25" s="104" t="str">
        <f>VLOOKUP(AP25,'[2]CONTENEUR PLEIN'!$F:$L,2,FALSE)</f>
        <v>CMA CGM KIMBERLEY</v>
      </c>
      <c r="AS25" s="573" t="s">
        <v>316</v>
      </c>
      <c r="AT25" s="450"/>
      <c r="AU25" s="126"/>
    </row>
    <row r="26" spans="1:47" s="126" customFormat="1" hidden="1" x14ac:dyDescent="0.25">
      <c r="A26" s="72"/>
      <c r="B26" s="532" t="s">
        <v>45</v>
      </c>
      <c r="C26" s="533">
        <v>45925</v>
      </c>
      <c r="D26" s="534">
        <v>25082</v>
      </c>
      <c r="E26" s="537" t="s">
        <v>468</v>
      </c>
      <c r="F26" s="540" t="s">
        <v>120</v>
      </c>
      <c r="G26" s="540" t="s">
        <v>56</v>
      </c>
      <c r="H26" s="540" t="s">
        <v>4</v>
      </c>
      <c r="I26" s="540" t="s">
        <v>49</v>
      </c>
      <c r="J26" s="540" t="s">
        <v>46</v>
      </c>
      <c r="K26" s="8" t="s">
        <v>969</v>
      </c>
      <c r="L26" s="128">
        <v>46041</v>
      </c>
      <c r="M26" s="542">
        <f t="shared" si="5"/>
        <v>4</v>
      </c>
      <c r="N26" s="545" t="s">
        <v>62</v>
      </c>
      <c r="O26" s="547" t="s">
        <v>177</v>
      </c>
      <c r="P26" s="548" t="str">
        <f>VLOOKUP(O26,[1]Feuil2!$A:$M,5,FALSE)</f>
        <v>BOITE POUR SET DE 3 CTX BRIGADE BOIS TRADITION CRF HOME</v>
      </c>
      <c r="Q26" s="534">
        <v>4000</v>
      </c>
      <c r="R26" s="549">
        <v>0.64</v>
      </c>
      <c r="S26" s="550">
        <f t="shared" si="0"/>
        <v>2560</v>
      </c>
      <c r="T26" s="551">
        <f t="shared" si="1"/>
        <v>3360</v>
      </c>
      <c r="U26" s="455">
        <v>145</v>
      </c>
      <c r="V26" s="552">
        <f t="shared" si="2"/>
        <v>3505</v>
      </c>
      <c r="W26" s="553">
        <f>VLOOKUP(O26,[1]Feuil2!$A:$M,6,FALSE)</f>
        <v>0</v>
      </c>
      <c r="X26" s="555">
        <f>VLOOKUP(O26,[1]Feuil2!$A:$M,13,FALSE)</f>
        <v>0</v>
      </c>
      <c r="Y26" s="556" t="e">
        <f t="shared" si="3"/>
        <v>#DIV/0!</v>
      </c>
      <c r="Z26" s="557" t="e">
        <f t="shared" si="4"/>
        <v>#DIV/0!</v>
      </c>
      <c r="AA26" s="68" t="s">
        <v>48</v>
      </c>
      <c r="AB26" s="67" t="s">
        <v>48</v>
      </c>
      <c r="AC26" s="560" t="s">
        <v>55</v>
      </c>
      <c r="AD26" s="561" t="s">
        <v>57</v>
      </c>
      <c r="AE26" s="562">
        <v>45994</v>
      </c>
      <c r="AF26" s="561" t="s">
        <v>651</v>
      </c>
      <c r="AG26" s="561"/>
      <c r="AH26" s="545"/>
      <c r="AI26" s="567">
        <v>45976</v>
      </c>
      <c r="AJ26" s="145">
        <f>DATEDIF(AI26,$AK26,"D")</f>
        <v>34</v>
      </c>
      <c r="AK26" s="568">
        <f>VLOOKUP(AP26,'[2]CONTENEUR PLEIN'!$F:$L,3,FALSE)</f>
        <v>46010</v>
      </c>
      <c r="AL26" s="569">
        <f>VLOOKUP(AP26,'[2]CONTENEUR PLEIN'!$F:$L,5,FALSE)</f>
        <v>46052</v>
      </c>
      <c r="AM26" s="570">
        <f>VLOOKUP(AP26,'[2]CONTENEUR PLEIN'!$F:$L,7,FALSE)</f>
        <v>46057.333333333336</v>
      </c>
      <c r="AN26" s="540" t="s">
        <v>4</v>
      </c>
      <c r="AO26" s="574" t="s">
        <v>746</v>
      </c>
      <c r="AP26" s="574" t="s">
        <v>720</v>
      </c>
      <c r="AQ26" s="534">
        <v>20251209001</v>
      </c>
      <c r="AR26" s="534" t="str">
        <f>VLOOKUP(AP26,'[2]CONTENEUR PLEIN'!$F:$L,2,FALSE)</f>
        <v>CMA CGM KIMBERLEY</v>
      </c>
      <c r="AS26" s="574" t="s">
        <v>316</v>
      </c>
      <c r="AT26" s="545"/>
      <c r="AU26" s="72"/>
    </row>
    <row r="27" spans="1:47" s="72" customFormat="1" hidden="1" x14ac:dyDescent="0.25">
      <c r="B27" s="267" t="s">
        <v>45</v>
      </c>
      <c r="C27" s="89">
        <v>45957</v>
      </c>
      <c r="D27" s="90">
        <v>25106</v>
      </c>
      <c r="E27" s="463" t="s">
        <v>538</v>
      </c>
      <c r="F27" s="239" t="s">
        <v>120</v>
      </c>
      <c r="G27" s="353" t="s">
        <v>121</v>
      </c>
      <c r="H27" s="218" t="s">
        <v>4</v>
      </c>
      <c r="I27" s="218" t="s">
        <v>49</v>
      </c>
      <c r="J27" s="218" t="s">
        <v>46</v>
      </c>
      <c r="K27" s="8" t="s">
        <v>938</v>
      </c>
      <c r="L27" s="269">
        <v>46014</v>
      </c>
      <c r="M27" s="427">
        <f t="shared" si="5"/>
        <v>3</v>
      </c>
      <c r="N27" s="98" t="s">
        <v>49</v>
      </c>
      <c r="O27" s="233">
        <v>10500045</v>
      </c>
      <c r="P27" s="24" t="s">
        <v>539</v>
      </c>
      <c r="Q27" s="90">
        <v>10000</v>
      </c>
      <c r="R27" s="428">
        <v>0.6</v>
      </c>
      <c r="S27" s="429">
        <f t="shared" si="0"/>
        <v>6000</v>
      </c>
      <c r="T27" s="95">
        <f t="shared" si="1"/>
        <v>6000</v>
      </c>
      <c r="U27" s="138"/>
      <c r="V27" s="95">
        <f t="shared" si="2"/>
        <v>6000</v>
      </c>
      <c r="W27" s="430">
        <f>VLOOKUP(O27,[1]Feuil2!$A:$M,6,FALSE)</f>
        <v>0</v>
      </c>
      <c r="X27" s="5">
        <f>VLOOKUP(O27,[1]Feuil2!$A:$M,13,FALSE)</f>
        <v>0</v>
      </c>
      <c r="Y27" s="6" t="e">
        <f t="shared" si="3"/>
        <v>#DIV/0!</v>
      </c>
      <c r="Z27" s="431" t="e">
        <f t="shared" si="4"/>
        <v>#DIV/0!</v>
      </c>
      <c r="AA27" s="67" t="s">
        <v>48</v>
      </c>
      <c r="AB27" s="67" t="s">
        <v>48</v>
      </c>
      <c r="AC27" s="90"/>
      <c r="AD27" s="133" t="s">
        <v>61</v>
      </c>
      <c r="AE27" s="20"/>
      <c r="AF27" s="21"/>
      <c r="AG27" s="21"/>
      <c r="AH27" s="90"/>
      <c r="AI27" s="99">
        <v>46021</v>
      </c>
      <c r="AJ27" s="145" t="s">
        <v>49</v>
      </c>
      <c r="AK27" s="99">
        <f>VLOOKUP(AP27,'[2]CONTENEUR PLEIN'!$F:$L,3,FALSE)</f>
        <v>46003</v>
      </c>
      <c r="AL27" s="99">
        <f>VLOOKUP(AP27,'[2]CONTENEUR PLEIN'!$F:$L,5,FALSE)</f>
        <v>46046</v>
      </c>
      <c r="AM27" s="18">
        <f>VLOOKUP(AP27,'[2]CONTENEUR PLEIN'!$F:$L,7,FALSE)</f>
        <v>46055.333333333336</v>
      </c>
      <c r="AN27" s="239" t="s">
        <v>4</v>
      </c>
      <c r="AO27" s="307" t="s">
        <v>701</v>
      </c>
      <c r="AP27" s="307" t="s">
        <v>681</v>
      </c>
      <c r="AQ27" s="307" t="s">
        <v>702</v>
      </c>
      <c r="AR27" s="90" t="str">
        <f>VLOOKUP(AP27,'[2]CONTENEUR PLEIN'!$F:$L,2,FALSE)</f>
        <v>CMA CGM SCANDOLA</v>
      </c>
      <c r="AS27" s="307" t="s">
        <v>316</v>
      </c>
      <c r="AT27" s="90"/>
    </row>
    <row r="28" spans="1:47" s="72" customFormat="1" ht="15" hidden="1" customHeight="1" x14ac:dyDescent="0.25">
      <c r="B28" s="530" t="s">
        <v>45</v>
      </c>
      <c r="C28" s="146">
        <v>45943</v>
      </c>
      <c r="D28" s="147">
        <v>25102</v>
      </c>
      <c r="E28" s="535" t="s">
        <v>835</v>
      </c>
      <c r="F28" s="539" t="s">
        <v>120</v>
      </c>
      <c r="G28" s="539" t="s">
        <v>836</v>
      </c>
      <c r="H28" s="539" t="s">
        <v>4</v>
      </c>
      <c r="I28" s="539" t="s">
        <v>49</v>
      </c>
      <c r="J28" s="539" t="s">
        <v>46</v>
      </c>
      <c r="K28" s="293" t="s">
        <v>68</v>
      </c>
      <c r="L28" s="595">
        <v>46091</v>
      </c>
      <c r="M28" s="380" t="e">
        <f t="shared" si="5"/>
        <v>#VALUE!</v>
      </c>
      <c r="N28" s="282" t="s">
        <v>62</v>
      </c>
      <c r="O28" s="78">
        <v>10020313</v>
      </c>
      <c r="P28" s="42" t="str">
        <f>VLOOKUP(O28,[1]Feuil2!$A:$M,5,FALSE)</f>
        <v>KIT COFFRET 6 STEAK LAGUIOLE ACCESS POLYMERE_POLYFLAME</v>
      </c>
      <c r="Q28" s="75">
        <v>3000</v>
      </c>
      <c r="R28" s="79">
        <v>0.49399999999999999</v>
      </c>
      <c r="S28" s="80">
        <f t="shared" si="0"/>
        <v>1482</v>
      </c>
      <c r="T28" s="81">
        <f t="shared" si="1"/>
        <v>1482</v>
      </c>
      <c r="U28" s="139"/>
      <c r="V28" s="82">
        <f t="shared" si="2"/>
        <v>1482</v>
      </c>
      <c r="W28" s="9">
        <f>VLOOKUP(O28,[1]Feuil2!$A:$M,6,FALSE)</f>
        <v>120</v>
      </c>
      <c r="X28" s="10">
        <f>VLOOKUP(O28,[1]Feuil2!$A:$M,13,FALSE)</f>
        <v>5.6000000000000008E-2</v>
      </c>
      <c r="Y28" s="11">
        <f t="shared" si="3"/>
        <v>1.4000000000000001</v>
      </c>
      <c r="Z28" s="83">
        <f t="shared" si="4"/>
        <v>1.4000000000000001</v>
      </c>
      <c r="AA28" s="27" t="s">
        <v>48</v>
      </c>
      <c r="AB28" s="27" t="s">
        <v>48</v>
      </c>
      <c r="AC28" s="342" t="s">
        <v>55</v>
      </c>
      <c r="AD28" s="12" t="s">
        <v>57</v>
      </c>
      <c r="AE28" s="14">
        <v>46038</v>
      </c>
      <c r="AF28" s="13" t="s">
        <v>850</v>
      </c>
      <c r="AG28" s="13"/>
      <c r="AH28" s="84"/>
      <c r="AI28" s="178">
        <v>45986</v>
      </c>
      <c r="AJ28" s="144">
        <f>DATEDIF(AI28,$AK$28,"D")</f>
        <v>86</v>
      </c>
      <c r="AK28" s="85">
        <f>VLOOKUP(AP28,'[2]CONTENEUR PLEIN'!$F:$L,3,FALSE)</f>
        <v>46072</v>
      </c>
      <c r="AL28" s="86">
        <f>VLOOKUP(AP28,'[2]CONTENEUR PLEIN'!$F:$L,5,FALSE)</f>
        <v>46112</v>
      </c>
      <c r="AM28" s="46" t="str">
        <f>VLOOKUP(AP28,'[2]CONTENEUR PLEIN'!$F:$L,7,FALSE)</f>
        <v>Estimée : 07-avril</v>
      </c>
      <c r="AN28" s="341" t="s">
        <v>4</v>
      </c>
      <c r="AO28" s="572" t="s">
        <v>989</v>
      </c>
      <c r="AP28" s="572" t="s">
        <v>952</v>
      </c>
      <c r="AQ28" s="572" t="s">
        <v>990</v>
      </c>
      <c r="AR28" s="75" t="str">
        <f>VLOOKUP(AP28,'[2]CONTENEUR PLEIN'!$F:$L,2,FALSE)</f>
        <v>CMA CGM ALEXANDER VON HUMBOLDT</v>
      </c>
      <c r="AS28" s="572" t="s">
        <v>316</v>
      </c>
      <c r="AT28" s="84"/>
    </row>
    <row r="29" spans="1:47" s="72" customFormat="1" ht="15" hidden="1" customHeight="1" x14ac:dyDescent="0.25">
      <c r="B29" s="420" t="s">
        <v>52</v>
      </c>
      <c r="C29" s="74">
        <v>46050</v>
      </c>
      <c r="D29" s="421" t="s">
        <v>53</v>
      </c>
      <c r="E29" s="422" t="s">
        <v>890</v>
      </c>
      <c r="F29" s="421" t="s">
        <v>120</v>
      </c>
      <c r="G29" s="421" t="s">
        <v>891</v>
      </c>
      <c r="H29" s="421" t="s">
        <v>892</v>
      </c>
      <c r="I29" s="421" t="s">
        <v>49</v>
      </c>
      <c r="J29" s="421" t="s">
        <v>46</v>
      </c>
      <c r="K29" s="421" t="s">
        <v>60</v>
      </c>
      <c r="L29" s="421" t="s">
        <v>47</v>
      </c>
      <c r="M29" s="380" t="e">
        <f t="shared" si="5"/>
        <v>#N/A</v>
      </c>
      <c r="N29" s="77" t="s">
        <v>49</v>
      </c>
      <c r="O29" s="546" t="s">
        <v>893</v>
      </c>
      <c r="P29" s="42" t="str">
        <f>VLOOKUP(O29,[1]Feuil2!$A:$M,5,FALSE)</f>
        <v>SANGLE 20'' POUR COUTEAU SUBEA SPF</v>
      </c>
      <c r="Q29" s="75">
        <v>6400</v>
      </c>
      <c r="R29" s="79">
        <v>0.86</v>
      </c>
      <c r="S29" s="80">
        <f t="shared" si="0"/>
        <v>5504</v>
      </c>
      <c r="T29" s="81">
        <f t="shared" si="1"/>
        <v>5504</v>
      </c>
      <c r="U29" s="139"/>
      <c r="V29" s="82">
        <f t="shared" si="2"/>
        <v>5504</v>
      </c>
      <c r="W29" s="9">
        <f>VLOOKUP(O29,[1]Feuil2!$A:$M,6,FALSE)</f>
        <v>0</v>
      </c>
      <c r="X29" s="10">
        <f>VLOOKUP(O29,[1]Feuil2!$A:$M,13,FALSE)</f>
        <v>0</v>
      </c>
      <c r="Y29" s="11" t="e">
        <f t="shared" si="3"/>
        <v>#DIV/0!</v>
      </c>
      <c r="Z29" s="83" t="e">
        <f t="shared" si="4"/>
        <v>#DIV/0!</v>
      </c>
      <c r="AA29" s="27" t="s">
        <v>48</v>
      </c>
      <c r="AB29" s="22" t="s">
        <v>48</v>
      </c>
      <c r="AC29" s="75"/>
      <c r="AD29" s="28" t="s">
        <v>61</v>
      </c>
      <c r="AE29" s="14"/>
      <c r="AF29" s="13"/>
      <c r="AG29" s="13"/>
      <c r="AH29" s="84"/>
      <c r="AI29" s="134">
        <v>46142</v>
      </c>
      <c r="AJ29" s="144" t="e">
        <f t="shared" ref="AJ29:AJ35" ca="1" si="7">DATEDIF(AI29,$AJ$1,"D")</f>
        <v>#NUM!</v>
      </c>
      <c r="AK29" s="85" t="e">
        <f>VLOOKUP(AP29,'[2]CONTENEUR PLEIN'!$F:$L,3,FALSE)</f>
        <v>#N/A</v>
      </c>
      <c r="AL29" s="86" t="e">
        <f>VLOOKUP(AP29,'[2]CONTENEUR PLEIN'!$F:$L,5,FALSE)</f>
        <v>#N/A</v>
      </c>
      <c r="AM29" s="15" t="e">
        <f>VLOOKUP(AP29,'[2]CONTENEUR PLEIN'!$F:$L,7,FALSE)</f>
        <v>#N/A</v>
      </c>
      <c r="AN29" s="421" t="s">
        <v>4</v>
      </c>
      <c r="AO29" s="75"/>
      <c r="AP29" s="75"/>
      <c r="AQ29" s="75"/>
      <c r="AR29" s="75" t="e">
        <f>VLOOKUP(AP29,'[2]CONTENEUR PLEIN'!$F:$L,2,FALSE)</f>
        <v>#N/A</v>
      </c>
      <c r="AS29" s="75"/>
      <c r="AT29" s="84"/>
    </row>
    <row r="30" spans="1:47" s="72" customFormat="1" ht="15" hidden="1" customHeight="1" x14ac:dyDescent="0.25">
      <c r="B30" s="529" t="s">
        <v>45</v>
      </c>
      <c r="C30" s="89">
        <v>46037</v>
      </c>
      <c r="D30" s="90">
        <v>26016</v>
      </c>
      <c r="E30" s="513" t="s">
        <v>980</v>
      </c>
      <c r="F30" s="496" t="s">
        <v>981</v>
      </c>
      <c r="G30" s="496" t="s">
        <v>982</v>
      </c>
      <c r="H30" s="496" t="s">
        <v>4</v>
      </c>
      <c r="I30" s="496" t="s">
        <v>49</v>
      </c>
      <c r="J30" s="496" t="s">
        <v>46</v>
      </c>
      <c r="K30" s="8" t="s">
        <v>992</v>
      </c>
      <c r="L30" s="89">
        <v>46045</v>
      </c>
      <c r="M30" s="381">
        <f>DATEDIF(C30,AM30,"M")</f>
        <v>0</v>
      </c>
      <c r="N30" s="98" t="s">
        <v>49</v>
      </c>
      <c r="O30" s="92">
        <v>10500044</v>
      </c>
      <c r="P30" s="24" t="str">
        <f>VLOOKUP(O30,[1]Feuil2!$A:$M,5,FALSE)</f>
        <v>RESSORT INOX COUTEAU SURICATE</v>
      </c>
      <c r="Q30" s="90">
        <v>15000</v>
      </c>
      <c r="R30" s="93">
        <v>0.05</v>
      </c>
      <c r="S30" s="94">
        <f t="shared" si="0"/>
        <v>750</v>
      </c>
      <c r="T30" s="95">
        <f t="shared" si="1"/>
        <v>750</v>
      </c>
      <c r="U30" s="138"/>
      <c r="V30" s="96">
        <f t="shared" si="2"/>
        <v>750</v>
      </c>
      <c r="W30" s="4">
        <f>VLOOKUP(O30,[1]Feuil2!$A:$M,6,FALSE)</f>
        <v>0</v>
      </c>
      <c r="X30" s="5">
        <f>VLOOKUP(O30,[1]Feuil2!$A:$M,13,FALSE)</f>
        <v>0</v>
      </c>
      <c r="Y30" s="6" t="e">
        <f t="shared" si="3"/>
        <v>#DIV/0!</v>
      </c>
      <c r="Z30" s="97" t="e">
        <f t="shared" si="4"/>
        <v>#DIV/0!</v>
      </c>
      <c r="AA30" s="68" t="s">
        <v>48</v>
      </c>
      <c r="AB30" s="67" t="s">
        <v>48</v>
      </c>
      <c r="AC30" s="67" t="s">
        <v>48</v>
      </c>
      <c r="AD30" s="67" t="s">
        <v>48</v>
      </c>
      <c r="AE30" s="20" t="s">
        <v>48</v>
      </c>
      <c r="AF30" s="21" t="s">
        <v>49</v>
      </c>
      <c r="AG30" s="67" t="s">
        <v>48</v>
      </c>
      <c r="AH30" s="565" t="s">
        <v>48</v>
      </c>
      <c r="AI30" s="135">
        <v>46047</v>
      </c>
      <c r="AJ30" s="145">
        <f t="shared" ca="1" si="7"/>
        <v>51</v>
      </c>
      <c r="AK30" s="100">
        <v>46058</v>
      </c>
      <c r="AL30" s="99">
        <v>46062</v>
      </c>
      <c r="AM30" s="18">
        <v>46063</v>
      </c>
      <c r="AN30" s="496" t="s">
        <v>4</v>
      </c>
      <c r="AO30" s="496" t="s">
        <v>137</v>
      </c>
      <c r="AP30" s="90">
        <v>4901222874</v>
      </c>
      <c r="AQ30" s="90" t="s">
        <v>983</v>
      </c>
      <c r="AR30" s="496" t="s">
        <v>137</v>
      </c>
      <c r="AS30" s="496" t="s">
        <v>137</v>
      </c>
      <c r="AT30" s="98"/>
    </row>
    <row r="31" spans="1:47" s="72" customFormat="1" ht="15" hidden="1" customHeight="1" x14ac:dyDescent="0.25">
      <c r="B31" s="529" t="s">
        <v>45</v>
      </c>
      <c r="C31" s="89">
        <v>46058</v>
      </c>
      <c r="D31" s="90">
        <v>26017</v>
      </c>
      <c r="E31" s="513" t="s">
        <v>984</v>
      </c>
      <c r="F31" s="496" t="s">
        <v>981</v>
      </c>
      <c r="G31" s="496" t="s">
        <v>982</v>
      </c>
      <c r="H31" s="496" t="s">
        <v>4</v>
      </c>
      <c r="I31" s="496" t="s">
        <v>49</v>
      </c>
      <c r="J31" s="496" t="s">
        <v>46</v>
      </c>
      <c r="K31" s="8" t="s">
        <v>1047</v>
      </c>
      <c r="L31" s="607">
        <v>46080</v>
      </c>
      <c r="M31" s="381">
        <f t="shared" si="5"/>
        <v>1</v>
      </c>
      <c r="N31" s="98" t="s">
        <v>49</v>
      </c>
      <c r="O31" s="92">
        <v>10500067</v>
      </c>
      <c r="P31" s="24" t="str">
        <f>VLOOKUP(O31,[1]Feuil2!$A:$M,5,FALSE)</f>
        <v>RESSORT INOX COUTEAU SURICATE - MODIFIE</v>
      </c>
      <c r="Q31" s="90">
        <v>8000</v>
      </c>
      <c r="R31" s="93">
        <v>0.05</v>
      </c>
      <c r="S31" s="94">
        <f t="shared" si="0"/>
        <v>400</v>
      </c>
      <c r="T31" s="95">
        <f t="shared" si="1"/>
        <v>400</v>
      </c>
      <c r="U31" s="138"/>
      <c r="V31" s="96">
        <f t="shared" si="2"/>
        <v>400</v>
      </c>
      <c r="W31" s="4">
        <f>VLOOKUP(O31,[1]Feuil2!$A:$M,6,FALSE)</f>
        <v>0</v>
      </c>
      <c r="X31" s="5">
        <f>VLOOKUP(O31,[1]Feuil2!$A:$M,13,FALSE)</f>
        <v>0</v>
      </c>
      <c r="Y31" s="6" t="e">
        <f t="shared" si="3"/>
        <v>#DIV/0!</v>
      </c>
      <c r="Z31" s="97" t="e">
        <f t="shared" si="4"/>
        <v>#DIV/0!</v>
      </c>
      <c r="AA31" s="67" t="s">
        <v>48</v>
      </c>
      <c r="AB31" s="68" t="s">
        <v>48</v>
      </c>
      <c r="AC31" s="67" t="s">
        <v>48</v>
      </c>
      <c r="AD31" s="67" t="s">
        <v>48</v>
      </c>
      <c r="AE31" s="20" t="s">
        <v>48</v>
      </c>
      <c r="AF31" s="21" t="s">
        <v>49</v>
      </c>
      <c r="AG31" s="67" t="s">
        <v>48</v>
      </c>
      <c r="AH31" s="565" t="s">
        <v>48</v>
      </c>
      <c r="AI31" s="135">
        <v>46091</v>
      </c>
      <c r="AJ31" s="145">
        <f t="shared" ca="1" si="7"/>
        <v>7</v>
      </c>
      <c r="AK31" s="100">
        <v>46090</v>
      </c>
      <c r="AL31" s="99">
        <v>46091</v>
      </c>
      <c r="AM31" s="18">
        <v>46092</v>
      </c>
      <c r="AN31" s="496" t="s">
        <v>4</v>
      </c>
      <c r="AO31" s="605" t="s">
        <v>137</v>
      </c>
      <c r="AP31" s="90">
        <v>1170065551</v>
      </c>
      <c r="AQ31" s="90">
        <v>260226</v>
      </c>
      <c r="AR31" s="496" t="s">
        <v>137</v>
      </c>
      <c r="AS31" s="496" t="s">
        <v>137</v>
      </c>
      <c r="AT31" s="98"/>
    </row>
    <row r="32" spans="1:47" s="72" customFormat="1" ht="15" hidden="1" customHeight="1" x14ac:dyDescent="0.25">
      <c r="B32" s="493" t="s">
        <v>45</v>
      </c>
      <c r="C32" s="74">
        <v>46062</v>
      </c>
      <c r="D32" s="75"/>
      <c r="E32" s="491" t="s">
        <v>988</v>
      </c>
      <c r="F32" s="492" t="s">
        <v>981</v>
      </c>
      <c r="G32" s="492" t="s">
        <v>987</v>
      </c>
      <c r="H32" s="492" t="s">
        <v>4</v>
      </c>
      <c r="I32" s="492" t="s">
        <v>49</v>
      </c>
      <c r="J32" s="492" t="s">
        <v>46</v>
      </c>
      <c r="K32" s="492" t="s">
        <v>60</v>
      </c>
      <c r="L32" s="492" t="s">
        <v>47</v>
      </c>
      <c r="M32" s="380" t="e">
        <f t="shared" si="5"/>
        <v>#N/A</v>
      </c>
      <c r="N32" s="77" t="s">
        <v>49</v>
      </c>
      <c r="O32" s="78">
        <v>11180143</v>
      </c>
      <c r="P32" s="42" t="str">
        <f>VLOOKUP(O32,[1]Feuil2!$A:$M,5,FALSE)</f>
        <v>PAIRE DE PLAQUETTES CAC S200 G10 TOXIFIEES CAMO LM081</v>
      </c>
      <c r="Q32" s="75">
        <v>1000</v>
      </c>
      <c r="R32" s="79">
        <v>6.8</v>
      </c>
      <c r="S32" s="80">
        <f t="shared" si="0"/>
        <v>6800</v>
      </c>
      <c r="T32" s="81">
        <f t="shared" si="1"/>
        <v>6800</v>
      </c>
      <c r="U32" s="139"/>
      <c r="V32" s="82">
        <f t="shared" si="2"/>
        <v>6800</v>
      </c>
      <c r="W32" s="9">
        <f>VLOOKUP(O32,[1]Feuil2!$A:$M,6,FALSE)</f>
        <v>0</v>
      </c>
      <c r="X32" s="10">
        <f>VLOOKUP(O32,[1]Feuil2!$A:$M,13,FALSE)</f>
        <v>0</v>
      </c>
      <c r="Y32" s="11" t="e">
        <f t="shared" si="3"/>
        <v>#DIV/0!</v>
      </c>
      <c r="Z32" s="83" t="e">
        <f t="shared" si="4"/>
        <v>#DIV/0!</v>
      </c>
      <c r="AA32" s="492" t="s">
        <v>48</v>
      </c>
      <c r="AB32" s="492" t="s">
        <v>48</v>
      </c>
      <c r="AC32" s="75"/>
      <c r="AD32" s="12"/>
      <c r="AE32" s="14"/>
      <c r="AF32" s="13"/>
      <c r="AG32" s="13"/>
      <c r="AH32" s="84"/>
      <c r="AI32" s="134"/>
      <c r="AJ32" s="144">
        <f t="shared" ca="1" si="7"/>
        <v>46098</v>
      </c>
      <c r="AK32" s="85" t="e">
        <f>VLOOKUP(AP32,'[2]CONTENEUR PLEIN'!$F:$L,3,FALSE)</f>
        <v>#N/A</v>
      </c>
      <c r="AL32" s="86" t="e">
        <f>VLOOKUP(AP32,'[2]CONTENEUR PLEIN'!$F:$L,5,FALSE)</f>
        <v>#N/A</v>
      </c>
      <c r="AM32" s="15" t="e">
        <f>VLOOKUP(AP32,'[2]CONTENEUR PLEIN'!$F:$L,7,FALSE)</f>
        <v>#N/A</v>
      </c>
      <c r="AN32" s="492" t="s">
        <v>4</v>
      </c>
      <c r="AO32" s="75"/>
      <c r="AP32" s="75"/>
      <c r="AQ32" s="75"/>
      <c r="AR32" s="75" t="e">
        <f>VLOOKUP(AP32,'[2]CONTENEUR PLEIN'!$F:$L,2,FALSE)</f>
        <v>#N/A</v>
      </c>
      <c r="AS32" s="75"/>
      <c r="AT32" s="84"/>
    </row>
    <row r="33" spans="1:47" s="72" customFormat="1" ht="15" hidden="1" customHeight="1" x14ac:dyDescent="0.25">
      <c r="B33" s="493" t="s">
        <v>45</v>
      </c>
      <c r="C33" s="74">
        <v>46062</v>
      </c>
      <c r="D33" s="75"/>
      <c r="E33" s="491" t="s">
        <v>985</v>
      </c>
      <c r="F33" s="492" t="s">
        <v>981</v>
      </c>
      <c r="G33" s="492" t="s">
        <v>986</v>
      </c>
      <c r="H33" s="492" t="s">
        <v>4</v>
      </c>
      <c r="I33" s="492" t="s">
        <v>49</v>
      </c>
      <c r="J33" s="492" t="s">
        <v>46</v>
      </c>
      <c r="K33" s="594" t="s">
        <v>76</v>
      </c>
      <c r="L33" s="596">
        <v>46091</v>
      </c>
      <c r="M33" s="380" t="e">
        <f t="shared" si="5"/>
        <v>#N/A</v>
      </c>
      <c r="N33" s="77" t="s">
        <v>49</v>
      </c>
      <c r="O33" s="78">
        <v>10500045</v>
      </c>
      <c r="P33" s="42" t="str">
        <f>VLOOKUP(O33,[1]Feuil2!$A:$M,5,FALSE)</f>
        <v>MOLETTE INOX BRUTE COUTEAU SURICATE</v>
      </c>
      <c r="Q33" s="75">
        <v>10000</v>
      </c>
      <c r="R33" s="79">
        <v>0.6</v>
      </c>
      <c r="S33" s="80">
        <f t="shared" si="0"/>
        <v>6000</v>
      </c>
      <c r="T33" s="81">
        <f t="shared" si="1"/>
        <v>6000</v>
      </c>
      <c r="U33" s="139"/>
      <c r="V33" s="82">
        <f t="shared" si="2"/>
        <v>6000</v>
      </c>
      <c r="W33" s="9">
        <f>VLOOKUP(O33,[1]Feuil2!$A:$M,6,FALSE)</f>
        <v>0</v>
      </c>
      <c r="X33" s="10">
        <f>VLOOKUP(O33,[1]Feuil2!$A:$M,13,FALSE)</f>
        <v>0</v>
      </c>
      <c r="Y33" s="11" t="e">
        <f t="shared" si="3"/>
        <v>#DIV/0!</v>
      </c>
      <c r="Z33" s="83" t="e">
        <f t="shared" si="4"/>
        <v>#DIV/0!</v>
      </c>
      <c r="AA33" s="492" t="s">
        <v>48</v>
      </c>
      <c r="AB33" s="492" t="s">
        <v>48</v>
      </c>
      <c r="AC33" s="75"/>
      <c r="AD33" s="12"/>
      <c r="AE33" s="14"/>
      <c r="AF33" s="13"/>
      <c r="AG33" s="13"/>
      <c r="AH33" s="84"/>
      <c r="AI33" s="134"/>
      <c r="AJ33" s="144">
        <f t="shared" ca="1" si="7"/>
        <v>46098</v>
      </c>
      <c r="AK33" s="85" t="e">
        <f>VLOOKUP(AP33,'[2]CONTENEUR PLEIN'!$F:$L,3,FALSE)</f>
        <v>#N/A</v>
      </c>
      <c r="AL33" s="86" t="e">
        <f>VLOOKUP(AP33,'[2]CONTENEUR PLEIN'!$F:$L,5,FALSE)</f>
        <v>#N/A</v>
      </c>
      <c r="AM33" s="15" t="e">
        <f>VLOOKUP(AP33,'[2]CONTENEUR PLEIN'!$F:$L,7,FALSE)</f>
        <v>#N/A</v>
      </c>
      <c r="AN33" s="492" t="s">
        <v>4</v>
      </c>
      <c r="AO33" s="75"/>
      <c r="AP33" s="75"/>
      <c r="AQ33" s="581" t="s">
        <v>1032</v>
      </c>
      <c r="AR33" s="75" t="e">
        <f>VLOOKUP(AP33,'[2]CONTENEUR PLEIN'!$F:$L,2,FALSE)</f>
        <v>#N/A</v>
      </c>
      <c r="AS33" s="75"/>
      <c r="AT33" s="84"/>
    </row>
    <row r="34" spans="1:47" s="72" customFormat="1" ht="15" hidden="1" customHeight="1" x14ac:dyDescent="0.25">
      <c r="B34" s="509" t="s">
        <v>45</v>
      </c>
      <c r="C34" s="74">
        <v>46077</v>
      </c>
      <c r="D34" s="75"/>
      <c r="E34" s="510" t="s">
        <v>995</v>
      </c>
      <c r="F34" s="511" t="s">
        <v>120</v>
      </c>
      <c r="G34" s="511" t="s">
        <v>56</v>
      </c>
      <c r="H34" s="511" t="s">
        <v>4</v>
      </c>
      <c r="I34" s="511" t="s">
        <v>49</v>
      </c>
      <c r="J34" s="511" t="s">
        <v>46</v>
      </c>
      <c r="K34" s="492" t="s">
        <v>60</v>
      </c>
      <c r="L34" s="511" t="s">
        <v>47</v>
      </c>
      <c r="M34" s="380" t="e">
        <f t="shared" si="5"/>
        <v>#N/A</v>
      </c>
      <c r="N34" s="77" t="s">
        <v>49</v>
      </c>
      <c r="O34" s="78">
        <v>11340033</v>
      </c>
      <c r="P34" s="42" t="str">
        <f>VLOOKUP(O34,[1]Feuil2!$A:$M,5,FALSE)</f>
        <v>CALE CARTON POUR BOITE SET DE 3 CTX BRIGADE</v>
      </c>
      <c r="Q34" s="75">
        <v>11000</v>
      </c>
      <c r="R34" s="79">
        <v>0.217</v>
      </c>
      <c r="S34" s="80">
        <f t="shared" si="0"/>
        <v>2387</v>
      </c>
      <c r="T34" s="81">
        <f t="shared" si="1"/>
        <v>8787</v>
      </c>
      <c r="U34" s="139"/>
      <c r="V34" s="82">
        <f t="shared" si="2"/>
        <v>8787</v>
      </c>
      <c r="W34" s="9">
        <f>VLOOKUP(O34,[1]Feuil2!$A:$M,6,FALSE)</f>
        <v>0</v>
      </c>
      <c r="X34" s="10">
        <f>VLOOKUP(O34,[1]Feuil2!$A:$M,13,FALSE)</f>
        <v>0</v>
      </c>
      <c r="Y34" s="11" t="e">
        <f t="shared" si="3"/>
        <v>#DIV/0!</v>
      </c>
      <c r="Z34" s="83" t="e">
        <f t="shared" si="4"/>
        <v>#DIV/0!</v>
      </c>
      <c r="AA34" s="27" t="s">
        <v>48</v>
      </c>
      <c r="AB34" s="22" t="s">
        <v>48</v>
      </c>
      <c r="AC34" s="75"/>
      <c r="AD34" s="66" t="s">
        <v>61</v>
      </c>
      <c r="AE34" s="14"/>
      <c r="AF34" s="13"/>
      <c r="AG34" s="13"/>
      <c r="AH34" s="84"/>
      <c r="AI34" s="134"/>
      <c r="AJ34" s="144">
        <f t="shared" ca="1" si="7"/>
        <v>46098</v>
      </c>
      <c r="AK34" s="85" t="e">
        <f>VLOOKUP(AP34,'[2]CONTENEUR PLEIN'!$F:$L,3,FALSE)</f>
        <v>#N/A</v>
      </c>
      <c r="AL34" s="86" t="e">
        <f>VLOOKUP(AP34,'[2]CONTENEUR PLEIN'!$F:$L,5,FALSE)</f>
        <v>#N/A</v>
      </c>
      <c r="AM34" s="15" t="e">
        <f>VLOOKUP(AP34,'[2]CONTENEUR PLEIN'!$F:$L,7,FALSE)</f>
        <v>#N/A</v>
      </c>
      <c r="AN34" s="511" t="s">
        <v>4</v>
      </c>
      <c r="AO34" s="75"/>
      <c r="AP34" s="75"/>
      <c r="AQ34" s="75"/>
      <c r="AR34" s="75" t="e">
        <f>VLOOKUP(AP34,'[2]CONTENEUR PLEIN'!$F:$L,2,FALSE)</f>
        <v>#N/A</v>
      </c>
      <c r="AS34" s="75"/>
      <c r="AT34" s="84"/>
    </row>
    <row r="35" spans="1:47" s="72" customFormat="1" ht="15" hidden="1" customHeight="1" x14ac:dyDescent="0.25">
      <c r="B35" s="509" t="s">
        <v>45</v>
      </c>
      <c r="C35" s="74">
        <v>46077</v>
      </c>
      <c r="D35" s="75"/>
      <c r="E35" s="510" t="s">
        <v>995</v>
      </c>
      <c r="F35" s="511" t="s">
        <v>120</v>
      </c>
      <c r="G35" s="511" t="s">
        <v>56</v>
      </c>
      <c r="H35" s="511" t="s">
        <v>4</v>
      </c>
      <c r="I35" s="511" t="s">
        <v>49</v>
      </c>
      <c r="J35" s="511" t="s">
        <v>46</v>
      </c>
      <c r="K35" s="492" t="s">
        <v>60</v>
      </c>
      <c r="L35" s="511" t="s">
        <v>47</v>
      </c>
      <c r="M35" s="380" t="e">
        <f t="shared" si="5"/>
        <v>#N/A</v>
      </c>
      <c r="N35" s="282" t="s">
        <v>62</v>
      </c>
      <c r="O35" s="512" t="s">
        <v>177</v>
      </c>
      <c r="P35" s="42" t="str">
        <f>VLOOKUP(O35,[1]Feuil2!$A:$M,5,FALSE)</f>
        <v>BOITE POUR SET DE 3 CTX BRIGADE BOIS TRADITION CRF HOME</v>
      </c>
      <c r="Q35" s="75">
        <v>10000</v>
      </c>
      <c r="R35" s="79">
        <v>0.64</v>
      </c>
      <c r="S35" s="80">
        <f t="shared" si="0"/>
        <v>6400</v>
      </c>
      <c r="T35" s="81">
        <f t="shared" si="1"/>
        <v>8787</v>
      </c>
      <c r="U35" s="139"/>
      <c r="V35" s="82">
        <f t="shared" si="2"/>
        <v>8787</v>
      </c>
      <c r="W35" s="9">
        <f>VLOOKUP(O35,[1]Feuil2!$A:$M,6,FALSE)</f>
        <v>0</v>
      </c>
      <c r="X35" s="10">
        <f>VLOOKUP(O35,[1]Feuil2!$A:$M,13,FALSE)</f>
        <v>0</v>
      </c>
      <c r="Y35" s="11" t="e">
        <f t="shared" si="3"/>
        <v>#DIV/0!</v>
      </c>
      <c r="Z35" s="83" t="e">
        <f t="shared" si="4"/>
        <v>#DIV/0!</v>
      </c>
      <c r="AA35" s="22" t="s">
        <v>48</v>
      </c>
      <c r="AB35" s="27" t="s">
        <v>48</v>
      </c>
      <c r="AC35" s="75"/>
      <c r="AD35" s="66" t="s">
        <v>61</v>
      </c>
      <c r="AE35" s="14"/>
      <c r="AF35" s="13"/>
      <c r="AG35" s="13"/>
      <c r="AH35" s="84"/>
      <c r="AI35" s="134"/>
      <c r="AJ35" s="144">
        <f t="shared" ca="1" si="7"/>
        <v>46098</v>
      </c>
      <c r="AK35" s="85" t="e">
        <f>VLOOKUP(AP35,'[2]CONTENEUR PLEIN'!$F:$L,3,FALSE)</f>
        <v>#N/A</v>
      </c>
      <c r="AL35" s="86" t="e">
        <f>VLOOKUP(AP35,'[2]CONTENEUR PLEIN'!$F:$L,5,FALSE)</f>
        <v>#N/A</v>
      </c>
      <c r="AM35" s="15" t="e">
        <f>VLOOKUP(AP35,'[2]CONTENEUR PLEIN'!$F:$L,7,FALSE)</f>
        <v>#N/A</v>
      </c>
      <c r="AN35" s="511" t="s">
        <v>4</v>
      </c>
      <c r="AO35" s="75"/>
      <c r="AP35" s="75"/>
      <c r="AQ35" s="75"/>
      <c r="AR35" s="75" t="e">
        <f>VLOOKUP(AP35,'[2]CONTENEUR PLEIN'!$F:$L,2,FALSE)</f>
        <v>#N/A</v>
      </c>
      <c r="AS35" s="75"/>
      <c r="AT35" s="84"/>
    </row>
    <row r="36" spans="1:47" s="72" customFormat="1" ht="15" hidden="1" customHeight="1" x14ac:dyDescent="0.25">
      <c r="A36" s="71"/>
      <c r="B36" s="505" t="s">
        <v>45</v>
      </c>
      <c r="C36" s="448">
        <v>45460</v>
      </c>
      <c r="D36" s="104">
        <v>24050</v>
      </c>
      <c r="E36" s="506" t="s">
        <v>84</v>
      </c>
      <c r="F36" s="104">
        <v>2405281601</v>
      </c>
      <c r="G36" s="104" t="s">
        <v>64</v>
      </c>
      <c r="H36" s="104" t="s">
        <v>85</v>
      </c>
      <c r="I36" s="104" t="s">
        <v>49</v>
      </c>
      <c r="J36" s="104" t="s">
        <v>46</v>
      </c>
      <c r="K36" s="16" t="s">
        <v>134</v>
      </c>
      <c r="L36" s="89">
        <v>45630</v>
      </c>
      <c r="M36" s="381">
        <f t="shared" si="5"/>
        <v>6</v>
      </c>
      <c r="N36" s="450" t="s">
        <v>49</v>
      </c>
      <c r="O36" s="482">
        <v>402620</v>
      </c>
      <c r="P36" s="24" t="str">
        <f>VLOOKUP(O36,[1]Feuil2!$A:$M,5,FALSE)</f>
        <v>LOT 6 FTTES CLEO 18% 10/10</v>
      </c>
      <c r="Q36" s="104">
        <f>8760-7080</f>
        <v>1680</v>
      </c>
      <c r="R36" s="452">
        <v>0.38400000000000001</v>
      </c>
      <c r="S36" s="453">
        <f t="shared" si="0"/>
        <v>645.12</v>
      </c>
      <c r="T36" s="454">
        <f t="shared" ref="T36:T67" si="8">SUMIF($E$5:$E$79,E36,$S$5:$S$79)</f>
        <v>43538.259999999987</v>
      </c>
      <c r="U36" s="138"/>
      <c r="V36" s="456">
        <f t="shared" si="2"/>
        <v>43538.259999999987</v>
      </c>
      <c r="W36" s="457">
        <f>VLOOKUP(O36,[1]Feuil2!$A:$M,6,FALSE)</f>
        <v>120</v>
      </c>
      <c r="X36" s="59">
        <f>VLOOKUP(O36,[1]Feuil2!$A:$M,13,FALSE)</f>
        <v>1.0846E-2</v>
      </c>
      <c r="Y36" s="458">
        <f t="shared" si="3"/>
        <v>0.15184400000000001</v>
      </c>
      <c r="Z36" s="97">
        <f t="shared" si="4"/>
        <v>15.87173875</v>
      </c>
      <c r="AA36" s="92" t="s">
        <v>48</v>
      </c>
      <c r="AB36" s="19" t="s">
        <v>57</v>
      </c>
      <c r="AC36" s="87" t="s">
        <v>55</v>
      </c>
      <c r="AD36" s="43" t="s">
        <v>57</v>
      </c>
      <c r="AE36" s="460">
        <v>45585</v>
      </c>
      <c r="AF36" s="507" t="s">
        <v>86</v>
      </c>
      <c r="AG36" s="40" t="s">
        <v>57</v>
      </c>
      <c r="AH36" s="98" t="s">
        <v>48</v>
      </c>
      <c r="AI36" s="508">
        <v>45540</v>
      </c>
      <c r="AJ36" s="145">
        <f t="shared" ref="AJ36:AJ44" si="9">DATEDIF(AI36,$AK36,"D")</f>
        <v>77</v>
      </c>
      <c r="AK36" s="100">
        <f>VLOOKUP(AP36,'[3]CONTENEUR PLEIN'!$F:$L,3,FALSE)</f>
        <v>45617</v>
      </c>
      <c r="AL36" s="99">
        <f>VLOOKUP(AP36,'[3]CONTENEUR PLEIN'!$F:$L,5,FALSE)</f>
        <v>45653</v>
      </c>
      <c r="AM36" s="18">
        <f>VLOOKUP(AP36,'[3]CONTENEUR PLEIN'!$F:$L,7,FALSE)</f>
        <v>45670.333333333336</v>
      </c>
      <c r="AN36" s="90" t="s">
        <v>63</v>
      </c>
      <c r="AO36" s="90" t="s">
        <v>77</v>
      </c>
      <c r="AP36" s="90" t="s">
        <v>78</v>
      </c>
      <c r="AQ36" s="90"/>
      <c r="AR36" s="90" t="e">
        <f>VLOOKUP(AP36,'[2]CONTENEUR PLEIN'!$F:$L,2,FALSE)</f>
        <v>#N/A</v>
      </c>
      <c r="AS36" s="90" t="s">
        <v>51</v>
      </c>
      <c r="AT36" s="450"/>
    </row>
    <row r="37" spans="1:47" s="72" customFormat="1" hidden="1" x14ac:dyDescent="0.25">
      <c r="A37" s="71"/>
      <c r="B37" s="88" t="s">
        <v>45</v>
      </c>
      <c r="C37" s="89">
        <v>45460</v>
      </c>
      <c r="D37" s="90">
        <v>24050</v>
      </c>
      <c r="E37" s="91" t="s">
        <v>84</v>
      </c>
      <c r="F37" s="90">
        <v>2405281601</v>
      </c>
      <c r="G37" s="90" t="s">
        <v>64</v>
      </c>
      <c r="H37" s="90" t="s">
        <v>85</v>
      </c>
      <c r="I37" s="90" t="s">
        <v>49</v>
      </c>
      <c r="J37" s="90" t="s">
        <v>46</v>
      </c>
      <c r="K37" s="16" t="s">
        <v>79</v>
      </c>
      <c r="L37" s="89">
        <v>45602</v>
      </c>
      <c r="M37" s="381">
        <f t="shared" si="5"/>
        <v>5</v>
      </c>
      <c r="N37" s="98" t="s">
        <v>49</v>
      </c>
      <c r="O37" s="92">
        <v>402620</v>
      </c>
      <c r="P37" s="24" t="str">
        <f>VLOOKUP(O37,[1]Feuil2!$A:$M,5,FALSE)</f>
        <v>LOT 6 FTTES CLEO 18% 10/10</v>
      </c>
      <c r="Q37" s="90">
        <v>7080</v>
      </c>
      <c r="R37" s="93">
        <v>0.38400000000000001</v>
      </c>
      <c r="S37" s="94">
        <f t="shared" si="0"/>
        <v>2718.7200000000003</v>
      </c>
      <c r="T37" s="95">
        <f t="shared" si="8"/>
        <v>43538.259999999987</v>
      </c>
      <c r="U37" s="141">
        <v>0</v>
      </c>
      <c r="V37" s="96">
        <f t="shared" si="2"/>
        <v>43538.259999999987</v>
      </c>
      <c r="W37" s="4">
        <f>VLOOKUP(O37,[1]Feuil2!$A:$M,6,FALSE)</f>
        <v>120</v>
      </c>
      <c r="X37" s="5">
        <f>VLOOKUP(O37,[1]Feuil2!$A:$M,13,FALSE)</f>
        <v>1.0846E-2</v>
      </c>
      <c r="Y37" s="6">
        <f t="shared" ref="Y37:Y68" si="10">(Q37/W37)*X37</f>
        <v>0.63991399999999998</v>
      </c>
      <c r="Z37" s="97">
        <f t="shared" si="4"/>
        <v>15.87173875</v>
      </c>
      <c r="AA37" s="92" t="s">
        <v>48</v>
      </c>
      <c r="AB37" s="19" t="s">
        <v>57</v>
      </c>
      <c r="AC37" s="87" t="s">
        <v>55</v>
      </c>
      <c r="AD37" s="19" t="s">
        <v>57</v>
      </c>
      <c r="AE37" s="20">
        <v>45585</v>
      </c>
      <c r="AF37" s="17" t="s">
        <v>86</v>
      </c>
      <c r="AG37" s="40" t="s">
        <v>57</v>
      </c>
      <c r="AH37" s="98" t="s">
        <v>48</v>
      </c>
      <c r="AI37" s="135">
        <v>45540</v>
      </c>
      <c r="AJ37" s="145">
        <f t="shared" si="9"/>
        <v>51</v>
      </c>
      <c r="AK37" s="100">
        <f>VLOOKUP(AP37,'[2]CONTENEUR PLEIN'!$F:$L,3,FALSE)</f>
        <v>45591</v>
      </c>
      <c r="AL37" s="99">
        <f>VLOOKUP(AP37,'[2]CONTENEUR PLEIN'!$F:$L,5,FALSE)</f>
        <v>45612</v>
      </c>
      <c r="AM37" s="18">
        <f>VLOOKUP(AP37,'[2]CONTENEUR PLEIN'!$F:$L,7,FALSE)</f>
        <v>45617</v>
      </c>
      <c r="AN37" s="90" t="s">
        <v>63</v>
      </c>
      <c r="AO37" s="90" t="s">
        <v>46</v>
      </c>
      <c r="AP37" s="90" t="s">
        <v>80</v>
      </c>
      <c r="AQ37" s="90"/>
      <c r="AR37" s="90" t="str">
        <f>VLOOKUP(AP37,'[2]CONTENEUR PLEIN'!$F:$L,2,FALSE)</f>
        <v>TRAIN</v>
      </c>
      <c r="AS37" s="90" t="s">
        <v>54</v>
      </c>
      <c r="AT37" s="98"/>
    </row>
    <row r="38" spans="1:47" s="72" customFormat="1" hidden="1" x14ac:dyDescent="0.25">
      <c r="A38" s="71"/>
      <c r="B38" s="88" t="s">
        <v>45</v>
      </c>
      <c r="C38" s="89">
        <v>45460</v>
      </c>
      <c r="D38" s="90">
        <v>24050</v>
      </c>
      <c r="E38" s="91" t="s">
        <v>84</v>
      </c>
      <c r="F38" s="90">
        <v>2405281601</v>
      </c>
      <c r="G38" s="90" t="s">
        <v>64</v>
      </c>
      <c r="H38" s="90" t="s">
        <v>85</v>
      </c>
      <c r="I38" s="90" t="s">
        <v>49</v>
      </c>
      <c r="J38" s="90" t="s">
        <v>46</v>
      </c>
      <c r="K38" s="16" t="s">
        <v>122</v>
      </c>
      <c r="L38" s="89">
        <v>45561</v>
      </c>
      <c r="M38" s="381">
        <f t="shared" si="5"/>
        <v>5</v>
      </c>
      <c r="N38" s="98" t="s">
        <v>49</v>
      </c>
      <c r="O38" s="92">
        <v>402630</v>
      </c>
      <c r="P38" s="24" t="str">
        <f>VLOOKUP(O38,[1]Feuil2!$A:$M,5,FALSE)</f>
        <v>LOT 6 CUILL CLEO 18% 10/10</v>
      </c>
      <c r="Q38" s="90">
        <v>3120</v>
      </c>
      <c r="R38" s="93">
        <v>0.40200000000000002</v>
      </c>
      <c r="S38" s="94">
        <f t="shared" si="0"/>
        <v>1254.24</v>
      </c>
      <c r="T38" s="95">
        <f t="shared" si="8"/>
        <v>43538.259999999987</v>
      </c>
      <c r="U38" s="138"/>
      <c r="V38" s="96">
        <f t="shared" si="2"/>
        <v>43538.259999999987</v>
      </c>
      <c r="W38" s="4">
        <f>VLOOKUP(O38,[1]Feuil2!$A:$M,6,FALSE)</f>
        <v>120</v>
      </c>
      <c r="X38" s="5">
        <f>VLOOKUP(O38,[1]Feuil2!$A:$M,13,FALSE)</f>
        <v>1.4428125E-2</v>
      </c>
      <c r="Y38" s="6">
        <f t="shared" si="10"/>
        <v>0.37513125000000003</v>
      </c>
      <c r="Z38" s="97">
        <f t="shared" si="4"/>
        <v>15.87173875</v>
      </c>
      <c r="AA38" s="23" t="s">
        <v>48</v>
      </c>
      <c r="AB38" s="24" t="s">
        <v>48</v>
      </c>
      <c r="AC38" s="87" t="s">
        <v>55</v>
      </c>
      <c r="AD38" s="19" t="s">
        <v>57</v>
      </c>
      <c r="AE38" s="20">
        <v>45544</v>
      </c>
      <c r="AF38" s="17" t="s">
        <v>87</v>
      </c>
      <c r="AG38" s="40" t="s">
        <v>57</v>
      </c>
      <c r="AH38" s="98" t="s">
        <v>48</v>
      </c>
      <c r="AI38" s="135">
        <v>45540</v>
      </c>
      <c r="AJ38" s="145">
        <f t="shared" si="9"/>
        <v>27</v>
      </c>
      <c r="AK38" s="100">
        <f>VLOOKUP(AP38,'[2]CONTENEUR PLEIN'!$F:$L,3,FALSE)</f>
        <v>45567</v>
      </c>
      <c r="AL38" s="99">
        <f>VLOOKUP(AP38,'[2]CONTENEUR PLEIN'!$F:$L,5,FALSE)</f>
        <v>45622</v>
      </c>
      <c r="AM38" s="18">
        <f>VLOOKUP(AP38,'[2]CONTENEUR PLEIN'!$F:$L,7,FALSE)</f>
        <v>45630.333333333336</v>
      </c>
      <c r="AN38" s="101" t="s">
        <v>63</v>
      </c>
      <c r="AO38" s="87" t="s">
        <v>69</v>
      </c>
      <c r="AP38" s="87" t="s">
        <v>70</v>
      </c>
      <c r="AQ38" s="87"/>
      <c r="AR38" s="87" t="str">
        <f>VLOOKUP(AP38,'[2]CONTENEUR PLEIN'!$F:$L,2,FALSE)</f>
        <v>AL DHAIL</v>
      </c>
      <c r="AS38" s="90" t="s">
        <v>51</v>
      </c>
      <c r="AT38" s="98"/>
    </row>
    <row r="39" spans="1:47" s="72" customFormat="1" ht="15" hidden="1" customHeight="1" x14ac:dyDescent="0.25">
      <c r="A39" s="71"/>
      <c r="B39" s="88" t="s">
        <v>45</v>
      </c>
      <c r="C39" s="89">
        <v>45460</v>
      </c>
      <c r="D39" s="90">
        <v>24050</v>
      </c>
      <c r="E39" s="91" t="s">
        <v>84</v>
      </c>
      <c r="F39" s="90">
        <v>2405281601</v>
      </c>
      <c r="G39" s="90" t="s">
        <v>64</v>
      </c>
      <c r="H39" s="90" t="s">
        <v>85</v>
      </c>
      <c r="I39" s="90" t="s">
        <v>49</v>
      </c>
      <c r="J39" s="90" t="s">
        <v>46</v>
      </c>
      <c r="K39" s="16" t="s">
        <v>122</v>
      </c>
      <c r="L39" s="89">
        <v>45561</v>
      </c>
      <c r="M39" s="381">
        <f t="shared" si="5"/>
        <v>5</v>
      </c>
      <c r="N39" s="98" t="s">
        <v>49</v>
      </c>
      <c r="O39" s="92">
        <v>402640</v>
      </c>
      <c r="P39" s="24" t="str">
        <f>VLOOKUP(O39,[1]Feuil2!$A:$M,5,FALSE)</f>
        <v>LOT 6 CAFES CLEO 18% 10/10</v>
      </c>
      <c r="Q39" s="90">
        <v>8200</v>
      </c>
      <c r="R39" s="93">
        <v>0.28799999999999998</v>
      </c>
      <c r="S39" s="94">
        <f t="shared" si="0"/>
        <v>2361.6</v>
      </c>
      <c r="T39" s="95">
        <f t="shared" si="8"/>
        <v>43538.259999999987</v>
      </c>
      <c r="U39" s="138"/>
      <c r="V39" s="96">
        <f t="shared" si="2"/>
        <v>43538.259999999987</v>
      </c>
      <c r="W39" s="4">
        <f>VLOOKUP(O39,[1]Feuil2!$A:$M,6,FALSE)</f>
        <v>200</v>
      </c>
      <c r="X39" s="5">
        <f>VLOOKUP(O39,[1]Feuil2!$A:$M,13,FALSE)</f>
        <v>8.0750000000000006E-3</v>
      </c>
      <c r="Y39" s="6">
        <f t="shared" si="10"/>
        <v>0.33107500000000001</v>
      </c>
      <c r="Z39" s="97">
        <f t="shared" si="4"/>
        <v>15.87173875</v>
      </c>
      <c r="AA39" s="23" t="s">
        <v>48</v>
      </c>
      <c r="AB39" s="24" t="s">
        <v>48</v>
      </c>
      <c r="AC39" s="87" t="s">
        <v>55</v>
      </c>
      <c r="AD39" s="19" t="s">
        <v>57</v>
      </c>
      <c r="AE39" s="20">
        <v>45541</v>
      </c>
      <c r="AF39" s="17" t="s">
        <v>88</v>
      </c>
      <c r="AG39" s="40" t="s">
        <v>57</v>
      </c>
      <c r="AH39" s="98" t="s">
        <v>48</v>
      </c>
      <c r="AI39" s="135">
        <v>45540</v>
      </c>
      <c r="AJ39" s="145">
        <f t="shared" si="9"/>
        <v>27</v>
      </c>
      <c r="AK39" s="100">
        <f>VLOOKUP(AP39,'[2]CONTENEUR PLEIN'!$F:$L,3,FALSE)</f>
        <v>45567</v>
      </c>
      <c r="AL39" s="99">
        <f>VLOOKUP(AP39,'[2]CONTENEUR PLEIN'!$F:$L,5,FALSE)</f>
        <v>45622</v>
      </c>
      <c r="AM39" s="18">
        <f>VLOOKUP(AP39,'[2]CONTENEUR PLEIN'!$F:$L,7,FALSE)</f>
        <v>45630.333333333336</v>
      </c>
      <c r="AN39" s="101" t="s">
        <v>63</v>
      </c>
      <c r="AO39" s="87" t="s">
        <v>69</v>
      </c>
      <c r="AP39" s="87" t="s">
        <v>70</v>
      </c>
      <c r="AQ39" s="87"/>
      <c r="AR39" s="87" t="str">
        <f>VLOOKUP(AP39,'[2]CONTENEUR PLEIN'!$F:$L,2,FALSE)</f>
        <v>AL DHAIL</v>
      </c>
      <c r="AS39" s="90" t="s">
        <v>51</v>
      </c>
      <c r="AT39" s="98"/>
    </row>
    <row r="40" spans="1:47" s="72" customFormat="1" ht="15" hidden="1" customHeight="1" x14ac:dyDescent="0.25">
      <c r="A40" s="71"/>
      <c r="B40" s="88" t="s">
        <v>45</v>
      </c>
      <c r="C40" s="89">
        <v>45460</v>
      </c>
      <c r="D40" s="90">
        <v>24050</v>
      </c>
      <c r="E40" s="91" t="s">
        <v>84</v>
      </c>
      <c r="F40" s="90">
        <v>2405281601</v>
      </c>
      <c r="G40" s="90" t="s">
        <v>64</v>
      </c>
      <c r="H40" s="90" t="s">
        <v>85</v>
      </c>
      <c r="I40" s="90" t="s">
        <v>49</v>
      </c>
      <c r="J40" s="90" t="s">
        <v>46</v>
      </c>
      <c r="K40" s="16" t="s">
        <v>122</v>
      </c>
      <c r="L40" s="89">
        <v>45561</v>
      </c>
      <c r="M40" s="381">
        <f t="shared" si="5"/>
        <v>5</v>
      </c>
      <c r="N40" s="98" t="s">
        <v>49</v>
      </c>
      <c r="O40" s="92">
        <v>402650</v>
      </c>
      <c r="P40" s="24" t="str">
        <f>VLOOKUP(O40,[1]Feuil2!$A:$M,5,FALSE)</f>
        <v>LOT 6 CUILL MOKA CLEO 18% 10/10</v>
      </c>
      <c r="Q40" s="90">
        <v>13800</v>
      </c>
      <c r="R40" s="93">
        <v>0.20599999999999999</v>
      </c>
      <c r="S40" s="94">
        <f t="shared" si="0"/>
        <v>2842.7999999999997</v>
      </c>
      <c r="T40" s="95">
        <f t="shared" si="8"/>
        <v>43538.259999999987</v>
      </c>
      <c r="U40" s="138"/>
      <c r="V40" s="96">
        <f t="shared" si="2"/>
        <v>43538.259999999987</v>
      </c>
      <c r="W40" s="4">
        <f>VLOOKUP(O40,[1]Feuil2!$A:$M,6,FALSE)</f>
        <v>200</v>
      </c>
      <c r="X40" s="5">
        <f>VLOOKUP(O40,[1]Feuil2!$A:$M,13,FALSE)</f>
        <v>6.0210000000000012E-3</v>
      </c>
      <c r="Y40" s="6">
        <f t="shared" si="10"/>
        <v>0.41544900000000007</v>
      </c>
      <c r="Z40" s="97">
        <f t="shared" si="4"/>
        <v>15.87173875</v>
      </c>
      <c r="AA40" s="23" t="s">
        <v>48</v>
      </c>
      <c r="AB40" s="24" t="s">
        <v>48</v>
      </c>
      <c r="AC40" s="87" t="s">
        <v>55</v>
      </c>
      <c r="AD40" s="19" t="s">
        <v>57</v>
      </c>
      <c r="AE40" s="20">
        <v>45504</v>
      </c>
      <c r="AF40" s="17" t="s">
        <v>89</v>
      </c>
      <c r="AG40" s="40" t="s">
        <v>57</v>
      </c>
      <c r="AH40" s="98" t="s">
        <v>48</v>
      </c>
      <c r="AI40" s="135">
        <v>45540</v>
      </c>
      <c r="AJ40" s="145">
        <f t="shared" si="9"/>
        <v>27</v>
      </c>
      <c r="AK40" s="100">
        <f>VLOOKUP(AP40,'[2]CONTENEUR PLEIN'!$F:$L,3,FALSE)</f>
        <v>45567</v>
      </c>
      <c r="AL40" s="99">
        <f>VLOOKUP(AP40,'[2]CONTENEUR PLEIN'!$F:$L,5,FALSE)</f>
        <v>45622</v>
      </c>
      <c r="AM40" s="18">
        <f>VLOOKUP(AP40,'[2]CONTENEUR PLEIN'!$F:$L,7,FALSE)</f>
        <v>45630.333333333336</v>
      </c>
      <c r="AN40" s="101" t="s">
        <v>63</v>
      </c>
      <c r="AO40" s="87" t="s">
        <v>69</v>
      </c>
      <c r="AP40" s="87" t="s">
        <v>70</v>
      </c>
      <c r="AQ40" s="87"/>
      <c r="AR40" s="87" t="str">
        <f>VLOOKUP(AP40,'[2]CONTENEUR PLEIN'!$F:$L,2,FALSE)</f>
        <v>AL DHAIL</v>
      </c>
      <c r="AS40" s="90" t="s">
        <v>51</v>
      </c>
      <c r="AT40" s="98"/>
    </row>
    <row r="41" spans="1:47" s="72" customFormat="1" ht="15" hidden="1" customHeight="1" x14ac:dyDescent="0.25">
      <c r="A41" s="71"/>
      <c r="B41" s="88" t="s">
        <v>45</v>
      </c>
      <c r="C41" s="89">
        <v>45460</v>
      </c>
      <c r="D41" s="90">
        <v>24050</v>
      </c>
      <c r="E41" s="91" t="s">
        <v>84</v>
      </c>
      <c r="F41" s="90">
        <v>2405281601</v>
      </c>
      <c r="G41" s="90" t="s">
        <v>64</v>
      </c>
      <c r="H41" s="90" t="s">
        <v>85</v>
      </c>
      <c r="I41" s="90" t="s">
        <v>49</v>
      </c>
      <c r="J41" s="90" t="s">
        <v>46</v>
      </c>
      <c r="K41" s="16" t="s">
        <v>122</v>
      </c>
      <c r="L41" s="89">
        <v>45561</v>
      </c>
      <c r="M41" s="381">
        <f t="shared" si="5"/>
        <v>5</v>
      </c>
      <c r="N41" s="98" t="s">
        <v>49</v>
      </c>
      <c r="O41" s="92">
        <v>402660</v>
      </c>
      <c r="P41" s="24" t="str">
        <f>VLOOKUP(O41,[1]Feuil2!$A:$M,5,FALSE)</f>
        <v>LOT 6 CUILL MAZAGRAN CLEO</v>
      </c>
      <c r="Q41" s="90">
        <v>6000</v>
      </c>
      <c r="R41" s="93">
        <v>0.27200000000000002</v>
      </c>
      <c r="S41" s="94">
        <f t="shared" si="0"/>
        <v>1632.0000000000002</v>
      </c>
      <c r="T41" s="95">
        <f t="shared" si="8"/>
        <v>43538.259999999987</v>
      </c>
      <c r="U41" s="138"/>
      <c r="V41" s="96">
        <f t="shared" si="2"/>
        <v>43538.259999999987</v>
      </c>
      <c r="W41" s="4">
        <f>VLOOKUP(O41,[1]Feuil2!$A:$M,6,FALSE)</f>
        <v>200</v>
      </c>
      <c r="X41" s="5">
        <f>VLOOKUP(O41,[1]Feuil2!$A:$M,13,FALSE)</f>
        <v>1.4804999999999999E-2</v>
      </c>
      <c r="Y41" s="6">
        <f t="shared" si="10"/>
        <v>0.44414999999999993</v>
      </c>
      <c r="Z41" s="97">
        <f t="shared" si="4"/>
        <v>15.87173875</v>
      </c>
      <c r="AA41" s="23" t="s">
        <v>48</v>
      </c>
      <c r="AB41" s="24" t="s">
        <v>48</v>
      </c>
      <c r="AC41" s="87" t="s">
        <v>55</v>
      </c>
      <c r="AD41" s="19" t="s">
        <v>57</v>
      </c>
      <c r="AE41" s="20">
        <v>45541</v>
      </c>
      <c r="AF41" s="17" t="s">
        <v>90</v>
      </c>
      <c r="AG41" s="40" t="s">
        <v>57</v>
      </c>
      <c r="AH41" s="98" t="s">
        <v>48</v>
      </c>
      <c r="AI41" s="135">
        <v>45540</v>
      </c>
      <c r="AJ41" s="145">
        <f t="shared" si="9"/>
        <v>27</v>
      </c>
      <c r="AK41" s="100">
        <f>VLOOKUP(AP41,'[2]CONTENEUR PLEIN'!$F:$L,3,FALSE)</f>
        <v>45567</v>
      </c>
      <c r="AL41" s="99">
        <f>VLOOKUP(AP41,'[2]CONTENEUR PLEIN'!$F:$L,5,FALSE)</f>
        <v>45622</v>
      </c>
      <c r="AM41" s="18">
        <f>VLOOKUP(AP41,'[2]CONTENEUR PLEIN'!$F:$L,7,FALSE)</f>
        <v>45630.333333333336</v>
      </c>
      <c r="AN41" s="101" t="s">
        <v>63</v>
      </c>
      <c r="AO41" s="87" t="s">
        <v>69</v>
      </c>
      <c r="AP41" s="87" t="s">
        <v>70</v>
      </c>
      <c r="AQ41" s="87"/>
      <c r="AR41" s="87" t="str">
        <f>VLOOKUP(AP41,'[2]CONTENEUR PLEIN'!$F:$L,2,FALSE)</f>
        <v>AL DHAIL</v>
      </c>
      <c r="AS41" s="90" t="s">
        <v>51</v>
      </c>
      <c r="AT41" s="98"/>
    </row>
    <row r="42" spans="1:47" s="72" customFormat="1" ht="15" hidden="1" customHeight="1" x14ac:dyDescent="0.25">
      <c r="A42" s="71"/>
      <c r="B42" s="88" t="s">
        <v>45</v>
      </c>
      <c r="C42" s="89">
        <v>45460</v>
      </c>
      <c r="D42" s="90">
        <v>24050</v>
      </c>
      <c r="E42" s="91" t="s">
        <v>84</v>
      </c>
      <c r="F42" s="90">
        <v>2405281601</v>
      </c>
      <c r="G42" s="90" t="s">
        <v>64</v>
      </c>
      <c r="H42" s="90" t="s">
        <v>85</v>
      </c>
      <c r="I42" s="90" t="s">
        <v>49</v>
      </c>
      <c r="J42" s="90" t="s">
        <v>46</v>
      </c>
      <c r="K42" s="16" t="s">
        <v>309</v>
      </c>
      <c r="L42" s="89">
        <v>45770</v>
      </c>
      <c r="M42" s="381">
        <f t="shared" si="5"/>
        <v>11</v>
      </c>
      <c r="N42" s="98" t="s">
        <v>49</v>
      </c>
      <c r="O42" s="92">
        <v>20160002</v>
      </c>
      <c r="P42" s="24" t="str">
        <f>VLOOKUP(O42,[1]Feuil2!$A:$M,5,FALSE)</f>
        <v>LOT 3 STEAK POINTU OSLO BRILLANT CLASSIQUE +SUSPENSION</v>
      </c>
      <c r="Q42" s="90">
        <v>3600</v>
      </c>
      <c r="R42" s="93">
        <v>0.73</v>
      </c>
      <c r="S42" s="94">
        <f t="shared" si="0"/>
        <v>2628</v>
      </c>
      <c r="T42" s="95">
        <f t="shared" si="8"/>
        <v>43538.259999999987</v>
      </c>
      <c r="U42" s="138"/>
      <c r="V42" s="96">
        <f t="shared" si="2"/>
        <v>43538.259999999987</v>
      </c>
      <c r="W42" s="4">
        <f>VLOOKUP(O42,[1]Feuil2!$A:$M,6,FALSE)</f>
        <v>72</v>
      </c>
      <c r="X42" s="5">
        <f>VLOOKUP(O42,[1]Feuil2!$A:$M,13,FALSE)</f>
        <v>1.5007499999999998E-2</v>
      </c>
      <c r="Y42" s="6">
        <f t="shared" si="10"/>
        <v>0.7503749999999999</v>
      </c>
      <c r="Z42" s="97">
        <f t="shared" si="4"/>
        <v>15.87173875</v>
      </c>
      <c r="AA42" s="23" t="s">
        <v>48</v>
      </c>
      <c r="AB42" s="19" t="s">
        <v>57</v>
      </c>
      <c r="AC42" s="87" t="s">
        <v>55</v>
      </c>
      <c r="AD42" s="19" t="s">
        <v>57</v>
      </c>
      <c r="AE42" s="20">
        <v>45740</v>
      </c>
      <c r="AF42" s="60" t="s">
        <v>191</v>
      </c>
      <c r="AG42" s="21" t="s">
        <v>57</v>
      </c>
      <c r="AH42" s="291" t="s">
        <v>48</v>
      </c>
      <c r="AI42" s="135">
        <v>45540</v>
      </c>
      <c r="AJ42" s="145">
        <f t="shared" si="9"/>
        <v>224</v>
      </c>
      <c r="AK42" s="100">
        <f>VLOOKUP(AP42,'[3]CONTENEUR PLEIN'!$F:$L,3,FALSE)</f>
        <v>45764</v>
      </c>
      <c r="AL42" s="99">
        <f>VLOOKUP(AP42,'[3]CONTENEUR PLEIN'!$F:$L,5,FALSE)</f>
        <v>45812</v>
      </c>
      <c r="AM42" s="18">
        <f>VLOOKUP(AP42,'[3]CONTENEUR PLEIN'!$F:$L,7,FALSE)</f>
        <v>45824.53125</v>
      </c>
      <c r="AN42" s="90" t="s">
        <v>63</v>
      </c>
      <c r="AO42" s="129" t="s">
        <v>212</v>
      </c>
      <c r="AP42" s="129" t="s">
        <v>213</v>
      </c>
      <c r="AQ42" s="129" t="s">
        <v>258</v>
      </c>
      <c r="AR42" s="129" t="e">
        <f>VLOOKUP(AP42,'[2]CONTENEUR PLEIN'!$F:$L,2,FALSE)</f>
        <v>#N/A</v>
      </c>
      <c r="AS42" s="129" t="s">
        <v>51</v>
      </c>
      <c r="AT42" s="98"/>
      <c r="AU42" s="181"/>
    </row>
    <row r="43" spans="1:47" s="72" customFormat="1" ht="15" hidden="1" customHeight="1" x14ac:dyDescent="0.25">
      <c r="A43" s="165"/>
      <c r="B43" s="88" t="s">
        <v>45</v>
      </c>
      <c r="C43" s="89">
        <v>45460</v>
      </c>
      <c r="D43" s="90">
        <v>24050</v>
      </c>
      <c r="E43" s="91" t="s">
        <v>84</v>
      </c>
      <c r="F43" s="90">
        <v>2405281601</v>
      </c>
      <c r="G43" s="90" t="s">
        <v>64</v>
      </c>
      <c r="H43" s="90" t="s">
        <v>85</v>
      </c>
      <c r="I43" s="90" t="s">
        <v>49</v>
      </c>
      <c r="J43" s="90" t="s">
        <v>46</v>
      </c>
      <c r="K43" s="16" t="s">
        <v>309</v>
      </c>
      <c r="L43" s="89">
        <v>45770</v>
      </c>
      <c r="M43" s="381">
        <f t="shared" si="5"/>
        <v>11</v>
      </c>
      <c r="N43" s="98" t="s">
        <v>49</v>
      </c>
      <c r="O43" s="92">
        <v>20160003</v>
      </c>
      <c r="P43" s="24" t="str">
        <f>VLOOKUP(O43,[1]Feuil2!$A:$M,5,FALSE)</f>
        <v>LOT 3 COUTEAUX DESSERT OSLO BRILLANT CLASSIQUE +SUSPENSION</v>
      </c>
      <c r="Q43" s="90">
        <v>1728</v>
      </c>
      <c r="R43" s="93">
        <v>0.6</v>
      </c>
      <c r="S43" s="94">
        <f t="shared" si="0"/>
        <v>1036.8</v>
      </c>
      <c r="T43" s="95">
        <f t="shared" si="8"/>
        <v>43538.259999999987</v>
      </c>
      <c r="U43" s="138"/>
      <c r="V43" s="96">
        <f t="shared" si="2"/>
        <v>43538.259999999987</v>
      </c>
      <c r="W43" s="4">
        <f>VLOOKUP(O43,[1]Feuil2!$A:$M,6,FALSE)</f>
        <v>72</v>
      </c>
      <c r="X43" s="5">
        <f>VLOOKUP(O43,[1]Feuil2!$A:$M,13,FALSE)</f>
        <v>1.5957249999999999E-2</v>
      </c>
      <c r="Y43" s="6">
        <f t="shared" si="10"/>
        <v>0.38297399999999998</v>
      </c>
      <c r="Z43" s="97">
        <f t="shared" si="4"/>
        <v>15.87173875</v>
      </c>
      <c r="AA43" s="23" t="s">
        <v>48</v>
      </c>
      <c r="AB43" s="19" t="s">
        <v>57</v>
      </c>
      <c r="AC43" s="125" t="s">
        <v>55</v>
      </c>
      <c r="AD43" s="19" t="s">
        <v>57</v>
      </c>
      <c r="AE43" s="20">
        <v>45749</v>
      </c>
      <c r="AF43" s="60" t="s">
        <v>194</v>
      </c>
      <c r="AG43" s="21" t="s">
        <v>57</v>
      </c>
      <c r="AH43" s="291" t="s">
        <v>48</v>
      </c>
      <c r="AI43" s="135">
        <v>45540</v>
      </c>
      <c r="AJ43" s="145">
        <f t="shared" si="9"/>
        <v>224</v>
      </c>
      <c r="AK43" s="100">
        <f>VLOOKUP(AP43,'[3]CONTENEUR PLEIN'!$F:$L,3,FALSE)</f>
        <v>45764</v>
      </c>
      <c r="AL43" s="99">
        <f>VLOOKUP(AP43,'[3]CONTENEUR PLEIN'!$F:$L,5,FALSE)</f>
        <v>45812</v>
      </c>
      <c r="AM43" s="18">
        <f>VLOOKUP(AP43,'[3]CONTENEUR PLEIN'!$F:$L,7,FALSE)</f>
        <v>45824.53125</v>
      </c>
      <c r="AN43" s="90" t="s">
        <v>63</v>
      </c>
      <c r="AO43" s="129" t="s">
        <v>212</v>
      </c>
      <c r="AP43" s="129" t="s">
        <v>213</v>
      </c>
      <c r="AQ43" s="129" t="s">
        <v>258</v>
      </c>
      <c r="AR43" s="129" t="e">
        <f>VLOOKUP(AP43,'[2]CONTENEUR PLEIN'!$F:$L,2,FALSE)</f>
        <v>#N/A</v>
      </c>
      <c r="AS43" s="129" t="s">
        <v>51</v>
      </c>
      <c r="AT43" s="98"/>
    </row>
    <row r="44" spans="1:47" ht="15" hidden="1" customHeight="1" x14ac:dyDescent="0.25">
      <c r="A44" s="71"/>
      <c r="B44" s="88" t="s">
        <v>45</v>
      </c>
      <c r="C44" s="89">
        <v>45460</v>
      </c>
      <c r="D44" s="90">
        <v>24050</v>
      </c>
      <c r="E44" s="91" t="s">
        <v>84</v>
      </c>
      <c r="F44" s="90">
        <v>2405281601</v>
      </c>
      <c r="G44" s="90" t="s">
        <v>64</v>
      </c>
      <c r="H44" s="90" t="s">
        <v>85</v>
      </c>
      <c r="I44" s="90" t="s">
        <v>49</v>
      </c>
      <c r="J44" s="90" t="s">
        <v>46</v>
      </c>
      <c r="K44" s="16" t="s">
        <v>309</v>
      </c>
      <c r="L44" s="89">
        <v>45770</v>
      </c>
      <c r="M44" s="381">
        <f t="shared" si="5"/>
        <v>11</v>
      </c>
      <c r="N44" s="98" t="s">
        <v>49</v>
      </c>
      <c r="O44" s="92">
        <v>20160004</v>
      </c>
      <c r="P44" s="24" t="str">
        <f>VLOOKUP(O44,[1]Feuil2!$A:$M,5,FALSE)</f>
        <v>LOT 6 FOURCHETTES OSLO BRILLANT CLASSIQUE +SUSPENSION</v>
      </c>
      <c r="Q44" s="90">
        <v>3456</v>
      </c>
      <c r="R44" s="93">
        <v>1.0389999999999999</v>
      </c>
      <c r="S44" s="94">
        <f t="shared" si="0"/>
        <v>3590.7839999999997</v>
      </c>
      <c r="T44" s="95">
        <f t="shared" si="8"/>
        <v>43538.259999999987</v>
      </c>
      <c r="U44" s="138"/>
      <c r="V44" s="96">
        <f t="shared" si="2"/>
        <v>43538.259999999987</v>
      </c>
      <c r="W44" s="4">
        <f>VLOOKUP(O44,[1]Feuil2!$A:$M,6,FALSE)</f>
        <v>72</v>
      </c>
      <c r="X44" s="5">
        <f>VLOOKUP(O44,[1]Feuil2!$A:$M,13,FALSE)</f>
        <v>2.1780000000000001E-2</v>
      </c>
      <c r="Y44" s="6">
        <f t="shared" si="10"/>
        <v>1.0454400000000001</v>
      </c>
      <c r="Z44" s="97">
        <f t="shared" si="4"/>
        <v>15.87173875</v>
      </c>
      <c r="AA44" s="23" t="s">
        <v>48</v>
      </c>
      <c r="AB44" s="19" t="s">
        <v>57</v>
      </c>
      <c r="AC44" s="87" t="s">
        <v>55</v>
      </c>
      <c r="AD44" s="19" t="s">
        <v>57</v>
      </c>
      <c r="AE44" s="20">
        <v>45749</v>
      </c>
      <c r="AF44" s="17" t="s">
        <v>196</v>
      </c>
      <c r="AG44" s="21" t="s">
        <v>57</v>
      </c>
      <c r="AH44" s="291" t="s">
        <v>48</v>
      </c>
      <c r="AI44" s="135">
        <v>45540</v>
      </c>
      <c r="AJ44" s="145">
        <f t="shared" si="9"/>
        <v>224</v>
      </c>
      <c r="AK44" s="100">
        <f>VLOOKUP(AP44,'[3]CONTENEUR PLEIN'!$F:$L,3,FALSE)</f>
        <v>45764</v>
      </c>
      <c r="AL44" s="99">
        <f>VLOOKUP(AP44,'[3]CONTENEUR PLEIN'!$F:$L,5,FALSE)</f>
        <v>45812</v>
      </c>
      <c r="AM44" s="18">
        <f>VLOOKUP(AP44,'[3]CONTENEUR PLEIN'!$F:$L,7,FALSE)</f>
        <v>45824.53125</v>
      </c>
      <c r="AN44" s="90" t="s">
        <v>63</v>
      </c>
      <c r="AO44" s="129" t="s">
        <v>212</v>
      </c>
      <c r="AP44" s="129" t="s">
        <v>213</v>
      </c>
      <c r="AQ44" s="129" t="s">
        <v>258</v>
      </c>
      <c r="AR44" s="129" t="e">
        <f>VLOOKUP(AP44,'[2]CONTENEUR PLEIN'!$F:$L,2,FALSE)</f>
        <v>#N/A</v>
      </c>
      <c r="AS44" s="129" t="s">
        <v>51</v>
      </c>
      <c r="AT44" s="98"/>
      <c r="AU44" s="72"/>
    </row>
    <row r="45" spans="1:47" s="72" customFormat="1" ht="15" hidden="1" customHeight="1" x14ac:dyDescent="0.25">
      <c r="A45" s="71"/>
      <c r="B45" s="232" t="s">
        <v>45</v>
      </c>
      <c r="C45" s="194">
        <v>45460</v>
      </c>
      <c r="D45" s="191">
        <v>24050</v>
      </c>
      <c r="E45" s="195" t="s">
        <v>84</v>
      </c>
      <c r="F45" s="191">
        <v>2405281601</v>
      </c>
      <c r="G45" s="191" t="s">
        <v>64</v>
      </c>
      <c r="H45" s="191" t="s">
        <v>85</v>
      </c>
      <c r="I45" s="191" t="s">
        <v>49</v>
      </c>
      <c r="J45" s="191" t="s">
        <v>46</v>
      </c>
      <c r="K45" s="16" t="s">
        <v>594</v>
      </c>
      <c r="L45" s="20">
        <v>45926</v>
      </c>
      <c r="M45" s="383">
        <f t="shared" si="5"/>
        <v>17</v>
      </c>
      <c r="N45" s="110" t="s">
        <v>49</v>
      </c>
      <c r="O45" s="68">
        <v>20160005</v>
      </c>
      <c r="P45" s="24" t="str">
        <f>VLOOKUP(O45,[1]Feuil2!$A:$M,5,FALSE)</f>
        <v>LOT 6 CUILLERES OSLO BRILLANT CLASSIQUE +SUSPENSION</v>
      </c>
      <c r="Q45" s="67">
        <v>2016</v>
      </c>
      <c r="R45" s="154">
        <v>1.0389999999999999</v>
      </c>
      <c r="S45" s="155">
        <f t="shared" si="0"/>
        <v>2094.6239999999998</v>
      </c>
      <c r="T45" s="156">
        <f t="shared" si="8"/>
        <v>43538.259999999987</v>
      </c>
      <c r="U45" s="157"/>
      <c r="V45" s="158">
        <f t="shared" si="2"/>
        <v>43538.259999999987</v>
      </c>
      <c r="W45" s="4">
        <f>VLOOKUP(O45,[1]Feuil2!$A:$M,6,FALSE)</f>
        <v>72</v>
      </c>
      <c r="X45" s="5">
        <f>VLOOKUP(O45,[1]Feuil2!$A:$M,13,FALSE)</f>
        <v>2.2638000000000002E-2</v>
      </c>
      <c r="Y45" s="6">
        <f t="shared" si="10"/>
        <v>0.63386400000000009</v>
      </c>
      <c r="Z45" s="159">
        <f t="shared" si="4"/>
        <v>15.87173875</v>
      </c>
      <c r="AA45" s="23" t="s">
        <v>48</v>
      </c>
      <c r="AB45" s="19" t="s">
        <v>57</v>
      </c>
      <c r="AC45" s="87" t="s">
        <v>55</v>
      </c>
      <c r="AD45" s="19" t="s">
        <v>57</v>
      </c>
      <c r="AE45" s="20">
        <v>45860</v>
      </c>
      <c r="AF45" s="17" t="s">
        <v>363</v>
      </c>
      <c r="AG45" s="7"/>
      <c r="AH45" s="110"/>
      <c r="AI45" s="160">
        <v>45540</v>
      </c>
      <c r="AJ45" s="145">
        <f>DATEDIF(AI45,AK45,"D")</f>
        <v>373</v>
      </c>
      <c r="AK45" s="100">
        <f>VLOOKUP(AP45,'[3]CONTENEUR PLEIN'!$F:$L,3,FALSE)</f>
        <v>45913</v>
      </c>
      <c r="AL45" s="99">
        <f>VLOOKUP(AP45,'[3]CONTENEUR PLEIN'!$F:$L,5,FALSE)</f>
        <v>45971</v>
      </c>
      <c r="AM45" s="18">
        <f>VLOOKUP(AP45,'[3]CONTENEUR PLEIN'!$F:$L,7,FALSE)</f>
        <v>45979.53125</v>
      </c>
      <c r="AN45" s="67" t="s">
        <v>63</v>
      </c>
      <c r="AO45" s="231" t="s">
        <v>428</v>
      </c>
      <c r="AP45" s="231" t="s">
        <v>429</v>
      </c>
      <c r="AQ45" s="117">
        <v>2405281601</v>
      </c>
      <c r="AR45" s="231" t="e">
        <f>VLOOKUP(AP45,'[2]CONTENEUR PLEIN'!$F:$L,2,FALSE)</f>
        <v>#N/A</v>
      </c>
      <c r="AS45" s="231" t="s">
        <v>316</v>
      </c>
      <c r="AT45" s="230"/>
    </row>
    <row r="46" spans="1:47" s="72" customFormat="1" ht="15" hidden="1" customHeight="1" x14ac:dyDescent="0.25">
      <c r="A46" s="71"/>
      <c r="B46" s="88" t="s">
        <v>45</v>
      </c>
      <c r="C46" s="89">
        <v>45460</v>
      </c>
      <c r="D46" s="90">
        <v>24050</v>
      </c>
      <c r="E46" s="91" t="s">
        <v>84</v>
      </c>
      <c r="F46" s="90">
        <v>2405281601</v>
      </c>
      <c r="G46" s="90" t="s">
        <v>64</v>
      </c>
      <c r="H46" s="90" t="s">
        <v>85</v>
      </c>
      <c r="I46" s="90" t="s">
        <v>49</v>
      </c>
      <c r="J46" s="90" t="s">
        <v>46</v>
      </c>
      <c r="K46" s="16" t="s">
        <v>309</v>
      </c>
      <c r="L46" s="89">
        <v>45770</v>
      </c>
      <c r="M46" s="381">
        <f t="shared" si="5"/>
        <v>11</v>
      </c>
      <c r="N46" s="98" t="s">
        <v>49</v>
      </c>
      <c r="O46" s="92">
        <v>20160006</v>
      </c>
      <c r="P46" s="24" t="str">
        <f>VLOOKUP(O46,[1]Feuil2!$A:$M,5,FALSE)</f>
        <v>LOT 6 CAFE OSLO BRILLANT CLASSIQUE +SUSPENSION</v>
      </c>
      <c r="Q46" s="90">
        <v>3888</v>
      </c>
      <c r="R46" s="93">
        <v>0.71499999999999997</v>
      </c>
      <c r="S46" s="94">
        <f t="shared" si="0"/>
        <v>2779.92</v>
      </c>
      <c r="T46" s="95">
        <f t="shared" si="8"/>
        <v>43538.259999999987</v>
      </c>
      <c r="U46" s="138"/>
      <c r="V46" s="96">
        <f t="shared" si="2"/>
        <v>43538.259999999987</v>
      </c>
      <c r="W46" s="4">
        <f>VLOOKUP(O46,[1]Feuil2!$A:$M,6,FALSE)</f>
        <v>144</v>
      </c>
      <c r="X46" s="5">
        <f>VLOOKUP(O46,[1]Feuil2!$A:$M,13,FALSE)</f>
        <v>2.2000000000000002E-2</v>
      </c>
      <c r="Y46" s="6">
        <f t="shared" si="10"/>
        <v>0.59400000000000008</v>
      </c>
      <c r="Z46" s="97">
        <f t="shared" si="4"/>
        <v>15.87173875</v>
      </c>
      <c r="AA46" s="43" t="s">
        <v>57</v>
      </c>
      <c r="AB46" s="90" t="s">
        <v>48</v>
      </c>
      <c r="AC46" s="87" t="s">
        <v>55</v>
      </c>
      <c r="AD46" s="19" t="s">
        <v>57</v>
      </c>
      <c r="AE46" s="20">
        <v>45756</v>
      </c>
      <c r="AF46" s="60" t="s">
        <v>206</v>
      </c>
      <c r="AG46" s="21" t="s">
        <v>57</v>
      </c>
      <c r="AH46" s="291" t="s">
        <v>48</v>
      </c>
      <c r="AI46" s="135">
        <v>45540</v>
      </c>
      <c r="AJ46" s="145">
        <f>DATEDIF(AI46,$AK46,"D")</f>
        <v>224</v>
      </c>
      <c r="AK46" s="100">
        <f>VLOOKUP(AP46,'[3]CONTENEUR PLEIN'!$F:$L,3,FALSE)</f>
        <v>45764</v>
      </c>
      <c r="AL46" s="99">
        <f>VLOOKUP(AP46,'[3]CONTENEUR PLEIN'!$F:$L,5,FALSE)</f>
        <v>45812</v>
      </c>
      <c r="AM46" s="18">
        <f>VLOOKUP(AP46,'[3]CONTENEUR PLEIN'!$F:$L,7,FALSE)</f>
        <v>45824.53125</v>
      </c>
      <c r="AN46" s="90" t="s">
        <v>63</v>
      </c>
      <c r="AO46" s="129" t="s">
        <v>212</v>
      </c>
      <c r="AP46" s="129" t="s">
        <v>213</v>
      </c>
      <c r="AQ46" s="129" t="s">
        <v>258</v>
      </c>
      <c r="AR46" s="129" t="e">
        <f>VLOOKUP(AP46,'[2]CONTENEUR PLEIN'!$F:$L,2,FALSE)</f>
        <v>#N/A</v>
      </c>
      <c r="AS46" s="129" t="s">
        <v>51</v>
      </c>
      <c r="AT46" s="98"/>
    </row>
    <row r="47" spans="1:47" s="72" customFormat="1" ht="15" hidden="1" customHeight="1" x14ac:dyDescent="0.25">
      <c r="A47" s="165"/>
      <c r="B47" s="88" t="s">
        <v>45</v>
      </c>
      <c r="C47" s="89">
        <v>45460</v>
      </c>
      <c r="D47" s="90">
        <v>24050</v>
      </c>
      <c r="E47" s="91" t="s">
        <v>84</v>
      </c>
      <c r="F47" s="90">
        <v>2405281601</v>
      </c>
      <c r="G47" s="90" t="s">
        <v>64</v>
      </c>
      <c r="H47" s="90" t="s">
        <v>85</v>
      </c>
      <c r="I47" s="90" t="s">
        <v>49</v>
      </c>
      <c r="J47" s="90" t="s">
        <v>46</v>
      </c>
      <c r="K47" s="16" t="s">
        <v>309</v>
      </c>
      <c r="L47" s="89">
        <v>45770</v>
      </c>
      <c r="M47" s="381">
        <f t="shared" si="5"/>
        <v>11</v>
      </c>
      <c r="N47" s="98" t="s">
        <v>49</v>
      </c>
      <c r="O47" s="92">
        <v>20160007</v>
      </c>
      <c r="P47" s="24" t="str">
        <f>VLOOKUP(O47,[1]Feuil2!$A:$M,5,FALSE)</f>
        <v>LOT 6 MOKA OSLO BRILLANT CLASSIQUE +SUSPENSION</v>
      </c>
      <c r="Q47" s="90">
        <v>1872</v>
      </c>
      <c r="R47" s="93">
        <v>0.69699999999999995</v>
      </c>
      <c r="S47" s="94">
        <f t="shared" si="0"/>
        <v>1304.7839999999999</v>
      </c>
      <c r="T47" s="95">
        <f t="shared" si="8"/>
        <v>43538.259999999987</v>
      </c>
      <c r="U47" s="138"/>
      <c r="V47" s="96">
        <f t="shared" si="2"/>
        <v>43538.259999999987</v>
      </c>
      <c r="W47" s="4">
        <f>VLOOKUP(O47,[1]Feuil2!$A:$M,6,FALSE)</f>
        <v>144</v>
      </c>
      <c r="X47" s="5">
        <f>VLOOKUP(O47,[1]Feuil2!$A:$M,13,FALSE)</f>
        <v>2.1560000000000003E-2</v>
      </c>
      <c r="Y47" s="6">
        <f t="shared" si="10"/>
        <v>0.28028000000000003</v>
      </c>
      <c r="Z47" s="97">
        <f t="shared" si="4"/>
        <v>15.87173875</v>
      </c>
      <c r="AA47" s="43" t="s">
        <v>57</v>
      </c>
      <c r="AB47" s="90" t="s">
        <v>48</v>
      </c>
      <c r="AC47" s="87" t="s">
        <v>55</v>
      </c>
      <c r="AD47" s="19" t="s">
        <v>57</v>
      </c>
      <c r="AE47" s="20">
        <v>45757</v>
      </c>
      <c r="AF47" s="60" t="s">
        <v>209</v>
      </c>
      <c r="AG47" s="21" t="s">
        <v>57</v>
      </c>
      <c r="AH47" s="291" t="s">
        <v>48</v>
      </c>
      <c r="AI47" s="135">
        <v>45540</v>
      </c>
      <c r="AJ47" s="145">
        <f>DATEDIF(AI47,$AK47,"D")</f>
        <v>224</v>
      </c>
      <c r="AK47" s="100">
        <f>VLOOKUP(AP47,'[3]CONTENEUR PLEIN'!$F:$L,3,FALSE)</f>
        <v>45764</v>
      </c>
      <c r="AL47" s="99">
        <f>VLOOKUP(AP47,'[3]CONTENEUR PLEIN'!$F:$L,5,FALSE)</f>
        <v>45812</v>
      </c>
      <c r="AM47" s="18">
        <f>VLOOKUP(AP47,'[3]CONTENEUR PLEIN'!$F:$L,7,FALSE)</f>
        <v>45824.53125</v>
      </c>
      <c r="AN47" s="90" t="s">
        <v>63</v>
      </c>
      <c r="AO47" s="129" t="s">
        <v>212</v>
      </c>
      <c r="AP47" s="129" t="s">
        <v>213</v>
      </c>
      <c r="AQ47" s="129" t="s">
        <v>258</v>
      </c>
      <c r="AR47" s="129" t="e">
        <f>VLOOKUP(AP47,'[2]CONTENEUR PLEIN'!$F:$L,2,FALSE)</f>
        <v>#N/A</v>
      </c>
      <c r="AS47" s="129" t="s">
        <v>51</v>
      </c>
      <c r="AT47" s="98"/>
    </row>
    <row r="48" spans="1:47" ht="15" hidden="1" customHeight="1" x14ac:dyDescent="0.25">
      <c r="A48" s="71"/>
      <c r="B48" s="88" t="s">
        <v>45</v>
      </c>
      <c r="C48" s="89">
        <v>45460</v>
      </c>
      <c r="D48" s="90">
        <v>24050</v>
      </c>
      <c r="E48" s="91" t="s">
        <v>84</v>
      </c>
      <c r="F48" s="90">
        <v>2405281601</v>
      </c>
      <c r="G48" s="90" t="s">
        <v>64</v>
      </c>
      <c r="H48" s="90" t="s">
        <v>85</v>
      </c>
      <c r="I48" s="90" t="s">
        <v>49</v>
      </c>
      <c r="J48" s="90" t="s">
        <v>46</v>
      </c>
      <c r="K48" s="16" t="s">
        <v>309</v>
      </c>
      <c r="L48" s="89">
        <v>45770</v>
      </c>
      <c r="M48" s="381">
        <f t="shared" si="5"/>
        <v>11</v>
      </c>
      <c r="N48" s="98" t="s">
        <v>49</v>
      </c>
      <c r="O48" s="92">
        <v>20160008</v>
      </c>
      <c r="P48" s="24" t="str">
        <f>VLOOKUP(O48,[1]Feuil2!$A:$M,5,FALSE)</f>
        <v>LOT 6 FOURCHETTE DESSERT OSLO BRILLANT CLASSIQUE +SUSPENSION</v>
      </c>
      <c r="Q48" s="90">
        <v>2016</v>
      </c>
      <c r="R48" s="93">
        <v>0.746</v>
      </c>
      <c r="S48" s="94">
        <f t="shared" si="0"/>
        <v>1503.9359999999999</v>
      </c>
      <c r="T48" s="95">
        <f t="shared" si="8"/>
        <v>43538.259999999987</v>
      </c>
      <c r="U48" s="138"/>
      <c r="V48" s="96">
        <f t="shared" si="2"/>
        <v>43538.259999999987</v>
      </c>
      <c r="W48" s="4">
        <f>VLOOKUP(O48,[1]Feuil2!$A:$M,6,FALSE)</f>
        <v>72</v>
      </c>
      <c r="X48" s="5">
        <f>VLOOKUP(O48,[1]Feuil2!$A:$M,13,FALSE)</f>
        <v>2.3099999999999999E-2</v>
      </c>
      <c r="Y48" s="6">
        <f t="shared" si="10"/>
        <v>0.64679999999999993</v>
      </c>
      <c r="Z48" s="97">
        <f t="shared" si="4"/>
        <v>15.87173875</v>
      </c>
      <c r="AA48" s="23" t="s">
        <v>48</v>
      </c>
      <c r="AB48" s="19" t="s">
        <v>57</v>
      </c>
      <c r="AC48" s="87" t="s">
        <v>55</v>
      </c>
      <c r="AD48" s="19" t="s">
        <v>57</v>
      </c>
      <c r="AE48" s="20">
        <v>45739</v>
      </c>
      <c r="AF48" s="60" t="s">
        <v>188</v>
      </c>
      <c r="AG48" s="21" t="s">
        <v>57</v>
      </c>
      <c r="AH48" s="291" t="s">
        <v>48</v>
      </c>
      <c r="AI48" s="135">
        <v>45540</v>
      </c>
      <c r="AJ48" s="145">
        <f>DATEDIF(AI48,$AK48,"D")</f>
        <v>224</v>
      </c>
      <c r="AK48" s="100">
        <f>VLOOKUP(AP48,'[3]CONTENEUR PLEIN'!$F:$L,3,FALSE)</f>
        <v>45764</v>
      </c>
      <c r="AL48" s="99">
        <f>VLOOKUP(AP48,'[3]CONTENEUR PLEIN'!$F:$L,5,FALSE)</f>
        <v>45812</v>
      </c>
      <c r="AM48" s="18">
        <f>VLOOKUP(AP48,'[3]CONTENEUR PLEIN'!$F:$L,7,FALSE)</f>
        <v>45824.53125</v>
      </c>
      <c r="AN48" s="90" t="s">
        <v>63</v>
      </c>
      <c r="AO48" s="129" t="s">
        <v>212</v>
      </c>
      <c r="AP48" s="129" t="s">
        <v>213</v>
      </c>
      <c r="AQ48" s="129" t="s">
        <v>258</v>
      </c>
      <c r="AR48" s="129" t="e">
        <f>VLOOKUP(AP48,'[2]CONTENEUR PLEIN'!$F:$L,2,FALSE)</f>
        <v>#N/A</v>
      </c>
      <c r="AS48" s="129" t="s">
        <v>51</v>
      </c>
      <c r="AT48" s="98"/>
      <c r="AU48" s="72"/>
    </row>
    <row r="49" spans="1:47" s="72" customFormat="1" ht="15" hidden="1" customHeight="1" x14ac:dyDescent="0.25">
      <c r="A49" s="71"/>
      <c r="B49" s="232" t="s">
        <v>45</v>
      </c>
      <c r="C49" s="194">
        <v>45460</v>
      </c>
      <c r="D49" s="191">
        <v>24050</v>
      </c>
      <c r="E49" s="195" t="s">
        <v>84</v>
      </c>
      <c r="F49" s="191">
        <v>2405281601</v>
      </c>
      <c r="G49" s="191" t="s">
        <v>64</v>
      </c>
      <c r="H49" s="191" t="s">
        <v>85</v>
      </c>
      <c r="I49" s="191" t="s">
        <v>49</v>
      </c>
      <c r="J49" s="191" t="s">
        <v>46</v>
      </c>
      <c r="K49" s="16" t="s">
        <v>594</v>
      </c>
      <c r="L49" s="20">
        <v>45926</v>
      </c>
      <c r="M49" s="383">
        <f t="shared" si="5"/>
        <v>17</v>
      </c>
      <c r="N49" s="110" t="s">
        <v>49</v>
      </c>
      <c r="O49" s="68">
        <v>20160033</v>
      </c>
      <c r="P49" s="24" t="str">
        <f>VLOOKUP(O49,[1]Feuil2!$A:$M,5,FALSE)</f>
        <v>LOT 6 CUILLERES MAZAGRAN OSLO SUR CARTE</v>
      </c>
      <c r="Q49" s="67">
        <v>3600</v>
      </c>
      <c r="R49" s="154">
        <v>0.84799999999999998</v>
      </c>
      <c r="S49" s="155">
        <f t="shared" si="0"/>
        <v>3052.7999999999997</v>
      </c>
      <c r="T49" s="156">
        <f t="shared" si="8"/>
        <v>43538.259999999987</v>
      </c>
      <c r="U49" s="157"/>
      <c r="V49" s="158">
        <f t="shared" si="2"/>
        <v>43538.259999999987</v>
      </c>
      <c r="W49" s="4">
        <f>VLOOKUP(O49,[1]Feuil2!$A:$M,6,FALSE)</f>
        <v>72</v>
      </c>
      <c r="X49" s="5">
        <f>VLOOKUP(O49,[1]Feuil2!$A:$M,13,FALSE)</f>
        <v>2.3800000000000002E-2</v>
      </c>
      <c r="Y49" s="6">
        <f t="shared" si="10"/>
        <v>1.1900000000000002</v>
      </c>
      <c r="Z49" s="159">
        <f t="shared" si="4"/>
        <v>15.87173875</v>
      </c>
      <c r="AA49" s="23" t="s">
        <v>48</v>
      </c>
      <c r="AB49" s="19" t="s">
        <v>57</v>
      </c>
      <c r="AC49" s="87" t="s">
        <v>55</v>
      </c>
      <c r="AD49" s="19" t="s">
        <v>57</v>
      </c>
      <c r="AE49" s="20">
        <v>45874</v>
      </c>
      <c r="AF49" s="17" t="s">
        <v>391</v>
      </c>
      <c r="AG49" s="7"/>
      <c r="AH49" s="110"/>
      <c r="AI49" s="160">
        <v>45540</v>
      </c>
      <c r="AJ49" s="145">
        <f>DATEDIF(AI49,AK49,"D")</f>
        <v>373</v>
      </c>
      <c r="AK49" s="100">
        <f>VLOOKUP(AP49,'[3]CONTENEUR PLEIN'!$F:$L,3,FALSE)</f>
        <v>45913</v>
      </c>
      <c r="AL49" s="99">
        <f>VLOOKUP(AP49,'[3]CONTENEUR PLEIN'!$F:$L,5,FALSE)</f>
        <v>45971</v>
      </c>
      <c r="AM49" s="18">
        <f>VLOOKUP(AP49,'[3]CONTENEUR PLEIN'!$F:$L,7,FALSE)</f>
        <v>45979.53125</v>
      </c>
      <c r="AN49" s="67" t="s">
        <v>63</v>
      </c>
      <c r="AO49" s="231" t="s">
        <v>428</v>
      </c>
      <c r="AP49" s="231" t="s">
        <v>429</v>
      </c>
      <c r="AQ49" s="117">
        <v>2405281601</v>
      </c>
      <c r="AR49" s="231" t="e">
        <f>VLOOKUP(AP49,'[2]CONTENEUR PLEIN'!$F:$L,2,FALSE)</f>
        <v>#N/A</v>
      </c>
      <c r="AS49" s="231" t="s">
        <v>316</v>
      </c>
      <c r="AT49" s="230"/>
    </row>
    <row r="50" spans="1:47" s="72" customFormat="1" ht="15" hidden="1" customHeight="1" x14ac:dyDescent="0.25">
      <c r="A50" s="71"/>
      <c r="B50" s="29" t="s">
        <v>45</v>
      </c>
      <c r="C50" s="48">
        <v>45460</v>
      </c>
      <c r="D50" s="49">
        <v>24050</v>
      </c>
      <c r="E50" s="50" t="s">
        <v>84</v>
      </c>
      <c r="F50" s="49">
        <v>2405281601</v>
      </c>
      <c r="G50" s="49" t="s">
        <v>64</v>
      </c>
      <c r="H50" s="49" t="s">
        <v>85</v>
      </c>
      <c r="I50" s="49" t="s">
        <v>49</v>
      </c>
      <c r="J50" s="49" t="s">
        <v>46</v>
      </c>
      <c r="K50" s="107" t="s">
        <v>71</v>
      </c>
      <c r="L50" s="48">
        <v>45700</v>
      </c>
      <c r="M50" s="382" t="e">
        <f t="shared" si="5"/>
        <v>#VALUE!</v>
      </c>
      <c r="N50" s="57" t="s">
        <v>49</v>
      </c>
      <c r="O50" s="51">
        <v>20480002</v>
      </c>
      <c r="P50" s="30" t="str">
        <f>VLOOKUP(O50,[1]Feuil2!$A:$M,5,FALSE)</f>
        <v>COUTEAU STEAK CLEO 15/10</v>
      </c>
      <c r="Q50" s="49">
        <v>72</v>
      </c>
      <c r="R50" s="52">
        <v>0</v>
      </c>
      <c r="S50" s="53">
        <f t="shared" si="0"/>
        <v>0</v>
      </c>
      <c r="T50" s="31">
        <f t="shared" si="8"/>
        <v>43538.259999999987</v>
      </c>
      <c r="U50" s="140"/>
      <c r="V50" s="32">
        <f t="shared" si="2"/>
        <v>43538.259999999987</v>
      </c>
      <c r="W50" s="33">
        <f>VLOOKUP(O50,[1]Feuil2!$A:$M,6,FALSE)</f>
        <v>432</v>
      </c>
      <c r="X50" s="554">
        <f>VLOOKUP(O50,[1]Feuil2!$A:$M,13,FALSE)</f>
        <v>1.0477999999999998E-2</v>
      </c>
      <c r="Y50" s="35">
        <f t="shared" si="10"/>
        <v>1.7463333333333328E-3</v>
      </c>
      <c r="Z50" s="36">
        <f t="shared" si="4"/>
        <v>15.87173875</v>
      </c>
      <c r="AA50" s="51" t="s">
        <v>48</v>
      </c>
      <c r="AB50" s="49" t="s">
        <v>48</v>
      </c>
      <c r="AC50" s="30" t="s">
        <v>55</v>
      </c>
      <c r="AD50" s="54" t="s">
        <v>57</v>
      </c>
      <c r="AE50" s="48">
        <v>45674</v>
      </c>
      <c r="AF50" s="108" t="s">
        <v>138</v>
      </c>
      <c r="AG50" s="55"/>
      <c r="AH50" s="57"/>
      <c r="AI50" s="136">
        <v>45540</v>
      </c>
      <c r="AJ50" s="137" t="s">
        <v>49</v>
      </c>
      <c r="AK50" s="56" t="s">
        <v>46</v>
      </c>
      <c r="AL50" s="37" t="s">
        <v>46</v>
      </c>
      <c r="AM50" s="37" t="s">
        <v>46</v>
      </c>
      <c r="AN50" s="151" t="s">
        <v>63</v>
      </c>
      <c r="AO50" s="37" t="s">
        <v>46</v>
      </c>
      <c r="AP50" s="37" t="s">
        <v>46</v>
      </c>
      <c r="AQ50" s="37" t="s">
        <v>46</v>
      </c>
      <c r="AR50" s="37" t="s">
        <v>46</v>
      </c>
      <c r="AS50" s="37" t="s">
        <v>46</v>
      </c>
      <c r="AT50" s="39" t="s">
        <v>46</v>
      </c>
    </row>
    <row r="51" spans="1:47" s="72" customFormat="1" ht="15" hidden="1" customHeight="1" x14ac:dyDescent="0.25">
      <c r="A51" s="71"/>
      <c r="B51" s="88" t="s">
        <v>45</v>
      </c>
      <c r="C51" s="89">
        <v>45460</v>
      </c>
      <c r="D51" s="90">
        <v>24050</v>
      </c>
      <c r="E51" s="91" t="s">
        <v>84</v>
      </c>
      <c r="F51" s="90">
        <v>2405281601</v>
      </c>
      <c r="G51" s="90" t="s">
        <v>64</v>
      </c>
      <c r="H51" s="90" t="s">
        <v>85</v>
      </c>
      <c r="I51" s="90" t="s">
        <v>49</v>
      </c>
      <c r="J51" s="90" t="s">
        <v>46</v>
      </c>
      <c r="K51" s="16" t="s">
        <v>201</v>
      </c>
      <c r="L51" s="89">
        <v>45700</v>
      </c>
      <c r="M51" s="381">
        <f t="shared" si="5"/>
        <v>9</v>
      </c>
      <c r="N51" s="98" t="s">
        <v>49</v>
      </c>
      <c r="O51" s="92">
        <v>20480002</v>
      </c>
      <c r="P51" s="24" t="str">
        <f>VLOOKUP(O51,[1]Feuil2!$A:$M,5,FALSE)</f>
        <v>COUTEAU STEAK CLEO 15/10</v>
      </c>
      <c r="Q51" s="129">
        <f>5184-72</f>
        <v>5112</v>
      </c>
      <c r="R51" s="93">
        <v>0.14000000000000001</v>
      </c>
      <c r="S51" s="94">
        <f t="shared" si="0"/>
        <v>715.68000000000006</v>
      </c>
      <c r="T51" s="95">
        <f t="shared" si="8"/>
        <v>43538.259999999987</v>
      </c>
      <c r="U51" s="138"/>
      <c r="V51" s="96">
        <f t="shared" si="2"/>
        <v>43538.259999999987</v>
      </c>
      <c r="W51" s="4">
        <f>VLOOKUP(O51,[1]Feuil2!$A:$M,6,FALSE)</f>
        <v>432</v>
      </c>
      <c r="X51" s="5">
        <f>VLOOKUP(O51,[1]Feuil2!$A:$M,13,FALSE)</f>
        <v>1.0477999999999998E-2</v>
      </c>
      <c r="Y51" s="6">
        <f t="shared" si="10"/>
        <v>0.12398966666666665</v>
      </c>
      <c r="Z51" s="97">
        <f t="shared" si="4"/>
        <v>15.87173875</v>
      </c>
      <c r="AA51" s="67" t="s">
        <v>48</v>
      </c>
      <c r="AB51" s="68" t="s">
        <v>48</v>
      </c>
      <c r="AC51" s="87" t="s">
        <v>55</v>
      </c>
      <c r="AD51" s="19" t="s">
        <v>57</v>
      </c>
      <c r="AE51" s="20">
        <v>45674</v>
      </c>
      <c r="AF51" s="17" t="s">
        <v>138</v>
      </c>
      <c r="AG51" s="21"/>
      <c r="AH51" s="98"/>
      <c r="AI51" s="135">
        <v>45540</v>
      </c>
      <c r="AJ51" s="145">
        <f t="shared" ref="AJ51:AJ67" si="11">DATEDIF(AI51,$AK51,"D")</f>
        <v>149</v>
      </c>
      <c r="AK51" s="100">
        <f>VLOOKUP(AP51,'[3]CONTENEUR PLEIN'!$F:$L,3,FALSE)</f>
        <v>45689</v>
      </c>
      <c r="AL51" s="99">
        <f>VLOOKUP(AP51,'[3]CONTENEUR PLEIN'!$F:$L,5,FALSE)</f>
        <v>45737</v>
      </c>
      <c r="AM51" s="18">
        <f>VLOOKUP(AP51,'[3]CONTENEUR PLEIN'!$F:$L,7,FALSE)</f>
        <v>45754.333333333336</v>
      </c>
      <c r="AN51" s="90" t="s">
        <v>63</v>
      </c>
      <c r="AO51" s="106" t="s">
        <v>141</v>
      </c>
      <c r="AP51" s="106" t="s">
        <v>142</v>
      </c>
      <c r="AQ51" s="106"/>
      <c r="AR51" s="118" t="e">
        <f>VLOOKUP(AP51,'[2]CONTENEUR PLEIN'!$F:$L,2,FALSE)</f>
        <v>#N/A</v>
      </c>
      <c r="AS51" s="106" t="s">
        <v>51</v>
      </c>
      <c r="AT51" s="98"/>
    </row>
    <row r="52" spans="1:47" s="72" customFormat="1" ht="15" hidden="1" customHeight="1" x14ac:dyDescent="0.25">
      <c r="A52" s="71"/>
      <c r="B52" s="88" t="s">
        <v>45</v>
      </c>
      <c r="C52" s="89">
        <v>45460</v>
      </c>
      <c r="D52" s="90">
        <v>24050</v>
      </c>
      <c r="E52" s="91" t="s">
        <v>84</v>
      </c>
      <c r="F52" s="90">
        <v>2405281601</v>
      </c>
      <c r="G52" s="90" t="s">
        <v>64</v>
      </c>
      <c r="H52" s="90" t="s">
        <v>85</v>
      </c>
      <c r="I52" s="90" t="s">
        <v>49</v>
      </c>
      <c r="J52" s="90" t="s">
        <v>46</v>
      </c>
      <c r="K52" s="16" t="s">
        <v>122</v>
      </c>
      <c r="L52" s="89">
        <v>45561</v>
      </c>
      <c r="M52" s="381">
        <f t="shared" si="5"/>
        <v>5</v>
      </c>
      <c r="N52" s="98" t="s">
        <v>49</v>
      </c>
      <c r="O52" s="92">
        <v>20480004</v>
      </c>
      <c r="P52" s="24" t="str">
        <f>VLOOKUP(O52,[1]Feuil2!$A:$M,5,FALSE)</f>
        <v>FOUCHETTE CLEO PROMOCASH</v>
      </c>
      <c r="Q52" s="90">
        <v>5500</v>
      </c>
      <c r="R52" s="93">
        <v>6.9000000000000006E-2</v>
      </c>
      <c r="S52" s="94">
        <f t="shared" si="0"/>
        <v>379.50000000000006</v>
      </c>
      <c r="T52" s="95">
        <f t="shared" si="8"/>
        <v>43538.259999999987</v>
      </c>
      <c r="U52" s="138"/>
      <c r="V52" s="96">
        <f t="shared" si="2"/>
        <v>43538.259999999987</v>
      </c>
      <c r="W52" s="4">
        <f>VLOOKUP(O52,[1]Feuil2!$A:$M,6,FALSE)</f>
        <v>250</v>
      </c>
      <c r="X52" s="5">
        <f>VLOOKUP(O52,[1]Feuil2!$A:$M,13,FALSE)</f>
        <v>1.0710000000000003E-2</v>
      </c>
      <c r="Y52" s="6">
        <f t="shared" si="10"/>
        <v>0.23562000000000005</v>
      </c>
      <c r="Z52" s="97">
        <f t="shared" si="4"/>
        <v>15.87173875</v>
      </c>
      <c r="AA52" s="92" t="s">
        <v>48</v>
      </c>
      <c r="AB52" s="19" t="s">
        <v>57</v>
      </c>
      <c r="AC52" s="87" t="s">
        <v>55</v>
      </c>
      <c r="AD52" s="19" t="s">
        <v>57</v>
      </c>
      <c r="AE52" s="20">
        <v>45541</v>
      </c>
      <c r="AF52" s="60" t="s">
        <v>91</v>
      </c>
      <c r="AG52" s="40" t="s">
        <v>57</v>
      </c>
      <c r="AH52" s="98" t="s">
        <v>48</v>
      </c>
      <c r="AI52" s="135">
        <v>45540</v>
      </c>
      <c r="AJ52" s="145">
        <f t="shared" si="11"/>
        <v>27</v>
      </c>
      <c r="AK52" s="100">
        <f>VLOOKUP(AP52,'[2]CONTENEUR PLEIN'!$F:$L,3,FALSE)</f>
        <v>45567</v>
      </c>
      <c r="AL52" s="99">
        <f>VLOOKUP(AP52,'[2]CONTENEUR PLEIN'!$F:$L,5,FALSE)</f>
        <v>45622</v>
      </c>
      <c r="AM52" s="18">
        <f>VLOOKUP(AP52,'[2]CONTENEUR PLEIN'!$F:$L,7,FALSE)</f>
        <v>45630.333333333336</v>
      </c>
      <c r="AN52" s="101" t="s">
        <v>63</v>
      </c>
      <c r="AO52" s="87" t="s">
        <v>69</v>
      </c>
      <c r="AP52" s="87" t="s">
        <v>70</v>
      </c>
      <c r="AQ52" s="87"/>
      <c r="AR52" s="87" t="str">
        <f>VLOOKUP(AP52,'[2]CONTENEUR PLEIN'!$F:$L,2,FALSE)</f>
        <v>AL DHAIL</v>
      </c>
      <c r="AS52" s="90" t="s">
        <v>51</v>
      </c>
      <c r="AT52" s="98"/>
    </row>
    <row r="53" spans="1:47" ht="15" hidden="1" customHeight="1" x14ac:dyDescent="0.25">
      <c r="A53" s="71"/>
      <c r="B53" s="88" t="s">
        <v>45</v>
      </c>
      <c r="C53" s="89">
        <v>45460</v>
      </c>
      <c r="D53" s="90">
        <v>24050</v>
      </c>
      <c r="E53" s="91" t="s">
        <v>84</v>
      </c>
      <c r="F53" s="90">
        <v>2405281601</v>
      </c>
      <c r="G53" s="90" t="s">
        <v>64</v>
      </c>
      <c r="H53" s="90" t="s">
        <v>85</v>
      </c>
      <c r="I53" s="90" t="s">
        <v>49</v>
      </c>
      <c r="J53" s="90" t="s">
        <v>46</v>
      </c>
      <c r="K53" s="16" t="s">
        <v>122</v>
      </c>
      <c r="L53" s="89">
        <v>45561</v>
      </c>
      <c r="M53" s="381">
        <f t="shared" si="5"/>
        <v>5</v>
      </c>
      <c r="N53" s="98" t="s">
        <v>49</v>
      </c>
      <c r="O53" s="92">
        <v>20480005</v>
      </c>
      <c r="P53" s="24" t="str">
        <f>VLOOKUP(O53,[1]Feuil2!$A:$M,5,FALSE)</f>
        <v>CUILLERE CLEO PROMOCASH</v>
      </c>
      <c r="Q53" s="90">
        <v>3250</v>
      </c>
      <c r="R53" s="93">
        <v>7.0000000000000007E-2</v>
      </c>
      <c r="S53" s="94">
        <f t="shared" si="0"/>
        <v>227.50000000000003</v>
      </c>
      <c r="T53" s="95">
        <f t="shared" si="8"/>
        <v>43538.259999999987</v>
      </c>
      <c r="U53" s="138"/>
      <c r="V53" s="96">
        <f t="shared" si="2"/>
        <v>43538.259999999987</v>
      </c>
      <c r="W53" s="4">
        <f>VLOOKUP(O53,[1]Feuil2!$A:$M,6,FALSE)</f>
        <v>250</v>
      </c>
      <c r="X53" s="59">
        <f>VLOOKUP(O53,[1]Feuil2!$A:$M,13,FALSE)</f>
        <v>1.1067E-2</v>
      </c>
      <c r="Y53" s="6">
        <f t="shared" si="10"/>
        <v>0.143871</v>
      </c>
      <c r="Z53" s="97">
        <f t="shared" si="4"/>
        <v>15.87173875</v>
      </c>
      <c r="AA53" s="23" t="s">
        <v>48</v>
      </c>
      <c r="AB53" s="24" t="s">
        <v>48</v>
      </c>
      <c r="AC53" s="87" t="s">
        <v>55</v>
      </c>
      <c r="AD53" s="19" t="s">
        <v>57</v>
      </c>
      <c r="AE53" s="20">
        <v>45541</v>
      </c>
      <c r="AF53" s="17" t="s">
        <v>92</v>
      </c>
      <c r="AG53" s="40" t="s">
        <v>57</v>
      </c>
      <c r="AH53" s="98" t="s">
        <v>48</v>
      </c>
      <c r="AI53" s="135">
        <v>45540</v>
      </c>
      <c r="AJ53" s="145">
        <f t="shared" si="11"/>
        <v>27</v>
      </c>
      <c r="AK53" s="100">
        <f>VLOOKUP(AP53,'[2]CONTENEUR PLEIN'!$F:$L,3,FALSE)</f>
        <v>45567</v>
      </c>
      <c r="AL53" s="99">
        <f>VLOOKUP(AP53,'[2]CONTENEUR PLEIN'!$F:$L,5,FALSE)</f>
        <v>45622</v>
      </c>
      <c r="AM53" s="18">
        <f>VLOOKUP(AP53,'[2]CONTENEUR PLEIN'!$F:$L,7,FALSE)</f>
        <v>45630.333333333336</v>
      </c>
      <c r="AN53" s="101" t="s">
        <v>63</v>
      </c>
      <c r="AO53" s="87" t="s">
        <v>69</v>
      </c>
      <c r="AP53" s="87" t="s">
        <v>70</v>
      </c>
      <c r="AQ53" s="87"/>
      <c r="AR53" s="87" t="str">
        <f>VLOOKUP(AP53,'[2]CONTENEUR PLEIN'!$F:$L,2,FALSE)</f>
        <v>AL DHAIL</v>
      </c>
      <c r="AS53" s="90" t="s">
        <v>51</v>
      </c>
      <c r="AT53" s="98"/>
      <c r="AU53" s="72"/>
    </row>
    <row r="54" spans="1:47" s="72" customFormat="1" ht="15" hidden="1" customHeight="1" x14ac:dyDescent="0.25">
      <c r="A54" s="71"/>
      <c r="B54" s="88" t="s">
        <v>45</v>
      </c>
      <c r="C54" s="89">
        <v>45460</v>
      </c>
      <c r="D54" s="90">
        <v>24050</v>
      </c>
      <c r="E54" s="91" t="s">
        <v>84</v>
      </c>
      <c r="F54" s="90">
        <v>2405281601</v>
      </c>
      <c r="G54" s="90" t="s">
        <v>64</v>
      </c>
      <c r="H54" s="90" t="s">
        <v>85</v>
      </c>
      <c r="I54" s="90" t="s">
        <v>49</v>
      </c>
      <c r="J54" s="90" t="s">
        <v>46</v>
      </c>
      <c r="K54" s="16" t="s">
        <v>309</v>
      </c>
      <c r="L54" s="89">
        <v>45770</v>
      </c>
      <c r="M54" s="381">
        <f t="shared" si="5"/>
        <v>11</v>
      </c>
      <c r="N54" s="98" t="s">
        <v>49</v>
      </c>
      <c r="O54" s="92">
        <v>20480006</v>
      </c>
      <c r="P54" s="24" t="str">
        <f>VLOOKUP(O54,[1]Feuil2!$A:$M,5,FALSE)</f>
        <v>CAFE CLEO PROMOCASH</v>
      </c>
      <c r="Q54" s="90">
        <v>7500</v>
      </c>
      <c r="R54" s="93">
        <v>4.1000000000000002E-2</v>
      </c>
      <c r="S54" s="94">
        <f t="shared" si="0"/>
        <v>307.5</v>
      </c>
      <c r="T54" s="95">
        <f t="shared" si="8"/>
        <v>43538.259999999987</v>
      </c>
      <c r="U54" s="138"/>
      <c r="V54" s="96">
        <f t="shared" si="2"/>
        <v>43538.259999999987</v>
      </c>
      <c r="W54" s="4">
        <f>VLOOKUP(O54,[1]Feuil2!$A:$M,6,FALSE)</f>
        <v>300</v>
      </c>
      <c r="X54" s="5">
        <f>VLOOKUP(O54,[1]Feuil2!$A:$M,13,FALSE)</f>
        <v>3.7799999999999999E-3</v>
      </c>
      <c r="Y54" s="6">
        <f t="shared" si="10"/>
        <v>9.4500000000000001E-2</v>
      </c>
      <c r="Z54" s="97">
        <f t="shared" si="4"/>
        <v>15.87173875</v>
      </c>
      <c r="AA54" s="23" t="s">
        <v>48</v>
      </c>
      <c r="AB54" s="24" t="s">
        <v>48</v>
      </c>
      <c r="AC54" s="87" t="s">
        <v>55</v>
      </c>
      <c r="AD54" s="19" t="s">
        <v>57</v>
      </c>
      <c r="AE54" s="20">
        <v>45739</v>
      </c>
      <c r="AF54" s="60" t="s">
        <v>186</v>
      </c>
      <c r="AG54" s="21"/>
      <c r="AH54" s="98"/>
      <c r="AI54" s="135">
        <v>45540</v>
      </c>
      <c r="AJ54" s="145">
        <f t="shared" si="11"/>
        <v>224</v>
      </c>
      <c r="AK54" s="100">
        <f>VLOOKUP(AP54,'[3]CONTENEUR PLEIN'!$F:$L,3,FALSE)</f>
        <v>45764</v>
      </c>
      <c r="AL54" s="99">
        <f>VLOOKUP(AP54,'[3]CONTENEUR PLEIN'!$F:$L,5,FALSE)</f>
        <v>45812</v>
      </c>
      <c r="AM54" s="18">
        <f>VLOOKUP(AP54,'[3]CONTENEUR PLEIN'!$F:$L,7,FALSE)</f>
        <v>45824.53125</v>
      </c>
      <c r="AN54" s="90" t="s">
        <v>63</v>
      </c>
      <c r="AO54" s="129" t="s">
        <v>212</v>
      </c>
      <c r="AP54" s="129" t="s">
        <v>213</v>
      </c>
      <c r="AQ54" s="129" t="s">
        <v>258</v>
      </c>
      <c r="AR54" s="129" t="e">
        <f>VLOOKUP(AP54,'[2]CONTENEUR PLEIN'!$F:$L,2,FALSE)</f>
        <v>#N/A</v>
      </c>
      <c r="AS54" s="129" t="s">
        <v>51</v>
      </c>
      <c r="AT54" s="98"/>
    </row>
    <row r="55" spans="1:47" s="72" customFormat="1" ht="15" hidden="1" customHeight="1" x14ac:dyDescent="0.25">
      <c r="A55" s="71"/>
      <c r="B55" s="88" t="s">
        <v>45</v>
      </c>
      <c r="C55" s="89">
        <v>45460</v>
      </c>
      <c r="D55" s="90">
        <v>24050</v>
      </c>
      <c r="E55" s="91" t="s">
        <v>84</v>
      </c>
      <c r="F55" s="90">
        <v>2405281601</v>
      </c>
      <c r="G55" s="90" t="s">
        <v>64</v>
      </c>
      <c r="H55" s="90" t="s">
        <v>85</v>
      </c>
      <c r="I55" s="90" t="s">
        <v>49</v>
      </c>
      <c r="J55" s="90" t="s">
        <v>46</v>
      </c>
      <c r="K55" s="16" t="s">
        <v>309</v>
      </c>
      <c r="L55" s="89">
        <v>45770</v>
      </c>
      <c r="M55" s="381">
        <f t="shared" si="5"/>
        <v>11</v>
      </c>
      <c r="N55" s="98" t="s">
        <v>49</v>
      </c>
      <c r="O55" s="92">
        <v>20890007</v>
      </c>
      <c r="P55" s="24" t="str">
        <f>VLOOKUP(O55,[1]Feuil2!$A:$M,5,FALSE)</f>
        <v>FOURCHETTE ECORCE PROMOCASH</v>
      </c>
      <c r="Q55" s="90">
        <f>1368-864</f>
        <v>504</v>
      </c>
      <c r="R55" s="93">
        <v>0.19800000000000001</v>
      </c>
      <c r="S55" s="94">
        <f t="shared" si="0"/>
        <v>99.792000000000002</v>
      </c>
      <c r="T55" s="95">
        <f t="shared" si="8"/>
        <v>43538.259999999987</v>
      </c>
      <c r="U55" s="138"/>
      <c r="V55" s="96">
        <f t="shared" si="2"/>
        <v>43538.259999999987</v>
      </c>
      <c r="W55" s="4">
        <f>VLOOKUP(O55,[1]Feuil2!$A:$M,6,FALSE)</f>
        <v>72</v>
      </c>
      <c r="X55" s="5">
        <f>VLOOKUP(O55,[1]Feuil2!$A:$M,13,FALSE)</f>
        <v>5.9500000000000004E-3</v>
      </c>
      <c r="Y55" s="6">
        <f t="shared" si="10"/>
        <v>4.1650000000000006E-2</v>
      </c>
      <c r="Z55" s="97">
        <f t="shared" si="4"/>
        <v>15.87173875</v>
      </c>
      <c r="AA55" s="68" t="s">
        <v>48</v>
      </c>
      <c r="AB55" s="67" t="s">
        <v>48</v>
      </c>
      <c r="AC55" s="87" t="s">
        <v>55</v>
      </c>
      <c r="AD55" s="19" t="s">
        <v>57</v>
      </c>
      <c r="AE55" s="20">
        <v>45739</v>
      </c>
      <c r="AF55" s="17" t="s">
        <v>187</v>
      </c>
      <c r="AG55" s="21" t="s">
        <v>57</v>
      </c>
      <c r="AH55" s="291" t="s">
        <v>48</v>
      </c>
      <c r="AI55" s="135">
        <v>45540</v>
      </c>
      <c r="AJ55" s="145">
        <f t="shared" si="11"/>
        <v>224</v>
      </c>
      <c r="AK55" s="100">
        <f>VLOOKUP(AP55,'[3]CONTENEUR PLEIN'!$F:$L,3,FALSE)</f>
        <v>45764</v>
      </c>
      <c r="AL55" s="99">
        <f>VLOOKUP(AP55,'[3]CONTENEUR PLEIN'!$F:$L,5,FALSE)</f>
        <v>45812</v>
      </c>
      <c r="AM55" s="18">
        <f>VLOOKUP(AP55,'[3]CONTENEUR PLEIN'!$F:$L,7,FALSE)</f>
        <v>45824.53125</v>
      </c>
      <c r="AN55" s="90" t="s">
        <v>63</v>
      </c>
      <c r="AO55" s="129" t="s">
        <v>212</v>
      </c>
      <c r="AP55" s="129" t="s">
        <v>213</v>
      </c>
      <c r="AQ55" s="129" t="s">
        <v>258</v>
      </c>
      <c r="AR55" s="129" t="e">
        <f>VLOOKUP(AP55,'[2]CONTENEUR PLEIN'!$F:$L,2,FALSE)</f>
        <v>#N/A</v>
      </c>
      <c r="AS55" s="129" t="s">
        <v>51</v>
      </c>
      <c r="AT55" s="98"/>
    </row>
    <row r="56" spans="1:47" s="72" customFormat="1" ht="15" hidden="1" customHeight="1" x14ac:dyDescent="0.25">
      <c r="A56" s="71"/>
      <c r="B56" s="88" t="s">
        <v>45</v>
      </c>
      <c r="C56" s="89">
        <v>45460</v>
      </c>
      <c r="D56" s="90">
        <v>24050</v>
      </c>
      <c r="E56" s="91" t="s">
        <v>84</v>
      </c>
      <c r="F56" s="90">
        <v>2405281601</v>
      </c>
      <c r="G56" s="90" t="s">
        <v>64</v>
      </c>
      <c r="H56" s="90" t="s">
        <v>85</v>
      </c>
      <c r="I56" s="90" t="s">
        <v>49</v>
      </c>
      <c r="J56" s="90" t="s">
        <v>46</v>
      </c>
      <c r="K56" s="16" t="s">
        <v>134</v>
      </c>
      <c r="L56" s="89">
        <v>45630</v>
      </c>
      <c r="M56" s="381">
        <f t="shared" si="5"/>
        <v>6</v>
      </c>
      <c r="N56" s="98" t="s">
        <v>49</v>
      </c>
      <c r="O56" s="92">
        <v>20890007</v>
      </c>
      <c r="P56" s="24" t="str">
        <f>VLOOKUP(O56,[1]Feuil2!$A:$M,5,FALSE)</f>
        <v>FOURCHETTE ECORCE PROMOCASH</v>
      </c>
      <c r="Q56" s="90">
        <v>864</v>
      </c>
      <c r="R56" s="93">
        <v>0.19800000000000001</v>
      </c>
      <c r="S56" s="94">
        <f t="shared" si="0"/>
        <v>171.072</v>
      </c>
      <c r="T56" s="95">
        <f t="shared" si="8"/>
        <v>43538.259999999987</v>
      </c>
      <c r="U56" s="138"/>
      <c r="V56" s="96">
        <f t="shared" si="2"/>
        <v>43538.259999999987</v>
      </c>
      <c r="W56" s="4">
        <f>VLOOKUP(O56,[1]Feuil2!$A:$M,6,FALSE)</f>
        <v>72</v>
      </c>
      <c r="X56" s="5">
        <f>VLOOKUP(O56,[1]Feuil2!$A:$M,13,FALSE)</f>
        <v>5.9500000000000004E-3</v>
      </c>
      <c r="Y56" s="6">
        <f t="shared" si="10"/>
        <v>7.1400000000000005E-2</v>
      </c>
      <c r="Z56" s="97">
        <f t="shared" si="4"/>
        <v>15.87173875</v>
      </c>
      <c r="AA56" s="68" t="s">
        <v>48</v>
      </c>
      <c r="AB56" s="67" t="s">
        <v>48</v>
      </c>
      <c r="AC56" s="87" t="s">
        <v>55</v>
      </c>
      <c r="AD56" s="19" t="s">
        <v>57</v>
      </c>
      <c r="AE56" s="20">
        <v>45601</v>
      </c>
      <c r="AF56" s="17" t="s">
        <v>93</v>
      </c>
      <c r="AG56" s="40" t="s">
        <v>57</v>
      </c>
      <c r="AH56" s="98" t="s">
        <v>48</v>
      </c>
      <c r="AI56" s="135">
        <v>45540</v>
      </c>
      <c r="AJ56" s="145">
        <f t="shared" si="11"/>
        <v>77</v>
      </c>
      <c r="AK56" s="100">
        <f>VLOOKUP(AP56,'[3]CONTENEUR PLEIN'!$F:$L,3,FALSE)</f>
        <v>45617</v>
      </c>
      <c r="AL56" s="99">
        <f>VLOOKUP(AP56,'[3]CONTENEUR PLEIN'!$F:$L,5,FALSE)</f>
        <v>45653</v>
      </c>
      <c r="AM56" s="18">
        <f>VLOOKUP(AP56,'[3]CONTENEUR PLEIN'!$F:$L,7,FALSE)</f>
        <v>45670.333333333336</v>
      </c>
      <c r="AN56" s="90" t="s">
        <v>63</v>
      </c>
      <c r="AO56" s="90" t="s">
        <v>77</v>
      </c>
      <c r="AP56" s="90" t="s">
        <v>78</v>
      </c>
      <c r="AQ56" s="90"/>
      <c r="AR56" s="90" t="e">
        <f>VLOOKUP(AP56,'[2]CONTENEUR PLEIN'!$F:$L,2,FALSE)</f>
        <v>#N/A</v>
      </c>
      <c r="AS56" s="90" t="s">
        <v>51</v>
      </c>
      <c r="AT56" s="98"/>
    </row>
    <row r="57" spans="1:47" s="72" customFormat="1" ht="15" hidden="1" customHeight="1" x14ac:dyDescent="0.25">
      <c r="A57" s="71"/>
      <c r="B57" s="88" t="s">
        <v>45</v>
      </c>
      <c r="C57" s="89">
        <v>45460</v>
      </c>
      <c r="D57" s="90">
        <v>24050</v>
      </c>
      <c r="E57" s="91" t="s">
        <v>84</v>
      </c>
      <c r="F57" s="90">
        <v>2405281601</v>
      </c>
      <c r="G57" s="90" t="s">
        <v>64</v>
      </c>
      <c r="H57" s="90" t="s">
        <v>85</v>
      </c>
      <c r="I57" s="90" t="s">
        <v>49</v>
      </c>
      <c r="J57" s="90" t="s">
        <v>46</v>
      </c>
      <c r="K57" s="16" t="s">
        <v>309</v>
      </c>
      <c r="L57" s="89">
        <v>45770</v>
      </c>
      <c r="M57" s="381">
        <f t="shared" si="5"/>
        <v>11</v>
      </c>
      <c r="N57" s="98" t="s">
        <v>49</v>
      </c>
      <c r="O57" s="92">
        <v>20890008</v>
      </c>
      <c r="P57" s="24" t="str">
        <f>VLOOKUP(O57,[1]Feuil2!$A:$M,5,FALSE)</f>
        <v>CUILLERE ECORCE PROMOCASH</v>
      </c>
      <c r="Q57" s="90">
        <v>1296</v>
      </c>
      <c r="R57" s="93">
        <v>0.22500000000000001</v>
      </c>
      <c r="S57" s="94">
        <f t="shared" si="0"/>
        <v>291.60000000000002</v>
      </c>
      <c r="T57" s="95">
        <f t="shared" si="8"/>
        <v>43538.259999999987</v>
      </c>
      <c r="U57" s="138"/>
      <c r="V57" s="96">
        <f t="shared" si="2"/>
        <v>43538.259999999987</v>
      </c>
      <c r="W57" s="4">
        <f>VLOOKUP(O57,[1]Feuil2!$A:$M,6,FALSE)</f>
        <v>72</v>
      </c>
      <c r="X57" s="5">
        <f>VLOOKUP(O57,[1]Feuil2!$A:$M,13,FALSE)</f>
        <v>5.9500000000000004E-3</v>
      </c>
      <c r="Y57" s="6">
        <f t="shared" si="10"/>
        <v>0.1071</v>
      </c>
      <c r="Z57" s="97">
        <f t="shared" si="4"/>
        <v>15.87173875</v>
      </c>
      <c r="AA57" s="23" t="s">
        <v>48</v>
      </c>
      <c r="AB57" s="19" t="s">
        <v>57</v>
      </c>
      <c r="AC57" s="87" t="s">
        <v>55</v>
      </c>
      <c r="AD57" s="19" t="s">
        <v>57</v>
      </c>
      <c r="AE57" s="20">
        <v>45749</v>
      </c>
      <c r="AF57" s="60" t="s">
        <v>195</v>
      </c>
      <c r="AG57" s="21"/>
      <c r="AH57" s="98"/>
      <c r="AI57" s="135">
        <v>45540</v>
      </c>
      <c r="AJ57" s="145">
        <f t="shared" si="11"/>
        <v>224</v>
      </c>
      <c r="AK57" s="100">
        <f>VLOOKUP(AP57,'[3]CONTENEUR PLEIN'!$F:$L,3,FALSE)</f>
        <v>45764</v>
      </c>
      <c r="AL57" s="99">
        <f>VLOOKUP(AP57,'[3]CONTENEUR PLEIN'!$F:$L,5,FALSE)</f>
        <v>45812</v>
      </c>
      <c r="AM57" s="18">
        <f>VLOOKUP(AP57,'[3]CONTENEUR PLEIN'!$F:$L,7,FALSE)</f>
        <v>45824.53125</v>
      </c>
      <c r="AN57" s="90" t="s">
        <v>63</v>
      </c>
      <c r="AO57" s="129" t="s">
        <v>212</v>
      </c>
      <c r="AP57" s="129" t="s">
        <v>213</v>
      </c>
      <c r="AQ57" s="129" t="s">
        <v>258</v>
      </c>
      <c r="AR57" s="129" t="e">
        <f>VLOOKUP(AP57,'[2]CONTENEUR PLEIN'!$F:$L,2,FALSE)</f>
        <v>#N/A</v>
      </c>
      <c r="AS57" s="129" t="s">
        <v>51</v>
      </c>
      <c r="AT57" s="98"/>
    </row>
    <row r="58" spans="1:47" s="72" customFormat="1" ht="15" hidden="1" customHeight="1" x14ac:dyDescent="0.25">
      <c r="A58" s="71"/>
      <c r="B58" s="88" t="s">
        <v>45</v>
      </c>
      <c r="C58" s="89">
        <v>45460</v>
      </c>
      <c r="D58" s="90">
        <v>24050</v>
      </c>
      <c r="E58" s="91" t="s">
        <v>84</v>
      </c>
      <c r="F58" s="90">
        <v>2405281601</v>
      </c>
      <c r="G58" s="90" t="s">
        <v>64</v>
      </c>
      <c r="H58" s="90" t="s">
        <v>85</v>
      </c>
      <c r="I58" s="90" t="s">
        <v>49</v>
      </c>
      <c r="J58" s="90" t="s">
        <v>46</v>
      </c>
      <c r="K58" s="16" t="s">
        <v>134</v>
      </c>
      <c r="L58" s="89">
        <v>45630</v>
      </c>
      <c r="M58" s="381">
        <f t="shared" si="5"/>
        <v>6</v>
      </c>
      <c r="N58" s="98" t="s">
        <v>49</v>
      </c>
      <c r="O58" s="92">
        <v>20890013</v>
      </c>
      <c r="P58" s="24" t="str">
        <f>VLOOKUP(O58,[1]Feuil2!$A:$M,5,FALSE)</f>
        <v>COUTEAU ECORCE PVD NOIR VRAC+GENCOD</v>
      </c>
      <c r="Q58" s="90">
        <v>1080</v>
      </c>
      <c r="R58" s="93">
        <v>0.46899999999999997</v>
      </c>
      <c r="S58" s="94">
        <f t="shared" si="0"/>
        <v>506.52</v>
      </c>
      <c r="T58" s="95">
        <f t="shared" si="8"/>
        <v>43538.259999999987</v>
      </c>
      <c r="U58" s="138"/>
      <c r="V58" s="96">
        <f t="shared" si="2"/>
        <v>43538.259999999987</v>
      </c>
      <c r="W58" s="4">
        <f>VLOOKUP(O58,[1]Feuil2!$A:$M,6,FALSE)</f>
        <v>120</v>
      </c>
      <c r="X58" s="5">
        <f>VLOOKUP(O58,[1]Feuil2!$A:$M,13,FALSE)</f>
        <v>6.1582500000000005E-3</v>
      </c>
      <c r="Y58" s="6">
        <f t="shared" si="10"/>
        <v>5.5424250000000008E-2</v>
      </c>
      <c r="Z58" s="97">
        <f t="shared" si="4"/>
        <v>15.87173875</v>
      </c>
      <c r="AA58" s="23" t="s">
        <v>48</v>
      </c>
      <c r="AB58" s="19" t="s">
        <v>57</v>
      </c>
      <c r="AC58" s="87" t="s">
        <v>55</v>
      </c>
      <c r="AD58" s="19" t="s">
        <v>57</v>
      </c>
      <c r="AE58" s="20">
        <v>45604</v>
      </c>
      <c r="AF58" s="17" t="s">
        <v>94</v>
      </c>
      <c r="AG58" s="40" t="s">
        <v>57</v>
      </c>
      <c r="AH58" s="98" t="s">
        <v>48</v>
      </c>
      <c r="AI58" s="135">
        <v>45540</v>
      </c>
      <c r="AJ58" s="145">
        <f t="shared" si="11"/>
        <v>77</v>
      </c>
      <c r="AK58" s="100">
        <f>VLOOKUP(AP58,'[3]CONTENEUR PLEIN'!$F:$L,3,FALSE)</f>
        <v>45617</v>
      </c>
      <c r="AL58" s="99">
        <f>VLOOKUP(AP58,'[3]CONTENEUR PLEIN'!$F:$L,5,FALSE)</f>
        <v>45653</v>
      </c>
      <c r="AM58" s="18">
        <f>VLOOKUP(AP58,'[3]CONTENEUR PLEIN'!$F:$L,7,FALSE)</f>
        <v>45670.333333333336</v>
      </c>
      <c r="AN58" s="90" t="s">
        <v>63</v>
      </c>
      <c r="AO58" s="90" t="s">
        <v>77</v>
      </c>
      <c r="AP58" s="90" t="s">
        <v>78</v>
      </c>
      <c r="AQ58" s="90"/>
      <c r="AR58" s="90" t="e">
        <f>VLOOKUP(AP58,'[2]CONTENEUR PLEIN'!$F:$L,2,FALSE)</f>
        <v>#N/A</v>
      </c>
      <c r="AS58" s="90" t="s">
        <v>51</v>
      </c>
      <c r="AT58" s="98"/>
    </row>
    <row r="59" spans="1:47" s="72" customFormat="1" hidden="1" x14ac:dyDescent="0.25">
      <c r="A59" s="71"/>
      <c r="B59" s="88" t="s">
        <v>45</v>
      </c>
      <c r="C59" s="89">
        <v>45460</v>
      </c>
      <c r="D59" s="90">
        <v>24050</v>
      </c>
      <c r="E59" s="91" t="s">
        <v>84</v>
      </c>
      <c r="F59" s="90">
        <v>2405281601</v>
      </c>
      <c r="G59" s="90" t="s">
        <v>64</v>
      </c>
      <c r="H59" s="90" t="s">
        <v>85</v>
      </c>
      <c r="I59" s="90" t="s">
        <v>49</v>
      </c>
      <c r="J59" s="90" t="s">
        <v>46</v>
      </c>
      <c r="K59" s="16" t="s">
        <v>122</v>
      </c>
      <c r="L59" s="89">
        <v>45561</v>
      </c>
      <c r="M59" s="381">
        <f t="shared" si="5"/>
        <v>5</v>
      </c>
      <c r="N59" s="98" t="s">
        <v>49</v>
      </c>
      <c r="O59" s="92">
        <v>20890014</v>
      </c>
      <c r="P59" s="24" t="str">
        <f>VLOOKUP(O59,[1]Feuil2!$A:$M,5,FALSE)</f>
        <v>FOURCHETTE ECORCE PVD NOIR VRAC+GENCOD</v>
      </c>
      <c r="Q59" s="90">
        <v>1680</v>
      </c>
      <c r="R59" s="93">
        <v>0.38800000000000001</v>
      </c>
      <c r="S59" s="94">
        <f t="shared" si="0"/>
        <v>651.84</v>
      </c>
      <c r="T59" s="95">
        <f t="shared" si="8"/>
        <v>43538.259999999987</v>
      </c>
      <c r="U59" s="138"/>
      <c r="V59" s="96">
        <f t="shared" si="2"/>
        <v>43538.259999999987</v>
      </c>
      <c r="W59" s="4">
        <f>VLOOKUP(O59,[1]Feuil2!$A:$M,6,FALSE)</f>
        <v>120</v>
      </c>
      <c r="X59" s="5">
        <f>VLOOKUP(O59,[1]Feuil2!$A:$M,13,FALSE)</f>
        <v>6.2509999999999996E-3</v>
      </c>
      <c r="Y59" s="6">
        <f t="shared" si="10"/>
        <v>8.7513999999999995E-2</v>
      </c>
      <c r="Z59" s="97">
        <f t="shared" si="4"/>
        <v>15.87173875</v>
      </c>
      <c r="AA59" s="23" t="s">
        <v>48</v>
      </c>
      <c r="AB59" s="24" t="s">
        <v>48</v>
      </c>
      <c r="AC59" s="87" t="s">
        <v>55</v>
      </c>
      <c r="AD59" s="19" t="s">
        <v>57</v>
      </c>
      <c r="AE59" s="20">
        <v>45504</v>
      </c>
      <c r="AF59" s="17" t="s">
        <v>95</v>
      </c>
      <c r="AG59" s="40" t="s">
        <v>57</v>
      </c>
      <c r="AH59" s="98" t="s">
        <v>48</v>
      </c>
      <c r="AI59" s="135">
        <v>45540</v>
      </c>
      <c r="AJ59" s="145">
        <f t="shared" si="11"/>
        <v>27</v>
      </c>
      <c r="AK59" s="100">
        <f>VLOOKUP(AP59,'[2]CONTENEUR PLEIN'!$F:$L,3,FALSE)</f>
        <v>45567</v>
      </c>
      <c r="AL59" s="99">
        <f>VLOOKUP(AP59,'[2]CONTENEUR PLEIN'!$F:$L,5,FALSE)</f>
        <v>45622</v>
      </c>
      <c r="AM59" s="18">
        <f>VLOOKUP(AP59,'[2]CONTENEUR PLEIN'!$F:$L,7,FALSE)</f>
        <v>45630.333333333336</v>
      </c>
      <c r="AN59" s="101" t="s">
        <v>63</v>
      </c>
      <c r="AO59" s="87" t="s">
        <v>69</v>
      </c>
      <c r="AP59" s="87" t="s">
        <v>70</v>
      </c>
      <c r="AQ59" s="87"/>
      <c r="AR59" s="87" t="str">
        <f>VLOOKUP(AP59,'[2]CONTENEUR PLEIN'!$F:$L,2,FALSE)</f>
        <v>AL DHAIL</v>
      </c>
      <c r="AS59" s="90" t="s">
        <v>51</v>
      </c>
      <c r="AT59" s="98"/>
    </row>
    <row r="60" spans="1:47" s="72" customFormat="1" ht="15" hidden="1" customHeight="1" x14ac:dyDescent="0.25">
      <c r="A60" s="71"/>
      <c r="B60" s="88" t="s">
        <v>45</v>
      </c>
      <c r="C60" s="89">
        <v>45460</v>
      </c>
      <c r="D60" s="90">
        <v>24050</v>
      </c>
      <c r="E60" s="91" t="s">
        <v>84</v>
      </c>
      <c r="F60" s="90">
        <v>2405281601</v>
      </c>
      <c r="G60" s="90" t="s">
        <v>64</v>
      </c>
      <c r="H60" s="90" t="s">
        <v>85</v>
      </c>
      <c r="I60" s="90" t="s">
        <v>49</v>
      </c>
      <c r="J60" s="90" t="s">
        <v>46</v>
      </c>
      <c r="K60" s="16" t="s">
        <v>122</v>
      </c>
      <c r="L60" s="89">
        <v>45561</v>
      </c>
      <c r="M60" s="381">
        <f t="shared" si="5"/>
        <v>5</v>
      </c>
      <c r="N60" s="98" t="s">
        <v>49</v>
      </c>
      <c r="O60" s="92">
        <v>20890015</v>
      </c>
      <c r="P60" s="24" t="str">
        <f>VLOOKUP(O60,[1]Feuil2!$A:$M,5,FALSE)</f>
        <v>CUILLERE ECORCE PVD NOIR VRAC+GENCOD</v>
      </c>
      <c r="Q60" s="90">
        <v>1440</v>
      </c>
      <c r="R60" s="93">
        <v>0.34899999999999998</v>
      </c>
      <c r="S60" s="94">
        <f t="shared" si="0"/>
        <v>502.55999999999995</v>
      </c>
      <c r="T60" s="95">
        <f t="shared" si="8"/>
        <v>43538.259999999987</v>
      </c>
      <c r="U60" s="138"/>
      <c r="V60" s="96">
        <f t="shared" si="2"/>
        <v>43538.259999999987</v>
      </c>
      <c r="W60" s="4">
        <f>VLOOKUP(O60,[1]Feuil2!$A:$M,6,FALSE)</f>
        <v>120</v>
      </c>
      <c r="X60" s="5">
        <f>VLOOKUP(O60,[1]Feuil2!$A:$M,13,FALSE)</f>
        <v>9.5879999999999993E-3</v>
      </c>
      <c r="Y60" s="6">
        <f t="shared" si="10"/>
        <v>0.11505599999999999</v>
      </c>
      <c r="Z60" s="97">
        <f t="shared" si="4"/>
        <v>15.87173875</v>
      </c>
      <c r="AA60" s="23" t="s">
        <v>48</v>
      </c>
      <c r="AB60" s="24" t="s">
        <v>48</v>
      </c>
      <c r="AC60" s="87" t="s">
        <v>55</v>
      </c>
      <c r="AD60" s="19" t="s">
        <v>57</v>
      </c>
      <c r="AE60" s="20">
        <v>45504</v>
      </c>
      <c r="AF60" s="17" t="s">
        <v>96</v>
      </c>
      <c r="AG60" s="40" t="s">
        <v>57</v>
      </c>
      <c r="AH60" s="98" t="s">
        <v>48</v>
      </c>
      <c r="AI60" s="135">
        <v>45540</v>
      </c>
      <c r="AJ60" s="145">
        <f t="shared" si="11"/>
        <v>27</v>
      </c>
      <c r="AK60" s="100">
        <f>VLOOKUP(AP60,'[2]CONTENEUR PLEIN'!$F:$L,3,FALSE)</f>
        <v>45567</v>
      </c>
      <c r="AL60" s="99">
        <f>VLOOKUP(AP60,'[2]CONTENEUR PLEIN'!$F:$L,5,FALSE)</f>
        <v>45622</v>
      </c>
      <c r="AM60" s="18">
        <f>VLOOKUP(AP60,'[2]CONTENEUR PLEIN'!$F:$L,7,FALSE)</f>
        <v>45630.333333333336</v>
      </c>
      <c r="AN60" s="101" t="s">
        <v>63</v>
      </c>
      <c r="AO60" s="87" t="s">
        <v>69</v>
      </c>
      <c r="AP60" s="87" t="s">
        <v>70</v>
      </c>
      <c r="AQ60" s="87"/>
      <c r="AR60" s="87" t="str">
        <f>VLOOKUP(AP60,'[2]CONTENEUR PLEIN'!$F:$L,2,FALSE)</f>
        <v>AL DHAIL</v>
      </c>
      <c r="AS60" s="90" t="s">
        <v>51</v>
      </c>
      <c r="AT60" s="98"/>
    </row>
    <row r="61" spans="1:47" s="72" customFormat="1" ht="15" hidden="1" customHeight="1" x14ac:dyDescent="0.25">
      <c r="A61" s="71"/>
      <c r="B61" s="88" t="s">
        <v>45</v>
      </c>
      <c r="C61" s="89">
        <v>45460</v>
      </c>
      <c r="D61" s="90">
        <v>24050</v>
      </c>
      <c r="E61" s="91" t="s">
        <v>84</v>
      </c>
      <c r="F61" s="90">
        <v>2405281601</v>
      </c>
      <c r="G61" s="90" t="s">
        <v>64</v>
      </c>
      <c r="H61" s="90" t="s">
        <v>85</v>
      </c>
      <c r="I61" s="90" t="s">
        <v>49</v>
      </c>
      <c r="J61" s="90" t="s">
        <v>46</v>
      </c>
      <c r="K61" s="16" t="s">
        <v>122</v>
      </c>
      <c r="L61" s="89">
        <v>45561</v>
      </c>
      <c r="M61" s="381">
        <f t="shared" si="5"/>
        <v>5</v>
      </c>
      <c r="N61" s="98" t="s">
        <v>49</v>
      </c>
      <c r="O61" s="92">
        <v>20890016</v>
      </c>
      <c r="P61" s="24" t="str">
        <f>VLOOKUP(O61,[1]Feuil2!$A:$M,5,FALSE)</f>
        <v>CAFE ECORCE PVD NOIR VRAC+GENCOD</v>
      </c>
      <c r="Q61" s="90">
        <v>2400</v>
      </c>
      <c r="R61" s="93">
        <v>0.29799999999999999</v>
      </c>
      <c r="S61" s="94">
        <f t="shared" si="0"/>
        <v>715.19999999999993</v>
      </c>
      <c r="T61" s="95">
        <f t="shared" si="8"/>
        <v>43538.259999999987</v>
      </c>
      <c r="U61" s="138"/>
      <c r="V61" s="96">
        <f t="shared" si="2"/>
        <v>43538.259999999987</v>
      </c>
      <c r="W61" s="4">
        <f>VLOOKUP(O61,[1]Feuil2!$A:$M,6,FALSE)</f>
        <v>240</v>
      </c>
      <c r="X61" s="5">
        <f>VLOOKUP(O61,[1]Feuil2!$A:$M,13,FALSE)</f>
        <v>8.4150000000000006E-3</v>
      </c>
      <c r="Y61" s="6">
        <f t="shared" si="10"/>
        <v>8.4150000000000003E-2</v>
      </c>
      <c r="Z61" s="97">
        <f t="shared" si="4"/>
        <v>15.87173875</v>
      </c>
      <c r="AA61" s="23" t="s">
        <v>48</v>
      </c>
      <c r="AB61" s="24" t="s">
        <v>48</v>
      </c>
      <c r="AC61" s="87" t="s">
        <v>55</v>
      </c>
      <c r="AD61" s="19" t="s">
        <v>57</v>
      </c>
      <c r="AE61" s="20">
        <v>45504</v>
      </c>
      <c r="AF61" s="60" t="s">
        <v>97</v>
      </c>
      <c r="AG61" s="40" t="s">
        <v>57</v>
      </c>
      <c r="AH61" s="98" t="s">
        <v>48</v>
      </c>
      <c r="AI61" s="135">
        <v>45540</v>
      </c>
      <c r="AJ61" s="145">
        <f t="shared" si="11"/>
        <v>27</v>
      </c>
      <c r="AK61" s="100">
        <f>VLOOKUP(AP61,'[2]CONTENEUR PLEIN'!$F:$L,3,FALSE)</f>
        <v>45567</v>
      </c>
      <c r="AL61" s="99">
        <f>VLOOKUP(AP61,'[2]CONTENEUR PLEIN'!$F:$L,5,FALSE)</f>
        <v>45622</v>
      </c>
      <c r="AM61" s="18">
        <f>VLOOKUP(AP61,'[2]CONTENEUR PLEIN'!$F:$L,7,FALSE)</f>
        <v>45630.333333333336</v>
      </c>
      <c r="AN61" s="101" t="s">
        <v>63</v>
      </c>
      <c r="AO61" s="87" t="s">
        <v>69</v>
      </c>
      <c r="AP61" s="87" t="s">
        <v>70</v>
      </c>
      <c r="AQ61" s="87"/>
      <c r="AR61" s="87" t="str">
        <f>VLOOKUP(AP61,'[2]CONTENEUR PLEIN'!$F:$L,2,FALSE)</f>
        <v>AL DHAIL</v>
      </c>
      <c r="AS61" s="90" t="s">
        <v>51</v>
      </c>
      <c r="AT61" s="98"/>
      <c r="AU61" s="181"/>
    </row>
    <row r="62" spans="1:47" s="72" customFormat="1" hidden="1" x14ac:dyDescent="0.25">
      <c r="A62" s="71"/>
      <c r="B62" s="88" t="s">
        <v>45</v>
      </c>
      <c r="C62" s="89">
        <v>45460</v>
      </c>
      <c r="D62" s="90">
        <v>24050</v>
      </c>
      <c r="E62" s="91" t="s">
        <v>84</v>
      </c>
      <c r="F62" s="90">
        <v>2405281601</v>
      </c>
      <c r="G62" s="90" t="s">
        <v>64</v>
      </c>
      <c r="H62" s="90" t="s">
        <v>85</v>
      </c>
      <c r="I62" s="90" t="s">
        <v>49</v>
      </c>
      <c r="J62" s="90" t="s">
        <v>46</v>
      </c>
      <c r="K62" s="16" t="s">
        <v>309</v>
      </c>
      <c r="L62" s="89">
        <v>45770</v>
      </c>
      <c r="M62" s="381">
        <f t="shared" si="5"/>
        <v>11</v>
      </c>
      <c r="N62" s="98" t="s">
        <v>49</v>
      </c>
      <c r="O62" s="92">
        <v>21140002</v>
      </c>
      <c r="P62" s="24" t="str">
        <f>VLOOKUP(O62,[1]Feuil2!$A:$M,5,FALSE)</f>
        <v>COUTEAU PALMA + GENCOD</v>
      </c>
      <c r="Q62" s="90">
        <v>4680</v>
      </c>
      <c r="R62" s="93">
        <v>0.35699999999999998</v>
      </c>
      <c r="S62" s="94">
        <f t="shared" si="0"/>
        <v>1670.76</v>
      </c>
      <c r="T62" s="95">
        <f t="shared" si="8"/>
        <v>43538.259999999987</v>
      </c>
      <c r="U62" s="138"/>
      <c r="V62" s="96">
        <f t="shared" si="2"/>
        <v>43538.259999999987</v>
      </c>
      <c r="W62" s="4">
        <f>VLOOKUP(O62,[1]Feuil2!$A:$M,6,FALSE)</f>
        <v>120</v>
      </c>
      <c r="X62" s="5">
        <f>VLOOKUP(O62,[1]Feuil2!$A:$M,13,FALSE)</f>
        <v>1.1825E-2</v>
      </c>
      <c r="Y62" s="6">
        <f t="shared" si="10"/>
        <v>0.461175</v>
      </c>
      <c r="Z62" s="97">
        <f t="shared" si="4"/>
        <v>15.87173875</v>
      </c>
      <c r="AA62" s="23" t="s">
        <v>48</v>
      </c>
      <c r="AB62" s="19" t="s">
        <v>57</v>
      </c>
      <c r="AC62" s="125" t="s">
        <v>55</v>
      </c>
      <c r="AD62" s="19" t="s">
        <v>57</v>
      </c>
      <c r="AE62" s="20">
        <v>45755</v>
      </c>
      <c r="AF62" s="17" t="s">
        <v>202</v>
      </c>
      <c r="AG62" s="21" t="s">
        <v>57</v>
      </c>
      <c r="AH62" s="291" t="s">
        <v>48</v>
      </c>
      <c r="AI62" s="135">
        <v>45540</v>
      </c>
      <c r="AJ62" s="145">
        <f t="shared" si="11"/>
        <v>224</v>
      </c>
      <c r="AK62" s="100">
        <f>VLOOKUP(AP62,'[3]CONTENEUR PLEIN'!$F:$L,3,FALSE)</f>
        <v>45764</v>
      </c>
      <c r="AL62" s="99">
        <f>VLOOKUP(AP62,'[3]CONTENEUR PLEIN'!$F:$L,5,FALSE)</f>
        <v>45812</v>
      </c>
      <c r="AM62" s="18">
        <f>VLOOKUP(AP62,'[3]CONTENEUR PLEIN'!$F:$L,7,FALSE)</f>
        <v>45824.53125</v>
      </c>
      <c r="AN62" s="90" t="s">
        <v>63</v>
      </c>
      <c r="AO62" s="129" t="s">
        <v>212</v>
      </c>
      <c r="AP62" s="129" t="s">
        <v>213</v>
      </c>
      <c r="AQ62" s="129" t="s">
        <v>258</v>
      </c>
      <c r="AR62" s="129" t="e">
        <f>VLOOKUP(AP62,'[2]CONTENEUR PLEIN'!$F:$L,2,FALSE)</f>
        <v>#N/A</v>
      </c>
      <c r="AS62" s="129" t="s">
        <v>51</v>
      </c>
      <c r="AT62" s="98"/>
      <c r="AU62" s="181"/>
    </row>
    <row r="63" spans="1:47" s="72" customFormat="1" ht="15" hidden="1" customHeight="1" x14ac:dyDescent="0.25">
      <c r="A63" s="197"/>
      <c r="B63" s="232" t="s">
        <v>45</v>
      </c>
      <c r="C63" s="194">
        <v>45460</v>
      </c>
      <c r="D63" s="191">
        <v>24050</v>
      </c>
      <c r="E63" s="195" t="s">
        <v>84</v>
      </c>
      <c r="F63" s="191">
        <v>2405281601</v>
      </c>
      <c r="G63" s="191" t="s">
        <v>64</v>
      </c>
      <c r="H63" s="191" t="s">
        <v>85</v>
      </c>
      <c r="I63" s="191" t="s">
        <v>49</v>
      </c>
      <c r="J63" s="191" t="s">
        <v>46</v>
      </c>
      <c r="K63" s="16" t="s">
        <v>449</v>
      </c>
      <c r="L63" s="194">
        <v>45870</v>
      </c>
      <c r="M63" s="381">
        <f t="shared" si="5"/>
        <v>15</v>
      </c>
      <c r="N63" s="209" t="s">
        <v>49</v>
      </c>
      <c r="O63" s="223">
        <v>21140003</v>
      </c>
      <c r="P63" s="24" t="str">
        <f>VLOOKUP(O63,[1]Feuil2!$A:$M,5,FALSE)</f>
        <v>FOURCHETTE PALMA + GENCOD</v>
      </c>
      <c r="Q63" s="191">
        <v>5040</v>
      </c>
      <c r="R63" s="224">
        <v>0.19900000000000001</v>
      </c>
      <c r="S63" s="225">
        <f t="shared" si="0"/>
        <v>1002.96</v>
      </c>
      <c r="T63" s="226">
        <f t="shared" si="8"/>
        <v>43538.259999999987</v>
      </c>
      <c r="U63" s="227"/>
      <c r="V63" s="228">
        <f t="shared" si="2"/>
        <v>43538.259999999987</v>
      </c>
      <c r="W63" s="4">
        <f>VLOOKUP(O63,[1]Feuil2!$A:$M,6,FALSE)</f>
        <v>240</v>
      </c>
      <c r="X63" s="5">
        <f>VLOOKUP(O63,[1]Feuil2!$A:$M,13,FALSE)</f>
        <v>2.1562499999999998E-2</v>
      </c>
      <c r="Y63" s="6">
        <f t="shared" si="10"/>
        <v>0.45281249999999995</v>
      </c>
      <c r="Z63" s="229">
        <f t="shared" si="4"/>
        <v>15.87173875</v>
      </c>
      <c r="AA63" s="23" t="s">
        <v>48</v>
      </c>
      <c r="AB63" s="19" t="s">
        <v>57</v>
      </c>
      <c r="AC63" s="210" t="s">
        <v>55</v>
      </c>
      <c r="AD63" s="19" t="s">
        <v>57</v>
      </c>
      <c r="AE63" s="20">
        <v>45834</v>
      </c>
      <c r="AF63" s="60" t="s">
        <v>336</v>
      </c>
      <c r="AG63" s="21"/>
      <c r="AH63" s="209"/>
      <c r="AI63" s="160">
        <v>45540</v>
      </c>
      <c r="AJ63" s="145">
        <f t="shared" si="11"/>
        <v>332</v>
      </c>
      <c r="AK63" s="100">
        <f>VLOOKUP(AP63,'[3]CONTENEUR PLEIN'!$F:$L,3,FALSE)</f>
        <v>45872</v>
      </c>
      <c r="AL63" s="99">
        <f>VLOOKUP(AP63,'[3]CONTENEUR PLEIN'!$F:$L,5,FALSE)</f>
        <v>45907</v>
      </c>
      <c r="AM63" s="18">
        <f>VLOOKUP(AP63,'[3]CONTENEUR PLEIN'!$F:$L,7,FALSE)</f>
        <v>45918.53125</v>
      </c>
      <c r="AN63" s="191" t="s">
        <v>63</v>
      </c>
      <c r="AO63" s="191" t="s">
        <v>371</v>
      </c>
      <c r="AP63" s="191" t="s">
        <v>372</v>
      </c>
      <c r="AQ63" s="191" t="s">
        <v>373</v>
      </c>
      <c r="AR63" s="191" t="e">
        <f>VLOOKUP(AP63,'[2]CONTENEUR PLEIN'!$F:$L,2,FALSE)</f>
        <v>#N/A</v>
      </c>
      <c r="AS63" s="191" t="s">
        <v>316</v>
      </c>
      <c r="AT63" s="209"/>
    </row>
    <row r="64" spans="1:47" s="72" customFormat="1" ht="15" hidden="1" customHeight="1" x14ac:dyDescent="0.25">
      <c r="A64" s="197"/>
      <c r="B64" s="232" t="s">
        <v>45</v>
      </c>
      <c r="C64" s="194">
        <v>45460</v>
      </c>
      <c r="D64" s="191">
        <v>24050</v>
      </c>
      <c r="E64" s="195" t="s">
        <v>84</v>
      </c>
      <c r="F64" s="191">
        <v>2405281601</v>
      </c>
      <c r="G64" s="191" t="s">
        <v>64</v>
      </c>
      <c r="H64" s="191" t="s">
        <v>85</v>
      </c>
      <c r="I64" s="191" t="s">
        <v>49</v>
      </c>
      <c r="J64" s="191" t="s">
        <v>46</v>
      </c>
      <c r="K64" s="16" t="s">
        <v>449</v>
      </c>
      <c r="L64" s="194">
        <v>45870</v>
      </c>
      <c r="M64" s="381">
        <f t="shared" si="5"/>
        <v>15</v>
      </c>
      <c r="N64" s="209" t="s">
        <v>49</v>
      </c>
      <c r="O64" s="223">
        <v>21140004</v>
      </c>
      <c r="P64" s="24" t="str">
        <f>VLOOKUP(O64,[1]Feuil2!$A:$M,5,FALSE)</f>
        <v>CUILLERE PALMA + GENCOD</v>
      </c>
      <c r="Q64" s="191">
        <v>2880</v>
      </c>
      <c r="R64" s="224">
        <v>0.214</v>
      </c>
      <c r="S64" s="225">
        <f t="shared" si="0"/>
        <v>616.31999999999994</v>
      </c>
      <c r="T64" s="226">
        <f t="shared" si="8"/>
        <v>43538.259999999987</v>
      </c>
      <c r="U64" s="227"/>
      <c r="V64" s="228">
        <f t="shared" si="2"/>
        <v>43538.259999999987</v>
      </c>
      <c r="W64" s="4">
        <f>VLOOKUP(O64,[1]Feuil2!$A:$M,6,FALSE)</f>
        <v>240</v>
      </c>
      <c r="X64" s="5">
        <f>VLOOKUP(O64,[1]Feuil2!$A:$M,13,FALSE)</f>
        <v>2.0825E-2</v>
      </c>
      <c r="Y64" s="6">
        <f t="shared" si="10"/>
        <v>0.24990000000000001</v>
      </c>
      <c r="Z64" s="229">
        <f t="shared" si="4"/>
        <v>15.87173875</v>
      </c>
      <c r="AA64" s="23" t="s">
        <v>48</v>
      </c>
      <c r="AB64" s="19" t="s">
        <v>57</v>
      </c>
      <c r="AC64" s="191"/>
      <c r="AD64" s="25" t="s">
        <v>61</v>
      </c>
      <c r="AE64" s="20">
        <v>45841</v>
      </c>
      <c r="AF64" s="17" t="s">
        <v>344</v>
      </c>
      <c r="AG64" s="21"/>
      <c r="AH64" s="209"/>
      <c r="AI64" s="160">
        <v>45540</v>
      </c>
      <c r="AJ64" s="145">
        <f t="shared" si="11"/>
        <v>332</v>
      </c>
      <c r="AK64" s="100">
        <f>VLOOKUP(AP64,'[3]CONTENEUR PLEIN'!$F:$L,3,FALSE)</f>
        <v>45872</v>
      </c>
      <c r="AL64" s="99">
        <f>VLOOKUP(AP64,'[3]CONTENEUR PLEIN'!$F:$L,5,FALSE)</f>
        <v>45907</v>
      </c>
      <c r="AM64" s="18">
        <f>VLOOKUP(AP64,'[3]CONTENEUR PLEIN'!$F:$L,7,FALSE)</f>
        <v>45918.53125</v>
      </c>
      <c r="AN64" s="191" t="s">
        <v>63</v>
      </c>
      <c r="AO64" s="191" t="s">
        <v>371</v>
      </c>
      <c r="AP64" s="191" t="s">
        <v>372</v>
      </c>
      <c r="AQ64" s="191" t="s">
        <v>373</v>
      </c>
      <c r="AR64" s="191" t="e">
        <f>VLOOKUP(AP64,'[2]CONTENEUR PLEIN'!$F:$L,2,FALSE)</f>
        <v>#N/A</v>
      </c>
      <c r="AS64" s="191" t="s">
        <v>316</v>
      </c>
      <c r="AT64" s="209"/>
    </row>
    <row r="65" spans="1:47" s="72" customFormat="1" ht="15" hidden="1" customHeight="1" x14ac:dyDescent="0.25">
      <c r="A65" s="197"/>
      <c r="B65" s="232" t="s">
        <v>45</v>
      </c>
      <c r="C65" s="194">
        <v>45460</v>
      </c>
      <c r="D65" s="191">
        <v>24050</v>
      </c>
      <c r="E65" s="195" t="s">
        <v>84</v>
      </c>
      <c r="F65" s="191">
        <v>2405281601</v>
      </c>
      <c r="G65" s="191" t="s">
        <v>64</v>
      </c>
      <c r="H65" s="191" t="s">
        <v>85</v>
      </c>
      <c r="I65" s="191" t="s">
        <v>49</v>
      </c>
      <c r="J65" s="191" t="s">
        <v>46</v>
      </c>
      <c r="K65" s="16" t="s">
        <v>449</v>
      </c>
      <c r="L65" s="194">
        <v>45870</v>
      </c>
      <c r="M65" s="381">
        <f t="shared" si="5"/>
        <v>15</v>
      </c>
      <c r="N65" s="209" t="s">
        <v>49</v>
      </c>
      <c r="O65" s="223">
        <v>21140005</v>
      </c>
      <c r="P65" s="24" t="str">
        <f>VLOOKUP(O65,[1]Feuil2!$A:$M,5,FALSE)</f>
        <v>CAFE PALMA + GENCOD</v>
      </c>
      <c r="Q65" s="191">
        <v>7680</v>
      </c>
      <c r="R65" s="224">
        <v>0.14699999999999999</v>
      </c>
      <c r="S65" s="225">
        <f t="shared" si="0"/>
        <v>1128.96</v>
      </c>
      <c r="T65" s="226">
        <f t="shared" si="8"/>
        <v>43538.259999999987</v>
      </c>
      <c r="U65" s="227"/>
      <c r="V65" s="228">
        <f t="shared" si="2"/>
        <v>43538.259999999987</v>
      </c>
      <c r="W65" s="4">
        <f>VLOOKUP(O65,[1]Feuil2!$A:$M,6,FALSE)</f>
        <v>240</v>
      </c>
      <c r="X65" s="5">
        <f>VLOOKUP(O65,[1]Feuil2!$A:$M,13,FALSE)</f>
        <v>1.4911000000000001E-2</v>
      </c>
      <c r="Y65" s="6">
        <f t="shared" si="10"/>
        <v>0.47715200000000002</v>
      </c>
      <c r="Z65" s="229">
        <f t="shared" si="4"/>
        <v>15.87173875</v>
      </c>
      <c r="AA65" s="23" t="s">
        <v>48</v>
      </c>
      <c r="AB65" s="19" t="s">
        <v>57</v>
      </c>
      <c r="AC65" s="191"/>
      <c r="AD65" s="25" t="s">
        <v>61</v>
      </c>
      <c r="AE65" s="20"/>
      <c r="AF65" s="17"/>
      <c r="AG65" s="21"/>
      <c r="AH65" s="209"/>
      <c r="AI65" s="160">
        <v>45540</v>
      </c>
      <c r="AJ65" s="145">
        <f t="shared" si="11"/>
        <v>332</v>
      </c>
      <c r="AK65" s="100">
        <f>VLOOKUP(AP65,'[3]CONTENEUR PLEIN'!$F:$L,3,FALSE)</f>
        <v>45872</v>
      </c>
      <c r="AL65" s="99">
        <f>VLOOKUP(AP65,'[3]CONTENEUR PLEIN'!$F:$L,5,FALSE)</f>
        <v>45907</v>
      </c>
      <c r="AM65" s="18">
        <f>VLOOKUP(AP65,'[3]CONTENEUR PLEIN'!$F:$L,7,FALSE)</f>
        <v>45918.53125</v>
      </c>
      <c r="AN65" s="191" t="s">
        <v>63</v>
      </c>
      <c r="AO65" s="191" t="s">
        <v>371</v>
      </c>
      <c r="AP65" s="191" t="s">
        <v>372</v>
      </c>
      <c r="AQ65" s="191" t="s">
        <v>373</v>
      </c>
      <c r="AR65" s="191" t="e">
        <f>VLOOKUP(AP65,'[2]CONTENEUR PLEIN'!$F:$L,2,FALSE)</f>
        <v>#N/A</v>
      </c>
      <c r="AS65" s="191" t="s">
        <v>316</v>
      </c>
      <c r="AT65" s="209"/>
    </row>
    <row r="66" spans="1:47" s="72" customFormat="1" ht="15" hidden="1" customHeight="1" x14ac:dyDescent="0.25">
      <c r="A66" s="71"/>
      <c r="B66" s="88" t="s">
        <v>45</v>
      </c>
      <c r="C66" s="89">
        <v>45460</v>
      </c>
      <c r="D66" s="90">
        <v>24050</v>
      </c>
      <c r="E66" s="91" t="s">
        <v>84</v>
      </c>
      <c r="F66" s="90">
        <v>2405281601</v>
      </c>
      <c r="G66" s="90" t="s">
        <v>64</v>
      </c>
      <c r="H66" s="90" t="s">
        <v>85</v>
      </c>
      <c r="I66" s="90" t="s">
        <v>49</v>
      </c>
      <c r="J66" s="90" t="s">
        <v>46</v>
      </c>
      <c r="K66" s="16" t="s">
        <v>122</v>
      </c>
      <c r="L66" s="89">
        <v>45561</v>
      </c>
      <c r="M66" s="381">
        <f t="shared" si="5"/>
        <v>5</v>
      </c>
      <c r="N66" s="98" t="s">
        <v>49</v>
      </c>
      <c r="O66" s="92">
        <v>21300003</v>
      </c>
      <c r="P66" s="24" t="str">
        <f>VLOOKUP(O66,[1]Feuil2!$A:$M,5,FALSE)</f>
        <v>FOURCHETTE EMPREINTE + GENCOD</v>
      </c>
      <c r="Q66" s="90">
        <v>6120</v>
      </c>
      <c r="R66" s="93">
        <v>0.26100000000000001</v>
      </c>
      <c r="S66" s="94">
        <f t="shared" si="0"/>
        <v>1597.3200000000002</v>
      </c>
      <c r="T66" s="95">
        <f t="shared" si="8"/>
        <v>43538.259999999987</v>
      </c>
      <c r="U66" s="138"/>
      <c r="V66" s="96">
        <f t="shared" si="2"/>
        <v>43538.259999999987</v>
      </c>
      <c r="W66" s="4">
        <f>VLOOKUP(O66,[1]Feuil2!$A:$M,6,FALSE)</f>
        <v>120</v>
      </c>
      <c r="X66" s="5">
        <f>VLOOKUP(O66,[1]Feuil2!$A:$M,13,FALSE)</f>
        <v>1.4994E-2</v>
      </c>
      <c r="Y66" s="6">
        <f t="shared" si="10"/>
        <v>0.76469399999999998</v>
      </c>
      <c r="Z66" s="97">
        <f t="shared" si="4"/>
        <v>15.87173875</v>
      </c>
      <c r="AA66" s="23" t="s">
        <v>48</v>
      </c>
      <c r="AB66" s="24" t="s">
        <v>48</v>
      </c>
      <c r="AC66" s="87" t="s">
        <v>55</v>
      </c>
      <c r="AD66" s="19" t="s">
        <v>57</v>
      </c>
      <c r="AE66" s="20">
        <v>45504</v>
      </c>
      <c r="AF66" s="17" t="s">
        <v>98</v>
      </c>
      <c r="AG66" s="40" t="s">
        <v>57</v>
      </c>
      <c r="AH66" s="98" t="s">
        <v>48</v>
      </c>
      <c r="AI66" s="135">
        <v>45540</v>
      </c>
      <c r="AJ66" s="145">
        <f t="shared" si="11"/>
        <v>27</v>
      </c>
      <c r="AK66" s="100">
        <f>VLOOKUP(AP66,'[2]CONTENEUR PLEIN'!$F:$L,3,FALSE)</f>
        <v>45567</v>
      </c>
      <c r="AL66" s="99">
        <f>VLOOKUP(AP66,'[2]CONTENEUR PLEIN'!$F:$L,5,FALSE)</f>
        <v>45622</v>
      </c>
      <c r="AM66" s="18">
        <f>VLOOKUP(AP66,'[2]CONTENEUR PLEIN'!$F:$L,7,FALSE)</f>
        <v>45630.333333333336</v>
      </c>
      <c r="AN66" s="101" t="s">
        <v>63</v>
      </c>
      <c r="AO66" s="87" t="s">
        <v>69</v>
      </c>
      <c r="AP66" s="87" t="s">
        <v>70</v>
      </c>
      <c r="AQ66" s="87"/>
      <c r="AR66" s="87" t="str">
        <f>VLOOKUP(AP66,'[2]CONTENEUR PLEIN'!$F:$L,2,FALSE)</f>
        <v>AL DHAIL</v>
      </c>
      <c r="AS66" s="90" t="s">
        <v>51</v>
      </c>
      <c r="AT66" s="98"/>
    </row>
    <row r="67" spans="1:47" s="72" customFormat="1" ht="15" hidden="1" customHeight="1" x14ac:dyDescent="0.25">
      <c r="A67" s="197"/>
      <c r="B67" s="232" t="s">
        <v>45</v>
      </c>
      <c r="C67" s="194">
        <v>45460</v>
      </c>
      <c r="D67" s="191">
        <v>24050</v>
      </c>
      <c r="E67" s="195" t="s">
        <v>84</v>
      </c>
      <c r="F67" s="191">
        <v>2405281601</v>
      </c>
      <c r="G67" s="191" t="s">
        <v>64</v>
      </c>
      <c r="H67" s="191" t="s">
        <v>85</v>
      </c>
      <c r="I67" s="191" t="s">
        <v>49</v>
      </c>
      <c r="J67" s="191" t="s">
        <v>46</v>
      </c>
      <c r="K67" s="16" t="s">
        <v>449</v>
      </c>
      <c r="L67" s="194">
        <v>45870</v>
      </c>
      <c r="M67" s="381">
        <f t="shared" si="5"/>
        <v>15</v>
      </c>
      <c r="N67" s="209" t="s">
        <v>49</v>
      </c>
      <c r="O67" s="223">
        <v>21300005</v>
      </c>
      <c r="P67" s="24" t="str">
        <f>VLOOKUP(O67,[1]Feuil2!$A:$M,5,FALSE)</f>
        <v>CAFE EMPREINTE + GENCOD</v>
      </c>
      <c r="Q67" s="191">
        <v>8760</v>
      </c>
      <c r="R67" s="224">
        <v>0.159</v>
      </c>
      <c r="S67" s="225">
        <f t="shared" si="0"/>
        <v>1392.84</v>
      </c>
      <c r="T67" s="226">
        <f t="shared" si="8"/>
        <v>43538.259999999987</v>
      </c>
      <c r="U67" s="227"/>
      <c r="V67" s="228">
        <f t="shared" si="2"/>
        <v>43538.259999999987</v>
      </c>
      <c r="W67" s="4">
        <f>VLOOKUP(O67,[1]Feuil2!$A:$M,6,FALSE)</f>
        <v>120</v>
      </c>
      <c r="X67" s="5">
        <f>VLOOKUP(O67,[1]Feuil2!$A:$M,13,FALSE)</f>
        <v>9.4904999999999989E-3</v>
      </c>
      <c r="Y67" s="6">
        <f t="shared" si="10"/>
        <v>0.69280649999999988</v>
      </c>
      <c r="Z67" s="229">
        <f t="shared" si="4"/>
        <v>15.87173875</v>
      </c>
      <c r="AA67" s="23" t="s">
        <v>48</v>
      </c>
      <c r="AB67" s="19" t="s">
        <v>57</v>
      </c>
      <c r="AC67" s="210" t="s">
        <v>55</v>
      </c>
      <c r="AD67" s="19" t="s">
        <v>57</v>
      </c>
      <c r="AE67" s="20">
        <v>45831</v>
      </c>
      <c r="AF67" s="60" t="s">
        <v>326</v>
      </c>
      <c r="AG67" s="21"/>
      <c r="AH67" s="209"/>
      <c r="AI67" s="160">
        <v>45540</v>
      </c>
      <c r="AJ67" s="145">
        <f t="shared" si="11"/>
        <v>332</v>
      </c>
      <c r="AK67" s="100">
        <f>VLOOKUP(AP67,'[3]CONTENEUR PLEIN'!$F:$L,3,FALSE)</f>
        <v>45872</v>
      </c>
      <c r="AL67" s="99">
        <f>VLOOKUP(AP67,'[3]CONTENEUR PLEIN'!$F:$L,5,FALSE)</f>
        <v>45907</v>
      </c>
      <c r="AM67" s="18">
        <f>VLOOKUP(AP67,'[3]CONTENEUR PLEIN'!$F:$L,7,FALSE)</f>
        <v>45918.53125</v>
      </c>
      <c r="AN67" s="191" t="s">
        <v>63</v>
      </c>
      <c r="AO67" s="191" t="s">
        <v>371</v>
      </c>
      <c r="AP67" s="191" t="s">
        <v>372</v>
      </c>
      <c r="AQ67" s="191" t="s">
        <v>373</v>
      </c>
      <c r="AR67" s="191" t="e">
        <f>VLOOKUP(AP67,'[2]CONTENEUR PLEIN'!$F:$L,2,FALSE)</f>
        <v>#N/A</v>
      </c>
      <c r="AS67" s="191" t="s">
        <v>316</v>
      </c>
      <c r="AT67" s="209"/>
    </row>
    <row r="68" spans="1:47" s="72" customFormat="1" ht="15" hidden="1" customHeight="1" x14ac:dyDescent="0.25">
      <c r="A68" s="71"/>
      <c r="B68" s="29" t="s">
        <v>45</v>
      </c>
      <c r="C68" s="48">
        <v>45460</v>
      </c>
      <c r="D68" s="49">
        <v>24050</v>
      </c>
      <c r="E68" s="50" t="s">
        <v>84</v>
      </c>
      <c r="F68" s="49">
        <v>2405281601</v>
      </c>
      <c r="G68" s="49" t="s">
        <v>64</v>
      </c>
      <c r="H68" s="49" t="s">
        <v>85</v>
      </c>
      <c r="I68" s="49" t="s">
        <v>49</v>
      </c>
      <c r="J68" s="49" t="s">
        <v>46</v>
      </c>
      <c r="K68" s="107" t="s">
        <v>71</v>
      </c>
      <c r="L68" s="49" t="s">
        <v>47</v>
      </c>
      <c r="M68" s="382" t="e">
        <f t="shared" si="5"/>
        <v>#VALUE!</v>
      </c>
      <c r="N68" s="57" t="s">
        <v>49</v>
      </c>
      <c r="O68" s="51">
        <v>21450002</v>
      </c>
      <c r="P68" s="30" t="str">
        <f>VLOOKUP(O68,[1]Feuil2!$A:$M,5,FALSE)</f>
        <v>FOURCHETTE RIVAGE EN BOITE PEGBOARDABLE</v>
      </c>
      <c r="Q68" s="49">
        <f>1584-1224</f>
        <v>360</v>
      </c>
      <c r="R68" s="52">
        <v>0</v>
      </c>
      <c r="S68" s="53">
        <f t="shared" si="0"/>
        <v>0</v>
      </c>
      <c r="T68" s="31">
        <f t="shared" ref="T68:T87" si="12">SUMIF($E$5:$E$79,E68,$S$5:$S$79)</f>
        <v>43538.259999999987</v>
      </c>
      <c r="U68" s="140"/>
      <c r="V68" s="32">
        <f t="shared" si="2"/>
        <v>43538.259999999987</v>
      </c>
      <c r="W68" s="33">
        <f>VLOOKUP(O68,[1]Feuil2!$A:$M,6,FALSE)</f>
        <v>72</v>
      </c>
      <c r="X68" s="34">
        <f>VLOOKUP(O68,[1]Feuil2!$A:$M,13,FALSE)</f>
        <v>1.1220000000000001E-2</v>
      </c>
      <c r="Y68" s="35">
        <f t="shared" si="10"/>
        <v>5.6100000000000004E-2</v>
      </c>
      <c r="Z68" s="36">
        <f t="shared" si="4"/>
        <v>15.87173875</v>
      </c>
      <c r="AA68" s="58" t="s">
        <v>61</v>
      </c>
      <c r="AB68" s="54" t="s">
        <v>61</v>
      </c>
      <c r="AC68" s="30" t="s">
        <v>55</v>
      </c>
      <c r="AD68" s="54" t="s">
        <v>61</v>
      </c>
      <c r="AE68" s="48"/>
      <c r="AF68" s="108"/>
      <c r="AG68" s="55"/>
      <c r="AH68" s="57"/>
      <c r="AI68" s="136">
        <v>45540</v>
      </c>
      <c r="AJ68" s="137" t="s">
        <v>49</v>
      </c>
      <c r="AK68" s="56" t="s">
        <v>46</v>
      </c>
      <c r="AL68" s="37" t="s">
        <v>46</v>
      </c>
      <c r="AM68" s="37" t="s">
        <v>46</v>
      </c>
      <c r="AN68" s="49" t="s">
        <v>63</v>
      </c>
      <c r="AO68" s="37" t="s">
        <v>46</v>
      </c>
      <c r="AP68" s="37" t="s">
        <v>46</v>
      </c>
      <c r="AQ68" s="37" t="s">
        <v>46</v>
      </c>
      <c r="AR68" s="37" t="s">
        <v>46</v>
      </c>
      <c r="AS68" s="37" t="s">
        <v>46</v>
      </c>
      <c r="AT68" s="39" t="s">
        <v>46</v>
      </c>
    </row>
    <row r="69" spans="1:47" s="72" customFormat="1" ht="15" hidden="1" customHeight="1" x14ac:dyDescent="0.25">
      <c r="A69" s="71"/>
      <c r="B69" s="88" t="s">
        <v>45</v>
      </c>
      <c r="C69" s="89">
        <v>45460</v>
      </c>
      <c r="D69" s="90">
        <v>24050</v>
      </c>
      <c r="E69" s="91" t="s">
        <v>84</v>
      </c>
      <c r="F69" s="90">
        <v>2405281601</v>
      </c>
      <c r="G69" s="90" t="s">
        <v>64</v>
      </c>
      <c r="H69" s="90" t="s">
        <v>85</v>
      </c>
      <c r="I69" s="90" t="s">
        <v>49</v>
      </c>
      <c r="J69" s="90" t="s">
        <v>46</v>
      </c>
      <c r="K69" s="16" t="s">
        <v>134</v>
      </c>
      <c r="L69" s="89">
        <v>45630</v>
      </c>
      <c r="M69" s="381">
        <f t="shared" si="5"/>
        <v>6</v>
      </c>
      <c r="N69" s="98" t="s">
        <v>49</v>
      </c>
      <c r="O69" s="92">
        <v>21450002</v>
      </c>
      <c r="P69" s="24" t="str">
        <f>VLOOKUP(O69,[1]Feuil2!$A:$M,5,FALSE)</f>
        <v>FOURCHETTE RIVAGE EN BOITE PEGBOARDABLE</v>
      </c>
      <c r="Q69" s="90">
        <v>1224</v>
      </c>
      <c r="R69" s="93">
        <v>0.315</v>
      </c>
      <c r="S69" s="94">
        <f t="shared" ref="S69:S132" si="13">Q69*R69</f>
        <v>385.56</v>
      </c>
      <c r="T69" s="95">
        <f t="shared" si="12"/>
        <v>43538.259999999987</v>
      </c>
      <c r="U69" s="138"/>
      <c r="V69" s="96">
        <f t="shared" ref="V69:V132" si="14">U69+T69</f>
        <v>43538.259999999987</v>
      </c>
      <c r="W69" s="4">
        <f>VLOOKUP(O69,[1]Feuil2!$A:$M,6,FALSE)</f>
        <v>72</v>
      </c>
      <c r="X69" s="5">
        <f>VLOOKUP(O69,[1]Feuil2!$A:$M,13,FALSE)</f>
        <v>1.1220000000000001E-2</v>
      </c>
      <c r="Y69" s="6">
        <f t="shared" ref="Y69:Y73" si="15">(Q69/W69)*X69</f>
        <v>0.19074000000000002</v>
      </c>
      <c r="Z69" s="97">
        <f t="shared" ref="Z69:Z132" si="16">SUMIF($E:$E,E69,$Y:$Y)</f>
        <v>15.87173875</v>
      </c>
      <c r="AA69" s="68" t="s">
        <v>48</v>
      </c>
      <c r="AB69" s="67" t="s">
        <v>48</v>
      </c>
      <c r="AC69" s="87" t="s">
        <v>55</v>
      </c>
      <c r="AD69" s="19" t="s">
        <v>57</v>
      </c>
      <c r="AE69" s="20">
        <v>45599</v>
      </c>
      <c r="AF69" s="17" t="s">
        <v>99</v>
      </c>
      <c r="AG69" s="40" t="s">
        <v>57</v>
      </c>
      <c r="AH69" s="98" t="s">
        <v>48</v>
      </c>
      <c r="AI69" s="135">
        <v>45540</v>
      </c>
      <c r="AJ69" s="145">
        <f>DATEDIF(AI69,$AK69,"D")</f>
        <v>77</v>
      </c>
      <c r="AK69" s="100">
        <f>VLOOKUP(AP69,'[3]CONTENEUR PLEIN'!$F:$L,3,FALSE)</f>
        <v>45617</v>
      </c>
      <c r="AL69" s="99">
        <f>VLOOKUP(AP69,'[3]CONTENEUR PLEIN'!$F:$L,5,FALSE)</f>
        <v>45653</v>
      </c>
      <c r="AM69" s="18">
        <f>VLOOKUP(AP69,'[3]CONTENEUR PLEIN'!$F:$L,7,FALSE)</f>
        <v>45670.333333333336</v>
      </c>
      <c r="AN69" s="90" t="s">
        <v>63</v>
      </c>
      <c r="AO69" s="90" t="s">
        <v>77</v>
      </c>
      <c r="AP69" s="90" t="s">
        <v>78</v>
      </c>
      <c r="AQ69" s="90"/>
      <c r="AR69" s="90" t="e">
        <f>VLOOKUP(AP69,'[2]CONTENEUR PLEIN'!$F:$L,2,FALSE)</f>
        <v>#N/A</v>
      </c>
      <c r="AS69" s="90" t="s">
        <v>51</v>
      </c>
      <c r="AT69" s="98"/>
      <c r="AU69" s="181"/>
    </row>
    <row r="70" spans="1:47" s="72" customFormat="1" ht="15" hidden="1" customHeight="1" x14ac:dyDescent="0.25">
      <c r="A70" s="71"/>
      <c r="B70" s="88" t="s">
        <v>45</v>
      </c>
      <c r="C70" s="89">
        <v>45460</v>
      </c>
      <c r="D70" s="90">
        <v>24050</v>
      </c>
      <c r="E70" s="91" t="s">
        <v>84</v>
      </c>
      <c r="F70" s="90">
        <v>2405281601</v>
      </c>
      <c r="G70" s="90" t="s">
        <v>64</v>
      </c>
      <c r="H70" s="90" t="s">
        <v>85</v>
      </c>
      <c r="I70" s="90" t="s">
        <v>49</v>
      </c>
      <c r="J70" s="90" t="s">
        <v>46</v>
      </c>
      <c r="K70" s="16" t="s">
        <v>134</v>
      </c>
      <c r="L70" s="89">
        <v>45630</v>
      </c>
      <c r="M70" s="381">
        <f t="shared" si="5"/>
        <v>6</v>
      </c>
      <c r="N70" s="98" t="s">
        <v>49</v>
      </c>
      <c r="O70" s="92">
        <v>21450008</v>
      </c>
      <c r="P70" s="24" t="str">
        <f>VLOOKUP(O70,[1]Feuil2!$A:$M,5,FALSE)</f>
        <v>CUILLERE DESSERT RIVAGE EN BOITE PEGBOARDABLE</v>
      </c>
      <c r="Q70" s="90">
        <v>1656</v>
      </c>
      <c r="R70" s="93">
        <v>0.215</v>
      </c>
      <c r="S70" s="94">
        <f t="shared" si="13"/>
        <v>356.04</v>
      </c>
      <c r="T70" s="95">
        <f t="shared" si="12"/>
        <v>43538.259999999987</v>
      </c>
      <c r="U70" s="138"/>
      <c r="V70" s="96">
        <f t="shared" si="14"/>
        <v>43538.259999999987</v>
      </c>
      <c r="W70" s="4">
        <f>VLOOKUP(O70,[1]Feuil2!$A:$M,6,FALSE)</f>
        <v>72</v>
      </c>
      <c r="X70" s="5">
        <f>VLOOKUP(O70,[1]Feuil2!$A:$M,13,FALSE)</f>
        <v>1.2413499999999999E-2</v>
      </c>
      <c r="Y70" s="6">
        <f t="shared" si="15"/>
        <v>0.2855105</v>
      </c>
      <c r="Z70" s="97">
        <f t="shared" si="16"/>
        <v>15.87173875</v>
      </c>
      <c r="AA70" s="67" t="s">
        <v>48</v>
      </c>
      <c r="AB70" s="67" t="s">
        <v>48</v>
      </c>
      <c r="AC70" s="87" t="s">
        <v>55</v>
      </c>
      <c r="AD70" s="19" t="s">
        <v>57</v>
      </c>
      <c r="AE70" s="20">
        <v>45599</v>
      </c>
      <c r="AF70" s="17" t="s">
        <v>100</v>
      </c>
      <c r="AG70" s="40" t="s">
        <v>57</v>
      </c>
      <c r="AH70" s="90" t="s">
        <v>48</v>
      </c>
      <c r="AI70" s="135">
        <v>45540</v>
      </c>
      <c r="AJ70" s="145">
        <f>DATEDIF(AI70,$AK70,"D")</f>
        <v>77</v>
      </c>
      <c r="AK70" s="100">
        <f>VLOOKUP(AP70,'[3]CONTENEUR PLEIN'!$F:$L,3,FALSE)</f>
        <v>45617</v>
      </c>
      <c r="AL70" s="99">
        <f>VLOOKUP(AP70,'[3]CONTENEUR PLEIN'!$F:$L,5,FALSE)</f>
        <v>45653</v>
      </c>
      <c r="AM70" s="18">
        <f>VLOOKUP(AP70,'[3]CONTENEUR PLEIN'!$F:$L,7,FALSE)</f>
        <v>45670.333333333336</v>
      </c>
      <c r="AN70" s="90" t="s">
        <v>63</v>
      </c>
      <c r="AO70" s="90" t="s">
        <v>77</v>
      </c>
      <c r="AP70" s="90" t="s">
        <v>78</v>
      </c>
      <c r="AQ70" s="90"/>
      <c r="AR70" s="90" t="e">
        <f>VLOOKUP(AP70,'[2]CONTENEUR PLEIN'!$F:$L,2,FALSE)</f>
        <v>#N/A</v>
      </c>
      <c r="AS70" s="90" t="s">
        <v>51</v>
      </c>
      <c r="AT70" s="90"/>
    </row>
    <row r="71" spans="1:47" s="72" customFormat="1" ht="15" hidden="1" customHeight="1" x14ac:dyDescent="0.25">
      <c r="A71" s="71"/>
      <c r="B71" s="88" t="s">
        <v>45</v>
      </c>
      <c r="C71" s="89">
        <v>45460</v>
      </c>
      <c r="D71" s="90">
        <v>24050</v>
      </c>
      <c r="E71" s="91" t="s">
        <v>84</v>
      </c>
      <c r="F71" s="90">
        <v>2405281601</v>
      </c>
      <c r="G71" s="90" t="s">
        <v>64</v>
      </c>
      <c r="H71" s="90" t="s">
        <v>85</v>
      </c>
      <c r="I71" s="90" t="s">
        <v>49</v>
      </c>
      <c r="J71" s="90" t="s">
        <v>46</v>
      </c>
      <c r="K71" s="16" t="s">
        <v>122</v>
      </c>
      <c r="L71" s="89">
        <v>45561</v>
      </c>
      <c r="M71" s="381">
        <f t="shared" si="5"/>
        <v>5</v>
      </c>
      <c r="N71" s="98" t="s">
        <v>49</v>
      </c>
      <c r="O71" s="92">
        <v>21460013</v>
      </c>
      <c r="P71" s="24" t="str">
        <f>VLOOKUP(O71,[1]Feuil2!$A:$M,5,FALSE)</f>
        <v>CAFE FUSEAU + GENCOD</v>
      </c>
      <c r="Q71" s="90">
        <v>2304</v>
      </c>
      <c r="R71" s="93">
        <v>0.187</v>
      </c>
      <c r="S71" s="94">
        <f t="shared" si="13"/>
        <v>430.84800000000001</v>
      </c>
      <c r="T71" s="95">
        <f t="shared" si="12"/>
        <v>43538.259999999987</v>
      </c>
      <c r="U71" s="138"/>
      <c r="V71" s="96">
        <f t="shared" si="14"/>
        <v>43538.259999999987</v>
      </c>
      <c r="W71" s="4">
        <f>VLOOKUP(O71,[1]Feuil2!$A:$M,6,FALSE)</f>
        <v>144</v>
      </c>
      <c r="X71" s="5">
        <f>VLOOKUP(O71,[1]Feuil2!$A:$M,13,FALSE)</f>
        <v>5.94E-3</v>
      </c>
      <c r="Y71" s="6">
        <f t="shared" si="15"/>
        <v>9.5039999999999999E-2</v>
      </c>
      <c r="Z71" s="97">
        <f t="shared" si="16"/>
        <v>15.87173875</v>
      </c>
      <c r="AA71" s="23" t="s">
        <v>48</v>
      </c>
      <c r="AB71" s="24" t="s">
        <v>48</v>
      </c>
      <c r="AC71" s="87" t="s">
        <v>55</v>
      </c>
      <c r="AD71" s="19" t="s">
        <v>57</v>
      </c>
      <c r="AE71" s="20">
        <v>45541</v>
      </c>
      <c r="AF71" s="17" t="s">
        <v>90</v>
      </c>
      <c r="AG71" s="40" t="s">
        <v>57</v>
      </c>
      <c r="AH71" s="98" t="s">
        <v>48</v>
      </c>
      <c r="AI71" s="135">
        <v>45540</v>
      </c>
      <c r="AJ71" s="145">
        <f>DATEDIF(AI71,$AK71,"D")</f>
        <v>27</v>
      </c>
      <c r="AK71" s="100">
        <f>VLOOKUP(AP71,'[2]CONTENEUR PLEIN'!$F:$L,3,FALSE)</f>
        <v>45567</v>
      </c>
      <c r="AL71" s="99">
        <f>VLOOKUP(AP71,'[2]CONTENEUR PLEIN'!$F:$L,5,FALSE)</f>
        <v>45622</v>
      </c>
      <c r="AM71" s="18">
        <f>VLOOKUP(AP71,'[2]CONTENEUR PLEIN'!$F:$L,7,FALSE)</f>
        <v>45630.333333333336</v>
      </c>
      <c r="AN71" s="101" t="s">
        <v>63</v>
      </c>
      <c r="AO71" s="87" t="s">
        <v>69</v>
      </c>
      <c r="AP71" s="87" t="s">
        <v>70</v>
      </c>
      <c r="AQ71" s="87"/>
      <c r="AR71" s="87" t="str">
        <f>VLOOKUP(AP71,'[2]CONTENEUR PLEIN'!$F:$L,2,FALSE)</f>
        <v>AL DHAIL</v>
      </c>
      <c r="AS71" s="90" t="s">
        <v>51</v>
      </c>
      <c r="AT71" s="98"/>
    </row>
    <row r="72" spans="1:47" s="72" customFormat="1" ht="15" hidden="1" customHeight="1" x14ac:dyDescent="0.25">
      <c r="A72" s="71"/>
      <c r="B72" s="29" t="s">
        <v>45</v>
      </c>
      <c r="C72" s="48">
        <v>45460</v>
      </c>
      <c r="D72" s="49">
        <v>24050</v>
      </c>
      <c r="E72" s="50" t="s">
        <v>84</v>
      </c>
      <c r="F72" s="49">
        <v>2405281601</v>
      </c>
      <c r="G72" s="49" t="s">
        <v>64</v>
      </c>
      <c r="H72" s="49" t="s">
        <v>85</v>
      </c>
      <c r="I72" s="49" t="s">
        <v>49</v>
      </c>
      <c r="J72" s="49" t="s">
        <v>46</v>
      </c>
      <c r="K72" s="262" t="s">
        <v>71</v>
      </c>
      <c r="L72" s="49" t="s">
        <v>47</v>
      </c>
      <c r="M72" s="382" t="e">
        <f t="shared" ref="M72:M135" si="17">DATEDIF(C72,AM72,"M")</f>
        <v>#N/A</v>
      </c>
      <c r="N72" s="57" t="s">
        <v>49</v>
      </c>
      <c r="O72" s="51">
        <v>21480002</v>
      </c>
      <c r="P72" s="30" t="str">
        <f>VLOOKUP(O72,[1]Feuil2!$A:$M,5,FALSE)</f>
        <v>FOURCHETTE BASIQUE</v>
      </c>
      <c r="Q72" s="49">
        <v>3456</v>
      </c>
      <c r="R72" s="52">
        <v>0.12</v>
      </c>
      <c r="S72" s="53">
        <f t="shared" si="13"/>
        <v>414.71999999999997</v>
      </c>
      <c r="T72" s="31">
        <f t="shared" si="12"/>
        <v>43538.259999999987</v>
      </c>
      <c r="U72" s="140"/>
      <c r="V72" s="32">
        <f t="shared" si="14"/>
        <v>43538.259999999987</v>
      </c>
      <c r="W72" s="33">
        <f>VLOOKUP(O72,[1]Feuil2!$A:$M,6,FALSE)</f>
        <v>288</v>
      </c>
      <c r="X72" s="34">
        <f>VLOOKUP(O72,[1]Feuil2!$A:$M,13,FALSE)</f>
        <v>8.7067499999999992E-3</v>
      </c>
      <c r="Y72" s="35">
        <f t="shared" si="15"/>
        <v>0.10448099999999999</v>
      </c>
      <c r="Z72" s="36">
        <f t="shared" si="16"/>
        <v>15.87173875</v>
      </c>
      <c r="AA72" s="54" t="s">
        <v>61</v>
      </c>
      <c r="AB72" s="54" t="s">
        <v>61</v>
      </c>
      <c r="AC72" s="30" t="s">
        <v>55</v>
      </c>
      <c r="AD72" s="54" t="s">
        <v>57</v>
      </c>
      <c r="AE72" s="48"/>
      <c r="AF72" s="108"/>
      <c r="AG72" s="55"/>
      <c r="AH72" s="49"/>
      <c r="AI72" s="182">
        <v>45540</v>
      </c>
      <c r="AJ72" s="137" t="s">
        <v>49</v>
      </c>
      <c r="AK72" s="56" t="e">
        <f>VLOOKUP(AP72,'[2]CONTENEUR PLEIN'!$F:$L,3,FALSE)</f>
        <v>#N/A</v>
      </c>
      <c r="AL72" s="37" t="e">
        <f>VLOOKUP(AP72,'[2]CONTENEUR PLEIN'!$F:$L,5,FALSE)</f>
        <v>#N/A</v>
      </c>
      <c r="AM72" s="38" t="e">
        <f>VLOOKUP(AP72,'[2]CONTENEUR PLEIN'!$F:$L,7,FALSE)</f>
        <v>#N/A</v>
      </c>
      <c r="AN72" s="49" t="s">
        <v>63</v>
      </c>
      <c r="AO72" s="49"/>
      <c r="AP72" s="49"/>
      <c r="AQ72" s="49"/>
      <c r="AR72" s="49" t="e">
        <f>VLOOKUP(AP72,'[2]CONTENEUR PLEIN'!$F:$L,2,FALSE)</f>
        <v>#N/A</v>
      </c>
      <c r="AS72" s="49"/>
      <c r="AT72" s="49"/>
    </row>
    <row r="73" spans="1:47" s="72" customFormat="1" ht="15" hidden="1" customHeight="1" x14ac:dyDescent="0.25">
      <c r="A73" s="71"/>
      <c r="B73" s="29" t="s">
        <v>45</v>
      </c>
      <c r="C73" s="48">
        <v>45460</v>
      </c>
      <c r="D73" s="49">
        <v>24050</v>
      </c>
      <c r="E73" s="50" t="s">
        <v>84</v>
      </c>
      <c r="F73" s="49">
        <v>2405281601</v>
      </c>
      <c r="G73" s="49" t="s">
        <v>64</v>
      </c>
      <c r="H73" s="49" t="s">
        <v>85</v>
      </c>
      <c r="I73" s="49" t="s">
        <v>49</v>
      </c>
      <c r="J73" s="49" t="s">
        <v>46</v>
      </c>
      <c r="K73" s="262" t="s">
        <v>71</v>
      </c>
      <c r="L73" s="49" t="s">
        <v>47</v>
      </c>
      <c r="M73" s="382" t="e">
        <f t="shared" si="17"/>
        <v>#N/A</v>
      </c>
      <c r="N73" s="57" t="s">
        <v>49</v>
      </c>
      <c r="O73" s="51">
        <v>21480004</v>
      </c>
      <c r="P73" s="30" t="str">
        <f>VLOOKUP(O73,[1]Feuil2!$A:$M,5,FALSE)</f>
        <v>CAFE BASIQUE</v>
      </c>
      <c r="Q73" s="49">
        <v>4608</v>
      </c>
      <c r="R73" s="52">
        <v>5.5E-2</v>
      </c>
      <c r="S73" s="53">
        <f t="shared" si="13"/>
        <v>253.44</v>
      </c>
      <c r="T73" s="31">
        <f t="shared" si="12"/>
        <v>43538.259999999987</v>
      </c>
      <c r="U73" s="140"/>
      <c r="V73" s="32">
        <f t="shared" si="14"/>
        <v>43538.259999999987</v>
      </c>
      <c r="W73" s="33">
        <f>VLOOKUP(O73,[1]Feuil2!$A:$M,6,FALSE)</f>
        <v>288</v>
      </c>
      <c r="X73" s="34">
        <f>VLOOKUP(O73,[1]Feuil2!$A:$M,13,FALSE)</f>
        <v>7.0719999999999993E-3</v>
      </c>
      <c r="Y73" s="35">
        <f t="shared" si="15"/>
        <v>0.11315199999999999</v>
      </c>
      <c r="Z73" s="36">
        <f t="shared" si="16"/>
        <v>15.87173875</v>
      </c>
      <c r="AA73" s="235" t="s">
        <v>61</v>
      </c>
      <c r="AB73" s="55" t="s">
        <v>61</v>
      </c>
      <c r="AC73" s="30" t="s">
        <v>55</v>
      </c>
      <c r="AD73" s="54" t="s">
        <v>57</v>
      </c>
      <c r="AE73" s="48"/>
      <c r="AF73" s="108"/>
      <c r="AG73" s="55"/>
      <c r="AH73" s="57"/>
      <c r="AI73" s="182">
        <v>45540</v>
      </c>
      <c r="AJ73" s="137" t="s">
        <v>49</v>
      </c>
      <c r="AK73" s="56" t="e">
        <f>VLOOKUP(AP73,'[2]CONTENEUR PLEIN'!$F:$L,3,FALSE)</f>
        <v>#N/A</v>
      </c>
      <c r="AL73" s="37" t="e">
        <f>VLOOKUP(AP73,'[2]CONTENEUR PLEIN'!$F:$L,5,FALSE)</f>
        <v>#N/A</v>
      </c>
      <c r="AM73" s="38" t="e">
        <f>VLOOKUP(AP73,'[2]CONTENEUR PLEIN'!$F:$L,7,FALSE)</f>
        <v>#N/A</v>
      </c>
      <c r="AN73" s="49" t="s">
        <v>63</v>
      </c>
      <c r="AO73" s="49"/>
      <c r="AP73" s="49"/>
      <c r="AQ73" s="49"/>
      <c r="AR73" s="49" t="e">
        <f>VLOOKUP(AP73,'[2]CONTENEUR PLEIN'!$F:$L,2,FALSE)</f>
        <v>#N/A</v>
      </c>
      <c r="AS73" s="49"/>
      <c r="AT73" s="57"/>
    </row>
    <row r="74" spans="1:47" s="72" customFormat="1" hidden="1" x14ac:dyDescent="0.25">
      <c r="A74" s="61"/>
      <c r="B74" s="29" t="s">
        <v>45</v>
      </c>
      <c r="C74" s="48">
        <v>45460</v>
      </c>
      <c r="D74" s="49">
        <v>24050</v>
      </c>
      <c r="E74" s="50" t="s">
        <v>84</v>
      </c>
      <c r="F74" s="49">
        <v>2405281601</v>
      </c>
      <c r="G74" s="49" t="s">
        <v>64</v>
      </c>
      <c r="H74" s="49" t="s">
        <v>85</v>
      </c>
      <c r="I74" s="49" t="s">
        <v>49</v>
      </c>
      <c r="J74" s="49" t="s">
        <v>46</v>
      </c>
      <c r="K74" s="107" t="s">
        <v>71</v>
      </c>
      <c r="L74" s="49" t="s">
        <v>47</v>
      </c>
      <c r="M74" s="382" t="e">
        <f t="shared" si="17"/>
        <v>#VALUE!</v>
      </c>
      <c r="N74" s="57" t="s">
        <v>49</v>
      </c>
      <c r="O74" s="51">
        <v>21549909</v>
      </c>
      <c r="P74" s="30" t="str">
        <f>VLOOKUP(O74,[1]Feuil2!$A:$M,5,FALSE)</f>
        <v>COUTEAU  BAGATELLE FINITION POLI MIROIR VRAC + GENCOD</v>
      </c>
      <c r="Q74" s="49">
        <v>3600</v>
      </c>
      <c r="R74" s="52">
        <v>0</v>
      </c>
      <c r="S74" s="53">
        <f t="shared" si="13"/>
        <v>0</v>
      </c>
      <c r="T74" s="54">
        <f t="shared" si="12"/>
        <v>43538.259999999987</v>
      </c>
      <c r="U74" s="142">
        <v>0</v>
      </c>
      <c r="V74" s="169">
        <f t="shared" si="14"/>
        <v>43538.259999999987</v>
      </c>
      <c r="W74" s="63">
        <f>VLOOKUP(O74,[1]Feuil2!$A:$M,6,FALSE)</f>
        <v>120</v>
      </c>
      <c r="X74" s="34">
        <f>VLOOKUP(O74,[1]Feuil2!$A:$M,13,FALSE)</f>
        <v>1.6348750000000002E-2</v>
      </c>
      <c r="Y74" s="64">
        <v>0</v>
      </c>
      <c r="Z74" s="65">
        <f t="shared" si="16"/>
        <v>15.87173875</v>
      </c>
      <c r="AA74" s="54" t="s">
        <v>61</v>
      </c>
      <c r="AB74" s="54" t="s">
        <v>61</v>
      </c>
      <c r="AC74" s="37" t="s">
        <v>46</v>
      </c>
      <c r="AD74" s="54" t="s">
        <v>61</v>
      </c>
      <c r="AE74" s="37" t="s">
        <v>46</v>
      </c>
      <c r="AF74" s="38" t="s">
        <v>46</v>
      </c>
      <c r="AG74" s="37" t="s">
        <v>46</v>
      </c>
      <c r="AH74" s="37" t="s">
        <v>46</v>
      </c>
      <c r="AI74" s="136">
        <v>45503</v>
      </c>
      <c r="AJ74" s="137" t="s">
        <v>49</v>
      </c>
      <c r="AK74" s="56" t="s">
        <v>46</v>
      </c>
      <c r="AL74" s="37" t="s">
        <v>46</v>
      </c>
      <c r="AM74" s="37" t="s">
        <v>46</v>
      </c>
      <c r="AN74" s="49" t="s">
        <v>63</v>
      </c>
      <c r="AO74" s="37" t="s">
        <v>46</v>
      </c>
      <c r="AP74" s="37" t="s">
        <v>46</v>
      </c>
      <c r="AQ74" s="37" t="s">
        <v>46</v>
      </c>
      <c r="AR74" s="37" t="s">
        <v>46</v>
      </c>
      <c r="AS74" s="37" t="s">
        <v>46</v>
      </c>
      <c r="AT74" s="37" t="s">
        <v>46</v>
      </c>
    </row>
    <row r="75" spans="1:47" s="72" customFormat="1" ht="15" hidden="1" customHeight="1" x14ac:dyDescent="0.25">
      <c r="A75" s="61"/>
      <c r="B75" s="29" t="s">
        <v>45</v>
      </c>
      <c r="C75" s="48">
        <v>45460</v>
      </c>
      <c r="D75" s="49">
        <v>24050</v>
      </c>
      <c r="E75" s="50" t="s">
        <v>84</v>
      </c>
      <c r="F75" s="49">
        <v>2405281601</v>
      </c>
      <c r="G75" s="49" t="s">
        <v>64</v>
      </c>
      <c r="H75" s="49" t="s">
        <v>85</v>
      </c>
      <c r="I75" s="49" t="s">
        <v>49</v>
      </c>
      <c r="J75" s="49" t="s">
        <v>46</v>
      </c>
      <c r="K75" s="107" t="s">
        <v>71</v>
      </c>
      <c r="L75" s="49" t="s">
        <v>47</v>
      </c>
      <c r="M75" s="382" t="e">
        <f t="shared" si="17"/>
        <v>#VALUE!</v>
      </c>
      <c r="N75" s="57" t="s">
        <v>49</v>
      </c>
      <c r="O75" s="51">
        <v>21549910</v>
      </c>
      <c r="P75" s="30" t="str">
        <f>VLOOKUP(O75,[1]Feuil2!$A:$M,5,FALSE)</f>
        <v>FOURCHETTE BAGATELLE FINITION POLI MIROIR VRAC + GENCOD</v>
      </c>
      <c r="Q75" s="49">
        <v>8160</v>
      </c>
      <c r="R75" s="52">
        <v>0</v>
      </c>
      <c r="S75" s="53">
        <f t="shared" si="13"/>
        <v>0</v>
      </c>
      <c r="T75" s="54">
        <f t="shared" si="12"/>
        <v>43538.259999999987</v>
      </c>
      <c r="U75" s="142">
        <v>0</v>
      </c>
      <c r="V75" s="169">
        <f t="shared" si="14"/>
        <v>43538.259999999987</v>
      </c>
      <c r="W75" s="63">
        <f>VLOOKUP(O75,[1]Feuil2!$A:$M,6,FALSE)</f>
        <v>240</v>
      </c>
      <c r="X75" s="34">
        <f>VLOOKUP(O75,[1]Feuil2!$A:$M,13,FALSE)</f>
        <v>2.8125000000000001E-2</v>
      </c>
      <c r="Y75" s="64">
        <v>0</v>
      </c>
      <c r="Z75" s="65">
        <f t="shared" si="16"/>
        <v>15.87173875</v>
      </c>
      <c r="AA75" s="58" t="s">
        <v>61</v>
      </c>
      <c r="AB75" s="54" t="s">
        <v>61</v>
      </c>
      <c r="AC75" s="37" t="s">
        <v>46</v>
      </c>
      <c r="AD75" s="54" t="s">
        <v>61</v>
      </c>
      <c r="AE75" s="37" t="s">
        <v>46</v>
      </c>
      <c r="AF75" s="38" t="s">
        <v>46</v>
      </c>
      <c r="AG75" s="37" t="s">
        <v>46</v>
      </c>
      <c r="AH75" s="39" t="s">
        <v>46</v>
      </c>
      <c r="AI75" s="136">
        <v>45503</v>
      </c>
      <c r="AJ75" s="137" t="s">
        <v>49</v>
      </c>
      <c r="AK75" s="56" t="s">
        <v>46</v>
      </c>
      <c r="AL75" s="37" t="s">
        <v>46</v>
      </c>
      <c r="AM75" s="37" t="s">
        <v>46</v>
      </c>
      <c r="AN75" s="49" t="s">
        <v>63</v>
      </c>
      <c r="AO75" s="37" t="s">
        <v>46</v>
      </c>
      <c r="AP75" s="37" t="s">
        <v>46</v>
      </c>
      <c r="AQ75" s="37" t="s">
        <v>46</v>
      </c>
      <c r="AR75" s="37" t="s">
        <v>46</v>
      </c>
      <c r="AS75" s="37" t="s">
        <v>46</v>
      </c>
      <c r="AT75" s="39" t="s">
        <v>46</v>
      </c>
    </row>
    <row r="76" spans="1:47" s="72" customFormat="1" hidden="1" x14ac:dyDescent="0.25">
      <c r="A76" s="71"/>
      <c r="B76" s="29" t="s">
        <v>45</v>
      </c>
      <c r="C76" s="48">
        <v>45460</v>
      </c>
      <c r="D76" s="49">
        <v>24050</v>
      </c>
      <c r="E76" s="50" t="s">
        <v>84</v>
      </c>
      <c r="F76" s="49">
        <v>2405281601</v>
      </c>
      <c r="G76" s="49" t="s">
        <v>64</v>
      </c>
      <c r="H76" s="49" t="s">
        <v>85</v>
      </c>
      <c r="I76" s="49" t="s">
        <v>49</v>
      </c>
      <c r="J76" s="49" t="s">
        <v>46</v>
      </c>
      <c r="K76" s="107" t="s">
        <v>71</v>
      </c>
      <c r="L76" s="49" t="s">
        <v>47</v>
      </c>
      <c r="M76" s="382" t="e">
        <f t="shared" si="17"/>
        <v>#VALUE!</v>
      </c>
      <c r="N76" s="57" t="s">
        <v>49</v>
      </c>
      <c r="O76" s="51">
        <v>21549911</v>
      </c>
      <c r="P76" s="30" t="str">
        <f>VLOOKUP(O76,[1]Feuil2!$A:$M,5,FALSE)</f>
        <v>CUILLERE BAGATELLE FINITION POLI MIROIR VRAC + GENCOD</v>
      </c>
      <c r="Q76" s="49">
        <v>3600</v>
      </c>
      <c r="R76" s="52">
        <v>0</v>
      </c>
      <c r="S76" s="53">
        <f t="shared" si="13"/>
        <v>0</v>
      </c>
      <c r="T76" s="54">
        <f t="shared" si="12"/>
        <v>43538.259999999987</v>
      </c>
      <c r="U76" s="142">
        <v>0</v>
      </c>
      <c r="V76" s="169">
        <f t="shared" si="14"/>
        <v>43538.259999999987</v>
      </c>
      <c r="W76" s="63">
        <f>VLOOKUP(O76,[1]Feuil2!$A:$M,6,FALSE)</f>
        <v>240</v>
      </c>
      <c r="X76" s="34">
        <f>VLOOKUP(O76,[1]Feuil2!$A:$M,13,FALSE)</f>
        <v>2.8924999999999999E-2</v>
      </c>
      <c r="Y76" s="64">
        <v>0</v>
      </c>
      <c r="Z76" s="65">
        <f t="shared" si="16"/>
        <v>15.87173875</v>
      </c>
      <c r="AA76" s="54" t="s">
        <v>61</v>
      </c>
      <c r="AB76" s="54" t="s">
        <v>61</v>
      </c>
      <c r="AC76" s="37" t="s">
        <v>46</v>
      </c>
      <c r="AD76" s="54" t="s">
        <v>61</v>
      </c>
      <c r="AE76" s="37" t="s">
        <v>46</v>
      </c>
      <c r="AF76" s="38" t="s">
        <v>46</v>
      </c>
      <c r="AG76" s="37" t="s">
        <v>46</v>
      </c>
      <c r="AH76" s="37" t="s">
        <v>46</v>
      </c>
      <c r="AI76" s="136">
        <v>45503</v>
      </c>
      <c r="AJ76" s="137" t="s">
        <v>49</v>
      </c>
      <c r="AK76" s="56" t="s">
        <v>46</v>
      </c>
      <c r="AL76" s="37" t="s">
        <v>46</v>
      </c>
      <c r="AM76" s="37" t="s">
        <v>46</v>
      </c>
      <c r="AN76" s="49" t="s">
        <v>63</v>
      </c>
      <c r="AO76" s="37" t="s">
        <v>46</v>
      </c>
      <c r="AP76" s="37" t="s">
        <v>46</v>
      </c>
      <c r="AQ76" s="37" t="s">
        <v>46</v>
      </c>
      <c r="AR76" s="37" t="s">
        <v>46</v>
      </c>
      <c r="AS76" s="37" t="s">
        <v>46</v>
      </c>
      <c r="AT76" s="37" t="s">
        <v>46</v>
      </c>
    </row>
    <row r="77" spans="1:47" s="72" customFormat="1" ht="15" hidden="1" customHeight="1" x14ac:dyDescent="0.25">
      <c r="A77" s="71"/>
      <c r="B77" s="29" t="s">
        <v>45</v>
      </c>
      <c r="C77" s="48">
        <v>45460</v>
      </c>
      <c r="D77" s="49">
        <v>24050</v>
      </c>
      <c r="E77" s="50" t="s">
        <v>84</v>
      </c>
      <c r="F77" s="49">
        <v>2405281601</v>
      </c>
      <c r="G77" s="49" t="s">
        <v>64</v>
      </c>
      <c r="H77" s="49" t="s">
        <v>85</v>
      </c>
      <c r="I77" s="49" t="s">
        <v>49</v>
      </c>
      <c r="J77" s="49" t="s">
        <v>46</v>
      </c>
      <c r="K77" s="107" t="s">
        <v>71</v>
      </c>
      <c r="L77" s="49" t="s">
        <v>47</v>
      </c>
      <c r="M77" s="382" t="e">
        <f t="shared" si="17"/>
        <v>#VALUE!</v>
      </c>
      <c r="N77" s="57" t="s">
        <v>49</v>
      </c>
      <c r="O77" s="51">
        <v>21549912</v>
      </c>
      <c r="P77" s="30" t="str">
        <f>VLOOKUP(O77,[1]Feuil2!$A:$M,5,FALSE)</f>
        <v>CAFE BAGATELLE FINITION POLI MIROIR VRAC + GENCOD</v>
      </c>
      <c r="Q77" s="49">
        <v>1920</v>
      </c>
      <c r="R77" s="52">
        <v>0</v>
      </c>
      <c r="S77" s="53">
        <f t="shared" si="13"/>
        <v>0</v>
      </c>
      <c r="T77" s="54">
        <f t="shared" si="12"/>
        <v>43538.259999999987</v>
      </c>
      <c r="U77" s="142">
        <v>0</v>
      </c>
      <c r="V77" s="169">
        <f t="shared" si="14"/>
        <v>43538.259999999987</v>
      </c>
      <c r="W77" s="63">
        <f>VLOOKUP(O77,[1]Feuil2!$A:$M,6,FALSE)</f>
        <v>240</v>
      </c>
      <c r="X77" s="34">
        <f>VLOOKUP(O77,[1]Feuil2!$A:$M,13,FALSE)</f>
        <v>5.6437499999999995E-3</v>
      </c>
      <c r="Y77" s="64">
        <v>0</v>
      </c>
      <c r="Z77" s="65">
        <f t="shared" si="16"/>
        <v>15.87173875</v>
      </c>
      <c r="AA77" s="58" t="s">
        <v>61</v>
      </c>
      <c r="AB77" s="54" t="s">
        <v>61</v>
      </c>
      <c r="AC77" s="37" t="s">
        <v>46</v>
      </c>
      <c r="AD77" s="54" t="s">
        <v>61</v>
      </c>
      <c r="AE77" s="37" t="s">
        <v>46</v>
      </c>
      <c r="AF77" s="38" t="s">
        <v>46</v>
      </c>
      <c r="AG77" s="37" t="s">
        <v>46</v>
      </c>
      <c r="AH77" s="39" t="s">
        <v>46</v>
      </c>
      <c r="AI77" s="136">
        <v>45503</v>
      </c>
      <c r="AJ77" s="137" t="s">
        <v>49</v>
      </c>
      <c r="AK77" s="56" t="s">
        <v>46</v>
      </c>
      <c r="AL77" s="37" t="s">
        <v>46</v>
      </c>
      <c r="AM77" s="37" t="s">
        <v>46</v>
      </c>
      <c r="AN77" s="49" t="s">
        <v>63</v>
      </c>
      <c r="AO77" s="37" t="s">
        <v>46</v>
      </c>
      <c r="AP77" s="37" t="s">
        <v>46</v>
      </c>
      <c r="AQ77" s="37" t="s">
        <v>46</v>
      </c>
      <c r="AR77" s="37" t="s">
        <v>46</v>
      </c>
      <c r="AS77" s="37" t="s">
        <v>46</v>
      </c>
      <c r="AT77" s="39" t="s">
        <v>46</v>
      </c>
    </row>
    <row r="78" spans="1:47" s="72" customFormat="1" ht="15" hidden="1" customHeight="1" x14ac:dyDescent="0.25">
      <c r="A78" s="71"/>
      <c r="B78" s="29" t="s">
        <v>45</v>
      </c>
      <c r="C78" s="48">
        <v>45460</v>
      </c>
      <c r="D78" s="49">
        <v>24050</v>
      </c>
      <c r="E78" s="50" t="s">
        <v>84</v>
      </c>
      <c r="F78" s="49">
        <v>2405281601</v>
      </c>
      <c r="G78" s="49" t="s">
        <v>64</v>
      </c>
      <c r="H78" s="49" t="s">
        <v>85</v>
      </c>
      <c r="I78" s="49" t="s">
        <v>49</v>
      </c>
      <c r="J78" s="49" t="s">
        <v>46</v>
      </c>
      <c r="K78" s="107" t="s">
        <v>71</v>
      </c>
      <c r="L78" s="49" t="s">
        <v>47</v>
      </c>
      <c r="M78" s="382" t="e">
        <f t="shared" si="17"/>
        <v>#VALUE!</v>
      </c>
      <c r="N78" s="57" t="s">
        <v>49</v>
      </c>
      <c r="O78" s="51">
        <v>21600002</v>
      </c>
      <c r="P78" s="30" t="str">
        <f>VLOOKUP(O78,[1]Feuil2!$A:$M,5,FALSE)</f>
        <v>COUTEAU ARABESQUE FINITION MIROIR VRAC+GENCOD</v>
      </c>
      <c r="Q78" s="49">
        <f>1560-600</f>
        <v>960</v>
      </c>
      <c r="R78" s="52">
        <v>0</v>
      </c>
      <c r="S78" s="53">
        <f t="shared" si="13"/>
        <v>0</v>
      </c>
      <c r="T78" s="31">
        <f t="shared" si="12"/>
        <v>43538.259999999987</v>
      </c>
      <c r="U78" s="140"/>
      <c r="V78" s="32">
        <f t="shared" si="14"/>
        <v>43538.259999999987</v>
      </c>
      <c r="W78" s="33">
        <f>VLOOKUP(O78,[1]Feuil2!$A:$M,6,FALSE)</f>
        <v>120</v>
      </c>
      <c r="X78" s="34">
        <f>VLOOKUP(O78,[1]Feuil2!$A:$M,13,FALSE)</f>
        <v>1.0951874999999998E-2</v>
      </c>
      <c r="Y78" s="35">
        <f t="shared" ref="Y78:Y109" si="18">(Q78/W78)*X78</f>
        <v>8.7614999999999985E-2</v>
      </c>
      <c r="Z78" s="36">
        <f t="shared" si="16"/>
        <v>15.87173875</v>
      </c>
      <c r="AA78" s="54" t="s">
        <v>57</v>
      </c>
      <c r="AB78" s="49" t="s">
        <v>48</v>
      </c>
      <c r="AC78" s="30" t="s">
        <v>55</v>
      </c>
      <c r="AD78" s="54" t="s">
        <v>57</v>
      </c>
      <c r="AE78" s="48"/>
      <c r="AF78" s="108"/>
      <c r="AG78" s="55"/>
      <c r="AH78" s="49"/>
      <c r="AI78" s="136">
        <v>45540</v>
      </c>
      <c r="AJ78" s="137" t="s">
        <v>49</v>
      </c>
      <c r="AK78" s="56" t="s">
        <v>46</v>
      </c>
      <c r="AL78" s="37" t="s">
        <v>46</v>
      </c>
      <c r="AM78" s="37" t="s">
        <v>46</v>
      </c>
      <c r="AN78" s="49" t="s">
        <v>63</v>
      </c>
      <c r="AO78" s="37" t="s">
        <v>46</v>
      </c>
      <c r="AP78" s="37" t="s">
        <v>46</v>
      </c>
      <c r="AQ78" s="37" t="s">
        <v>46</v>
      </c>
      <c r="AR78" s="37" t="s">
        <v>46</v>
      </c>
      <c r="AS78" s="37" t="s">
        <v>46</v>
      </c>
      <c r="AT78" s="37" t="s">
        <v>46</v>
      </c>
    </row>
    <row r="79" spans="1:47" s="72" customFormat="1" ht="15" hidden="1" customHeight="1" x14ac:dyDescent="0.25">
      <c r="A79" s="71"/>
      <c r="B79" s="88" t="s">
        <v>45</v>
      </c>
      <c r="C79" s="89">
        <v>45460</v>
      </c>
      <c r="D79" s="90">
        <v>24050</v>
      </c>
      <c r="E79" s="91" t="s">
        <v>84</v>
      </c>
      <c r="F79" s="90">
        <v>2405281601</v>
      </c>
      <c r="G79" s="90" t="s">
        <v>64</v>
      </c>
      <c r="H79" s="90" t="s">
        <v>85</v>
      </c>
      <c r="I79" s="90" t="s">
        <v>49</v>
      </c>
      <c r="J79" s="90" t="s">
        <v>46</v>
      </c>
      <c r="K79" s="16" t="s">
        <v>134</v>
      </c>
      <c r="L79" s="89">
        <v>45630</v>
      </c>
      <c r="M79" s="381">
        <f t="shared" si="17"/>
        <v>6</v>
      </c>
      <c r="N79" s="98" t="s">
        <v>49</v>
      </c>
      <c r="O79" s="92">
        <v>21600002</v>
      </c>
      <c r="P79" s="24" t="str">
        <f>VLOOKUP(O79,[1]Feuil2!$A:$M,5,FALSE)</f>
        <v>COUTEAU ARABESQUE FINITION MIROIR VRAC+GENCOD</v>
      </c>
      <c r="Q79" s="90">
        <v>600</v>
      </c>
      <c r="R79" s="93">
        <v>0.45600000000000002</v>
      </c>
      <c r="S79" s="94">
        <f t="shared" si="13"/>
        <v>273.60000000000002</v>
      </c>
      <c r="T79" s="95">
        <f t="shared" si="12"/>
        <v>43538.259999999987</v>
      </c>
      <c r="U79" s="138"/>
      <c r="V79" s="96">
        <f t="shared" si="14"/>
        <v>43538.259999999987</v>
      </c>
      <c r="W79" s="4">
        <f>VLOOKUP(O79,[1]Feuil2!$A:$M,6,FALSE)</f>
        <v>120</v>
      </c>
      <c r="X79" s="5">
        <f>VLOOKUP(O79,[1]Feuil2!$A:$M,13,FALSE)</f>
        <v>1.0951874999999998E-2</v>
      </c>
      <c r="Y79" s="6">
        <f t="shared" si="18"/>
        <v>5.4759374999999992E-2</v>
      </c>
      <c r="Z79" s="97">
        <f t="shared" si="16"/>
        <v>15.87173875</v>
      </c>
      <c r="AA79" s="68" t="s">
        <v>48</v>
      </c>
      <c r="AB79" s="67" t="s">
        <v>48</v>
      </c>
      <c r="AC79" s="87" t="s">
        <v>55</v>
      </c>
      <c r="AD79" s="19" t="s">
        <v>57</v>
      </c>
      <c r="AE79" s="20">
        <v>45599</v>
      </c>
      <c r="AF79" s="17" t="s">
        <v>101</v>
      </c>
      <c r="AG79" s="40" t="s">
        <v>57</v>
      </c>
      <c r="AH79" s="90" t="s">
        <v>48</v>
      </c>
      <c r="AI79" s="135">
        <v>45540</v>
      </c>
      <c r="AJ79" s="145">
        <f>DATEDIF(AI79,$AK79,"D")</f>
        <v>77</v>
      </c>
      <c r="AK79" s="100">
        <f>VLOOKUP(AP79,'[3]CONTENEUR PLEIN'!$F:$L,3,FALSE)</f>
        <v>45617</v>
      </c>
      <c r="AL79" s="99">
        <f>VLOOKUP(AP79,'[3]CONTENEUR PLEIN'!$F:$L,5,FALSE)</f>
        <v>45653</v>
      </c>
      <c r="AM79" s="18">
        <f>VLOOKUP(AP79,'[3]CONTENEUR PLEIN'!$F:$L,7,FALSE)</f>
        <v>45670.333333333336</v>
      </c>
      <c r="AN79" s="90" t="s">
        <v>63</v>
      </c>
      <c r="AO79" s="90" t="s">
        <v>77</v>
      </c>
      <c r="AP79" s="90" t="s">
        <v>78</v>
      </c>
      <c r="AQ79" s="90"/>
      <c r="AR79" s="90" t="e">
        <f>VLOOKUP(AP79,'[2]CONTENEUR PLEIN'!$F:$L,2,FALSE)</f>
        <v>#N/A</v>
      </c>
      <c r="AS79" s="90" t="s">
        <v>51</v>
      </c>
      <c r="AT79" s="98"/>
    </row>
    <row r="80" spans="1:47" ht="15" hidden="1" customHeight="1" x14ac:dyDescent="0.25">
      <c r="A80" s="71"/>
      <c r="B80" s="88" t="s">
        <v>45</v>
      </c>
      <c r="C80" s="89">
        <v>45460</v>
      </c>
      <c r="D80" s="90">
        <v>24050</v>
      </c>
      <c r="E80" s="91" t="s">
        <v>84</v>
      </c>
      <c r="F80" s="90">
        <v>2405281601</v>
      </c>
      <c r="G80" s="90" t="s">
        <v>64</v>
      </c>
      <c r="H80" s="90" t="s">
        <v>85</v>
      </c>
      <c r="I80" s="90" t="s">
        <v>49</v>
      </c>
      <c r="J80" s="90" t="s">
        <v>46</v>
      </c>
      <c r="K80" s="16" t="s">
        <v>134</v>
      </c>
      <c r="L80" s="89">
        <v>45630</v>
      </c>
      <c r="M80" s="381">
        <f t="shared" si="17"/>
        <v>6</v>
      </c>
      <c r="N80" s="98" t="s">
        <v>49</v>
      </c>
      <c r="O80" s="92">
        <v>21600004</v>
      </c>
      <c r="P80" s="24" t="str">
        <f>VLOOKUP(O80,[1]Feuil2!$A:$M,5,FALSE)</f>
        <v>CUILLERE ARABESQUE FINITION MIROIR VRAC+GENCOD</v>
      </c>
      <c r="Q80" s="90">
        <v>3600</v>
      </c>
      <c r="R80" s="93">
        <v>0.28499999999999998</v>
      </c>
      <c r="S80" s="94">
        <f t="shared" si="13"/>
        <v>1026</v>
      </c>
      <c r="T80" s="95">
        <f t="shared" si="12"/>
        <v>43538.259999999987</v>
      </c>
      <c r="U80" s="138"/>
      <c r="V80" s="96">
        <f t="shared" si="14"/>
        <v>43538.259999999987</v>
      </c>
      <c r="W80" s="4">
        <f>VLOOKUP(O80,[1]Feuil2!$A:$M,6,FALSE)</f>
        <v>240</v>
      </c>
      <c r="X80" s="5">
        <f>VLOOKUP(O80,[1]Feuil2!$A:$M,13,FALSE)</f>
        <v>1.9507500000000001E-2</v>
      </c>
      <c r="Y80" s="6">
        <f t="shared" si="18"/>
        <v>0.2926125</v>
      </c>
      <c r="Z80" s="97">
        <f t="shared" si="16"/>
        <v>15.87173875</v>
      </c>
      <c r="AA80" s="67" t="s">
        <v>48</v>
      </c>
      <c r="AB80" s="67" t="s">
        <v>48</v>
      </c>
      <c r="AC80" s="87" t="s">
        <v>55</v>
      </c>
      <c r="AD80" s="19" t="s">
        <v>57</v>
      </c>
      <c r="AE80" s="20">
        <v>45601</v>
      </c>
      <c r="AF80" s="17" t="s">
        <v>102</v>
      </c>
      <c r="AG80" s="40" t="s">
        <v>57</v>
      </c>
      <c r="AH80" s="98" t="s">
        <v>48</v>
      </c>
      <c r="AI80" s="135">
        <v>45540</v>
      </c>
      <c r="AJ80" s="145">
        <f>DATEDIF(AI80,$AK80,"D")</f>
        <v>77</v>
      </c>
      <c r="AK80" s="100">
        <f>VLOOKUP(AP80,'[3]CONTENEUR PLEIN'!$F:$L,3,FALSE)</f>
        <v>45617</v>
      </c>
      <c r="AL80" s="99">
        <f>VLOOKUP(AP80,'[3]CONTENEUR PLEIN'!$F:$L,5,FALSE)</f>
        <v>45653</v>
      </c>
      <c r="AM80" s="18">
        <f>VLOOKUP(AP80,'[3]CONTENEUR PLEIN'!$F:$L,7,FALSE)</f>
        <v>45670.333333333336</v>
      </c>
      <c r="AN80" s="90" t="s">
        <v>63</v>
      </c>
      <c r="AO80" s="90" t="s">
        <v>77</v>
      </c>
      <c r="AP80" s="90" t="s">
        <v>78</v>
      </c>
      <c r="AQ80" s="90"/>
      <c r="AR80" s="90" t="e">
        <f>VLOOKUP(AP80,'[2]CONTENEUR PLEIN'!$F:$L,2,FALSE)</f>
        <v>#N/A</v>
      </c>
      <c r="AS80" s="90" t="s">
        <v>51</v>
      </c>
      <c r="AT80" s="98"/>
      <c r="AU80" s="72"/>
    </row>
    <row r="81" spans="1:47" s="72" customFormat="1" ht="15" hidden="1" customHeight="1" x14ac:dyDescent="0.25">
      <c r="A81" s="71"/>
      <c r="B81" s="232" t="s">
        <v>45</v>
      </c>
      <c r="C81" s="194">
        <v>45460</v>
      </c>
      <c r="D81" s="191">
        <v>24050</v>
      </c>
      <c r="E81" s="195" t="s">
        <v>84</v>
      </c>
      <c r="F81" s="191">
        <v>2405281601</v>
      </c>
      <c r="G81" s="191" t="s">
        <v>64</v>
      </c>
      <c r="H81" s="191" t="s">
        <v>85</v>
      </c>
      <c r="I81" s="191" t="s">
        <v>49</v>
      </c>
      <c r="J81" s="191" t="s">
        <v>46</v>
      </c>
      <c r="K81" s="16" t="s">
        <v>862</v>
      </c>
      <c r="L81" s="89">
        <v>45995</v>
      </c>
      <c r="M81" s="381">
        <f t="shared" si="17"/>
        <v>18</v>
      </c>
      <c r="N81" s="98" t="s">
        <v>49</v>
      </c>
      <c r="O81" s="92">
        <v>21600004</v>
      </c>
      <c r="P81" s="24" t="str">
        <f>VLOOKUP(O81,[1]Feuil2!$A:$M,5,FALSE)</f>
        <v>CUILLERE ARABESQUE FINITION MIROIR VRAC+GENCOD</v>
      </c>
      <c r="Q81" s="90">
        <f>4560-3600</f>
        <v>960</v>
      </c>
      <c r="R81" s="93">
        <v>0.28499999999999998</v>
      </c>
      <c r="S81" s="94">
        <f t="shared" si="13"/>
        <v>273.59999999999997</v>
      </c>
      <c r="T81" s="95">
        <f t="shared" si="12"/>
        <v>43538.259999999987</v>
      </c>
      <c r="U81" s="138"/>
      <c r="V81" s="96">
        <f t="shared" si="14"/>
        <v>43538.259999999987</v>
      </c>
      <c r="W81" s="4">
        <f>VLOOKUP(O81,[1]Feuil2!$A:$M,6,FALSE)</f>
        <v>240</v>
      </c>
      <c r="X81" s="5">
        <f>VLOOKUP(O81,[1]Feuil2!$A:$M,13,FALSE)</f>
        <v>1.9507500000000001E-2</v>
      </c>
      <c r="Y81" s="6">
        <f t="shared" si="18"/>
        <v>7.8030000000000002E-2</v>
      </c>
      <c r="Z81" s="97">
        <f t="shared" si="16"/>
        <v>15.87173875</v>
      </c>
      <c r="AA81" s="43" t="s">
        <v>57</v>
      </c>
      <c r="AB81" s="67" t="s">
        <v>48</v>
      </c>
      <c r="AC81" s="87" t="s">
        <v>55</v>
      </c>
      <c r="AD81" s="19" t="s">
        <v>57</v>
      </c>
      <c r="AE81" s="20">
        <v>45959</v>
      </c>
      <c r="AF81" s="17" t="s">
        <v>609</v>
      </c>
      <c r="AG81" s="40" t="s">
        <v>57</v>
      </c>
      <c r="AH81" s="98" t="s">
        <v>48</v>
      </c>
      <c r="AI81" s="160">
        <v>45540</v>
      </c>
      <c r="AJ81" s="145">
        <f>DATEDIF(AI81,AK81,"D")</f>
        <v>444</v>
      </c>
      <c r="AK81" s="100">
        <f>VLOOKUP(AP81,'[2]CONTENEUR PLEIN'!$F:$L,3,FALSE)</f>
        <v>45984</v>
      </c>
      <c r="AL81" s="99">
        <f>VLOOKUP(AP81,'[2]CONTENEUR PLEIN'!$F:$L,5,FALSE)</f>
        <v>46030</v>
      </c>
      <c r="AM81" s="18">
        <f>VLOOKUP(AP81,'[2]CONTENEUR PLEIN'!$F:$L,7,FALSE)</f>
        <v>46036.333333333336</v>
      </c>
      <c r="AN81" s="90" t="s">
        <v>63</v>
      </c>
      <c r="AO81" s="350" t="s">
        <v>577</v>
      </c>
      <c r="AP81" s="350" t="s">
        <v>578</v>
      </c>
      <c r="AQ81" s="350" t="s">
        <v>579</v>
      </c>
      <c r="AR81" s="90" t="str">
        <f>VLOOKUP(AP81,'[2]CONTENEUR PLEIN'!$F:$L,2,FALSE)</f>
        <v>CMA CGM GRACE BAY</v>
      </c>
      <c r="AS81" s="353" t="s">
        <v>316</v>
      </c>
      <c r="AT81" s="98"/>
    </row>
    <row r="82" spans="1:47" s="72" customFormat="1" ht="15" hidden="1" customHeight="1" x14ac:dyDescent="0.25">
      <c r="A82" s="197"/>
      <c r="B82" s="232" t="s">
        <v>45</v>
      </c>
      <c r="C82" s="194">
        <v>45460</v>
      </c>
      <c r="D82" s="191">
        <v>24050</v>
      </c>
      <c r="E82" s="195" t="s">
        <v>84</v>
      </c>
      <c r="F82" s="191">
        <v>2405281601</v>
      </c>
      <c r="G82" s="191" t="s">
        <v>64</v>
      </c>
      <c r="H82" s="191" t="s">
        <v>85</v>
      </c>
      <c r="I82" s="191" t="s">
        <v>49</v>
      </c>
      <c r="J82" s="191" t="s">
        <v>46</v>
      </c>
      <c r="K82" s="16" t="s">
        <v>449</v>
      </c>
      <c r="L82" s="194">
        <v>45870</v>
      </c>
      <c r="M82" s="381">
        <f t="shared" si="17"/>
        <v>15</v>
      </c>
      <c r="N82" s="209" t="s">
        <v>49</v>
      </c>
      <c r="O82" s="223">
        <v>21600005</v>
      </c>
      <c r="P82" s="24" t="str">
        <f>VLOOKUP(O82,[1]Feuil2!$A:$M,5,FALSE)</f>
        <v>CAFE ARABESQUE FINITION MIROIR VRAC+GENCOD</v>
      </c>
      <c r="Q82" s="191">
        <v>10800</v>
      </c>
      <c r="R82" s="224">
        <v>0.23699999999999999</v>
      </c>
      <c r="S82" s="225">
        <f t="shared" si="13"/>
        <v>2559.6</v>
      </c>
      <c r="T82" s="226">
        <f t="shared" si="12"/>
        <v>43538.259999999987</v>
      </c>
      <c r="U82" s="227"/>
      <c r="V82" s="228">
        <f t="shared" si="14"/>
        <v>43538.259999999987</v>
      </c>
      <c r="W82" s="4">
        <f>VLOOKUP(O82,[1]Feuil2!$A:$M,6,FALSE)</f>
        <v>240</v>
      </c>
      <c r="X82" s="5">
        <f>VLOOKUP(O82,[1]Feuil2!$A:$M,13,FALSE)</f>
        <v>1.9507500000000001E-2</v>
      </c>
      <c r="Y82" s="6">
        <f t="shared" si="18"/>
        <v>0.87783750000000005</v>
      </c>
      <c r="Z82" s="229">
        <f t="shared" si="16"/>
        <v>15.87173875</v>
      </c>
      <c r="AA82" s="68" t="s">
        <v>48</v>
      </c>
      <c r="AB82" s="19" t="s">
        <v>57</v>
      </c>
      <c r="AC82" s="210" t="s">
        <v>55</v>
      </c>
      <c r="AD82" s="19" t="s">
        <v>57</v>
      </c>
      <c r="AE82" s="20">
        <v>45841</v>
      </c>
      <c r="AF82" s="17" t="s">
        <v>343</v>
      </c>
      <c r="AG82" s="21"/>
      <c r="AH82" s="209"/>
      <c r="AI82" s="160">
        <v>45540</v>
      </c>
      <c r="AJ82" s="145">
        <f>DATEDIF(AI82,$AK82,"D")</f>
        <v>332</v>
      </c>
      <c r="AK82" s="100">
        <f>VLOOKUP(AP82,'[3]CONTENEUR PLEIN'!$F:$L,3,FALSE)</f>
        <v>45872</v>
      </c>
      <c r="AL82" s="99">
        <f>VLOOKUP(AP82,'[3]CONTENEUR PLEIN'!$F:$L,5,FALSE)</f>
        <v>45907</v>
      </c>
      <c r="AM82" s="18">
        <f>VLOOKUP(AP82,'[3]CONTENEUR PLEIN'!$F:$L,7,FALSE)</f>
        <v>45918.53125</v>
      </c>
      <c r="AN82" s="191" t="s">
        <v>63</v>
      </c>
      <c r="AO82" s="191" t="s">
        <v>371</v>
      </c>
      <c r="AP82" s="191" t="s">
        <v>372</v>
      </c>
      <c r="AQ82" s="191" t="s">
        <v>373</v>
      </c>
      <c r="AR82" s="191" t="e">
        <f>VLOOKUP(AP82,'[2]CONTENEUR PLEIN'!$F:$L,2,FALSE)</f>
        <v>#N/A</v>
      </c>
      <c r="AS82" s="191" t="s">
        <v>316</v>
      </c>
      <c r="AT82" s="209"/>
    </row>
    <row r="83" spans="1:47" s="72" customFormat="1" hidden="1" x14ac:dyDescent="0.25">
      <c r="A83" s="197"/>
      <c r="B83" s="232" t="s">
        <v>45</v>
      </c>
      <c r="C83" s="194">
        <v>45460</v>
      </c>
      <c r="D83" s="191">
        <v>24050</v>
      </c>
      <c r="E83" s="195" t="s">
        <v>84</v>
      </c>
      <c r="F83" s="191">
        <v>2405281601</v>
      </c>
      <c r="G83" s="191" t="s">
        <v>64</v>
      </c>
      <c r="H83" s="191" t="s">
        <v>85</v>
      </c>
      <c r="I83" s="191" t="s">
        <v>49</v>
      </c>
      <c r="J83" s="191" t="s">
        <v>46</v>
      </c>
      <c r="K83" s="16" t="s">
        <v>449</v>
      </c>
      <c r="L83" s="194">
        <v>45870</v>
      </c>
      <c r="M83" s="381">
        <f t="shared" si="17"/>
        <v>15</v>
      </c>
      <c r="N83" s="209" t="s">
        <v>49</v>
      </c>
      <c r="O83" s="223">
        <v>21610003</v>
      </c>
      <c r="P83" s="24" t="str">
        <f>VLOOKUP(O83,[1]Feuil2!$A:$M,5,FALSE)</f>
        <v>FOURCHETTE DAMIER FINITION MIROIR VRAC+GENCOD</v>
      </c>
      <c r="Q83" s="191">
        <v>6480</v>
      </c>
      <c r="R83" s="224">
        <v>0.254</v>
      </c>
      <c r="S83" s="225">
        <f t="shared" si="13"/>
        <v>1645.92</v>
      </c>
      <c r="T83" s="226">
        <f t="shared" si="12"/>
        <v>43538.259999999987</v>
      </c>
      <c r="U83" s="227"/>
      <c r="V83" s="228">
        <f t="shared" si="14"/>
        <v>43538.259999999987</v>
      </c>
      <c r="W83" s="4">
        <f>VLOOKUP(O83,[1]Feuil2!$A:$M,6,FALSE)</f>
        <v>240</v>
      </c>
      <c r="X83" s="5">
        <f>VLOOKUP(O83,[1]Feuil2!$A:$M,13,FALSE)</f>
        <v>1.9507500000000001E-2</v>
      </c>
      <c r="Y83" s="6">
        <f t="shared" si="18"/>
        <v>0.52670249999999996</v>
      </c>
      <c r="Z83" s="229">
        <f t="shared" si="16"/>
        <v>15.87173875</v>
      </c>
      <c r="AA83" s="23" t="s">
        <v>48</v>
      </c>
      <c r="AB83" s="19" t="s">
        <v>57</v>
      </c>
      <c r="AC83" s="191"/>
      <c r="AD83" s="25" t="s">
        <v>61</v>
      </c>
      <c r="AE83" s="20">
        <v>45838</v>
      </c>
      <c r="AF83" s="17" t="s">
        <v>340</v>
      </c>
      <c r="AG83" s="21"/>
      <c r="AH83" s="209"/>
      <c r="AI83" s="160">
        <v>45540</v>
      </c>
      <c r="AJ83" s="145">
        <f>DATEDIF(AI83,$AK83,"D")</f>
        <v>332</v>
      </c>
      <c r="AK83" s="100">
        <f>VLOOKUP(AP83,'[3]CONTENEUR PLEIN'!$F:$L,3,FALSE)</f>
        <v>45872</v>
      </c>
      <c r="AL83" s="99">
        <f>VLOOKUP(AP83,'[3]CONTENEUR PLEIN'!$F:$L,5,FALSE)</f>
        <v>45907</v>
      </c>
      <c r="AM83" s="18">
        <f>VLOOKUP(AP83,'[3]CONTENEUR PLEIN'!$F:$L,7,FALSE)</f>
        <v>45918.53125</v>
      </c>
      <c r="AN83" s="191" t="s">
        <v>63</v>
      </c>
      <c r="AO83" s="191" t="s">
        <v>371</v>
      </c>
      <c r="AP83" s="191" t="s">
        <v>372</v>
      </c>
      <c r="AQ83" s="191" t="s">
        <v>373</v>
      </c>
      <c r="AR83" s="191" t="e">
        <f>VLOOKUP(AP83,'[2]CONTENEUR PLEIN'!$F:$L,2,FALSE)</f>
        <v>#N/A</v>
      </c>
      <c r="AS83" s="191" t="s">
        <v>316</v>
      </c>
      <c r="AT83" s="209"/>
    </row>
    <row r="84" spans="1:47" s="72" customFormat="1" ht="15" hidden="1" customHeight="1" x14ac:dyDescent="0.25">
      <c r="A84" s="197"/>
      <c r="B84" s="232" t="s">
        <v>45</v>
      </c>
      <c r="C84" s="194">
        <v>45460</v>
      </c>
      <c r="D84" s="191">
        <v>24050</v>
      </c>
      <c r="E84" s="195" t="s">
        <v>84</v>
      </c>
      <c r="F84" s="191">
        <v>2405281601</v>
      </c>
      <c r="G84" s="191" t="s">
        <v>64</v>
      </c>
      <c r="H84" s="191" t="s">
        <v>85</v>
      </c>
      <c r="I84" s="191" t="s">
        <v>49</v>
      </c>
      <c r="J84" s="191" t="s">
        <v>46</v>
      </c>
      <c r="K84" s="16" t="s">
        <v>449</v>
      </c>
      <c r="L84" s="194">
        <v>45870</v>
      </c>
      <c r="M84" s="381">
        <f t="shared" si="17"/>
        <v>15</v>
      </c>
      <c r="N84" s="209" t="s">
        <v>49</v>
      </c>
      <c r="O84" s="223">
        <v>21610005</v>
      </c>
      <c r="P84" s="24" t="str">
        <f>VLOOKUP(O84,[1]Feuil2!$A:$M,5,FALSE)</f>
        <v>CAFE DAMIER FINITION MIROIR VRAC+GENCOD</v>
      </c>
      <c r="Q84" s="191">
        <v>6960</v>
      </c>
      <c r="R84" s="224">
        <v>0.21</v>
      </c>
      <c r="S84" s="225">
        <f t="shared" si="13"/>
        <v>1461.6</v>
      </c>
      <c r="T84" s="226">
        <f t="shared" si="12"/>
        <v>43538.259999999987</v>
      </c>
      <c r="U84" s="227"/>
      <c r="V84" s="228">
        <f t="shared" si="14"/>
        <v>43538.259999999987</v>
      </c>
      <c r="W84" s="4">
        <f>VLOOKUP(O84,[1]Feuil2!$A:$M,6,FALSE)</f>
        <v>240</v>
      </c>
      <c r="X84" s="5">
        <f>VLOOKUP(O84,[1]Feuil2!$A:$M,13,FALSE)</f>
        <v>1.9507500000000001E-2</v>
      </c>
      <c r="Y84" s="6">
        <f t="shared" si="18"/>
        <v>0.56571749999999998</v>
      </c>
      <c r="Z84" s="229">
        <f t="shared" si="16"/>
        <v>15.87173875</v>
      </c>
      <c r="AA84" s="19" t="s">
        <v>57</v>
      </c>
      <c r="AB84" s="68" t="s">
        <v>48</v>
      </c>
      <c r="AC84" s="87" t="s">
        <v>55</v>
      </c>
      <c r="AD84" s="19" t="s">
        <v>57</v>
      </c>
      <c r="AE84" s="20">
        <v>45834</v>
      </c>
      <c r="AF84" s="17" t="s">
        <v>335</v>
      </c>
      <c r="AG84" s="21"/>
      <c r="AH84" s="209"/>
      <c r="AI84" s="160">
        <v>45540</v>
      </c>
      <c r="AJ84" s="145">
        <f>DATEDIF(AI84,$AK84,"D")</f>
        <v>332</v>
      </c>
      <c r="AK84" s="100">
        <f>VLOOKUP(AP84,'[3]CONTENEUR PLEIN'!$F:$L,3,FALSE)</f>
        <v>45872</v>
      </c>
      <c r="AL84" s="99">
        <f>VLOOKUP(AP84,'[3]CONTENEUR PLEIN'!$F:$L,5,FALSE)</f>
        <v>45907</v>
      </c>
      <c r="AM84" s="18">
        <f>VLOOKUP(AP84,'[3]CONTENEUR PLEIN'!$F:$L,7,FALSE)</f>
        <v>45918.53125</v>
      </c>
      <c r="AN84" s="191" t="s">
        <v>63</v>
      </c>
      <c r="AO84" s="191" t="s">
        <v>371</v>
      </c>
      <c r="AP84" s="191" t="s">
        <v>372</v>
      </c>
      <c r="AQ84" s="191" t="s">
        <v>373</v>
      </c>
      <c r="AR84" s="191" t="e">
        <f>VLOOKUP(AP84,'[2]CONTENEUR PLEIN'!$F:$L,2,FALSE)</f>
        <v>#N/A</v>
      </c>
      <c r="AS84" s="191" t="s">
        <v>316</v>
      </c>
      <c r="AT84" s="209"/>
    </row>
    <row r="85" spans="1:47" s="72" customFormat="1" hidden="1" x14ac:dyDescent="0.25">
      <c r="A85" s="71"/>
      <c r="B85" s="29" t="s">
        <v>45</v>
      </c>
      <c r="C85" s="48">
        <v>45460</v>
      </c>
      <c r="D85" s="49">
        <v>24050</v>
      </c>
      <c r="E85" s="50" t="s">
        <v>84</v>
      </c>
      <c r="F85" s="49">
        <v>2405281601</v>
      </c>
      <c r="G85" s="49" t="s">
        <v>64</v>
      </c>
      <c r="H85" s="49" t="s">
        <v>85</v>
      </c>
      <c r="I85" s="49" t="s">
        <v>49</v>
      </c>
      <c r="J85" s="49" t="s">
        <v>46</v>
      </c>
      <c r="K85" s="107" t="s">
        <v>71</v>
      </c>
      <c r="L85" s="49" t="s">
        <v>47</v>
      </c>
      <c r="M85" s="382" t="e">
        <f t="shared" si="17"/>
        <v>#VALUE!</v>
      </c>
      <c r="N85" s="57" t="s">
        <v>49</v>
      </c>
      <c r="O85" s="51">
        <v>21870001</v>
      </c>
      <c r="P85" s="30" t="str">
        <f>VLOOKUP(O85,[1]Feuil2!$A:$M,5,FALSE)</f>
        <v>COUTEAU BUFFET EN BOITE BLANCHE</v>
      </c>
      <c r="Q85" s="49">
        <v>1944</v>
      </c>
      <c r="R85" s="52">
        <v>0</v>
      </c>
      <c r="S85" s="53">
        <f t="shared" si="13"/>
        <v>0</v>
      </c>
      <c r="T85" s="31">
        <f t="shared" si="12"/>
        <v>43538.259999999987</v>
      </c>
      <c r="U85" s="140"/>
      <c r="V85" s="32">
        <f t="shared" si="14"/>
        <v>43538.259999999987</v>
      </c>
      <c r="W85" s="33">
        <f>VLOOKUP(O85,[1]Feuil2!$A:$M,6,FALSE)</f>
        <v>72</v>
      </c>
      <c r="X85" s="34">
        <f>VLOOKUP(O85,[1]Feuil2!$A:$M,13,FALSE)</f>
        <v>1.029E-3</v>
      </c>
      <c r="Y85" s="35">
        <f t="shared" si="18"/>
        <v>2.7782999999999999E-2</v>
      </c>
      <c r="Z85" s="36">
        <f t="shared" si="16"/>
        <v>15.87173875</v>
      </c>
      <c r="AA85" s="54" t="s">
        <v>61</v>
      </c>
      <c r="AB85" s="54" t="s">
        <v>61</v>
      </c>
      <c r="AC85" s="49"/>
      <c r="AD85" s="58" t="s">
        <v>61</v>
      </c>
      <c r="AE85" s="48"/>
      <c r="AF85" s="108"/>
      <c r="AG85" s="55"/>
      <c r="AH85" s="57"/>
      <c r="AI85" s="136">
        <v>45540</v>
      </c>
      <c r="AJ85" s="137" t="s">
        <v>49</v>
      </c>
      <c r="AK85" s="56" t="s">
        <v>46</v>
      </c>
      <c r="AL85" s="37" t="s">
        <v>46</v>
      </c>
      <c r="AM85" s="37" t="s">
        <v>46</v>
      </c>
      <c r="AN85" s="49" t="s">
        <v>63</v>
      </c>
      <c r="AO85" s="37" t="s">
        <v>46</v>
      </c>
      <c r="AP85" s="37" t="s">
        <v>46</v>
      </c>
      <c r="AQ85" s="37" t="s">
        <v>46</v>
      </c>
      <c r="AR85" s="37" t="s">
        <v>46</v>
      </c>
      <c r="AS85" s="37" t="s">
        <v>46</v>
      </c>
      <c r="AT85" s="39" t="s">
        <v>46</v>
      </c>
    </row>
    <row r="86" spans="1:47" s="72" customFormat="1" ht="15" hidden="1" customHeight="1" x14ac:dyDescent="0.25">
      <c r="A86" s="71"/>
      <c r="B86" s="29" t="s">
        <v>45</v>
      </c>
      <c r="C86" s="48">
        <v>45460</v>
      </c>
      <c r="D86" s="49">
        <v>24050</v>
      </c>
      <c r="E86" s="50" t="s">
        <v>84</v>
      </c>
      <c r="F86" s="49">
        <v>2405281601</v>
      </c>
      <c r="G86" s="49" t="s">
        <v>64</v>
      </c>
      <c r="H86" s="49" t="s">
        <v>85</v>
      </c>
      <c r="I86" s="49" t="s">
        <v>49</v>
      </c>
      <c r="J86" s="49" t="s">
        <v>46</v>
      </c>
      <c r="K86" s="107" t="s">
        <v>71</v>
      </c>
      <c r="L86" s="49" t="s">
        <v>47</v>
      </c>
      <c r="M86" s="382" t="e">
        <f t="shared" si="17"/>
        <v>#VALUE!</v>
      </c>
      <c r="N86" s="57" t="s">
        <v>49</v>
      </c>
      <c r="O86" s="51">
        <v>21870006</v>
      </c>
      <c r="P86" s="30" t="str">
        <f>VLOOKUP(O86,[1]Feuil2!$A:$M,5,FALSE)</f>
        <v>MAZAGRAN BUFFET EN BOITE BLANCHE</v>
      </c>
      <c r="Q86" s="49">
        <v>6500</v>
      </c>
      <c r="R86" s="52">
        <v>0</v>
      </c>
      <c r="S86" s="53">
        <f t="shared" si="13"/>
        <v>0</v>
      </c>
      <c r="T86" s="31">
        <f t="shared" si="12"/>
        <v>43538.259999999987</v>
      </c>
      <c r="U86" s="140"/>
      <c r="V86" s="32">
        <f t="shared" si="14"/>
        <v>43538.259999999987</v>
      </c>
      <c r="W86" s="33">
        <f>VLOOKUP(O86,[1]Feuil2!$A:$M,6,FALSE)</f>
        <v>250</v>
      </c>
      <c r="X86" s="34">
        <f>VLOOKUP(O86,[1]Feuil2!$A:$M,13,FALSE)</f>
        <v>8.6399999999999984E-3</v>
      </c>
      <c r="Y86" s="35">
        <f t="shared" si="18"/>
        <v>0.22463999999999995</v>
      </c>
      <c r="Z86" s="36">
        <f t="shared" si="16"/>
        <v>15.87173875</v>
      </c>
      <c r="AA86" s="58" t="s">
        <v>61</v>
      </c>
      <c r="AB86" s="54" t="s">
        <v>61</v>
      </c>
      <c r="AC86" s="49"/>
      <c r="AD86" s="54" t="s">
        <v>61</v>
      </c>
      <c r="AE86" s="48"/>
      <c r="AF86" s="108"/>
      <c r="AG86" s="55"/>
      <c r="AH86" s="57"/>
      <c r="AI86" s="136">
        <v>45540</v>
      </c>
      <c r="AJ86" s="137" t="s">
        <v>49</v>
      </c>
      <c r="AK86" s="56" t="s">
        <v>46</v>
      </c>
      <c r="AL86" s="37" t="s">
        <v>46</v>
      </c>
      <c r="AM86" s="37" t="s">
        <v>46</v>
      </c>
      <c r="AN86" s="49" t="s">
        <v>63</v>
      </c>
      <c r="AO86" s="37" t="s">
        <v>46</v>
      </c>
      <c r="AP86" s="37" t="s">
        <v>46</v>
      </c>
      <c r="AQ86" s="37" t="s">
        <v>46</v>
      </c>
      <c r="AR86" s="37" t="s">
        <v>46</v>
      </c>
      <c r="AS86" s="37" t="s">
        <v>46</v>
      </c>
      <c r="AT86" s="39" t="s">
        <v>46</v>
      </c>
    </row>
    <row r="87" spans="1:47" s="72" customFormat="1" hidden="1" x14ac:dyDescent="0.25">
      <c r="A87" s="71"/>
      <c r="B87" s="88" t="s">
        <v>45</v>
      </c>
      <c r="C87" s="89">
        <v>45460</v>
      </c>
      <c r="D87" s="90">
        <v>24050</v>
      </c>
      <c r="E87" s="91" t="s">
        <v>84</v>
      </c>
      <c r="F87" s="90">
        <v>2405281601</v>
      </c>
      <c r="G87" s="90" t="s">
        <v>64</v>
      </c>
      <c r="H87" s="90" t="s">
        <v>85</v>
      </c>
      <c r="I87" s="90" t="s">
        <v>49</v>
      </c>
      <c r="J87" s="90" t="s">
        <v>46</v>
      </c>
      <c r="K87" s="16" t="s">
        <v>309</v>
      </c>
      <c r="L87" s="89">
        <v>45770</v>
      </c>
      <c r="M87" s="381">
        <f t="shared" si="17"/>
        <v>11</v>
      </c>
      <c r="N87" s="98" t="s">
        <v>49</v>
      </c>
      <c r="O87" s="92">
        <v>22150002</v>
      </c>
      <c r="P87" s="24" t="str">
        <f>VLOOKUP(O87,[1]Feuil2!$A:$M,5,FALSE)</f>
        <v>COUTEAU DOTS CARREFOUR HOME</v>
      </c>
      <c r="Q87" s="90">
        <v>2520</v>
      </c>
      <c r="R87" s="93">
        <v>0.29199999999999998</v>
      </c>
      <c r="S87" s="94">
        <f t="shared" si="13"/>
        <v>735.83999999999992</v>
      </c>
      <c r="T87" s="95">
        <f t="shared" si="12"/>
        <v>43538.259999999987</v>
      </c>
      <c r="U87" s="138"/>
      <c r="V87" s="96">
        <f t="shared" si="14"/>
        <v>43538.259999999987</v>
      </c>
      <c r="W87" s="4">
        <f>VLOOKUP(O87,[1]Feuil2!$A:$M,6,FALSE)</f>
        <v>120</v>
      </c>
      <c r="X87" s="5">
        <f>VLOOKUP(O87,[1]Feuil2!$A:$M,13,FALSE)</f>
        <v>7.1028749999999998E-3</v>
      </c>
      <c r="Y87" s="6">
        <f t="shared" si="18"/>
        <v>0.14916037499999998</v>
      </c>
      <c r="Z87" s="97">
        <f t="shared" si="16"/>
        <v>15.87173875</v>
      </c>
      <c r="AA87" s="23" t="s">
        <v>48</v>
      </c>
      <c r="AB87" s="19" t="s">
        <v>57</v>
      </c>
      <c r="AC87" s="125" t="s">
        <v>55</v>
      </c>
      <c r="AD87" s="19" t="s">
        <v>57</v>
      </c>
      <c r="AE87" s="20">
        <v>45749</v>
      </c>
      <c r="AF87" s="60" t="s">
        <v>193</v>
      </c>
      <c r="AG87" s="21"/>
      <c r="AH87" s="98"/>
      <c r="AI87" s="135">
        <v>45540</v>
      </c>
      <c r="AJ87" s="145">
        <f>DATEDIF(AI87,$AK87,"D")</f>
        <v>224</v>
      </c>
      <c r="AK87" s="100">
        <f>VLOOKUP(AP87,'[3]CONTENEUR PLEIN'!$F:$L,3,FALSE)</f>
        <v>45764</v>
      </c>
      <c r="AL87" s="99">
        <f>VLOOKUP(AP87,'[3]CONTENEUR PLEIN'!$F:$L,5,FALSE)</f>
        <v>45812</v>
      </c>
      <c r="AM87" s="18">
        <f>VLOOKUP(AP87,'[3]CONTENEUR PLEIN'!$F:$L,7,FALSE)</f>
        <v>45824.53125</v>
      </c>
      <c r="AN87" s="90" t="s">
        <v>63</v>
      </c>
      <c r="AO87" s="129" t="s">
        <v>212</v>
      </c>
      <c r="AP87" s="129" t="s">
        <v>213</v>
      </c>
      <c r="AQ87" s="129" t="s">
        <v>258</v>
      </c>
      <c r="AR87" s="129" t="e">
        <f>VLOOKUP(AP87,'[2]CONTENEUR PLEIN'!$F:$L,2,FALSE)</f>
        <v>#N/A</v>
      </c>
      <c r="AS87" s="129" t="s">
        <v>51</v>
      </c>
      <c r="AT87" s="98"/>
    </row>
    <row r="88" spans="1:47" s="72" customFormat="1" ht="15" hidden="1" customHeight="1" x14ac:dyDescent="0.25">
      <c r="A88" s="71"/>
      <c r="B88" s="88" t="s">
        <v>45</v>
      </c>
      <c r="C88" s="89">
        <v>45548</v>
      </c>
      <c r="D88" s="90">
        <v>24079</v>
      </c>
      <c r="E88" s="91" t="s">
        <v>104</v>
      </c>
      <c r="F88" s="90">
        <v>2409041448</v>
      </c>
      <c r="G88" s="90" t="s">
        <v>64</v>
      </c>
      <c r="H88" s="90" t="s">
        <v>103</v>
      </c>
      <c r="I88" s="90" t="s">
        <v>49</v>
      </c>
      <c r="J88" s="90" t="s">
        <v>46</v>
      </c>
      <c r="K88" s="16" t="s">
        <v>134</v>
      </c>
      <c r="L88" s="89">
        <v>45630</v>
      </c>
      <c r="M88" s="381">
        <f t="shared" si="17"/>
        <v>4</v>
      </c>
      <c r="N88" s="98" t="s">
        <v>49</v>
      </c>
      <c r="O88" s="92">
        <v>300330</v>
      </c>
      <c r="P88" s="24" t="str">
        <f>VLOOKUP(O88,[1]Feuil2!$A:$M,5,FALSE)</f>
        <v>COUTEAU CLEO 10/10</v>
      </c>
      <c r="Q88" s="90">
        <v>8208</v>
      </c>
      <c r="R88" s="93">
        <v>0.13400000000000001</v>
      </c>
      <c r="S88" s="94">
        <f t="shared" si="13"/>
        <v>1099.8720000000001</v>
      </c>
      <c r="T88" s="95">
        <f t="shared" ref="T88:T151" si="19">SUMIF($E$5:$E$9257,E88,$S$5:$S$9257)</f>
        <v>128378.288</v>
      </c>
      <c r="U88" s="138"/>
      <c r="V88" s="96">
        <f t="shared" si="14"/>
        <v>128378.288</v>
      </c>
      <c r="W88" s="4">
        <f>VLOOKUP(O88,[1]Feuil2!$A:$M,6,FALSE)</f>
        <v>432</v>
      </c>
      <c r="X88" s="5">
        <f>VLOOKUP(O88,[1]Feuil2!$A:$M,13,FALSE)</f>
        <v>1.191175E-2</v>
      </c>
      <c r="Y88" s="6">
        <f t="shared" si="18"/>
        <v>0.22632325</v>
      </c>
      <c r="Z88" s="97">
        <f t="shared" si="16"/>
        <v>50.333925749999999</v>
      </c>
      <c r="AA88" s="67" t="s">
        <v>48</v>
      </c>
      <c r="AB88" s="67" t="s">
        <v>48</v>
      </c>
      <c r="AC88" s="90" t="s">
        <v>55</v>
      </c>
      <c r="AD88" s="21" t="s">
        <v>57</v>
      </c>
      <c r="AE88" s="20">
        <v>45598</v>
      </c>
      <c r="AF88" s="21" t="s">
        <v>105</v>
      </c>
      <c r="AG88" s="21" t="s">
        <v>57</v>
      </c>
      <c r="AH88" s="105" t="s">
        <v>48</v>
      </c>
      <c r="AI88" s="135">
        <v>45636</v>
      </c>
      <c r="AJ88" s="145" t="s">
        <v>49</v>
      </c>
      <c r="AK88" s="100">
        <f>VLOOKUP(AP88,'[3]CONTENEUR PLEIN'!$F:$L,3,FALSE)</f>
        <v>45617</v>
      </c>
      <c r="AL88" s="99">
        <f>VLOOKUP(AP88,'[3]CONTENEUR PLEIN'!$F:$L,5,FALSE)</f>
        <v>45653</v>
      </c>
      <c r="AM88" s="18">
        <f>VLOOKUP(AP88,'[3]CONTENEUR PLEIN'!$F:$L,7,FALSE)</f>
        <v>45670.333333333336</v>
      </c>
      <c r="AN88" s="90" t="s">
        <v>63</v>
      </c>
      <c r="AO88" s="90" t="s">
        <v>77</v>
      </c>
      <c r="AP88" s="90" t="s">
        <v>78</v>
      </c>
      <c r="AQ88" s="90"/>
      <c r="AR88" s="90" t="e">
        <f>VLOOKUP(AP88,'[2]CONTENEUR PLEIN'!$F:$L,2,FALSE)</f>
        <v>#N/A</v>
      </c>
      <c r="AS88" s="90" t="s">
        <v>51</v>
      </c>
      <c r="AT88" s="98"/>
      <c r="AU88" s="181"/>
    </row>
    <row r="89" spans="1:47" s="72" customFormat="1" ht="15" hidden="1" customHeight="1" x14ac:dyDescent="0.25">
      <c r="A89" s="71"/>
      <c r="B89" s="88" t="s">
        <v>45</v>
      </c>
      <c r="C89" s="89">
        <v>45548</v>
      </c>
      <c r="D89" s="90">
        <v>24079</v>
      </c>
      <c r="E89" s="91" t="s">
        <v>104</v>
      </c>
      <c r="F89" s="90">
        <v>2409041448</v>
      </c>
      <c r="G89" s="90" t="s">
        <v>64</v>
      </c>
      <c r="H89" s="90" t="s">
        <v>103</v>
      </c>
      <c r="I89" s="90" t="s">
        <v>49</v>
      </c>
      <c r="J89" s="90" t="s">
        <v>46</v>
      </c>
      <c r="K89" s="16" t="s">
        <v>201</v>
      </c>
      <c r="L89" s="89">
        <v>45700</v>
      </c>
      <c r="M89" s="381">
        <f t="shared" si="17"/>
        <v>6</v>
      </c>
      <c r="N89" s="98" t="s">
        <v>49</v>
      </c>
      <c r="O89" s="92">
        <v>300330</v>
      </c>
      <c r="P89" s="24" t="str">
        <f>VLOOKUP(O89,[1]Feuil2!$A:$M,5,FALSE)</f>
        <v>COUTEAU CLEO 10/10</v>
      </c>
      <c r="Q89" s="90">
        <f>10368-8208</f>
        <v>2160</v>
      </c>
      <c r="R89" s="93">
        <v>0.13400000000000001</v>
      </c>
      <c r="S89" s="94">
        <f t="shared" si="13"/>
        <v>289.44</v>
      </c>
      <c r="T89" s="95">
        <f t="shared" si="19"/>
        <v>128378.288</v>
      </c>
      <c r="U89" s="138"/>
      <c r="V89" s="96">
        <f t="shared" si="14"/>
        <v>128378.288</v>
      </c>
      <c r="W89" s="4">
        <f>VLOOKUP(O89,[1]Feuil2!$A:$M,6,FALSE)</f>
        <v>432</v>
      </c>
      <c r="X89" s="5">
        <f>VLOOKUP(O89,[1]Feuil2!$A:$M,13,FALSE)</f>
        <v>1.191175E-2</v>
      </c>
      <c r="Y89" s="6">
        <f t="shared" si="18"/>
        <v>5.9558750000000001E-2</v>
      </c>
      <c r="Z89" s="97">
        <f t="shared" si="16"/>
        <v>50.333925749999999</v>
      </c>
      <c r="AA89" s="67" t="s">
        <v>48</v>
      </c>
      <c r="AB89" s="67" t="s">
        <v>48</v>
      </c>
      <c r="AC89" s="90" t="s">
        <v>55</v>
      </c>
      <c r="AD89" s="21" t="s">
        <v>57</v>
      </c>
      <c r="AE89" s="20">
        <v>45674</v>
      </c>
      <c r="AF89" s="21" t="s">
        <v>139</v>
      </c>
      <c r="AG89" s="21"/>
      <c r="AH89" s="98"/>
      <c r="AI89" s="135">
        <v>45636</v>
      </c>
      <c r="AJ89" s="145">
        <f>DATEDIF(AI89,$AK89,"D")</f>
        <v>53</v>
      </c>
      <c r="AK89" s="100">
        <f>VLOOKUP(AP89,'[3]CONTENEUR PLEIN'!$F:$L,3,FALSE)</f>
        <v>45689</v>
      </c>
      <c r="AL89" s="99">
        <f>VLOOKUP(AP89,'[3]CONTENEUR PLEIN'!$F:$L,5,FALSE)</f>
        <v>45737</v>
      </c>
      <c r="AM89" s="18">
        <f>VLOOKUP(AP89,'[3]CONTENEUR PLEIN'!$F:$L,7,FALSE)</f>
        <v>45754.333333333336</v>
      </c>
      <c r="AN89" s="90" t="s">
        <v>63</v>
      </c>
      <c r="AO89" s="106" t="s">
        <v>141</v>
      </c>
      <c r="AP89" s="106" t="s">
        <v>142</v>
      </c>
      <c r="AQ89" s="106"/>
      <c r="AR89" s="118" t="e">
        <f>VLOOKUP(AP89,'[2]CONTENEUR PLEIN'!$F:$L,2,FALSE)</f>
        <v>#N/A</v>
      </c>
      <c r="AS89" s="106" t="s">
        <v>51</v>
      </c>
      <c r="AT89" s="98"/>
      <c r="AU89" s="181"/>
    </row>
    <row r="90" spans="1:47" s="166" customFormat="1" hidden="1" x14ac:dyDescent="0.25">
      <c r="A90" s="71"/>
      <c r="B90" s="88" t="s">
        <v>45</v>
      </c>
      <c r="C90" s="89">
        <v>45548</v>
      </c>
      <c r="D90" s="90">
        <v>24079</v>
      </c>
      <c r="E90" s="91" t="s">
        <v>104</v>
      </c>
      <c r="F90" s="90">
        <v>2409041448</v>
      </c>
      <c r="G90" s="90" t="s">
        <v>64</v>
      </c>
      <c r="H90" s="90" t="s">
        <v>103</v>
      </c>
      <c r="I90" s="90" t="s">
        <v>49</v>
      </c>
      <c r="J90" s="90" t="s">
        <v>46</v>
      </c>
      <c r="K90" s="16" t="s">
        <v>134</v>
      </c>
      <c r="L90" s="89">
        <v>45630</v>
      </c>
      <c r="M90" s="381">
        <f t="shared" si="17"/>
        <v>4</v>
      </c>
      <c r="N90" s="98" t="s">
        <v>49</v>
      </c>
      <c r="O90" s="92">
        <v>402650</v>
      </c>
      <c r="P90" s="24" t="str">
        <f>VLOOKUP(O90,[1]Feuil2!$A:$M,5,FALSE)</f>
        <v>LOT 6 CUILL MOKA CLEO 18% 10/10</v>
      </c>
      <c r="Q90" s="90">
        <v>32600</v>
      </c>
      <c r="R90" s="93">
        <v>0.20599999999999999</v>
      </c>
      <c r="S90" s="94">
        <f t="shared" si="13"/>
        <v>6715.5999999999995</v>
      </c>
      <c r="T90" s="95">
        <f t="shared" si="19"/>
        <v>128378.288</v>
      </c>
      <c r="U90" s="138"/>
      <c r="V90" s="96">
        <f t="shared" si="14"/>
        <v>128378.288</v>
      </c>
      <c r="W90" s="4">
        <f>VLOOKUP(O90,[1]Feuil2!$A:$M,6,FALSE)</f>
        <v>200</v>
      </c>
      <c r="X90" s="5">
        <f>VLOOKUP(O90,[1]Feuil2!$A:$M,13,FALSE)</f>
        <v>6.0210000000000012E-3</v>
      </c>
      <c r="Y90" s="6">
        <f t="shared" si="18"/>
        <v>0.98142300000000016</v>
      </c>
      <c r="Z90" s="97">
        <f t="shared" si="16"/>
        <v>50.333925749999999</v>
      </c>
      <c r="AA90" s="67" t="s">
        <v>48</v>
      </c>
      <c r="AB90" s="67" t="s">
        <v>48</v>
      </c>
      <c r="AC90" s="90" t="s">
        <v>55</v>
      </c>
      <c r="AD90" s="21" t="s">
        <v>57</v>
      </c>
      <c r="AE90" s="20">
        <v>45598</v>
      </c>
      <c r="AF90" s="21" t="s">
        <v>106</v>
      </c>
      <c r="AG90" s="21" t="s">
        <v>57</v>
      </c>
      <c r="AH90" s="105" t="s">
        <v>48</v>
      </c>
      <c r="AI90" s="135">
        <v>45636</v>
      </c>
      <c r="AJ90" s="145" t="s">
        <v>49</v>
      </c>
      <c r="AK90" s="100">
        <f>VLOOKUP(AP90,'[3]CONTENEUR PLEIN'!$F:$L,3,FALSE)</f>
        <v>45617</v>
      </c>
      <c r="AL90" s="99">
        <f>VLOOKUP(AP90,'[3]CONTENEUR PLEIN'!$F:$L,5,FALSE)</f>
        <v>45653</v>
      </c>
      <c r="AM90" s="18">
        <f>VLOOKUP(AP90,'[3]CONTENEUR PLEIN'!$F:$L,7,FALSE)</f>
        <v>45670.333333333336</v>
      </c>
      <c r="AN90" s="90" t="s">
        <v>63</v>
      </c>
      <c r="AO90" s="90" t="s">
        <v>77</v>
      </c>
      <c r="AP90" s="90" t="s">
        <v>78</v>
      </c>
      <c r="AQ90" s="90"/>
      <c r="AR90" s="90" t="e">
        <f>VLOOKUP(AP90,'[2]CONTENEUR PLEIN'!$F:$L,2,FALSE)</f>
        <v>#N/A</v>
      </c>
      <c r="AS90" s="90" t="s">
        <v>51</v>
      </c>
      <c r="AT90" s="98"/>
      <c r="AU90" s="72"/>
    </row>
    <row r="91" spans="1:47" s="72" customFormat="1" hidden="1" x14ac:dyDescent="0.25">
      <c r="A91" s="71"/>
      <c r="B91" s="116" t="s">
        <v>45</v>
      </c>
      <c r="C91" s="20">
        <v>45548</v>
      </c>
      <c r="D91" s="67">
        <v>24079</v>
      </c>
      <c r="E91" s="117" t="s">
        <v>104</v>
      </c>
      <c r="F91" s="67">
        <v>2409041448</v>
      </c>
      <c r="G91" s="67" t="s">
        <v>64</v>
      </c>
      <c r="H91" s="67" t="s">
        <v>103</v>
      </c>
      <c r="I91" s="67" t="s">
        <v>49</v>
      </c>
      <c r="J91" s="67" t="s">
        <v>46</v>
      </c>
      <c r="K91" s="16" t="s">
        <v>898</v>
      </c>
      <c r="L91" s="89">
        <v>46014</v>
      </c>
      <c r="M91" s="381">
        <f t="shared" si="17"/>
        <v>16</v>
      </c>
      <c r="N91" s="98" t="s">
        <v>49</v>
      </c>
      <c r="O91" s="92">
        <v>402650</v>
      </c>
      <c r="P91" s="24" t="str">
        <f>VLOOKUP(O91,[1]Feuil2!$A:$M,5,FALSE)</f>
        <v>LOT 6 CUILL MOKA CLEO 18% 10/10</v>
      </c>
      <c r="Q91" s="90">
        <f>67600-32600</f>
        <v>35000</v>
      </c>
      <c r="R91" s="93">
        <v>0.20599999999999999</v>
      </c>
      <c r="S91" s="94">
        <f t="shared" si="13"/>
        <v>7210</v>
      </c>
      <c r="T91" s="95">
        <f t="shared" si="19"/>
        <v>128378.288</v>
      </c>
      <c r="U91" s="138"/>
      <c r="V91" s="96">
        <f t="shared" si="14"/>
        <v>128378.288</v>
      </c>
      <c r="W91" s="4">
        <f>VLOOKUP(O91,[1]Feuil2!$A:$M,6,FALSE)</f>
        <v>200</v>
      </c>
      <c r="X91" s="5">
        <f>VLOOKUP(O91,[1]Feuil2!$A:$M,13,FALSE)</f>
        <v>6.0210000000000012E-3</v>
      </c>
      <c r="Y91" s="6">
        <f t="shared" si="18"/>
        <v>1.0536750000000001</v>
      </c>
      <c r="Z91" s="97">
        <f t="shared" si="16"/>
        <v>50.333925749999999</v>
      </c>
      <c r="AA91" s="43" t="s">
        <v>57</v>
      </c>
      <c r="AB91" s="67" t="s">
        <v>48</v>
      </c>
      <c r="AC91" s="90" t="s">
        <v>55</v>
      </c>
      <c r="AD91" s="21" t="s">
        <v>57</v>
      </c>
      <c r="AE91" s="20">
        <v>45972</v>
      </c>
      <c r="AF91" s="21" t="s">
        <v>605</v>
      </c>
      <c r="AG91" s="21"/>
      <c r="AH91" s="98"/>
      <c r="AI91" s="160">
        <v>45636</v>
      </c>
      <c r="AJ91" s="145">
        <f>DATEDIF(AI91,AK91,"D")</f>
        <v>362</v>
      </c>
      <c r="AK91" s="100">
        <f>VLOOKUP(AP91,'[2]CONTENEUR PLEIN'!$F:$L,3,FALSE)</f>
        <v>45998</v>
      </c>
      <c r="AL91" s="99">
        <f>VLOOKUP(AP91,'[2]CONTENEUR PLEIN'!$F:$L,5,FALSE)</f>
        <v>46040</v>
      </c>
      <c r="AM91" s="18">
        <f>VLOOKUP(AP91,'[2]CONTENEUR PLEIN'!$F:$L,7,FALSE)</f>
        <v>46049.333333333336</v>
      </c>
      <c r="AN91" s="90" t="s">
        <v>63</v>
      </c>
      <c r="AO91" s="290" t="s">
        <v>657</v>
      </c>
      <c r="AP91" s="290" t="s">
        <v>658</v>
      </c>
      <c r="AQ91" s="290" t="s">
        <v>663</v>
      </c>
      <c r="AR91" s="90" t="str">
        <f>VLOOKUP(AP91,'[2]CONTENEUR PLEIN'!$F:$L,2,FALSE)</f>
        <v>CMA CGM IGUACU</v>
      </c>
      <c r="AS91" s="290" t="s">
        <v>316</v>
      </c>
      <c r="AT91" s="98"/>
    </row>
    <row r="92" spans="1:47" s="72" customFormat="1" hidden="1" x14ac:dyDescent="0.25">
      <c r="A92" s="71"/>
      <c r="B92" s="29" t="s">
        <v>45</v>
      </c>
      <c r="C92" s="48">
        <v>45548</v>
      </c>
      <c r="D92" s="49">
        <v>24079</v>
      </c>
      <c r="E92" s="50" t="s">
        <v>104</v>
      </c>
      <c r="F92" s="49">
        <v>2409041448</v>
      </c>
      <c r="G92" s="49" t="s">
        <v>64</v>
      </c>
      <c r="H92" s="49" t="s">
        <v>103</v>
      </c>
      <c r="I92" s="49" t="s">
        <v>49</v>
      </c>
      <c r="J92" s="49" t="s">
        <v>46</v>
      </c>
      <c r="K92" s="262" t="s">
        <v>71</v>
      </c>
      <c r="L92" s="49" t="s">
        <v>47</v>
      </c>
      <c r="M92" s="382" t="e">
        <f t="shared" si="17"/>
        <v>#VALUE!</v>
      </c>
      <c r="N92" s="57" t="s">
        <v>49</v>
      </c>
      <c r="O92" s="51">
        <v>433620</v>
      </c>
      <c r="P92" s="30" t="str">
        <f>VLOOKUP(O92,[1]Feuil2!$A:$M,5,FALSE)</f>
        <v>FOURCHETTE KOBE+GENCOD</v>
      </c>
      <c r="Q92" s="49">
        <v>8208</v>
      </c>
      <c r="R92" s="52">
        <v>0.47</v>
      </c>
      <c r="S92" s="53">
        <f t="shared" si="13"/>
        <v>3857.7599999999998</v>
      </c>
      <c r="T92" s="31">
        <f t="shared" si="19"/>
        <v>128378.288</v>
      </c>
      <c r="U92" s="140"/>
      <c r="V92" s="32">
        <f t="shared" si="14"/>
        <v>128378.288</v>
      </c>
      <c r="W92" s="33">
        <f>VLOOKUP(O92,[1]Feuil2!$A:$M,6,FALSE)</f>
        <v>144</v>
      </c>
      <c r="X92" s="34">
        <f>VLOOKUP(O92,[1]Feuil2!$A:$M,13,FALSE)</f>
        <v>5.6857500000000007E-3</v>
      </c>
      <c r="Y92" s="35">
        <f t="shared" si="18"/>
        <v>0.32408775000000006</v>
      </c>
      <c r="Z92" s="36">
        <f t="shared" si="16"/>
        <v>50.333925749999999</v>
      </c>
      <c r="AA92" s="55" t="s">
        <v>61</v>
      </c>
      <c r="AB92" s="55" t="s">
        <v>61</v>
      </c>
      <c r="AC92" s="49"/>
      <c r="AD92" s="55" t="s">
        <v>61</v>
      </c>
      <c r="AE92" s="48"/>
      <c r="AF92" s="55"/>
      <c r="AG92" s="55"/>
      <c r="AH92" s="57"/>
      <c r="AI92" s="182">
        <v>45636</v>
      </c>
      <c r="AJ92" s="137" t="s">
        <v>49</v>
      </c>
      <c r="AK92" s="56" t="s">
        <v>46</v>
      </c>
      <c r="AL92" s="37" t="s">
        <v>46</v>
      </c>
      <c r="AM92" s="37" t="s">
        <v>46</v>
      </c>
      <c r="AN92" s="49" t="s">
        <v>63</v>
      </c>
      <c r="AO92" s="49"/>
      <c r="AP92" s="49"/>
      <c r="AQ92" s="49"/>
      <c r="AR92" s="49" t="e">
        <f>VLOOKUP(AP92,'[2]CONTENEUR PLEIN'!$F:$L,2,FALSE)</f>
        <v>#N/A</v>
      </c>
      <c r="AS92" s="49"/>
      <c r="AT92" s="57"/>
    </row>
    <row r="93" spans="1:47" s="72" customFormat="1" ht="15" hidden="1" customHeight="1" x14ac:dyDescent="0.25">
      <c r="A93" s="71"/>
      <c r="B93" s="29" t="s">
        <v>45</v>
      </c>
      <c r="C93" s="48">
        <v>45548</v>
      </c>
      <c r="D93" s="49">
        <v>24079</v>
      </c>
      <c r="E93" s="50" t="s">
        <v>104</v>
      </c>
      <c r="F93" s="49">
        <v>2409041448</v>
      </c>
      <c r="G93" s="49" t="s">
        <v>64</v>
      </c>
      <c r="H93" s="49" t="s">
        <v>103</v>
      </c>
      <c r="I93" s="49" t="s">
        <v>49</v>
      </c>
      <c r="J93" s="49" t="s">
        <v>46</v>
      </c>
      <c r="K93" s="262" t="s">
        <v>71</v>
      </c>
      <c r="L93" s="49" t="s">
        <v>47</v>
      </c>
      <c r="M93" s="382" t="e">
        <f t="shared" si="17"/>
        <v>#VALUE!</v>
      </c>
      <c r="N93" s="57" t="s">
        <v>49</v>
      </c>
      <c r="O93" s="51">
        <v>433640</v>
      </c>
      <c r="P93" s="30" t="str">
        <f>VLOOKUP(O93,[1]Feuil2!$A:$M,5,FALSE)</f>
        <v>CAFE KOBE+GENCOD</v>
      </c>
      <c r="Q93" s="49">
        <v>10080</v>
      </c>
      <c r="R93" s="52">
        <v>0.30099999999999999</v>
      </c>
      <c r="S93" s="53">
        <f t="shared" si="13"/>
        <v>3034.08</v>
      </c>
      <c r="T93" s="31">
        <f t="shared" si="19"/>
        <v>128378.288</v>
      </c>
      <c r="U93" s="140"/>
      <c r="V93" s="32">
        <f t="shared" si="14"/>
        <v>128378.288</v>
      </c>
      <c r="W93" s="33">
        <f>VLOOKUP(O93,[1]Feuil2!$A:$M,6,FALSE)</f>
        <v>144</v>
      </c>
      <c r="X93" s="34">
        <f>VLOOKUP(O93,[1]Feuil2!$A:$M,13,FALSE)</f>
        <v>1.1826000000000001E-2</v>
      </c>
      <c r="Y93" s="35">
        <f t="shared" si="18"/>
        <v>0.82782000000000011</v>
      </c>
      <c r="Z93" s="36">
        <f t="shared" si="16"/>
        <v>50.333925749999999</v>
      </c>
      <c r="AA93" s="55" t="s">
        <v>61</v>
      </c>
      <c r="AB93" s="55" t="s">
        <v>61</v>
      </c>
      <c r="AC93" s="49"/>
      <c r="AD93" s="55" t="s">
        <v>61</v>
      </c>
      <c r="AE93" s="48"/>
      <c r="AF93" s="55"/>
      <c r="AG93" s="55"/>
      <c r="AH93" s="57"/>
      <c r="AI93" s="182">
        <v>45636</v>
      </c>
      <c r="AJ93" s="137" t="s">
        <v>49</v>
      </c>
      <c r="AK93" s="56" t="s">
        <v>46</v>
      </c>
      <c r="AL93" s="37" t="s">
        <v>46</v>
      </c>
      <c r="AM93" s="37" t="s">
        <v>46</v>
      </c>
      <c r="AN93" s="49" t="s">
        <v>63</v>
      </c>
      <c r="AO93" s="49"/>
      <c r="AP93" s="49"/>
      <c r="AQ93" s="49"/>
      <c r="AR93" s="49" t="e">
        <f>VLOOKUP(AP93,'[2]CONTENEUR PLEIN'!$F:$L,2,FALSE)</f>
        <v>#N/A</v>
      </c>
      <c r="AS93" s="49"/>
      <c r="AT93" s="57"/>
    </row>
    <row r="94" spans="1:47" s="72" customFormat="1" hidden="1" x14ac:dyDescent="0.25">
      <c r="A94" s="197"/>
      <c r="B94" s="232" t="s">
        <v>45</v>
      </c>
      <c r="C94" s="194">
        <v>45548</v>
      </c>
      <c r="D94" s="191">
        <v>24079</v>
      </c>
      <c r="E94" s="195" t="s">
        <v>104</v>
      </c>
      <c r="F94" s="191">
        <v>2409041448</v>
      </c>
      <c r="G94" s="191" t="s">
        <v>64</v>
      </c>
      <c r="H94" s="191" t="s">
        <v>103</v>
      </c>
      <c r="I94" s="191" t="s">
        <v>49</v>
      </c>
      <c r="J94" s="191" t="s">
        <v>46</v>
      </c>
      <c r="K94" s="16" t="s">
        <v>449</v>
      </c>
      <c r="L94" s="194">
        <v>45870</v>
      </c>
      <c r="M94" s="381">
        <f t="shared" si="17"/>
        <v>12</v>
      </c>
      <c r="N94" s="209" t="s">
        <v>49</v>
      </c>
      <c r="O94" s="223">
        <v>10890001</v>
      </c>
      <c r="P94" s="24" t="str">
        <f>VLOOKUP(O94,[1]Feuil2!$A:$M,5,FALSE)</f>
        <v>TARTINEUR ECORCE + GENCOD</v>
      </c>
      <c r="Q94" s="191">
        <f>3888-3312</f>
        <v>576</v>
      </c>
      <c r="R94" s="224">
        <v>0.223</v>
      </c>
      <c r="S94" s="225">
        <f t="shared" si="13"/>
        <v>128.44800000000001</v>
      </c>
      <c r="T94" s="226">
        <f t="shared" si="19"/>
        <v>128378.288</v>
      </c>
      <c r="U94" s="227"/>
      <c r="V94" s="228">
        <f t="shared" si="14"/>
        <v>128378.288</v>
      </c>
      <c r="W94" s="4">
        <f>VLOOKUP(O94,[1]Feuil2!$A:$M,6,FALSE)</f>
        <v>144</v>
      </c>
      <c r="X94" s="5">
        <f>VLOOKUP(O94,[1]Feuil2!$A:$M,13,FALSE)</f>
        <v>6.3825000000000002E-3</v>
      </c>
      <c r="Y94" s="6">
        <f t="shared" si="18"/>
        <v>2.5530000000000001E-2</v>
      </c>
      <c r="Z94" s="229">
        <f t="shared" si="16"/>
        <v>50.333925749999999</v>
      </c>
      <c r="AA94" s="23" t="s">
        <v>48</v>
      </c>
      <c r="AB94" s="21" t="s">
        <v>57</v>
      </c>
      <c r="AC94" s="191" t="s">
        <v>55</v>
      </c>
      <c r="AD94" s="21" t="s">
        <v>57</v>
      </c>
      <c r="AE94" s="20">
        <v>45813</v>
      </c>
      <c r="AF94" s="47" t="s">
        <v>298</v>
      </c>
      <c r="AG94" s="21"/>
      <c r="AH94" s="209"/>
      <c r="AI94" s="160">
        <v>45636</v>
      </c>
      <c r="AJ94" s="145">
        <f>DATEDIF(AI94,$AK94,"D")</f>
        <v>236</v>
      </c>
      <c r="AK94" s="100">
        <f>VLOOKUP(AP94,'[3]CONTENEUR PLEIN'!$F:$L,3,FALSE)</f>
        <v>45872</v>
      </c>
      <c r="AL94" s="99">
        <f>VLOOKUP(AP94,'[3]CONTENEUR PLEIN'!$F:$L,5,FALSE)</f>
        <v>45907</v>
      </c>
      <c r="AM94" s="18">
        <f>VLOOKUP(AP94,'[3]CONTENEUR PLEIN'!$F:$L,7,FALSE)</f>
        <v>45918.53125</v>
      </c>
      <c r="AN94" s="191" t="s">
        <v>63</v>
      </c>
      <c r="AO94" s="191" t="s">
        <v>371</v>
      </c>
      <c r="AP94" s="191" t="s">
        <v>372</v>
      </c>
      <c r="AQ94" s="191" t="s">
        <v>374</v>
      </c>
      <c r="AR94" s="191" t="e">
        <f>VLOOKUP(AP94,'[2]CONTENEUR PLEIN'!$F:$L,2,FALSE)</f>
        <v>#N/A</v>
      </c>
      <c r="AS94" s="191" t="s">
        <v>316</v>
      </c>
      <c r="AT94" s="209"/>
    </row>
    <row r="95" spans="1:47" s="72" customFormat="1" hidden="1" x14ac:dyDescent="0.25">
      <c r="A95" s="71"/>
      <c r="B95" s="88" t="s">
        <v>45</v>
      </c>
      <c r="C95" s="89">
        <v>45548</v>
      </c>
      <c r="D95" s="90">
        <v>24079</v>
      </c>
      <c r="E95" s="91" t="s">
        <v>104</v>
      </c>
      <c r="F95" s="90">
        <v>2409041448</v>
      </c>
      <c r="G95" s="90" t="s">
        <v>64</v>
      </c>
      <c r="H95" s="90" t="s">
        <v>103</v>
      </c>
      <c r="I95" s="90" t="s">
        <v>49</v>
      </c>
      <c r="J95" s="90" t="s">
        <v>46</v>
      </c>
      <c r="K95" s="16" t="s">
        <v>309</v>
      </c>
      <c r="L95" s="89">
        <v>45770</v>
      </c>
      <c r="M95" s="381">
        <f t="shared" si="17"/>
        <v>9</v>
      </c>
      <c r="N95" s="98" t="s">
        <v>49</v>
      </c>
      <c r="O95" s="92">
        <v>10890001</v>
      </c>
      <c r="P95" s="24" t="str">
        <f>VLOOKUP(O95,[1]Feuil2!$A:$M,5,FALSE)</f>
        <v>TARTINEUR ECORCE + GENCOD</v>
      </c>
      <c r="Q95" s="90">
        <v>3312</v>
      </c>
      <c r="R95" s="93">
        <v>0.223</v>
      </c>
      <c r="S95" s="94">
        <f t="shared" si="13"/>
        <v>738.57600000000002</v>
      </c>
      <c r="T95" s="95">
        <f t="shared" si="19"/>
        <v>128378.288</v>
      </c>
      <c r="U95" s="138"/>
      <c r="V95" s="96">
        <f t="shared" si="14"/>
        <v>128378.288</v>
      </c>
      <c r="W95" s="4">
        <f>VLOOKUP(O95,[1]Feuil2!$A:$M,6,FALSE)</f>
        <v>144</v>
      </c>
      <c r="X95" s="5">
        <f>VLOOKUP(O95,[1]Feuil2!$A:$M,13,FALSE)</f>
        <v>6.3825000000000002E-3</v>
      </c>
      <c r="Y95" s="6">
        <f t="shared" si="18"/>
        <v>0.1467975</v>
      </c>
      <c r="Z95" s="97">
        <f t="shared" si="16"/>
        <v>50.333925749999999</v>
      </c>
      <c r="AA95" s="23" t="s">
        <v>48</v>
      </c>
      <c r="AB95" s="69" t="s">
        <v>57</v>
      </c>
      <c r="AC95" s="90" t="s">
        <v>55</v>
      </c>
      <c r="AD95" s="21" t="s">
        <v>57</v>
      </c>
      <c r="AE95" s="20">
        <v>45738</v>
      </c>
      <c r="AF95" s="21" t="s">
        <v>189</v>
      </c>
      <c r="AG95" s="21"/>
      <c r="AH95" s="98"/>
      <c r="AI95" s="135">
        <v>45636</v>
      </c>
      <c r="AJ95" s="145">
        <f>DATEDIF(AI95,$AK95,"D")</f>
        <v>128</v>
      </c>
      <c r="AK95" s="100">
        <f>VLOOKUP(AP95,'[3]CONTENEUR PLEIN'!$F:$L,3,FALSE)</f>
        <v>45764</v>
      </c>
      <c r="AL95" s="99">
        <f>VLOOKUP(AP95,'[3]CONTENEUR PLEIN'!$F:$L,5,FALSE)</f>
        <v>45812</v>
      </c>
      <c r="AM95" s="18">
        <f>VLOOKUP(AP95,'[3]CONTENEUR PLEIN'!$F:$L,7,FALSE)</f>
        <v>45824.53125</v>
      </c>
      <c r="AN95" s="90" t="s">
        <v>63</v>
      </c>
      <c r="AO95" s="129" t="s">
        <v>212</v>
      </c>
      <c r="AP95" s="129" t="s">
        <v>213</v>
      </c>
      <c r="AQ95" s="129" t="s">
        <v>259</v>
      </c>
      <c r="AR95" s="129" t="e">
        <f>VLOOKUP(AP95,'[2]CONTENEUR PLEIN'!$F:$L,2,FALSE)</f>
        <v>#N/A</v>
      </c>
      <c r="AS95" s="129" t="s">
        <v>51</v>
      </c>
      <c r="AT95" s="98"/>
      <c r="AU95" s="181"/>
    </row>
    <row r="96" spans="1:47" ht="15" hidden="1" customHeight="1" x14ac:dyDescent="0.25">
      <c r="A96" s="71"/>
      <c r="B96" s="29" t="s">
        <v>45</v>
      </c>
      <c r="C96" s="48">
        <v>45548</v>
      </c>
      <c r="D96" s="49">
        <v>24079</v>
      </c>
      <c r="E96" s="50" t="s">
        <v>104</v>
      </c>
      <c r="F96" s="49">
        <v>2409041448</v>
      </c>
      <c r="G96" s="49" t="s">
        <v>64</v>
      </c>
      <c r="H96" s="49" t="s">
        <v>103</v>
      </c>
      <c r="I96" s="49" t="s">
        <v>49</v>
      </c>
      <c r="J96" s="49" t="s">
        <v>46</v>
      </c>
      <c r="K96" s="107" t="s">
        <v>71</v>
      </c>
      <c r="L96" s="49" t="s">
        <v>47</v>
      </c>
      <c r="M96" s="382" t="e">
        <f t="shared" si="17"/>
        <v>#VALUE!</v>
      </c>
      <c r="N96" s="57" t="s">
        <v>49</v>
      </c>
      <c r="O96" s="51">
        <v>20480002</v>
      </c>
      <c r="P96" s="30" t="str">
        <f>VLOOKUP(O96,[1]Feuil2!$A:$M,5,FALSE)</f>
        <v>COUTEAU STEAK CLEO 15/10</v>
      </c>
      <c r="Q96" s="49">
        <v>3024</v>
      </c>
      <c r="R96" s="52">
        <v>0</v>
      </c>
      <c r="S96" s="53">
        <f t="shared" si="13"/>
        <v>0</v>
      </c>
      <c r="T96" s="31">
        <f t="shared" si="19"/>
        <v>128378.288</v>
      </c>
      <c r="U96" s="140"/>
      <c r="V96" s="32">
        <f t="shared" si="14"/>
        <v>128378.288</v>
      </c>
      <c r="W96" s="33">
        <f>VLOOKUP(O96,[1]Feuil2!$A:$M,6,FALSE)</f>
        <v>432</v>
      </c>
      <c r="X96" s="34">
        <f>VLOOKUP(O96,[1]Feuil2!$A:$M,13,FALSE)</f>
        <v>1.0477999999999998E-2</v>
      </c>
      <c r="Y96" s="35">
        <f t="shared" si="18"/>
        <v>7.3345999999999981E-2</v>
      </c>
      <c r="Z96" s="36">
        <f t="shared" si="16"/>
        <v>50.333925749999999</v>
      </c>
      <c r="AA96" s="30" t="s">
        <v>48</v>
      </c>
      <c r="AB96" s="55" t="s">
        <v>57</v>
      </c>
      <c r="AC96" s="49" t="s">
        <v>55</v>
      </c>
      <c r="AD96" s="55" t="s">
        <v>57</v>
      </c>
      <c r="AE96" s="48"/>
      <c r="AF96" s="55"/>
      <c r="AG96" s="55"/>
      <c r="AH96" s="57"/>
      <c r="AI96" s="136">
        <v>45637</v>
      </c>
      <c r="AJ96" s="137" t="s">
        <v>49</v>
      </c>
      <c r="AK96" s="56" t="s">
        <v>46</v>
      </c>
      <c r="AL96" s="37" t="s">
        <v>46</v>
      </c>
      <c r="AM96" s="37" t="s">
        <v>46</v>
      </c>
      <c r="AN96" s="49" t="s">
        <v>63</v>
      </c>
      <c r="AO96" s="37" t="s">
        <v>46</v>
      </c>
      <c r="AP96" s="37" t="s">
        <v>46</v>
      </c>
      <c r="AQ96" s="37" t="s">
        <v>46</v>
      </c>
      <c r="AR96" s="37" t="s">
        <v>46</v>
      </c>
      <c r="AS96" s="37" t="s">
        <v>46</v>
      </c>
      <c r="AT96" s="39" t="s">
        <v>46</v>
      </c>
      <c r="AU96" s="72"/>
    </row>
    <row r="97" spans="1:47" s="72" customFormat="1" ht="15" hidden="1" customHeight="1" x14ac:dyDescent="0.25">
      <c r="A97" s="71"/>
      <c r="B97" s="88" t="s">
        <v>45</v>
      </c>
      <c r="C97" s="89">
        <v>45548</v>
      </c>
      <c r="D97" s="90">
        <v>24079</v>
      </c>
      <c r="E97" s="91" t="s">
        <v>104</v>
      </c>
      <c r="F97" s="90">
        <v>2409041448</v>
      </c>
      <c r="G97" s="90" t="s">
        <v>64</v>
      </c>
      <c r="H97" s="90" t="s">
        <v>103</v>
      </c>
      <c r="I97" s="90" t="s">
        <v>49</v>
      </c>
      <c r="J97" s="90" t="s">
        <v>46</v>
      </c>
      <c r="K97" s="16" t="s">
        <v>309</v>
      </c>
      <c r="L97" s="89">
        <v>45770</v>
      </c>
      <c r="M97" s="381">
        <f t="shared" si="17"/>
        <v>9</v>
      </c>
      <c r="N97" s="98" t="s">
        <v>49</v>
      </c>
      <c r="O97" s="92">
        <v>20480002</v>
      </c>
      <c r="P97" s="24" t="str">
        <f>VLOOKUP(O97,[1]Feuil2!$A:$M,5,FALSE)</f>
        <v>COUTEAU STEAK CLEO 15/10</v>
      </c>
      <c r="Q97" s="90">
        <f>24624-15984-3024</f>
        <v>5616</v>
      </c>
      <c r="R97" s="93">
        <v>0.14000000000000001</v>
      </c>
      <c r="S97" s="94">
        <f t="shared" si="13"/>
        <v>786.24000000000012</v>
      </c>
      <c r="T97" s="95">
        <f t="shared" si="19"/>
        <v>128378.288</v>
      </c>
      <c r="U97" s="138"/>
      <c r="V97" s="96">
        <f t="shared" si="14"/>
        <v>128378.288</v>
      </c>
      <c r="W97" s="4">
        <f>VLOOKUP(O97,[1]Feuil2!$A:$M,6,FALSE)</f>
        <v>432</v>
      </c>
      <c r="X97" s="5">
        <f>VLOOKUP(O97,[1]Feuil2!$A:$M,13,FALSE)</f>
        <v>1.0477999999999998E-2</v>
      </c>
      <c r="Y97" s="6">
        <f t="shared" si="18"/>
        <v>0.13621399999999997</v>
      </c>
      <c r="Z97" s="97">
        <f t="shared" si="16"/>
        <v>50.333925749999999</v>
      </c>
      <c r="AA97" s="24" t="s">
        <v>48</v>
      </c>
      <c r="AB97" s="21" t="s">
        <v>57</v>
      </c>
      <c r="AC97" s="90" t="s">
        <v>55</v>
      </c>
      <c r="AD97" s="69" t="s">
        <v>57</v>
      </c>
      <c r="AE97" s="20">
        <v>45674</v>
      </c>
      <c r="AF97" s="21" t="s">
        <v>139</v>
      </c>
      <c r="AG97" s="21"/>
      <c r="AH97" s="98"/>
      <c r="AI97" s="135">
        <v>45636</v>
      </c>
      <c r="AJ97" s="145">
        <f>DATEDIF(AI97,$AK97,"D")</f>
        <v>128</v>
      </c>
      <c r="AK97" s="100">
        <f>VLOOKUP(AP97,'[3]CONTENEUR PLEIN'!$F:$L,3,FALSE)</f>
        <v>45764</v>
      </c>
      <c r="AL97" s="99">
        <f>VLOOKUP(AP97,'[3]CONTENEUR PLEIN'!$F:$L,5,FALSE)</f>
        <v>45812</v>
      </c>
      <c r="AM97" s="18">
        <f>VLOOKUP(AP97,'[3]CONTENEUR PLEIN'!$F:$L,7,FALSE)</f>
        <v>45824.53125</v>
      </c>
      <c r="AN97" s="90" t="s">
        <v>63</v>
      </c>
      <c r="AO97" s="129" t="s">
        <v>212</v>
      </c>
      <c r="AP97" s="129" t="s">
        <v>213</v>
      </c>
      <c r="AQ97" s="129" t="s">
        <v>259</v>
      </c>
      <c r="AR97" s="129" t="e">
        <f>VLOOKUP(AP97,'[2]CONTENEUR PLEIN'!$F:$L,2,FALSE)</f>
        <v>#N/A</v>
      </c>
      <c r="AS97" s="129" t="s">
        <v>51</v>
      </c>
      <c r="AT97" s="98"/>
    </row>
    <row r="98" spans="1:47" ht="15" hidden="1" customHeight="1" x14ac:dyDescent="0.25">
      <c r="A98" s="71"/>
      <c r="B98" s="88" t="s">
        <v>45</v>
      </c>
      <c r="C98" s="89">
        <v>45548</v>
      </c>
      <c r="D98" s="90">
        <v>24079</v>
      </c>
      <c r="E98" s="91" t="s">
        <v>104</v>
      </c>
      <c r="F98" s="90">
        <v>2409041448</v>
      </c>
      <c r="G98" s="90" t="s">
        <v>64</v>
      </c>
      <c r="H98" s="90" t="s">
        <v>103</v>
      </c>
      <c r="I98" s="90" t="s">
        <v>49</v>
      </c>
      <c r="J98" s="90" t="s">
        <v>46</v>
      </c>
      <c r="K98" s="16" t="s">
        <v>201</v>
      </c>
      <c r="L98" s="89">
        <v>45700</v>
      </c>
      <c r="M98" s="381">
        <f t="shared" si="17"/>
        <v>6</v>
      </c>
      <c r="N98" s="98" t="s">
        <v>49</v>
      </c>
      <c r="O98" s="92">
        <v>20480002</v>
      </c>
      <c r="P98" s="24" t="str">
        <f>VLOOKUP(O98,[1]Feuil2!$A:$M,5,FALSE)</f>
        <v>COUTEAU STEAK CLEO 15/10</v>
      </c>
      <c r="Q98" s="90">
        <v>15984</v>
      </c>
      <c r="R98" s="93">
        <v>0.14000000000000001</v>
      </c>
      <c r="S98" s="94">
        <f t="shared" si="13"/>
        <v>2237.7600000000002</v>
      </c>
      <c r="T98" s="95">
        <f t="shared" si="19"/>
        <v>128378.288</v>
      </c>
      <c r="U98" s="138"/>
      <c r="V98" s="96">
        <f t="shared" si="14"/>
        <v>128378.288</v>
      </c>
      <c r="W98" s="4">
        <f>VLOOKUP(O98,[1]Feuil2!$A:$M,6,FALSE)</f>
        <v>432</v>
      </c>
      <c r="X98" s="5">
        <f>VLOOKUP(O98,[1]Feuil2!$A:$M,13,FALSE)</f>
        <v>1.0477999999999998E-2</v>
      </c>
      <c r="Y98" s="6">
        <f t="shared" si="18"/>
        <v>0.38768599999999992</v>
      </c>
      <c r="Z98" s="97">
        <f t="shared" si="16"/>
        <v>50.333925749999999</v>
      </c>
      <c r="AA98" s="23" t="s">
        <v>48</v>
      </c>
      <c r="AB98" s="69" t="s">
        <v>57</v>
      </c>
      <c r="AC98" s="90" t="s">
        <v>55</v>
      </c>
      <c r="AD98" s="21" t="s">
        <v>57</v>
      </c>
      <c r="AE98" s="20">
        <v>45674</v>
      </c>
      <c r="AF98" s="21" t="s">
        <v>139</v>
      </c>
      <c r="AG98" s="21"/>
      <c r="AH98" s="98"/>
      <c r="AI98" s="135">
        <v>45636</v>
      </c>
      <c r="AJ98" s="145">
        <f>DATEDIF(AI98,$AK98,"D")</f>
        <v>53</v>
      </c>
      <c r="AK98" s="100">
        <f>VLOOKUP(AP98,'[3]CONTENEUR PLEIN'!$F:$L,3,FALSE)</f>
        <v>45689</v>
      </c>
      <c r="AL98" s="99">
        <f>VLOOKUP(AP98,'[3]CONTENEUR PLEIN'!$F:$L,5,FALSE)</f>
        <v>45737</v>
      </c>
      <c r="AM98" s="18">
        <f>VLOOKUP(AP98,'[3]CONTENEUR PLEIN'!$F:$L,7,FALSE)</f>
        <v>45754.333333333336</v>
      </c>
      <c r="AN98" s="90" t="s">
        <v>63</v>
      </c>
      <c r="AO98" s="106" t="s">
        <v>141</v>
      </c>
      <c r="AP98" s="106" t="s">
        <v>142</v>
      </c>
      <c r="AQ98" s="106"/>
      <c r="AR98" s="118" t="e">
        <f>VLOOKUP(AP98,'[2]CONTENEUR PLEIN'!$F:$L,2,FALSE)</f>
        <v>#N/A</v>
      </c>
      <c r="AS98" s="106" t="s">
        <v>51</v>
      </c>
      <c r="AT98" s="98"/>
      <c r="AU98" s="72"/>
    </row>
    <row r="99" spans="1:47" s="72" customFormat="1" ht="15" hidden="1" customHeight="1" x14ac:dyDescent="0.25">
      <c r="A99" s="71"/>
      <c r="B99" s="88" t="s">
        <v>45</v>
      </c>
      <c r="C99" s="89">
        <v>45548</v>
      </c>
      <c r="D99" s="90">
        <v>24079</v>
      </c>
      <c r="E99" s="91" t="s">
        <v>104</v>
      </c>
      <c r="F99" s="90">
        <v>2409041448</v>
      </c>
      <c r="G99" s="90" t="s">
        <v>64</v>
      </c>
      <c r="H99" s="90" t="s">
        <v>103</v>
      </c>
      <c r="I99" s="90" t="s">
        <v>49</v>
      </c>
      <c r="J99" s="90" t="s">
        <v>46</v>
      </c>
      <c r="K99" s="16" t="s">
        <v>862</v>
      </c>
      <c r="L99" s="89">
        <v>45995</v>
      </c>
      <c r="M99" s="381">
        <f t="shared" si="17"/>
        <v>16</v>
      </c>
      <c r="N99" s="98" t="s">
        <v>49</v>
      </c>
      <c r="O99" s="92">
        <v>20480004</v>
      </c>
      <c r="P99" s="24" t="str">
        <f>VLOOKUP(O99,[1]Feuil2!$A:$M,5,FALSE)</f>
        <v>FOUCHETTE CLEO PROMOCASH</v>
      </c>
      <c r="Q99" s="90">
        <v>23000</v>
      </c>
      <c r="R99" s="93">
        <v>6.9000000000000006E-2</v>
      </c>
      <c r="S99" s="94">
        <f t="shared" si="13"/>
        <v>1587.0000000000002</v>
      </c>
      <c r="T99" s="95">
        <f t="shared" si="19"/>
        <v>128378.288</v>
      </c>
      <c r="U99" s="138"/>
      <c r="V99" s="96">
        <f t="shared" si="14"/>
        <v>128378.288</v>
      </c>
      <c r="W99" s="4">
        <f>VLOOKUP(O99,[1]Feuil2!$A:$M,6,FALSE)</f>
        <v>250</v>
      </c>
      <c r="X99" s="5">
        <f>VLOOKUP(O99,[1]Feuil2!$A:$M,13,FALSE)</f>
        <v>1.0710000000000003E-2</v>
      </c>
      <c r="Y99" s="6">
        <f t="shared" si="18"/>
        <v>0.9853200000000002</v>
      </c>
      <c r="Z99" s="97">
        <f t="shared" si="16"/>
        <v>50.333925749999999</v>
      </c>
      <c r="AA99" s="43" t="s">
        <v>57</v>
      </c>
      <c r="AB99" s="68" t="s">
        <v>48</v>
      </c>
      <c r="AC99" s="191" t="s">
        <v>55</v>
      </c>
      <c r="AD99" s="21" t="s">
        <v>57</v>
      </c>
      <c r="AE99" s="20">
        <v>45973</v>
      </c>
      <c r="AF99" s="21" t="s">
        <v>604</v>
      </c>
      <c r="AG99" s="21"/>
      <c r="AH99" s="98"/>
      <c r="AI99" s="160">
        <v>45636</v>
      </c>
      <c r="AJ99" s="145">
        <f>DATEDIF(AI99,AK99,"D")</f>
        <v>348</v>
      </c>
      <c r="AK99" s="100">
        <f>VLOOKUP(AP99,'[2]CONTENEUR PLEIN'!$F:$L,3,FALSE)</f>
        <v>45984</v>
      </c>
      <c r="AL99" s="99">
        <f>VLOOKUP(AP99,'[2]CONTENEUR PLEIN'!$F:$L,5,FALSE)</f>
        <v>46030</v>
      </c>
      <c r="AM99" s="18">
        <f>VLOOKUP(AP99,'[2]CONTENEUR PLEIN'!$F:$L,7,FALSE)</f>
        <v>46036.333333333336</v>
      </c>
      <c r="AN99" s="90" t="s">
        <v>63</v>
      </c>
      <c r="AO99" s="351" t="s">
        <v>577</v>
      </c>
      <c r="AP99" s="351" t="s">
        <v>578</v>
      </c>
      <c r="AQ99" s="351" t="s">
        <v>580</v>
      </c>
      <c r="AR99" s="90" t="str">
        <f>VLOOKUP(AP99,'[2]CONTENEUR PLEIN'!$F:$L,2,FALSE)</f>
        <v>CMA CGM GRACE BAY</v>
      </c>
      <c r="AS99" s="351" t="s">
        <v>316</v>
      </c>
      <c r="AT99" s="98"/>
    </row>
    <row r="100" spans="1:47" s="72" customFormat="1" ht="15" hidden="1" customHeight="1" x14ac:dyDescent="0.25">
      <c r="A100" s="71"/>
      <c r="B100" s="88" t="s">
        <v>45</v>
      </c>
      <c r="C100" s="89">
        <v>45548</v>
      </c>
      <c r="D100" s="90">
        <v>24079</v>
      </c>
      <c r="E100" s="91" t="s">
        <v>104</v>
      </c>
      <c r="F100" s="90">
        <v>2409041448</v>
      </c>
      <c r="G100" s="90" t="s">
        <v>64</v>
      </c>
      <c r="H100" s="90" t="s">
        <v>103</v>
      </c>
      <c r="I100" s="90" t="s">
        <v>49</v>
      </c>
      <c r="J100" s="90" t="s">
        <v>46</v>
      </c>
      <c r="K100" s="16" t="s">
        <v>862</v>
      </c>
      <c r="L100" s="89">
        <v>45995</v>
      </c>
      <c r="M100" s="381">
        <f t="shared" si="17"/>
        <v>16</v>
      </c>
      <c r="N100" s="98" t="s">
        <v>49</v>
      </c>
      <c r="O100" s="92">
        <v>20480006</v>
      </c>
      <c r="P100" s="24" t="str">
        <f>VLOOKUP(O100,[1]Feuil2!$A:$M,5,FALSE)</f>
        <v>CAFE CLEO PROMOCASH</v>
      </c>
      <c r="Q100" s="90">
        <v>32100</v>
      </c>
      <c r="R100" s="93">
        <v>4.1000000000000002E-2</v>
      </c>
      <c r="S100" s="94">
        <f t="shared" si="13"/>
        <v>1316.1000000000001</v>
      </c>
      <c r="T100" s="95">
        <f t="shared" si="19"/>
        <v>128378.288</v>
      </c>
      <c r="U100" s="138"/>
      <c r="V100" s="96">
        <f t="shared" si="14"/>
        <v>128378.288</v>
      </c>
      <c r="W100" s="4">
        <f>VLOOKUP(O100,[1]Feuil2!$A:$M,6,FALSE)</f>
        <v>300</v>
      </c>
      <c r="X100" s="5">
        <f>VLOOKUP(O100,[1]Feuil2!$A:$M,13,FALSE)</f>
        <v>3.7799999999999999E-3</v>
      </c>
      <c r="Y100" s="6">
        <f t="shared" si="18"/>
        <v>0.40445999999999999</v>
      </c>
      <c r="Z100" s="97">
        <f t="shared" si="16"/>
        <v>50.333925749999999</v>
      </c>
      <c r="AA100" s="43" t="s">
        <v>57</v>
      </c>
      <c r="AB100" s="68" t="s">
        <v>48</v>
      </c>
      <c r="AC100" s="191" t="s">
        <v>55</v>
      </c>
      <c r="AD100" s="21" t="s">
        <v>57</v>
      </c>
      <c r="AE100" s="20">
        <v>45969</v>
      </c>
      <c r="AF100" s="21" t="s">
        <v>613</v>
      </c>
      <c r="AG100" s="21" t="s">
        <v>57</v>
      </c>
      <c r="AH100" s="503" t="s">
        <v>48</v>
      </c>
      <c r="AI100" s="160">
        <v>45636</v>
      </c>
      <c r="AJ100" s="145">
        <f>DATEDIF(AI100,AK100,"D")</f>
        <v>348</v>
      </c>
      <c r="AK100" s="100">
        <f>VLOOKUP(AP100,'[2]CONTENEUR PLEIN'!$F:$L,3,FALSE)</f>
        <v>45984</v>
      </c>
      <c r="AL100" s="99">
        <f>VLOOKUP(AP100,'[2]CONTENEUR PLEIN'!$F:$L,5,FALSE)</f>
        <v>46030</v>
      </c>
      <c r="AM100" s="18">
        <f>VLOOKUP(AP100,'[2]CONTENEUR PLEIN'!$F:$L,7,FALSE)</f>
        <v>46036.333333333336</v>
      </c>
      <c r="AN100" s="90" t="s">
        <v>63</v>
      </c>
      <c r="AO100" s="351" t="s">
        <v>577</v>
      </c>
      <c r="AP100" s="351" t="s">
        <v>578</v>
      </c>
      <c r="AQ100" s="351" t="s">
        <v>580</v>
      </c>
      <c r="AR100" s="90" t="str">
        <f>VLOOKUP(AP100,'[2]CONTENEUR PLEIN'!$F:$L,2,FALSE)</f>
        <v>CMA CGM GRACE BAY</v>
      </c>
      <c r="AS100" s="351" t="s">
        <v>316</v>
      </c>
      <c r="AT100" s="98"/>
    </row>
    <row r="101" spans="1:47" ht="15" hidden="1" customHeight="1" x14ac:dyDescent="0.25">
      <c r="A101" s="71"/>
      <c r="B101" s="88" t="s">
        <v>45</v>
      </c>
      <c r="C101" s="89">
        <v>45548</v>
      </c>
      <c r="D101" s="90">
        <v>24079</v>
      </c>
      <c r="E101" s="91" t="s">
        <v>104</v>
      </c>
      <c r="F101" s="90">
        <v>2409041448</v>
      </c>
      <c r="G101" s="90" t="s">
        <v>64</v>
      </c>
      <c r="H101" s="90" t="s">
        <v>103</v>
      </c>
      <c r="I101" s="90" t="s">
        <v>49</v>
      </c>
      <c r="J101" s="90" t="s">
        <v>46</v>
      </c>
      <c r="K101" s="16" t="s">
        <v>594</v>
      </c>
      <c r="L101" s="89">
        <v>45926</v>
      </c>
      <c r="M101" s="381">
        <f t="shared" si="17"/>
        <v>14</v>
      </c>
      <c r="N101" s="98" t="s">
        <v>49</v>
      </c>
      <c r="O101" s="92">
        <v>20480009</v>
      </c>
      <c r="P101" s="24" t="str">
        <f>VLOOKUP(O101,[1]Feuil2!$A:$M,5,FALSE)</f>
        <v>LOT 2 TARTINEURS CLEO</v>
      </c>
      <c r="Q101" s="90">
        <v>2376</v>
      </c>
      <c r="R101" s="93">
        <v>0.41299999999999998</v>
      </c>
      <c r="S101" s="94">
        <f t="shared" si="13"/>
        <v>981.2879999999999</v>
      </c>
      <c r="T101" s="95">
        <f t="shared" si="19"/>
        <v>128378.288</v>
      </c>
      <c r="U101" s="138"/>
      <c r="V101" s="96">
        <f t="shared" si="14"/>
        <v>128378.288</v>
      </c>
      <c r="W101" s="4">
        <f>VLOOKUP(O101,[1]Feuil2!$A:$M,6,FALSE)</f>
        <v>216</v>
      </c>
      <c r="X101" s="5">
        <f>VLOOKUP(O101,[1]Feuil2!$A:$M,13,FALSE)</f>
        <v>8.9759999999999996E-3</v>
      </c>
      <c r="Y101" s="6">
        <f t="shared" si="18"/>
        <v>9.873599999999999E-2</v>
      </c>
      <c r="Z101" s="97">
        <f t="shared" si="16"/>
        <v>50.333925749999999</v>
      </c>
      <c r="AA101" s="24" t="s">
        <v>48</v>
      </c>
      <c r="AB101" s="69" t="s">
        <v>57</v>
      </c>
      <c r="AC101" s="191" t="s">
        <v>55</v>
      </c>
      <c r="AD101" s="21" t="s">
        <v>57</v>
      </c>
      <c r="AE101" s="20">
        <v>45798</v>
      </c>
      <c r="AF101" s="47" t="s">
        <v>266</v>
      </c>
      <c r="AG101" s="21"/>
      <c r="AH101" s="98"/>
      <c r="AI101" s="160">
        <v>45636</v>
      </c>
      <c r="AJ101" s="145">
        <f>DATEDIF(AI101,AK101,"D")</f>
        <v>277</v>
      </c>
      <c r="AK101" s="100">
        <f>VLOOKUP(AP101,'[3]CONTENEUR PLEIN'!$F:$L,3,FALSE)</f>
        <v>45913</v>
      </c>
      <c r="AL101" s="99">
        <f>VLOOKUP(AP101,'[3]CONTENEUR PLEIN'!$F:$L,5,FALSE)</f>
        <v>45971</v>
      </c>
      <c r="AM101" s="18">
        <f>VLOOKUP(AP101,'[3]CONTENEUR PLEIN'!$F:$L,7,FALSE)</f>
        <v>45979.53125</v>
      </c>
      <c r="AN101" s="90" t="s">
        <v>63</v>
      </c>
      <c r="AO101" s="191" t="s">
        <v>428</v>
      </c>
      <c r="AP101" s="191" t="s">
        <v>429</v>
      </c>
      <c r="AQ101" s="90">
        <v>2409041448</v>
      </c>
      <c r="AR101" s="191" t="e">
        <f>VLOOKUP(AP101,'[2]CONTENEUR PLEIN'!$F:$L,2,FALSE)</f>
        <v>#N/A</v>
      </c>
      <c r="AS101" s="191" t="s">
        <v>316</v>
      </c>
      <c r="AT101" s="98"/>
      <c r="AU101" s="72"/>
    </row>
    <row r="102" spans="1:47" s="72" customFormat="1" ht="15" hidden="1" customHeight="1" x14ac:dyDescent="0.25">
      <c r="A102" s="71"/>
      <c r="B102" s="88" t="s">
        <v>45</v>
      </c>
      <c r="C102" s="89">
        <v>45548</v>
      </c>
      <c r="D102" s="90">
        <v>24079</v>
      </c>
      <c r="E102" s="91" t="s">
        <v>104</v>
      </c>
      <c r="F102" s="90">
        <v>2409041448</v>
      </c>
      <c r="G102" s="90" t="s">
        <v>64</v>
      </c>
      <c r="H102" s="90" t="s">
        <v>103</v>
      </c>
      <c r="I102" s="90" t="s">
        <v>49</v>
      </c>
      <c r="J102" s="90" t="s">
        <v>46</v>
      </c>
      <c r="K102" s="16" t="s">
        <v>134</v>
      </c>
      <c r="L102" s="89">
        <v>45630</v>
      </c>
      <c r="M102" s="381">
        <f t="shared" si="17"/>
        <v>4</v>
      </c>
      <c r="N102" s="98" t="s">
        <v>49</v>
      </c>
      <c r="O102" s="92">
        <v>20890006</v>
      </c>
      <c r="P102" s="24" t="str">
        <f>VLOOKUP(O102,[1]Feuil2!$A:$M,5,FALSE)</f>
        <v>COUTEAU ECORCE PROMOCASH</v>
      </c>
      <c r="Q102" s="90">
        <v>3888</v>
      </c>
      <c r="R102" s="93">
        <v>0.35</v>
      </c>
      <c r="S102" s="94">
        <f t="shared" si="13"/>
        <v>1360.8</v>
      </c>
      <c r="T102" s="95">
        <f t="shared" si="19"/>
        <v>128378.288</v>
      </c>
      <c r="U102" s="138"/>
      <c r="V102" s="96">
        <f t="shared" si="14"/>
        <v>128378.288</v>
      </c>
      <c r="W102" s="4">
        <f>VLOOKUP(O102,[1]Feuil2!$A:$M,6,FALSE)</f>
        <v>72</v>
      </c>
      <c r="X102" s="5">
        <f>VLOOKUP(O102,[1]Feuil2!$A:$M,13,FALSE)</f>
        <v>4.9087500000000008E-3</v>
      </c>
      <c r="Y102" s="6">
        <f t="shared" si="18"/>
        <v>0.26507250000000004</v>
      </c>
      <c r="Z102" s="97">
        <f t="shared" si="16"/>
        <v>50.333925749999999</v>
      </c>
      <c r="AA102" s="68" t="s">
        <v>48</v>
      </c>
      <c r="AB102" s="67" t="s">
        <v>48</v>
      </c>
      <c r="AC102" s="90" t="s">
        <v>55</v>
      </c>
      <c r="AD102" s="21" t="s">
        <v>57</v>
      </c>
      <c r="AE102" s="20">
        <v>45604</v>
      </c>
      <c r="AF102" s="21" t="s">
        <v>107</v>
      </c>
      <c r="AG102" s="21" t="s">
        <v>57</v>
      </c>
      <c r="AH102" s="105" t="s">
        <v>48</v>
      </c>
      <c r="AI102" s="135">
        <v>45636</v>
      </c>
      <c r="AJ102" s="145" t="s">
        <v>49</v>
      </c>
      <c r="AK102" s="100">
        <f>VLOOKUP(AP102,'[3]CONTENEUR PLEIN'!$F:$L,3,FALSE)</f>
        <v>45617</v>
      </c>
      <c r="AL102" s="99">
        <f>VLOOKUP(AP102,'[3]CONTENEUR PLEIN'!$F:$L,5,FALSE)</f>
        <v>45653</v>
      </c>
      <c r="AM102" s="18">
        <f>VLOOKUP(AP102,'[3]CONTENEUR PLEIN'!$F:$L,7,FALSE)</f>
        <v>45670.333333333336</v>
      </c>
      <c r="AN102" s="90" t="s">
        <v>63</v>
      </c>
      <c r="AO102" s="90" t="s">
        <v>77</v>
      </c>
      <c r="AP102" s="90" t="s">
        <v>78</v>
      </c>
      <c r="AQ102" s="90"/>
      <c r="AR102" s="90" t="e">
        <f>VLOOKUP(AP102,'[2]CONTENEUR PLEIN'!$F:$L,2,FALSE)</f>
        <v>#N/A</v>
      </c>
      <c r="AS102" s="90" t="s">
        <v>51</v>
      </c>
      <c r="AT102" s="103" t="s">
        <v>135</v>
      </c>
      <c r="AU102" s="181"/>
    </row>
    <row r="103" spans="1:47" hidden="1" x14ac:dyDescent="0.25">
      <c r="A103" s="71"/>
      <c r="B103" s="88" t="s">
        <v>45</v>
      </c>
      <c r="C103" s="89">
        <v>45548</v>
      </c>
      <c r="D103" s="90">
        <v>24079</v>
      </c>
      <c r="E103" s="91" t="s">
        <v>104</v>
      </c>
      <c r="F103" s="90">
        <v>2409041448</v>
      </c>
      <c r="G103" s="90" t="s">
        <v>64</v>
      </c>
      <c r="H103" s="90" t="s">
        <v>103</v>
      </c>
      <c r="I103" s="90" t="s">
        <v>49</v>
      </c>
      <c r="J103" s="90" t="s">
        <v>46</v>
      </c>
      <c r="K103" s="16" t="s">
        <v>309</v>
      </c>
      <c r="L103" s="89">
        <v>45770</v>
      </c>
      <c r="M103" s="381">
        <f t="shared" si="17"/>
        <v>9</v>
      </c>
      <c r="N103" s="98" t="s">
        <v>49</v>
      </c>
      <c r="O103" s="92">
        <v>20890007</v>
      </c>
      <c r="P103" s="24" t="str">
        <f>VLOOKUP(O103,[1]Feuil2!$A:$M,5,FALSE)</f>
        <v>FOURCHETTE ECORCE PROMOCASH</v>
      </c>
      <c r="Q103" s="90">
        <v>6264</v>
      </c>
      <c r="R103" s="93">
        <v>0.19800000000000001</v>
      </c>
      <c r="S103" s="94">
        <f t="shared" si="13"/>
        <v>1240.2720000000002</v>
      </c>
      <c r="T103" s="95">
        <f t="shared" si="19"/>
        <v>128378.288</v>
      </c>
      <c r="U103" s="138"/>
      <c r="V103" s="96">
        <f t="shared" si="14"/>
        <v>128378.288</v>
      </c>
      <c r="W103" s="4">
        <f>VLOOKUP(O103,[1]Feuil2!$A:$M,6,FALSE)</f>
        <v>72</v>
      </c>
      <c r="X103" s="5">
        <f>VLOOKUP(O103,[1]Feuil2!$A:$M,13,FALSE)</f>
        <v>5.9500000000000004E-3</v>
      </c>
      <c r="Y103" s="6">
        <f t="shared" si="18"/>
        <v>0.51765000000000005</v>
      </c>
      <c r="Z103" s="97">
        <f t="shared" si="16"/>
        <v>50.333925749999999</v>
      </c>
      <c r="AA103" s="23" t="s">
        <v>48</v>
      </c>
      <c r="AB103" s="69" t="s">
        <v>57</v>
      </c>
      <c r="AC103" s="90" t="s">
        <v>55</v>
      </c>
      <c r="AD103" s="19" t="s">
        <v>57</v>
      </c>
      <c r="AE103" s="20">
        <v>45738</v>
      </c>
      <c r="AF103" s="21" t="s">
        <v>190</v>
      </c>
      <c r="AG103" s="21"/>
      <c r="AH103" s="98"/>
      <c r="AI103" s="135">
        <v>45636</v>
      </c>
      <c r="AJ103" s="145">
        <f>DATEDIF(AI103,$AK103,"D")</f>
        <v>128</v>
      </c>
      <c r="AK103" s="100">
        <f>VLOOKUP(AP103,'[3]CONTENEUR PLEIN'!$F:$L,3,FALSE)</f>
        <v>45764</v>
      </c>
      <c r="AL103" s="100">
        <f>VLOOKUP(AP103,'[3]CONTENEUR PLEIN'!$F:$L,5,FALSE)</f>
        <v>45812</v>
      </c>
      <c r="AM103" s="174">
        <f>VLOOKUP(AP103,'[3]CONTENEUR PLEIN'!$F:$L,7,FALSE)</f>
        <v>45824.53125</v>
      </c>
      <c r="AN103" s="90" t="s">
        <v>63</v>
      </c>
      <c r="AO103" s="129" t="s">
        <v>212</v>
      </c>
      <c r="AP103" s="129" t="s">
        <v>213</v>
      </c>
      <c r="AQ103" s="129" t="s">
        <v>259</v>
      </c>
      <c r="AR103" s="129" t="e">
        <f>VLOOKUP(AP103,'[2]CONTENEUR PLEIN'!$F:$L,2,FALSE)</f>
        <v>#N/A</v>
      </c>
      <c r="AS103" s="129" t="s">
        <v>51</v>
      </c>
      <c r="AT103" s="98"/>
      <c r="AU103" s="72"/>
    </row>
    <row r="104" spans="1:47" ht="15" hidden="1" customHeight="1" x14ac:dyDescent="0.25">
      <c r="A104" s="71"/>
      <c r="B104" s="29" t="s">
        <v>45</v>
      </c>
      <c r="C104" s="48">
        <v>45548</v>
      </c>
      <c r="D104" s="49">
        <v>24079</v>
      </c>
      <c r="E104" s="50" t="s">
        <v>104</v>
      </c>
      <c r="F104" s="49">
        <v>2409041448</v>
      </c>
      <c r="G104" s="49" t="s">
        <v>64</v>
      </c>
      <c r="H104" s="49" t="s">
        <v>103</v>
      </c>
      <c r="I104" s="49" t="s">
        <v>49</v>
      </c>
      <c r="J104" s="49" t="s">
        <v>46</v>
      </c>
      <c r="K104" s="107" t="s">
        <v>71</v>
      </c>
      <c r="L104" s="49" t="s">
        <v>47</v>
      </c>
      <c r="M104" s="382" t="e">
        <f t="shared" si="17"/>
        <v>#VALUE!</v>
      </c>
      <c r="N104" s="57" t="s">
        <v>49</v>
      </c>
      <c r="O104" s="51">
        <v>20890009</v>
      </c>
      <c r="P104" s="30" t="str">
        <f>VLOOKUP(O104,[1]Feuil2!$A:$M,5,FALSE)</f>
        <v>CAFE ECORCE PROMOCASH</v>
      </c>
      <c r="Q104" s="49">
        <f>6912-6408</f>
        <v>504</v>
      </c>
      <c r="R104" s="52">
        <v>0.17499999999999999</v>
      </c>
      <c r="S104" s="53">
        <f t="shared" si="13"/>
        <v>88.199999999999989</v>
      </c>
      <c r="T104" s="31">
        <f t="shared" si="19"/>
        <v>128378.288</v>
      </c>
      <c r="U104" s="140"/>
      <c r="V104" s="32">
        <f t="shared" si="14"/>
        <v>128378.288</v>
      </c>
      <c r="W104" s="33">
        <f>VLOOKUP(O104,[1]Feuil2!$A:$M,6,FALSE)</f>
        <v>72</v>
      </c>
      <c r="X104" s="34">
        <f>VLOOKUP(O104,[1]Feuil2!$A:$M,13,FALSE)</f>
        <v>3.888E-3</v>
      </c>
      <c r="Y104" s="35">
        <f t="shared" si="18"/>
        <v>2.7216000000000001E-2</v>
      </c>
      <c r="Z104" s="36">
        <f t="shared" si="16"/>
        <v>50.333925749999999</v>
      </c>
      <c r="AA104" s="494" t="s">
        <v>48</v>
      </c>
      <c r="AB104" s="235" t="s">
        <v>57</v>
      </c>
      <c r="AC104" s="49" t="s">
        <v>55</v>
      </c>
      <c r="AD104" s="54" t="s">
        <v>57</v>
      </c>
      <c r="AE104" s="48">
        <v>45750</v>
      </c>
      <c r="AF104" s="55" t="s">
        <v>200</v>
      </c>
      <c r="AG104" s="55"/>
      <c r="AH104" s="57"/>
      <c r="AI104" s="136">
        <v>45636</v>
      </c>
      <c r="AJ104" s="137" t="s">
        <v>49</v>
      </c>
      <c r="AK104" s="56" t="s">
        <v>46</v>
      </c>
      <c r="AL104" s="37" t="s">
        <v>46</v>
      </c>
      <c r="AM104" s="37" t="s">
        <v>46</v>
      </c>
      <c r="AN104" s="49" t="s">
        <v>63</v>
      </c>
      <c r="AO104" s="49"/>
      <c r="AP104" s="49"/>
      <c r="AQ104" s="49"/>
      <c r="AR104" s="37" t="s">
        <v>46</v>
      </c>
      <c r="AS104" s="49"/>
      <c r="AT104" s="57"/>
    </row>
    <row r="105" spans="1:47" hidden="1" x14ac:dyDescent="0.25">
      <c r="A105" s="71"/>
      <c r="B105" s="88" t="s">
        <v>45</v>
      </c>
      <c r="C105" s="89">
        <v>45548</v>
      </c>
      <c r="D105" s="90">
        <v>24079</v>
      </c>
      <c r="E105" s="91" t="s">
        <v>104</v>
      </c>
      <c r="F105" s="90">
        <v>2409041448</v>
      </c>
      <c r="G105" s="90" t="s">
        <v>64</v>
      </c>
      <c r="H105" s="90" t="s">
        <v>103</v>
      </c>
      <c r="I105" s="90" t="s">
        <v>49</v>
      </c>
      <c r="J105" s="90" t="s">
        <v>46</v>
      </c>
      <c r="K105" s="16" t="s">
        <v>309</v>
      </c>
      <c r="L105" s="89">
        <v>45770</v>
      </c>
      <c r="M105" s="381">
        <f t="shared" si="17"/>
        <v>9</v>
      </c>
      <c r="N105" s="98" t="s">
        <v>49</v>
      </c>
      <c r="O105" s="92">
        <v>20890009</v>
      </c>
      <c r="P105" s="24" t="str">
        <f>VLOOKUP(O105,[1]Feuil2!$A:$M,5,FALSE)</f>
        <v>CAFE ECORCE PROMOCASH</v>
      </c>
      <c r="Q105" s="90">
        <v>6408</v>
      </c>
      <c r="R105" s="93">
        <v>0.17499999999999999</v>
      </c>
      <c r="S105" s="94">
        <f t="shared" si="13"/>
        <v>1121.3999999999999</v>
      </c>
      <c r="T105" s="95">
        <f t="shared" si="19"/>
        <v>128378.288</v>
      </c>
      <c r="U105" s="138"/>
      <c r="V105" s="96">
        <f t="shared" si="14"/>
        <v>128378.288</v>
      </c>
      <c r="W105" s="4">
        <f>VLOOKUP(O105,[1]Feuil2!$A:$M,6,FALSE)</f>
        <v>72</v>
      </c>
      <c r="X105" s="5">
        <f>VLOOKUP(O105,[1]Feuil2!$A:$M,13,FALSE)</f>
        <v>3.888E-3</v>
      </c>
      <c r="Y105" s="6">
        <f t="shared" si="18"/>
        <v>0.34603200000000001</v>
      </c>
      <c r="Z105" s="97">
        <f t="shared" si="16"/>
        <v>50.333925749999999</v>
      </c>
      <c r="AA105" s="23" t="s">
        <v>48</v>
      </c>
      <c r="AB105" s="69" t="s">
        <v>57</v>
      </c>
      <c r="AC105" s="90" t="s">
        <v>55</v>
      </c>
      <c r="AD105" s="43" t="s">
        <v>57</v>
      </c>
      <c r="AE105" s="20">
        <v>45750</v>
      </c>
      <c r="AF105" s="21" t="s">
        <v>200</v>
      </c>
      <c r="AG105" s="21"/>
      <c r="AH105" s="98"/>
      <c r="AI105" s="135">
        <v>45636</v>
      </c>
      <c r="AJ105" s="145">
        <f>DATEDIF(AI105,$AK105,"D")</f>
        <v>128</v>
      </c>
      <c r="AK105" s="100">
        <f>VLOOKUP(AP105,'[3]CONTENEUR PLEIN'!$F:$L,3,FALSE)</f>
        <v>45764</v>
      </c>
      <c r="AL105" s="99">
        <f>VLOOKUP(AP105,'[3]CONTENEUR PLEIN'!$F:$L,5,FALSE)</f>
        <v>45812</v>
      </c>
      <c r="AM105" s="18">
        <f>VLOOKUP(AP105,'[3]CONTENEUR PLEIN'!$F:$L,7,FALSE)</f>
        <v>45824.53125</v>
      </c>
      <c r="AN105" s="90" t="s">
        <v>63</v>
      </c>
      <c r="AO105" s="129" t="s">
        <v>212</v>
      </c>
      <c r="AP105" s="129" t="s">
        <v>213</v>
      </c>
      <c r="AQ105" s="129" t="s">
        <v>259</v>
      </c>
      <c r="AR105" s="129" t="e">
        <f>VLOOKUP(AP105,'[2]CONTENEUR PLEIN'!$F:$L,2,FALSE)</f>
        <v>#N/A</v>
      </c>
      <c r="AS105" s="129" t="s">
        <v>51</v>
      </c>
      <c r="AT105" s="98"/>
      <c r="AU105" s="72"/>
    </row>
    <row r="106" spans="1:47" s="72" customFormat="1" ht="15" hidden="1" customHeight="1" x14ac:dyDescent="0.25">
      <c r="A106" s="71"/>
      <c r="B106" s="88" t="s">
        <v>45</v>
      </c>
      <c r="C106" s="89">
        <v>45548</v>
      </c>
      <c r="D106" s="90">
        <v>24079</v>
      </c>
      <c r="E106" s="91" t="s">
        <v>104</v>
      </c>
      <c r="F106" s="90">
        <v>2409041448</v>
      </c>
      <c r="G106" s="90" t="s">
        <v>64</v>
      </c>
      <c r="H106" s="90" t="s">
        <v>103</v>
      </c>
      <c r="I106" s="90" t="s">
        <v>49</v>
      </c>
      <c r="J106" s="90" t="s">
        <v>46</v>
      </c>
      <c r="K106" s="16" t="s">
        <v>134</v>
      </c>
      <c r="L106" s="89">
        <v>45630</v>
      </c>
      <c r="M106" s="381">
        <f t="shared" si="17"/>
        <v>4</v>
      </c>
      <c r="N106" s="98" t="s">
        <v>49</v>
      </c>
      <c r="O106" s="92">
        <v>20890013</v>
      </c>
      <c r="P106" s="24" t="str">
        <f>VLOOKUP(O106,[1]Feuil2!$A:$M,5,FALSE)</f>
        <v>COUTEAU ECORCE PVD NOIR VRAC+GENCOD</v>
      </c>
      <c r="Q106" s="90">
        <v>5520</v>
      </c>
      <c r="R106" s="93">
        <v>0.46899999999999997</v>
      </c>
      <c r="S106" s="94">
        <f t="shared" si="13"/>
        <v>2588.8799999999997</v>
      </c>
      <c r="T106" s="95">
        <f t="shared" si="19"/>
        <v>128378.288</v>
      </c>
      <c r="U106" s="138"/>
      <c r="V106" s="96">
        <f t="shared" si="14"/>
        <v>128378.288</v>
      </c>
      <c r="W106" s="4">
        <f>VLOOKUP(O106,[1]Feuil2!$A:$M,6,FALSE)</f>
        <v>120</v>
      </c>
      <c r="X106" s="5">
        <f>VLOOKUP(O106,[1]Feuil2!$A:$M,13,FALSE)</f>
        <v>6.1582500000000005E-3</v>
      </c>
      <c r="Y106" s="6">
        <f t="shared" si="18"/>
        <v>0.28327950000000002</v>
      </c>
      <c r="Z106" s="97">
        <f t="shared" si="16"/>
        <v>50.333925749999999</v>
      </c>
      <c r="AA106" s="23" t="s">
        <v>48</v>
      </c>
      <c r="AB106" s="69" t="s">
        <v>57</v>
      </c>
      <c r="AC106" s="90" t="s">
        <v>55</v>
      </c>
      <c r="AD106" s="19" t="s">
        <v>57</v>
      </c>
      <c r="AE106" s="20">
        <v>45604</v>
      </c>
      <c r="AF106" s="21" t="s">
        <v>108</v>
      </c>
      <c r="AG106" s="21" t="s">
        <v>57</v>
      </c>
      <c r="AH106" s="105" t="s">
        <v>48</v>
      </c>
      <c r="AI106" s="135">
        <v>45636</v>
      </c>
      <c r="AJ106" s="145" t="s">
        <v>49</v>
      </c>
      <c r="AK106" s="100">
        <f>VLOOKUP(AP106,'[3]CONTENEUR PLEIN'!$F:$L,3,FALSE)</f>
        <v>45617</v>
      </c>
      <c r="AL106" s="99">
        <f>VLOOKUP(AP106,'[3]CONTENEUR PLEIN'!$F:$L,5,FALSE)</f>
        <v>45653</v>
      </c>
      <c r="AM106" s="18">
        <f>VLOOKUP(AP106,'[3]CONTENEUR PLEIN'!$F:$L,7,FALSE)</f>
        <v>45670.333333333336</v>
      </c>
      <c r="AN106" s="90" t="s">
        <v>63</v>
      </c>
      <c r="AO106" s="90" t="s">
        <v>77</v>
      </c>
      <c r="AP106" s="90" t="s">
        <v>78</v>
      </c>
      <c r="AQ106" s="90"/>
      <c r="AR106" s="90" t="e">
        <f>VLOOKUP(AP106,'[2]CONTENEUR PLEIN'!$F:$L,2,FALSE)</f>
        <v>#N/A</v>
      </c>
      <c r="AS106" s="90" t="s">
        <v>51</v>
      </c>
      <c r="AT106" s="103" t="s">
        <v>136</v>
      </c>
      <c r="AU106" s="181"/>
    </row>
    <row r="107" spans="1:47" s="72" customFormat="1" ht="15" hidden="1" customHeight="1" x14ac:dyDescent="0.25">
      <c r="A107" s="71"/>
      <c r="B107" s="29" t="s">
        <v>45</v>
      </c>
      <c r="C107" s="48">
        <v>45548</v>
      </c>
      <c r="D107" s="49">
        <v>24079</v>
      </c>
      <c r="E107" s="50" t="s">
        <v>104</v>
      </c>
      <c r="F107" s="49">
        <v>2409041448</v>
      </c>
      <c r="G107" s="49" t="s">
        <v>64</v>
      </c>
      <c r="H107" s="49" t="s">
        <v>103</v>
      </c>
      <c r="I107" s="49" t="s">
        <v>49</v>
      </c>
      <c r="J107" s="49" t="s">
        <v>46</v>
      </c>
      <c r="K107" s="107" t="s">
        <v>71</v>
      </c>
      <c r="L107" s="48">
        <v>45630</v>
      </c>
      <c r="M107" s="382" t="e">
        <f t="shared" si="17"/>
        <v>#VALUE!</v>
      </c>
      <c r="N107" s="57" t="s">
        <v>49</v>
      </c>
      <c r="O107" s="51">
        <v>20890013</v>
      </c>
      <c r="P107" s="30" t="str">
        <f>VLOOKUP(O107,[1]Feuil2!$A:$M,5,FALSE)</f>
        <v>COUTEAU ECORCE PVD NOIR VRAC+GENCOD</v>
      </c>
      <c r="Q107" s="49">
        <v>120</v>
      </c>
      <c r="R107" s="52">
        <v>0</v>
      </c>
      <c r="S107" s="53">
        <f t="shared" si="13"/>
        <v>0</v>
      </c>
      <c r="T107" s="31">
        <f t="shared" si="19"/>
        <v>128378.288</v>
      </c>
      <c r="U107" s="140"/>
      <c r="V107" s="32">
        <f t="shared" si="14"/>
        <v>128378.288</v>
      </c>
      <c r="W107" s="33">
        <f>VLOOKUP(O107,[1]Feuil2!$A:$M,6,FALSE)</f>
        <v>120</v>
      </c>
      <c r="X107" s="34">
        <f>VLOOKUP(O107,[1]Feuil2!$A:$M,13,FALSE)</f>
        <v>6.1582500000000005E-3</v>
      </c>
      <c r="Y107" s="35">
        <f t="shared" si="18"/>
        <v>6.1582500000000005E-3</v>
      </c>
      <c r="Z107" s="36">
        <f t="shared" si="16"/>
        <v>50.333925749999999</v>
      </c>
      <c r="AA107" s="494" t="s">
        <v>48</v>
      </c>
      <c r="AB107" s="235" t="s">
        <v>57</v>
      </c>
      <c r="AC107" s="49" t="s">
        <v>55</v>
      </c>
      <c r="AD107" s="58" t="s">
        <v>57</v>
      </c>
      <c r="AE107" s="48">
        <v>45604</v>
      </c>
      <c r="AF107" s="55" t="s">
        <v>108</v>
      </c>
      <c r="AG107" s="55"/>
      <c r="AH107" s="57"/>
      <c r="AI107" s="136">
        <v>45636</v>
      </c>
      <c r="AJ107" s="137" t="s">
        <v>49</v>
      </c>
      <c r="AK107" s="56" t="s">
        <v>46</v>
      </c>
      <c r="AL107" s="37" t="s">
        <v>46</v>
      </c>
      <c r="AM107" s="37" t="s">
        <v>46</v>
      </c>
      <c r="AN107" s="49" t="s">
        <v>63</v>
      </c>
      <c r="AO107" s="37" t="s">
        <v>46</v>
      </c>
      <c r="AP107" s="37" t="s">
        <v>46</v>
      </c>
      <c r="AQ107" s="37" t="s">
        <v>46</v>
      </c>
      <c r="AR107" s="37" t="s">
        <v>46</v>
      </c>
      <c r="AS107" s="37" t="s">
        <v>46</v>
      </c>
      <c r="AT107" s="39" t="s">
        <v>46</v>
      </c>
    </row>
    <row r="108" spans="1:47" hidden="1" x14ac:dyDescent="0.25">
      <c r="A108" s="71"/>
      <c r="B108" s="88" t="s">
        <v>45</v>
      </c>
      <c r="C108" s="89">
        <v>45548</v>
      </c>
      <c r="D108" s="90">
        <v>24079</v>
      </c>
      <c r="E108" s="91" t="s">
        <v>104</v>
      </c>
      <c r="F108" s="90">
        <v>2409041448</v>
      </c>
      <c r="G108" s="90" t="s">
        <v>64</v>
      </c>
      <c r="H108" s="90" t="s">
        <v>103</v>
      </c>
      <c r="I108" s="90" t="s">
        <v>49</v>
      </c>
      <c r="J108" s="90" t="s">
        <v>46</v>
      </c>
      <c r="K108" s="16" t="s">
        <v>309</v>
      </c>
      <c r="L108" s="89">
        <v>45770</v>
      </c>
      <c r="M108" s="381">
        <f t="shared" si="17"/>
        <v>9</v>
      </c>
      <c r="N108" s="98" t="s">
        <v>49</v>
      </c>
      <c r="O108" s="92">
        <v>20890014</v>
      </c>
      <c r="P108" s="24" t="str">
        <f>VLOOKUP(O108,[1]Feuil2!$A:$M,5,FALSE)</f>
        <v>FOURCHETTE ECORCE PVD NOIR VRAC+GENCOD</v>
      </c>
      <c r="Q108" s="90">
        <v>6840</v>
      </c>
      <c r="R108" s="93">
        <v>0.38800000000000001</v>
      </c>
      <c r="S108" s="94">
        <f t="shared" si="13"/>
        <v>2653.92</v>
      </c>
      <c r="T108" s="95">
        <f t="shared" si="19"/>
        <v>128378.288</v>
      </c>
      <c r="U108" s="138"/>
      <c r="V108" s="96">
        <f t="shared" si="14"/>
        <v>128378.288</v>
      </c>
      <c r="W108" s="4">
        <f>VLOOKUP(O108,[1]Feuil2!$A:$M,6,FALSE)</f>
        <v>120</v>
      </c>
      <c r="X108" s="5">
        <f>VLOOKUP(O108,[1]Feuil2!$A:$M,13,FALSE)</f>
        <v>6.2509999999999996E-3</v>
      </c>
      <c r="Y108" s="6">
        <f t="shared" si="18"/>
        <v>0.35630699999999998</v>
      </c>
      <c r="Z108" s="97">
        <f t="shared" si="16"/>
        <v>50.333925749999999</v>
      </c>
      <c r="AA108" s="23" t="s">
        <v>48</v>
      </c>
      <c r="AB108" s="21" t="s">
        <v>57</v>
      </c>
      <c r="AC108" s="90" t="s">
        <v>55</v>
      </c>
      <c r="AD108" s="43" t="s">
        <v>57</v>
      </c>
      <c r="AE108" s="20">
        <v>45724</v>
      </c>
      <c r="AF108" s="21" t="s">
        <v>172</v>
      </c>
      <c r="AG108" s="21"/>
      <c r="AH108" s="98"/>
      <c r="AI108" s="135">
        <v>45636</v>
      </c>
      <c r="AJ108" s="145">
        <f>DATEDIF(AI108,$AK108,"D")</f>
        <v>128</v>
      </c>
      <c r="AK108" s="100">
        <f>VLOOKUP(AP108,'[3]CONTENEUR PLEIN'!$F:$L,3,FALSE)</f>
        <v>45764</v>
      </c>
      <c r="AL108" s="99">
        <f>VLOOKUP(AP108,'[3]CONTENEUR PLEIN'!$F:$L,5,FALSE)</f>
        <v>45812</v>
      </c>
      <c r="AM108" s="18">
        <f>VLOOKUP(AP108,'[3]CONTENEUR PLEIN'!$F:$L,7,FALSE)</f>
        <v>45824.53125</v>
      </c>
      <c r="AN108" s="90" t="s">
        <v>63</v>
      </c>
      <c r="AO108" s="129" t="s">
        <v>212</v>
      </c>
      <c r="AP108" s="129" t="s">
        <v>213</v>
      </c>
      <c r="AQ108" s="129" t="s">
        <v>259</v>
      </c>
      <c r="AR108" s="129" t="e">
        <f>VLOOKUP(AP108,'[2]CONTENEUR PLEIN'!$F:$L,2,FALSE)</f>
        <v>#N/A</v>
      </c>
      <c r="AS108" s="129" t="s">
        <v>51</v>
      </c>
      <c r="AT108" s="98"/>
      <c r="AU108" s="72"/>
    </row>
    <row r="109" spans="1:47" s="72" customFormat="1" hidden="1" x14ac:dyDescent="0.25">
      <c r="A109" s="71"/>
      <c r="B109" s="88" t="s">
        <v>45</v>
      </c>
      <c r="C109" s="89">
        <v>45548</v>
      </c>
      <c r="D109" s="90">
        <v>24079</v>
      </c>
      <c r="E109" s="91" t="s">
        <v>104</v>
      </c>
      <c r="F109" s="90">
        <v>2409041448</v>
      </c>
      <c r="G109" s="90" t="s">
        <v>64</v>
      </c>
      <c r="H109" s="90" t="s">
        <v>103</v>
      </c>
      <c r="I109" s="90" t="s">
        <v>49</v>
      </c>
      <c r="J109" s="90" t="s">
        <v>46</v>
      </c>
      <c r="K109" s="16" t="s">
        <v>309</v>
      </c>
      <c r="L109" s="89">
        <v>45770</v>
      </c>
      <c r="M109" s="381">
        <f t="shared" si="17"/>
        <v>9</v>
      </c>
      <c r="N109" s="98" t="s">
        <v>49</v>
      </c>
      <c r="O109" s="92">
        <v>20890016</v>
      </c>
      <c r="P109" s="24" t="str">
        <f>VLOOKUP(O109,[1]Feuil2!$A:$M,5,FALSE)</f>
        <v>CAFE ECORCE PVD NOIR VRAC+GENCOD</v>
      </c>
      <c r="Q109" s="90">
        <v>7920</v>
      </c>
      <c r="R109" s="93">
        <v>0.29799999999999999</v>
      </c>
      <c r="S109" s="94">
        <f t="shared" si="13"/>
        <v>2360.16</v>
      </c>
      <c r="T109" s="95">
        <f t="shared" si="19"/>
        <v>128378.288</v>
      </c>
      <c r="U109" s="138"/>
      <c r="V109" s="96">
        <f t="shared" si="14"/>
        <v>128378.288</v>
      </c>
      <c r="W109" s="4">
        <f>VLOOKUP(O109,[1]Feuil2!$A:$M,6,FALSE)</f>
        <v>240</v>
      </c>
      <c r="X109" s="5">
        <f>VLOOKUP(O109,[1]Feuil2!$A:$M,13,FALSE)</f>
        <v>8.4150000000000006E-3</v>
      </c>
      <c r="Y109" s="6">
        <f t="shared" si="18"/>
        <v>0.27769500000000003</v>
      </c>
      <c r="Z109" s="97">
        <f t="shared" si="16"/>
        <v>50.333925749999999</v>
      </c>
      <c r="AA109" s="23" t="s">
        <v>48</v>
      </c>
      <c r="AB109" s="69" t="s">
        <v>57</v>
      </c>
      <c r="AC109" s="90" t="s">
        <v>55</v>
      </c>
      <c r="AD109" s="19" t="s">
        <v>57</v>
      </c>
      <c r="AE109" s="20">
        <v>45740</v>
      </c>
      <c r="AF109" s="21" t="s">
        <v>192</v>
      </c>
      <c r="AG109" s="21"/>
      <c r="AH109" s="98"/>
      <c r="AI109" s="135">
        <v>45636</v>
      </c>
      <c r="AJ109" s="145">
        <f>DATEDIF(AI109,$AK109,"D")</f>
        <v>128</v>
      </c>
      <c r="AK109" s="100">
        <f>VLOOKUP(AP109,'[3]CONTENEUR PLEIN'!$F:$L,3,FALSE)</f>
        <v>45764</v>
      </c>
      <c r="AL109" s="99">
        <f>VLOOKUP(AP109,'[3]CONTENEUR PLEIN'!$F:$L,5,FALSE)</f>
        <v>45812</v>
      </c>
      <c r="AM109" s="18">
        <f>VLOOKUP(AP109,'[3]CONTENEUR PLEIN'!$F:$L,7,FALSE)</f>
        <v>45824.53125</v>
      </c>
      <c r="AN109" s="90" t="s">
        <v>63</v>
      </c>
      <c r="AO109" s="129" t="s">
        <v>212</v>
      </c>
      <c r="AP109" s="129" t="s">
        <v>213</v>
      </c>
      <c r="AQ109" s="129" t="s">
        <v>259</v>
      </c>
      <c r="AR109" s="129" t="e">
        <f>VLOOKUP(AP109,'[2]CONTENEUR PLEIN'!$F:$L,2,FALSE)</f>
        <v>#N/A</v>
      </c>
      <c r="AS109" s="129" t="s">
        <v>51</v>
      </c>
      <c r="AT109" s="98"/>
    </row>
    <row r="110" spans="1:47" hidden="1" x14ac:dyDescent="0.25">
      <c r="A110" s="71"/>
      <c r="B110" s="88" t="s">
        <v>45</v>
      </c>
      <c r="C110" s="89">
        <v>45548</v>
      </c>
      <c r="D110" s="90">
        <v>24079</v>
      </c>
      <c r="E110" s="91" t="s">
        <v>104</v>
      </c>
      <c r="F110" s="90">
        <v>2409041448</v>
      </c>
      <c r="G110" s="90" t="s">
        <v>64</v>
      </c>
      <c r="H110" s="90" t="s">
        <v>103</v>
      </c>
      <c r="I110" s="90" t="s">
        <v>49</v>
      </c>
      <c r="J110" s="90" t="s">
        <v>46</v>
      </c>
      <c r="K110" s="16" t="s">
        <v>134</v>
      </c>
      <c r="L110" s="89">
        <v>45630</v>
      </c>
      <c r="M110" s="381">
        <f t="shared" si="17"/>
        <v>4</v>
      </c>
      <c r="N110" s="98" t="s">
        <v>49</v>
      </c>
      <c r="O110" s="92">
        <v>20890017</v>
      </c>
      <c r="P110" s="24" t="str">
        <f>VLOOKUP(O110,[1]Feuil2!$A:$M,5,FALSE)</f>
        <v>COUTEAU ECORCE PVD CUIVRE+GENCOD</v>
      </c>
      <c r="Q110" s="90">
        <v>1080</v>
      </c>
      <c r="R110" s="93">
        <v>0.46</v>
      </c>
      <c r="S110" s="94">
        <f t="shared" si="13"/>
        <v>496.8</v>
      </c>
      <c r="T110" s="95">
        <f t="shared" si="19"/>
        <v>128378.288</v>
      </c>
      <c r="U110" s="138"/>
      <c r="V110" s="96">
        <f t="shared" si="14"/>
        <v>128378.288</v>
      </c>
      <c r="W110" s="4">
        <f>VLOOKUP(O110,[1]Feuil2!$A:$M,6,FALSE)</f>
        <v>120</v>
      </c>
      <c r="X110" s="5">
        <f>VLOOKUP(O110,[1]Feuil2!$A:$M,13,FALSE)</f>
        <v>6.7187499999999999E-3</v>
      </c>
      <c r="Y110" s="6">
        <f t="shared" ref="Y110:Y141" si="20">(Q110/W110)*X110</f>
        <v>6.0468750000000002E-2</v>
      </c>
      <c r="Z110" s="97">
        <f t="shared" si="16"/>
        <v>50.333925749999999</v>
      </c>
      <c r="AA110" s="68" t="s">
        <v>48</v>
      </c>
      <c r="AB110" s="68" t="s">
        <v>48</v>
      </c>
      <c r="AC110" s="90" t="s">
        <v>55</v>
      </c>
      <c r="AD110" s="21" t="s">
        <v>57</v>
      </c>
      <c r="AE110" s="20">
        <v>45598</v>
      </c>
      <c r="AF110" s="21" t="s">
        <v>109</v>
      </c>
      <c r="AG110" s="21" t="s">
        <v>57</v>
      </c>
      <c r="AH110" s="105" t="s">
        <v>48</v>
      </c>
      <c r="AI110" s="135">
        <v>45636</v>
      </c>
      <c r="AJ110" s="145" t="s">
        <v>49</v>
      </c>
      <c r="AK110" s="100">
        <f>VLOOKUP(AP110,'[3]CONTENEUR PLEIN'!$F:$L,3,FALSE)</f>
        <v>45617</v>
      </c>
      <c r="AL110" s="99">
        <f>VLOOKUP(AP110,'[3]CONTENEUR PLEIN'!$F:$L,5,FALSE)</f>
        <v>45653</v>
      </c>
      <c r="AM110" s="18">
        <f>VLOOKUP(AP110,'[3]CONTENEUR PLEIN'!$F:$L,7,FALSE)</f>
        <v>45670.333333333336</v>
      </c>
      <c r="AN110" s="90" t="s">
        <v>63</v>
      </c>
      <c r="AO110" s="90" t="s">
        <v>77</v>
      </c>
      <c r="AP110" s="90" t="s">
        <v>78</v>
      </c>
      <c r="AQ110" s="90"/>
      <c r="AR110" s="90" t="e">
        <f>VLOOKUP(AP110,'[2]CONTENEUR PLEIN'!$F:$L,2,FALSE)</f>
        <v>#N/A</v>
      </c>
      <c r="AS110" s="90" t="s">
        <v>51</v>
      </c>
      <c r="AT110" s="98"/>
      <c r="AU110" s="72"/>
    </row>
    <row r="111" spans="1:47" s="72" customFormat="1" hidden="1" x14ac:dyDescent="0.25">
      <c r="A111" s="197"/>
      <c r="B111" s="232" t="s">
        <v>45</v>
      </c>
      <c r="C111" s="194">
        <v>45548</v>
      </c>
      <c r="D111" s="191">
        <v>24079</v>
      </c>
      <c r="E111" s="195" t="s">
        <v>104</v>
      </c>
      <c r="F111" s="191">
        <v>2409041448</v>
      </c>
      <c r="G111" s="191" t="s">
        <v>64</v>
      </c>
      <c r="H111" s="191" t="s">
        <v>103</v>
      </c>
      <c r="I111" s="191" t="s">
        <v>49</v>
      </c>
      <c r="J111" s="191" t="s">
        <v>46</v>
      </c>
      <c r="K111" s="16" t="s">
        <v>449</v>
      </c>
      <c r="L111" s="194">
        <v>45870</v>
      </c>
      <c r="M111" s="381">
        <f t="shared" si="17"/>
        <v>12</v>
      </c>
      <c r="N111" s="209" t="s">
        <v>49</v>
      </c>
      <c r="O111" s="223">
        <v>21120003</v>
      </c>
      <c r="P111" s="24" t="str">
        <f>VLOOKUP(O111,[1]Feuil2!$A:$M,5,FALSE)</f>
        <v>FOURCHETTE PERLE + GENCOD</v>
      </c>
      <c r="Q111" s="191">
        <v>6720</v>
      </c>
      <c r="R111" s="224">
        <v>0.19800000000000001</v>
      </c>
      <c r="S111" s="225">
        <f t="shared" si="13"/>
        <v>1330.5600000000002</v>
      </c>
      <c r="T111" s="226">
        <f t="shared" si="19"/>
        <v>128378.288</v>
      </c>
      <c r="U111" s="227"/>
      <c r="V111" s="228">
        <f t="shared" si="14"/>
        <v>128378.288</v>
      </c>
      <c r="W111" s="4">
        <f>VLOOKUP(O111,[1]Feuil2!$A:$M,6,FALSE)</f>
        <v>240</v>
      </c>
      <c r="X111" s="5">
        <f>VLOOKUP(O111,[1]Feuil2!$A:$M,13,FALSE)</f>
        <v>2.9006250000000001E-2</v>
      </c>
      <c r="Y111" s="6">
        <f t="shared" si="20"/>
        <v>0.81217499999999998</v>
      </c>
      <c r="Z111" s="229">
        <f t="shared" si="16"/>
        <v>50.333925749999999</v>
      </c>
      <c r="AA111" s="23" t="s">
        <v>48</v>
      </c>
      <c r="AB111" s="69" t="s">
        <v>57</v>
      </c>
      <c r="AC111" s="210" t="s">
        <v>55</v>
      </c>
      <c r="AD111" s="19" t="s">
        <v>57</v>
      </c>
      <c r="AE111" s="20">
        <v>45838</v>
      </c>
      <c r="AF111" s="62" t="s">
        <v>342</v>
      </c>
      <c r="AG111" s="21"/>
      <c r="AH111" s="209"/>
      <c r="AI111" s="160">
        <v>45636</v>
      </c>
      <c r="AJ111" s="145">
        <f>DATEDIF(AI111,$AK111,"D")</f>
        <v>236</v>
      </c>
      <c r="AK111" s="100">
        <f>VLOOKUP(AP111,'[3]CONTENEUR PLEIN'!$F:$L,3,FALSE)</f>
        <v>45872</v>
      </c>
      <c r="AL111" s="99">
        <f>VLOOKUP(AP111,'[3]CONTENEUR PLEIN'!$F:$L,5,FALSE)</f>
        <v>45907</v>
      </c>
      <c r="AM111" s="18">
        <f>VLOOKUP(AP111,'[3]CONTENEUR PLEIN'!$F:$L,7,FALSE)</f>
        <v>45918.53125</v>
      </c>
      <c r="AN111" s="191" t="s">
        <v>63</v>
      </c>
      <c r="AO111" s="191" t="s">
        <v>371</v>
      </c>
      <c r="AP111" s="191" t="s">
        <v>372</v>
      </c>
      <c r="AQ111" s="191" t="s">
        <v>374</v>
      </c>
      <c r="AR111" s="191" t="e">
        <f>VLOOKUP(AP111,'[2]CONTENEUR PLEIN'!$F:$L,2,FALSE)</f>
        <v>#N/A</v>
      </c>
      <c r="AS111" s="191" t="s">
        <v>316</v>
      </c>
      <c r="AT111" s="209"/>
    </row>
    <row r="112" spans="1:47" hidden="1" x14ac:dyDescent="0.25">
      <c r="A112" s="71"/>
      <c r="B112" s="88" t="s">
        <v>45</v>
      </c>
      <c r="C112" s="89">
        <v>45548</v>
      </c>
      <c r="D112" s="90">
        <v>24079</v>
      </c>
      <c r="E112" s="91" t="s">
        <v>104</v>
      </c>
      <c r="F112" s="90">
        <v>2409041448</v>
      </c>
      <c r="G112" s="90" t="s">
        <v>64</v>
      </c>
      <c r="H112" s="90" t="s">
        <v>103</v>
      </c>
      <c r="I112" s="90" t="s">
        <v>49</v>
      </c>
      <c r="J112" s="90" t="s">
        <v>46</v>
      </c>
      <c r="K112" s="16" t="s">
        <v>862</v>
      </c>
      <c r="L112" s="89">
        <v>45995</v>
      </c>
      <c r="M112" s="381">
        <f t="shared" si="17"/>
        <v>16</v>
      </c>
      <c r="N112" s="98" t="s">
        <v>49</v>
      </c>
      <c r="O112" s="92">
        <v>21120003</v>
      </c>
      <c r="P112" s="24" t="str">
        <f>VLOOKUP(O112,[1]Feuil2!$A:$M,5,FALSE)</f>
        <v>FOURCHETTE PERLE + GENCOD</v>
      </c>
      <c r="Q112" s="90">
        <f>7920-6720</f>
        <v>1200</v>
      </c>
      <c r="R112" s="93">
        <v>0.19800000000000001</v>
      </c>
      <c r="S112" s="94">
        <f t="shared" si="13"/>
        <v>237.60000000000002</v>
      </c>
      <c r="T112" s="95">
        <f t="shared" si="19"/>
        <v>128378.288</v>
      </c>
      <c r="U112" s="138"/>
      <c r="V112" s="96">
        <f t="shared" si="14"/>
        <v>128378.288</v>
      </c>
      <c r="W112" s="4">
        <f>VLOOKUP(O112,[1]Feuil2!$A:$M,6,FALSE)</f>
        <v>240</v>
      </c>
      <c r="X112" s="5">
        <f>VLOOKUP(O112,[1]Feuil2!$A:$M,13,FALSE)</f>
        <v>2.9006250000000001E-2</v>
      </c>
      <c r="Y112" s="6">
        <f t="shared" si="20"/>
        <v>0.14503125</v>
      </c>
      <c r="Z112" s="97">
        <f t="shared" si="16"/>
        <v>50.333925749999999</v>
      </c>
      <c r="AA112" s="69" t="s">
        <v>57</v>
      </c>
      <c r="AB112" s="233" t="s">
        <v>48</v>
      </c>
      <c r="AC112" s="191" t="s">
        <v>55</v>
      </c>
      <c r="AD112" s="21" t="s">
        <v>57</v>
      </c>
      <c r="AE112" s="20">
        <v>45939</v>
      </c>
      <c r="AF112" s="21" t="s">
        <v>511</v>
      </c>
      <c r="AG112" s="21"/>
      <c r="AH112" s="98"/>
      <c r="AI112" s="160">
        <v>45636</v>
      </c>
      <c r="AJ112" s="145">
        <f>DATEDIF(AI112,AK112,"D")</f>
        <v>348</v>
      </c>
      <c r="AK112" s="100">
        <f>VLOOKUP(AP112,'[2]CONTENEUR PLEIN'!$F:$L,3,FALSE)</f>
        <v>45984</v>
      </c>
      <c r="AL112" s="99">
        <f>VLOOKUP(AP112,'[2]CONTENEUR PLEIN'!$F:$L,5,FALSE)</f>
        <v>46030</v>
      </c>
      <c r="AM112" s="18">
        <f>VLOOKUP(AP112,'[2]CONTENEUR PLEIN'!$F:$L,7,FALSE)</f>
        <v>46036.333333333336</v>
      </c>
      <c r="AN112" s="90" t="s">
        <v>63</v>
      </c>
      <c r="AO112" s="351" t="s">
        <v>577</v>
      </c>
      <c r="AP112" s="351" t="s">
        <v>578</v>
      </c>
      <c r="AQ112" s="351" t="s">
        <v>580</v>
      </c>
      <c r="AR112" s="90" t="str">
        <f>VLOOKUP(AP112,'[2]CONTENEUR PLEIN'!$F:$L,2,FALSE)</f>
        <v>CMA CGM GRACE BAY</v>
      </c>
      <c r="AS112" s="351" t="s">
        <v>316</v>
      </c>
      <c r="AT112" s="98"/>
      <c r="AU112" s="72"/>
    </row>
    <row r="113" spans="1:47" hidden="1" x14ac:dyDescent="0.25">
      <c r="A113" s="197"/>
      <c r="B113" s="232" t="s">
        <v>45</v>
      </c>
      <c r="C113" s="194">
        <v>45548</v>
      </c>
      <c r="D113" s="191">
        <v>24079</v>
      </c>
      <c r="E113" s="195" t="s">
        <v>104</v>
      </c>
      <c r="F113" s="191">
        <v>2409041448</v>
      </c>
      <c r="G113" s="191" t="s">
        <v>64</v>
      </c>
      <c r="H113" s="191" t="s">
        <v>103</v>
      </c>
      <c r="I113" s="191" t="s">
        <v>49</v>
      </c>
      <c r="J113" s="191" t="s">
        <v>46</v>
      </c>
      <c r="K113" s="16" t="s">
        <v>449</v>
      </c>
      <c r="L113" s="194">
        <v>45870</v>
      </c>
      <c r="M113" s="381">
        <f t="shared" si="17"/>
        <v>12</v>
      </c>
      <c r="N113" s="209" t="s">
        <v>49</v>
      </c>
      <c r="O113" s="223">
        <v>21120005</v>
      </c>
      <c r="P113" s="24" t="str">
        <f>VLOOKUP(O113,[1]Feuil2!$A:$M,5,FALSE)</f>
        <v>CAFE PERLE + GENCOD</v>
      </c>
      <c r="Q113" s="191">
        <v>15600</v>
      </c>
      <c r="R113" s="224">
        <v>0.15</v>
      </c>
      <c r="S113" s="225">
        <f t="shared" si="13"/>
        <v>2340</v>
      </c>
      <c r="T113" s="226">
        <f t="shared" si="19"/>
        <v>128378.288</v>
      </c>
      <c r="U113" s="227"/>
      <c r="V113" s="228">
        <f t="shared" si="14"/>
        <v>128378.288</v>
      </c>
      <c r="W113" s="4">
        <f>VLOOKUP(O113,[1]Feuil2!$A:$M,6,FALSE)</f>
        <v>240</v>
      </c>
      <c r="X113" s="5">
        <f>VLOOKUP(O113,[1]Feuil2!$A:$M,13,FALSE)</f>
        <v>1.9237500000000001E-2</v>
      </c>
      <c r="Y113" s="6">
        <f t="shared" si="20"/>
        <v>1.2504375000000001</v>
      </c>
      <c r="Z113" s="229">
        <f t="shared" si="16"/>
        <v>50.333925749999999</v>
      </c>
      <c r="AA113" s="23" t="s">
        <v>48</v>
      </c>
      <c r="AB113" s="69" t="s">
        <v>57</v>
      </c>
      <c r="AC113" s="191"/>
      <c r="AD113" s="133" t="s">
        <v>61</v>
      </c>
      <c r="AE113" s="20">
        <v>45834</v>
      </c>
      <c r="AF113" s="21" t="s">
        <v>338</v>
      </c>
      <c r="AG113" s="21"/>
      <c r="AH113" s="209"/>
      <c r="AI113" s="160">
        <v>45636</v>
      </c>
      <c r="AJ113" s="145">
        <f>DATEDIF(AI113,$AK113,"D")</f>
        <v>236</v>
      </c>
      <c r="AK113" s="100">
        <f>VLOOKUP(AP113,'[3]CONTENEUR PLEIN'!$F:$L,3,FALSE)</f>
        <v>45872</v>
      </c>
      <c r="AL113" s="99">
        <f>VLOOKUP(AP113,'[3]CONTENEUR PLEIN'!$F:$L,5,FALSE)</f>
        <v>45907</v>
      </c>
      <c r="AM113" s="18">
        <f>VLOOKUP(AP113,'[3]CONTENEUR PLEIN'!$F:$L,7,FALSE)</f>
        <v>45918.53125</v>
      </c>
      <c r="AN113" s="191" t="s">
        <v>63</v>
      </c>
      <c r="AO113" s="191" t="s">
        <v>371</v>
      </c>
      <c r="AP113" s="191" t="s">
        <v>372</v>
      </c>
      <c r="AQ113" s="191" t="s">
        <v>374</v>
      </c>
      <c r="AR113" s="191" t="e">
        <f>VLOOKUP(AP113,'[2]CONTENEUR PLEIN'!$F:$L,2,FALSE)</f>
        <v>#N/A</v>
      </c>
      <c r="AS113" s="191" t="s">
        <v>316</v>
      </c>
      <c r="AT113" s="209"/>
      <c r="AU113" s="72"/>
    </row>
    <row r="114" spans="1:47" s="72" customFormat="1" hidden="1" x14ac:dyDescent="0.25">
      <c r="A114" s="71"/>
      <c r="B114" s="88" t="s">
        <v>45</v>
      </c>
      <c r="C114" s="89">
        <v>45548</v>
      </c>
      <c r="D114" s="90">
        <v>24079</v>
      </c>
      <c r="E114" s="91" t="s">
        <v>104</v>
      </c>
      <c r="F114" s="90">
        <v>2409041448</v>
      </c>
      <c r="G114" s="90" t="s">
        <v>64</v>
      </c>
      <c r="H114" s="90" t="s">
        <v>103</v>
      </c>
      <c r="I114" s="90" t="s">
        <v>49</v>
      </c>
      <c r="J114" s="90" t="s">
        <v>46</v>
      </c>
      <c r="K114" s="16" t="s">
        <v>594</v>
      </c>
      <c r="L114" s="89">
        <v>45926</v>
      </c>
      <c r="M114" s="381">
        <f t="shared" si="17"/>
        <v>14</v>
      </c>
      <c r="N114" s="98" t="s">
        <v>62</v>
      </c>
      <c r="O114" s="92">
        <v>21140001</v>
      </c>
      <c r="P114" s="24" t="str">
        <f>VLOOKUP(O114,[1]Feuil2!$A:$M,5,FALSE)</f>
        <v>M24 PALMA BOITE TB COLLECTION</v>
      </c>
      <c r="Q114" s="90">
        <v>1002</v>
      </c>
      <c r="R114" s="93">
        <v>6</v>
      </c>
      <c r="S114" s="94">
        <f t="shared" si="13"/>
        <v>6012</v>
      </c>
      <c r="T114" s="95">
        <f t="shared" si="19"/>
        <v>128378.288</v>
      </c>
      <c r="U114" s="138"/>
      <c r="V114" s="96">
        <f t="shared" si="14"/>
        <v>128378.288</v>
      </c>
      <c r="W114" s="4">
        <f>VLOOKUP(O114,[1]Feuil2!$A:$M,6,FALSE)</f>
        <v>6</v>
      </c>
      <c r="X114" s="5">
        <f>VLOOKUP(O114,[1]Feuil2!$A:$M,13,FALSE)</f>
        <v>1.3440000000000002E-2</v>
      </c>
      <c r="Y114" s="6">
        <f t="shared" si="20"/>
        <v>2.2444800000000003</v>
      </c>
      <c r="Z114" s="97">
        <f t="shared" si="16"/>
        <v>50.333925749999999</v>
      </c>
      <c r="AA114" s="23" t="s">
        <v>48</v>
      </c>
      <c r="AB114" s="43" t="s">
        <v>143</v>
      </c>
      <c r="AC114" s="191" t="s">
        <v>55</v>
      </c>
      <c r="AD114" s="43" t="s">
        <v>143</v>
      </c>
      <c r="AE114" s="20">
        <v>45852</v>
      </c>
      <c r="AF114" s="47" t="s">
        <v>355</v>
      </c>
      <c r="AG114" s="21"/>
      <c r="AH114" s="98"/>
      <c r="AI114" s="160">
        <v>45636</v>
      </c>
      <c r="AJ114" s="145">
        <f>DATEDIF(AI114,AK114,"D")</f>
        <v>277</v>
      </c>
      <c r="AK114" s="100">
        <f>VLOOKUP(AP114,'[3]CONTENEUR PLEIN'!$F:$L,3,FALSE)</f>
        <v>45913</v>
      </c>
      <c r="AL114" s="99">
        <f>VLOOKUP(AP114,'[3]CONTENEUR PLEIN'!$F:$L,5,FALSE)</f>
        <v>45971</v>
      </c>
      <c r="AM114" s="18">
        <f>VLOOKUP(AP114,'[3]CONTENEUR PLEIN'!$F:$L,7,FALSE)</f>
        <v>45979.53125</v>
      </c>
      <c r="AN114" s="90" t="s">
        <v>63</v>
      </c>
      <c r="AO114" s="191" t="s">
        <v>428</v>
      </c>
      <c r="AP114" s="191" t="s">
        <v>429</v>
      </c>
      <c r="AQ114" s="90">
        <v>2409041448</v>
      </c>
      <c r="AR114" s="191" t="e">
        <f>VLOOKUP(AP114,'[2]CONTENEUR PLEIN'!$F:$L,2,FALSE)</f>
        <v>#N/A</v>
      </c>
      <c r="AS114" s="191" t="s">
        <v>316</v>
      </c>
      <c r="AT114" s="98"/>
      <c r="AU114" s="166"/>
    </row>
    <row r="115" spans="1:47" s="72" customFormat="1" hidden="1" x14ac:dyDescent="0.25">
      <c r="A115" s="71"/>
      <c r="B115" s="88" t="s">
        <v>45</v>
      </c>
      <c r="C115" s="89">
        <v>45548</v>
      </c>
      <c r="D115" s="90">
        <v>24079</v>
      </c>
      <c r="E115" s="91" t="s">
        <v>104</v>
      </c>
      <c r="F115" s="90">
        <v>2409041448</v>
      </c>
      <c r="G115" s="90" t="s">
        <v>64</v>
      </c>
      <c r="H115" s="90" t="s">
        <v>103</v>
      </c>
      <c r="I115" s="90" t="s">
        <v>49</v>
      </c>
      <c r="J115" s="90" t="s">
        <v>46</v>
      </c>
      <c r="K115" s="16" t="s">
        <v>309</v>
      </c>
      <c r="L115" s="89">
        <v>45770</v>
      </c>
      <c r="M115" s="381">
        <f t="shared" si="17"/>
        <v>9</v>
      </c>
      <c r="N115" s="98" t="s">
        <v>49</v>
      </c>
      <c r="O115" s="92">
        <v>21140002</v>
      </c>
      <c r="P115" s="24" t="str">
        <f>VLOOKUP(O115,[1]Feuil2!$A:$M,5,FALSE)</f>
        <v>COUTEAU PALMA + GENCOD</v>
      </c>
      <c r="Q115" s="90">
        <v>9120</v>
      </c>
      <c r="R115" s="93">
        <v>0.35699999999999998</v>
      </c>
      <c r="S115" s="94">
        <f t="shared" si="13"/>
        <v>3255.8399999999997</v>
      </c>
      <c r="T115" s="95">
        <f t="shared" si="19"/>
        <v>128378.288</v>
      </c>
      <c r="U115" s="138"/>
      <c r="V115" s="96">
        <f t="shared" si="14"/>
        <v>128378.288</v>
      </c>
      <c r="W115" s="4">
        <f>VLOOKUP(O115,[1]Feuil2!$A:$M,6,FALSE)</f>
        <v>120</v>
      </c>
      <c r="X115" s="5">
        <f>VLOOKUP(O115,[1]Feuil2!$A:$M,13,FALSE)</f>
        <v>1.1825E-2</v>
      </c>
      <c r="Y115" s="6">
        <f t="shared" si="20"/>
        <v>0.89870000000000005</v>
      </c>
      <c r="Z115" s="97">
        <f t="shared" si="16"/>
        <v>50.333925749999999</v>
      </c>
      <c r="AA115" s="23" t="s">
        <v>48</v>
      </c>
      <c r="AB115" s="43" t="s">
        <v>57</v>
      </c>
      <c r="AC115" s="125" t="s">
        <v>55</v>
      </c>
      <c r="AD115" s="19" t="s">
        <v>57</v>
      </c>
      <c r="AE115" s="20">
        <v>45756</v>
      </c>
      <c r="AF115" s="47" t="s">
        <v>207</v>
      </c>
      <c r="AG115" s="21"/>
      <c r="AH115" s="98"/>
      <c r="AI115" s="135">
        <v>45636</v>
      </c>
      <c r="AJ115" s="145">
        <f>DATEDIF(AI115,$AK115,"D")</f>
        <v>128</v>
      </c>
      <c r="AK115" s="100">
        <f>VLOOKUP(AP115,'[3]CONTENEUR PLEIN'!$F:$L,3,FALSE)</f>
        <v>45764</v>
      </c>
      <c r="AL115" s="99">
        <f>VLOOKUP(AP115,'[3]CONTENEUR PLEIN'!$F:$L,5,FALSE)</f>
        <v>45812</v>
      </c>
      <c r="AM115" s="18">
        <f>VLOOKUP(AP115,'[3]CONTENEUR PLEIN'!$F:$L,7,FALSE)</f>
        <v>45824.53125</v>
      </c>
      <c r="AN115" s="90" t="s">
        <v>63</v>
      </c>
      <c r="AO115" s="129" t="s">
        <v>212</v>
      </c>
      <c r="AP115" s="129" t="s">
        <v>213</v>
      </c>
      <c r="AQ115" s="129" t="s">
        <v>259</v>
      </c>
      <c r="AR115" s="129" t="e">
        <f>VLOOKUP(AP115,'[2]CONTENEUR PLEIN'!$F:$L,2,FALSE)</f>
        <v>#N/A</v>
      </c>
      <c r="AS115" s="129" t="s">
        <v>51</v>
      </c>
      <c r="AT115" s="98"/>
    </row>
    <row r="116" spans="1:47" s="72" customFormat="1" hidden="1" x14ac:dyDescent="0.25">
      <c r="A116" s="197"/>
      <c r="B116" s="232" t="s">
        <v>45</v>
      </c>
      <c r="C116" s="194">
        <v>45548</v>
      </c>
      <c r="D116" s="191">
        <v>24079</v>
      </c>
      <c r="E116" s="195" t="s">
        <v>104</v>
      </c>
      <c r="F116" s="191">
        <v>2409041448</v>
      </c>
      <c r="G116" s="191" t="s">
        <v>64</v>
      </c>
      <c r="H116" s="191" t="s">
        <v>103</v>
      </c>
      <c r="I116" s="191" t="s">
        <v>49</v>
      </c>
      <c r="J116" s="191" t="s">
        <v>46</v>
      </c>
      <c r="K116" s="16" t="s">
        <v>449</v>
      </c>
      <c r="L116" s="194">
        <v>45870</v>
      </c>
      <c r="M116" s="381">
        <f t="shared" si="17"/>
        <v>12</v>
      </c>
      <c r="N116" s="209" t="s">
        <v>49</v>
      </c>
      <c r="O116" s="223">
        <v>21140003</v>
      </c>
      <c r="P116" s="24" t="str">
        <f>VLOOKUP(O116,[1]Feuil2!$A:$M,5,FALSE)</f>
        <v>FOURCHETTE PALMA + GENCOD</v>
      </c>
      <c r="Q116" s="191">
        <v>17280</v>
      </c>
      <c r="R116" s="224">
        <v>0.19900000000000001</v>
      </c>
      <c r="S116" s="225">
        <f t="shared" si="13"/>
        <v>3438.7200000000003</v>
      </c>
      <c r="T116" s="226">
        <f t="shared" si="19"/>
        <v>128378.288</v>
      </c>
      <c r="U116" s="227"/>
      <c r="V116" s="228">
        <f t="shared" si="14"/>
        <v>128378.288</v>
      </c>
      <c r="W116" s="4">
        <f>VLOOKUP(O116,[1]Feuil2!$A:$M,6,FALSE)</f>
        <v>240</v>
      </c>
      <c r="X116" s="5">
        <f>VLOOKUP(O116,[1]Feuil2!$A:$M,13,FALSE)</f>
        <v>2.1562499999999998E-2</v>
      </c>
      <c r="Y116" s="6">
        <f t="shared" si="20"/>
        <v>1.5524999999999998</v>
      </c>
      <c r="Z116" s="229">
        <f t="shared" si="16"/>
        <v>50.333925749999999</v>
      </c>
      <c r="AA116" s="23" t="s">
        <v>48</v>
      </c>
      <c r="AB116" s="43" t="s">
        <v>57</v>
      </c>
      <c r="AC116" s="210" t="s">
        <v>55</v>
      </c>
      <c r="AD116" s="19" t="s">
        <v>57</v>
      </c>
      <c r="AE116" s="20">
        <v>45838</v>
      </c>
      <c r="AF116" s="47" t="s">
        <v>341</v>
      </c>
      <c r="AG116" s="21"/>
      <c r="AH116" s="209"/>
      <c r="AI116" s="160">
        <v>45636</v>
      </c>
      <c r="AJ116" s="145">
        <f>DATEDIF(AI116,$AK116,"D")</f>
        <v>236</v>
      </c>
      <c r="AK116" s="100">
        <f>VLOOKUP(AP116,'[3]CONTENEUR PLEIN'!$F:$L,3,FALSE)</f>
        <v>45872</v>
      </c>
      <c r="AL116" s="99">
        <f>VLOOKUP(AP116,'[3]CONTENEUR PLEIN'!$F:$L,5,FALSE)</f>
        <v>45907</v>
      </c>
      <c r="AM116" s="18">
        <f>VLOOKUP(AP116,'[3]CONTENEUR PLEIN'!$F:$L,7,FALSE)</f>
        <v>45918.53125</v>
      </c>
      <c r="AN116" s="191" t="s">
        <v>63</v>
      </c>
      <c r="AO116" s="191" t="s">
        <v>371</v>
      </c>
      <c r="AP116" s="191" t="s">
        <v>372</v>
      </c>
      <c r="AQ116" s="191" t="s">
        <v>374</v>
      </c>
      <c r="AR116" s="191" t="e">
        <f>VLOOKUP(AP116,'[2]CONTENEUR PLEIN'!$F:$L,2,FALSE)</f>
        <v>#N/A</v>
      </c>
      <c r="AS116" s="191" t="s">
        <v>316</v>
      </c>
      <c r="AT116" s="209"/>
    </row>
    <row r="117" spans="1:47" s="72" customFormat="1" hidden="1" x14ac:dyDescent="0.25">
      <c r="A117" s="197"/>
      <c r="B117" s="232" t="s">
        <v>45</v>
      </c>
      <c r="C117" s="194">
        <v>45548</v>
      </c>
      <c r="D117" s="191">
        <v>24079</v>
      </c>
      <c r="E117" s="195" t="s">
        <v>104</v>
      </c>
      <c r="F117" s="191">
        <v>2409041448</v>
      </c>
      <c r="G117" s="191" t="s">
        <v>64</v>
      </c>
      <c r="H117" s="191" t="s">
        <v>103</v>
      </c>
      <c r="I117" s="191" t="s">
        <v>49</v>
      </c>
      <c r="J117" s="191" t="s">
        <v>46</v>
      </c>
      <c r="K117" s="16" t="s">
        <v>449</v>
      </c>
      <c r="L117" s="194">
        <v>45870</v>
      </c>
      <c r="M117" s="381">
        <f t="shared" si="17"/>
        <v>12</v>
      </c>
      <c r="N117" s="209" t="s">
        <v>49</v>
      </c>
      <c r="O117" s="223">
        <v>21140004</v>
      </c>
      <c r="P117" s="24" t="str">
        <f>VLOOKUP(O117,[1]Feuil2!$A:$M,5,FALSE)</f>
        <v>CUILLERE PALMA + GENCOD</v>
      </c>
      <c r="Q117" s="191">
        <v>9120</v>
      </c>
      <c r="R117" s="224">
        <v>0.214</v>
      </c>
      <c r="S117" s="225">
        <f t="shared" si="13"/>
        <v>1951.68</v>
      </c>
      <c r="T117" s="226">
        <f t="shared" si="19"/>
        <v>128378.288</v>
      </c>
      <c r="U117" s="227"/>
      <c r="V117" s="228">
        <f t="shared" si="14"/>
        <v>128378.288</v>
      </c>
      <c r="W117" s="4">
        <f>VLOOKUP(O117,[1]Feuil2!$A:$M,6,FALSE)</f>
        <v>240</v>
      </c>
      <c r="X117" s="5">
        <f>VLOOKUP(O117,[1]Feuil2!$A:$M,13,FALSE)</f>
        <v>2.0825E-2</v>
      </c>
      <c r="Y117" s="6">
        <f t="shared" si="20"/>
        <v>0.79135</v>
      </c>
      <c r="Z117" s="229">
        <f t="shared" si="16"/>
        <v>50.333925749999999</v>
      </c>
      <c r="AA117" s="23" t="s">
        <v>48</v>
      </c>
      <c r="AB117" s="43" t="s">
        <v>57</v>
      </c>
      <c r="AC117" s="191"/>
      <c r="AD117" s="133" t="s">
        <v>61</v>
      </c>
      <c r="AE117" s="20">
        <v>45841</v>
      </c>
      <c r="AF117" s="21" t="s">
        <v>346</v>
      </c>
      <c r="AG117" s="21"/>
      <c r="AH117" s="209"/>
      <c r="AI117" s="160">
        <v>45636</v>
      </c>
      <c r="AJ117" s="145">
        <f>DATEDIF(AI117,$AK117,"D")</f>
        <v>236</v>
      </c>
      <c r="AK117" s="100">
        <f>VLOOKUP(AP117,'[3]CONTENEUR PLEIN'!$F:$L,3,FALSE)</f>
        <v>45872</v>
      </c>
      <c r="AL117" s="99">
        <f>VLOOKUP(AP117,'[3]CONTENEUR PLEIN'!$F:$L,5,FALSE)</f>
        <v>45907</v>
      </c>
      <c r="AM117" s="18">
        <f>VLOOKUP(AP117,'[3]CONTENEUR PLEIN'!$F:$L,7,FALSE)</f>
        <v>45918.53125</v>
      </c>
      <c r="AN117" s="191" t="s">
        <v>63</v>
      </c>
      <c r="AO117" s="191" t="s">
        <v>371</v>
      </c>
      <c r="AP117" s="191" t="s">
        <v>372</v>
      </c>
      <c r="AQ117" s="191" t="s">
        <v>374</v>
      </c>
      <c r="AR117" s="191" t="e">
        <f>VLOOKUP(AP117,'[2]CONTENEUR PLEIN'!$F:$L,2,FALSE)</f>
        <v>#N/A</v>
      </c>
      <c r="AS117" s="191" t="s">
        <v>316</v>
      </c>
      <c r="AT117" s="209"/>
    </row>
    <row r="118" spans="1:47" s="72" customFormat="1" hidden="1" x14ac:dyDescent="0.25">
      <c r="A118" s="71"/>
      <c r="B118" s="88" t="s">
        <v>45</v>
      </c>
      <c r="C118" s="89">
        <v>45548</v>
      </c>
      <c r="D118" s="90">
        <v>24079</v>
      </c>
      <c r="E118" s="91" t="s">
        <v>104</v>
      </c>
      <c r="F118" s="90">
        <v>2409041448</v>
      </c>
      <c r="G118" s="90" t="s">
        <v>64</v>
      </c>
      <c r="H118" s="90" t="s">
        <v>103</v>
      </c>
      <c r="I118" s="90" t="s">
        <v>49</v>
      </c>
      <c r="J118" s="90" t="s">
        <v>46</v>
      </c>
      <c r="K118" s="16" t="s">
        <v>134</v>
      </c>
      <c r="L118" s="89">
        <v>45630</v>
      </c>
      <c r="M118" s="381">
        <f t="shared" si="17"/>
        <v>4</v>
      </c>
      <c r="N118" s="98" t="s">
        <v>49</v>
      </c>
      <c r="O118" s="92">
        <v>21300003</v>
      </c>
      <c r="P118" s="24" t="str">
        <f>VLOOKUP(O118,[1]Feuil2!$A:$M,5,FALSE)</f>
        <v>FOURCHETTE EMPREINTE + GENCOD</v>
      </c>
      <c r="Q118" s="90">
        <v>6960</v>
      </c>
      <c r="R118" s="93">
        <v>0.26100000000000001</v>
      </c>
      <c r="S118" s="94">
        <f t="shared" si="13"/>
        <v>1816.5600000000002</v>
      </c>
      <c r="T118" s="95">
        <f t="shared" si="19"/>
        <v>128378.288</v>
      </c>
      <c r="U118" s="138"/>
      <c r="V118" s="96">
        <f t="shared" si="14"/>
        <v>128378.288</v>
      </c>
      <c r="W118" s="4">
        <f>VLOOKUP(O118,[1]Feuil2!$A:$M,6,FALSE)</f>
        <v>120</v>
      </c>
      <c r="X118" s="5">
        <f>VLOOKUP(O118,[1]Feuil2!$A:$M,13,FALSE)</f>
        <v>1.4994E-2</v>
      </c>
      <c r="Y118" s="6">
        <f t="shared" si="20"/>
        <v>0.86965199999999998</v>
      </c>
      <c r="Z118" s="97">
        <f t="shared" si="16"/>
        <v>50.333925749999999</v>
      </c>
      <c r="AA118" s="68" t="s">
        <v>48</v>
      </c>
      <c r="AB118" s="68" t="s">
        <v>48</v>
      </c>
      <c r="AC118" s="90" t="s">
        <v>55</v>
      </c>
      <c r="AD118" s="21" t="s">
        <v>57</v>
      </c>
      <c r="AE118" s="20">
        <v>45602</v>
      </c>
      <c r="AF118" s="21" t="s">
        <v>110</v>
      </c>
      <c r="AG118" s="21" t="s">
        <v>57</v>
      </c>
      <c r="AH118" s="105" t="s">
        <v>48</v>
      </c>
      <c r="AI118" s="135">
        <v>45636</v>
      </c>
      <c r="AJ118" s="145" t="s">
        <v>49</v>
      </c>
      <c r="AK118" s="100">
        <f>VLOOKUP(AP118,'[3]CONTENEUR PLEIN'!$F:$L,3,FALSE)</f>
        <v>45617</v>
      </c>
      <c r="AL118" s="99">
        <f>VLOOKUP(AP118,'[3]CONTENEUR PLEIN'!$F:$L,5,FALSE)</f>
        <v>45653</v>
      </c>
      <c r="AM118" s="18">
        <f>VLOOKUP(AP118,'[3]CONTENEUR PLEIN'!$F:$L,7,FALSE)</f>
        <v>45670.333333333336</v>
      </c>
      <c r="AN118" s="90" t="s">
        <v>63</v>
      </c>
      <c r="AO118" s="90" t="s">
        <v>77</v>
      </c>
      <c r="AP118" s="90" t="s">
        <v>78</v>
      </c>
      <c r="AQ118" s="90"/>
      <c r="AR118" s="90" t="e">
        <f>VLOOKUP(AP118,'[2]CONTENEUR PLEIN'!$F:$L,2,FALSE)</f>
        <v>#N/A</v>
      </c>
      <c r="AS118" s="90" t="s">
        <v>51</v>
      </c>
      <c r="AT118" s="98"/>
    </row>
    <row r="119" spans="1:47" s="72" customFormat="1" hidden="1" x14ac:dyDescent="0.25">
      <c r="A119" s="197"/>
      <c r="B119" s="232" t="s">
        <v>45</v>
      </c>
      <c r="C119" s="194">
        <v>45548</v>
      </c>
      <c r="D119" s="191">
        <v>24079</v>
      </c>
      <c r="E119" s="195" t="s">
        <v>104</v>
      </c>
      <c r="F119" s="191">
        <v>2409041448</v>
      </c>
      <c r="G119" s="191" t="s">
        <v>64</v>
      </c>
      <c r="H119" s="191" t="s">
        <v>103</v>
      </c>
      <c r="I119" s="191" t="s">
        <v>49</v>
      </c>
      <c r="J119" s="191" t="s">
        <v>46</v>
      </c>
      <c r="K119" s="16" t="s">
        <v>449</v>
      </c>
      <c r="L119" s="194">
        <v>45870</v>
      </c>
      <c r="M119" s="381">
        <f t="shared" si="17"/>
        <v>12</v>
      </c>
      <c r="N119" s="209" t="s">
        <v>49</v>
      </c>
      <c r="O119" s="223">
        <v>21300003</v>
      </c>
      <c r="P119" s="24" t="str">
        <f>VLOOKUP(O119,[1]Feuil2!$A:$M,5,FALSE)</f>
        <v>FOURCHETTE EMPREINTE + GENCOD</v>
      </c>
      <c r="Q119" s="191">
        <f>16200-6960</f>
        <v>9240</v>
      </c>
      <c r="R119" s="224">
        <v>0.26100000000000001</v>
      </c>
      <c r="S119" s="225">
        <f t="shared" si="13"/>
        <v>2411.64</v>
      </c>
      <c r="T119" s="226">
        <f t="shared" si="19"/>
        <v>128378.288</v>
      </c>
      <c r="U119" s="227"/>
      <c r="V119" s="228">
        <f t="shared" si="14"/>
        <v>128378.288</v>
      </c>
      <c r="W119" s="4">
        <f>VLOOKUP(O119,[1]Feuil2!$A:$M,6,FALSE)</f>
        <v>120</v>
      </c>
      <c r="X119" s="5">
        <f>VLOOKUP(O119,[1]Feuil2!$A:$M,13,FALSE)</f>
        <v>1.4994E-2</v>
      </c>
      <c r="Y119" s="6">
        <f t="shared" si="20"/>
        <v>1.1545380000000001</v>
      </c>
      <c r="Z119" s="229">
        <f t="shared" si="16"/>
        <v>50.333925749999999</v>
      </c>
      <c r="AA119" s="68" t="s">
        <v>48</v>
      </c>
      <c r="AB119" s="43" t="s">
        <v>57</v>
      </c>
      <c r="AC119" s="191" t="s">
        <v>55</v>
      </c>
      <c r="AD119" s="19" t="s">
        <v>57</v>
      </c>
      <c r="AE119" s="20">
        <v>45813</v>
      </c>
      <c r="AF119" s="47" t="s">
        <v>296</v>
      </c>
      <c r="AG119" s="21"/>
      <c r="AH119" s="209"/>
      <c r="AI119" s="160">
        <v>45637</v>
      </c>
      <c r="AJ119" s="145">
        <f t="shared" ref="AJ119:AJ125" si="21">DATEDIF(AI119,$AK119,"D")</f>
        <v>235</v>
      </c>
      <c r="AK119" s="100">
        <f>VLOOKUP(AP119,'[3]CONTENEUR PLEIN'!$F:$L,3,FALSE)</f>
        <v>45872</v>
      </c>
      <c r="AL119" s="99">
        <f>VLOOKUP(AP119,'[3]CONTENEUR PLEIN'!$F:$L,5,FALSE)</f>
        <v>45907</v>
      </c>
      <c r="AM119" s="18">
        <f>VLOOKUP(AP119,'[3]CONTENEUR PLEIN'!$F:$L,7,FALSE)</f>
        <v>45918.53125</v>
      </c>
      <c r="AN119" s="191" t="s">
        <v>63</v>
      </c>
      <c r="AO119" s="191" t="s">
        <v>371</v>
      </c>
      <c r="AP119" s="191" t="s">
        <v>372</v>
      </c>
      <c r="AQ119" s="191" t="s">
        <v>374</v>
      </c>
      <c r="AR119" s="191" t="e">
        <f>VLOOKUP(AP119,'[2]CONTENEUR PLEIN'!$F:$L,2,FALSE)</f>
        <v>#N/A</v>
      </c>
      <c r="AS119" s="191" t="s">
        <v>316</v>
      </c>
      <c r="AT119" s="209"/>
      <c r="AU119" s="181"/>
    </row>
    <row r="120" spans="1:47" s="72" customFormat="1" hidden="1" x14ac:dyDescent="0.25">
      <c r="A120" s="165"/>
      <c r="B120" s="232" t="s">
        <v>45</v>
      </c>
      <c r="C120" s="194">
        <v>45548</v>
      </c>
      <c r="D120" s="191">
        <v>24079</v>
      </c>
      <c r="E120" s="195" t="s">
        <v>104</v>
      </c>
      <c r="F120" s="191">
        <v>2409041448</v>
      </c>
      <c r="G120" s="191" t="s">
        <v>64</v>
      </c>
      <c r="H120" s="191" t="s">
        <v>103</v>
      </c>
      <c r="I120" s="191" t="s">
        <v>49</v>
      </c>
      <c r="J120" s="191" t="s">
        <v>46</v>
      </c>
      <c r="K120" s="16" t="s">
        <v>449</v>
      </c>
      <c r="L120" s="194">
        <v>45870</v>
      </c>
      <c r="M120" s="381">
        <f t="shared" si="17"/>
        <v>12</v>
      </c>
      <c r="N120" s="209" t="s">
        <v>49</v>
      </c>
      <c r="O120" s="223">
        <v>21300005</v>
      </c>
      <c r="P120" s="24" t="str">
        <f>VLOOKUP(O120,[1]Feuil2!$A:$M,5,FALSE)</f>
        <v>CAFE EMPREINTE + GENCOD</v>
      </c>
      <c r="Q120" s="191">
        <v>25200</v>
      </c>
      <c r="R120" s="224">
        <v>0.159</v>
      </c>
      <c r="S120" s="225">
        <f t="shared" si="13"/>
        <v>4006.8</v>
      </c>
      <c r="T120" s="226">
        <f t="shared" si="19"/>
        <v>128378.288</v>
      </c>
      <c r="U120" s="227"/>
      <c r="V120" s="228">
        <f t="shared" si="14"/>
        <v>128378.288</v>
      </c>
      <c r="W120" s="4">
        <f>VLOOKUP(O120,[1]Feuil2!$A:$M,6,FALSE)</f>
        <v>120</v>
      </c>
      <c r="X120" s="5">
        <f>VLOOKUP(O120,[1]Feuil2!$A:$M,13,FALSE)</f>
        <v>9.4904999999999989E-3</v>
      </c>
      <c r="Y120" s="6">
        <f t="shared" si="20"/>
        <v>1.9930049999999997</v>
      </c>
      <c r="Z120" s="229">
        <f t="shared" si="16"/>
        <v>50.333925749999999</v>
      </c>
      <c r="AA120" s="23" t="s">
        <v>48</v>
      </c>
      <c r="AB120" s="19" t="s">
        <v>57</v>
      </c>
      <c r="AC120" s="191"/>
      <c r="AD120" s="133" t="s">
        <v>61</v>
      </c>
      <c r="AE120" s="20">
        <v>45831</v>
      </c>
      <c r="AF120" s="21" t="s">
        <v>328</v>
      </c>
      <c r="AG120" s="21"/>
      <c r="AH120" s="209"/>
      <c r="AI120" s="160">
        <v>45636</v>
      </c>
      <c r="AJ120" s="145">
        <f t="shared" si="21"/>
        <v>236</v>
      </c>
      <c r="AK120" s="100">
        <f>VLOOKUP(AP120,'[3]CONTENEUR PLEIN'!$F:$L,3,FALSE)</f>
        <v>45872</v>
      </c>
      <c r="AL120" s="99">
        <f>VLOOKUP(AP120,'[3]CONTENEUR PLEIN'!$F:$L,5,FALSE)</f>
        <v>45907</v>
      </c>
      <c r="AM120" s="18">
        <f>VLOOKUP(AP120,'[3]CONTENEUR PLEIN'!$F:$L,7,FALSE)</f>
        <v>45918.53125</v>
      </c>
      <c r="AN120" s="191" t="s">
        <v>63</v>
      </c>
      <c r="AO120" s="191" t="s">
        <v>371</v>
      </c>
      <c r="AP120" s="191" t="s">
        <v>372</v>
      </c>
      <c r="AQ120" s="191" t="s">
        <v>374</v>
      </c>
      <c r="AR120" s="191" t="e">
        <f>VLOOKUP(AP120,'[2]CONTENEUR PLEIN'!$F:$L,2,FALSE)</f>
        <v>#N/A</v>
      </c>
      <c r="AS120" s="191" t="s">
        <v>316</v>
      </c>
      <c r="AT120" s="209"/>
    </row>
    <row r="121" spans="1:47" s="72" customFormat="1" hidden="1" x14ac:dyDescent="0.25">
      <c r="A121" s="197"/>
      <c r="B121" s="232" t="s">
        <v>45</v>
      </c>
      <c r="C121" s="194">
        <v>45548</v>
      </c>
      <c r="D121" s="191">
        <v>24079</v>
      </c>
      <c r="E121" s="195" t="s">
        <v>104</v>
      </c>
      <c r="F121" s="191">
        <v>2409041448</v>
      </c>
      <c r="G121" s="191" t="s">
        <v>64</v>
      </c>
      <c r="H121" s="191" t="s">
        <v>103</v>
      </c>
      <c r="I121" s="191" t="s">
        <v>49</v>
      </c>
      <c r="J121" s="191" t="s">
        <v>46</v>
      </c>
      <c r="K121" s="16" t="s">
        <v>449</v>
      </c>
      <c r="L121" s="194">
        <v>45870</v>
      </c>
      <c r="M121" s="381">
        <f t="shared" si="17"/>
        <v>12</v>
      </c>
      <c r="N121" s="209" t="s">
        <v>62</v>
      </c>
      <c r="O121" s="223">
        <v>21440002</v>
      </c>
      <c r="P121" s="24" t="str">
        <f>VLOOKUP(O121,[1]Feuil2!$A:$M,5,FALSE)</f>
        <v>FOURCHETTE  GUINGUETTE EN BOITE PEGB TB COLLECTION</v>
      </c>
      <c r="Q121" s="191">
        <v>3024</v>
      </c>
      <c r="R121" s="224">
        <v>0.30499999999999999</v>
      </c>
      <c r="S121" s="225">
        <f t="shared" si="13"/>
        <v>922.31999999999994</v>
      </c>
      <c r="T121" s="226">
        <f t="shared" si="19"/>
        <v>128378.288</v>
      </c>
      <c r="U121" s="227"/>
      <c r="V121" s="228">
        <f t="shared" si="14"/>
        <v>128378.288</v>
      </c>
      <c r="W121" s="4">
        <f>VLOOKUP(O121,[1]Feuil2!$A:$M,6,FALSE)</f>
        <v>72</v>
      </c>
      <c r="X121" s="5">
        <f>VLOOKUP(O121,[1]Feuil2!$A:$M,13,FALSE)</f>
        <v>1.1880000000000002E-2</v>
      </c>
      <c r="Y121" s="6">
        <f t="shared" si="20"/>
        <v>0.49896000000000007</v>
      </c>
      <c r="Z121" s="229">
        <f t="shared" si="16"/>
        <v>50.333925749999999</v>
      </c>
      <c r="AA121" s="23" t="s">
        <v>48</v>
      </c>
      <c r="AB121" s="19" t="s">
        <v>57</v>
      </c>
      <c r="AC121" s="210" t="s">
        <v>55</v>
      </c>
      <c r="AD121" s="19" t="s">
        <v>57</v>
      </c>
      <c r="AE121" s="20">
        <v>45825</v>
      </c>
      <c r="AF121" s="47" t="s">
        <v>315</v>
      </c>
      <c r="AG121" s="21"/>
      <c r="AH121" s="209"/>
      <c r="AI121" s="160">
        <v>45636</v>
      </c>
      <c r="AJ121" s="145">
        <f t="shared" si="21"/>
        <v>236</v>
      </c>
      <c r="AK121" s="100">
        <f>VLOOKUP(AP121,'[3]CONTENEUR PLEIN'!$F:$L,3,FALSE)</f>
        <v>45872</v>
      </c>
      <c r="AL121" s="99">
        <f>VLOOKUP(AP121,'[3]CONTENEUR PLEIN'!$F:$L,5,FALSE)</f>
        <v>45907</v>
      </c>
      <c r="AM121" s="18">
        <f>VLOOKUP(AP121,'[3]CONTENEUR PLEIN'!$F:$L,7,FALSE)</f>
        <v>45918.53125</v>
      </c>
      <c r="AN121" s="191" t="s">
        <v>63</v>
      </c>
      <c r="AO121" s="191" t="s">
        <v>371</v>
      </c>
      <c r="AP121" s="191" t="s">
        <v>372</v>
      </c>
      <c r="AQ121" s="191" t="s">
        <v>374</v>
      </c>
      <c r="AR121" s="191" t="e">
        <f>VLOOKUP(AP121,'[2]CONTENEUR PLEIN'!$F:$L,2,FALSE)</f>
        <v>#N/A</v>
      </c>
      <c r="AS121" s="191" t="s">
        <v>316</v>
      </c>
      <c r="AT121" s="209"/>
      <c r="AU121" s="181"/>
    </row>
    <row r="122" spans="1:47" s="72" customFormat="1" hidden="1" x14ac:dyDescent="0.25">
      <c r="A122" s="197"/>
      <c r="B122" s="116" t="s">
        <v>45</v>
      </c>
      <c r="C122" s="20">
        <v>45548</v>
      </c>
      <c r="D122" s="67">
        <v>24079</v>
      </c>
      <c r="E122" s="117" t="s">
        <v>104</v>
      </c>
      <c r="F122" s="67">
        <v>2409041448</v>
      </c>
      <c r="G122" s="67" t="s">
        <v>64</v>
      </c>
      <c r="H122" s="67" t="s">
        <v>103</v>
      </c>
      <c r="I122" s="67" t="s">
        <v>49</v>
      </c>
      <c r="J122" s="67" t="s">
        <v>46</v>
      </c>
      <c r="K122" s="16" t="s">
        <v>449</v>
      </c>
      <c r="L122" s="194">
        <v>45870</v>
      </c>
      <c r="M122" s="381">
        <f t="shared" si="17"/>
        <v>12</v>
      </c>
      <c r="N122" s="110" t="s">
        <v>49</v>
      </c>
      <c r="O122" s="68">
        <v>21450007</v>
      </c>
      <c r="P122" s="24" t="str">
        <f>VLOOKUP(O122,[1]Feuil2!$A:$M,5,FALSE)</f>
        <v>FOURCHETTE DESSERT RIVAGE EN BOITE PEGBOARDABLE</v>
      </c>
      <c r="Q122" s="67">
        <v>1656</v>
      </c>
      <c r="R122" s="154">
        <v>0.22</v>
      </c>
      <c r="S122" s="155">
        <f t="shared" si="13"/>
        <v>364.32</v>
      </c>
      <c r="T122" s="156">
        <f t="shared" si="19"/>
        <v>128378.288</v>
      </c>
      <c r="U122" s="157"/>
      <c r="V122" s="158">
        <f t="shared" si="14"/>
        <v>128378.288</v>
      </c>
      <c r="W122" s="4">
        <f>VLOOKUP(O122,[1]Feuil2!$A:$M,6,FALSE)</f>
        <v>72</v>
      </c>
      <c r="X122" s="5">
        <f>VLOOKUP(O122,[1]Feuil2!$A:$M,13,FALSE)</f>
        <v>1.4255999999999998E-2</v>
      </c>
      <c r="Y122" s="6">
        <f t="shared" si="20"/>
        <v>0.32788799999999996</v>
      </c>
      <c r="Z122" s="159">
        <f t="shared" si="16"/>
        <v>50.333925749999999</v>
      </c>
      <c r="AA122" s="23" t="s">
        <v>48</v>
      </c>
      <c r="AB122" s="19" t="s">
        <v>57</v>
      </c>
      <c r="AC122" s="67"/>
      <c r="AD122" s="25" t="s">
        <v>61</v>
      </c>
      <c r="AE122" s="20">
        <v>45841</v>
      </c>
      <c r="AF122" s="47" t="s">
        <v>347</v>
      </c>
      <c r="AG122" s="7"/>
      <c r="AH122" s="110"/>
      <c r="AI122" s="160">
        <v>45637</v>
      </c>
      <c r="AJ122" s="145">
        <f t="shared" si="21"/>
        <v>235</v>
      </c>
      <c r="AK122" s="100">
        <f>VLOOKUP(AP122,'[3]CONTENEUR PLEIN'!$F:$L,3,FALSE)</f>
        <v>45872</v>
      </c>
      <c r="AL122" s="99">
        <f>VLOOKUP(AP122,'[3]CONTENEUR PLEIN'!$F:$L,5,FALSE)</f>
        <v>45907</v>
      </c>
      <c r="AM122" s="18">
        <f>VLOOKUP(AP122,'[3]CONTENEUR PLEIN'!$F:$L,7,FALSE)</f>
        <v>45918.53125</v>
      </c>
      <c r="AN122" s="67" t="s">
        <v>63</v>
      </c>
      <c r="AO122" s="191" t="s">
        <v>371</v>
      </c>
      <c r="AP122" s="191" t="s">
        <v>372</v>
      </c>
      <c r="AQ122" s="191" t="s">
        <v>374</v>
      </c>
      <c r="AR122" s="191" t="e">
        <f>VLOOKUP(AP122,'[2]CONTENEUR PLEIN'!$F:$L,2,FALSE)</f>
        <v>#N/A</v>
      </c>
      <c r="AS122" s="191" t="s">
        <v>316</v>
      </c>
      <c r="AT122" s="230"/>
    </row>
    <row r="123" spans="1:47" s="72" customFormat="1" hidden="1" x14ac:dyDescent="0.25">
      <c r="A123" s="71"/>
      <c r="B123" s="88" t="s">
        <v>45</v>
      </c>
      <c r="C123" s="89">
        <v>45548</v>
      </c>
      <c r="D123" s="90">
        <v>24079</v>
      </c>
      <c r="E123" s="91" t="s">
        <v>104</v>
      </c>
      <c r="F123" s="90">
        <v>2409041448</v>
      </c>
      <c r="G123" s="90" t="s">
        <v>64</v>
      </c>
      <c r="H123" s="90" t="s">
        <v>103</v>
      </c>
      <c r="I123" s="90" t="s">
        <v>49</v>
      </c>
      <c r="J123" s="90" t="s">
        <v>46</v>
      </c>
      <c r="K123" s="16" t="s">
        <v>176</v>
      </c>
      <c r="L123" s="89">
        <v>45692</v>
      </c>
      <c r="M123" s="381">
        <f t="shared" si="17"/>
        <v>5</v>
      </c>
      <c r="N123" s="98" t="s">
        <v>49</v>
      </c>
      <c r="O123" s="92">
        <v>21460007</v>
      </c>
      <c r="P123" s="24" t="str">
        <f>VLOOKUP(O123,[1]Feuil2!$A:$M,5,FALSE)</f>
        <v>CUILLERE DESSERT FUSEAU EN BOITE PEGBOARDABLE</v>
      </c>
      <c r="Q123" s="90">
        <v>1872</v>
      </c>
      <c r="R123" s="93">
        <v>0.34799999999999998</v>
      </c>
      <c r="S123" s="94">
        <f t="shared" si="13"/>
        <v>651.4559999999999</v>
      </c>
      <c r="T123" s="95">
        <f t="shared" si="19"/>
        <v>128378.288</v>
      </c>
      <c r="U123" s="138"/>
      <c r="V123" s="96">
        <f t="shared" si="14"/>
        <v>128378.288</v>
      </c>
      <c r="W123" s="4">
        <f>VLOOKUP(O123,[1]Feuil2!$A:$M,6,FALSE)</f>
        <v>72</v>
      </c>
      <c r="X123" s="5">
        <f>VLOOKUP(O123,[1]Feuil2!$A:$M,13,FALSE)</f>
        <v>1.1663749999999999E-2</v>
      </c>
      <c r="Y123" s="6">
        <f t="shared" si="20"/>
        <v>0.30325749999999996</v>
      </c>
      <c r="Z123" s="97">
        <f t="shared" si="16"/>
        <v>50.333925749999999</v>
      </c>
      <c r="AA123" s="68" t="s">
        <v>48</v>
      </c>
      <c r="AB123" s="67" t="s">
        <v>48</v>
      </c>
      <c r="AC123" s="90" t="s">
        <v>55</v>
      </c>
      <c r="AD123" s="21" t="s">
        <v>57</v>
      </c>
      <c r="AE123" s="20">
        <v>45663</v>
      </c>
      <c r="AF123" s="47" t="s">
        <v>130</v>
      </c>
      <c r="AG123" s="21"/>
      <c r="AH123" s="98"/>
      <c r="AI123" s="135">
        <v>45636</v>
      </c>
      <c r="AJ123" s="145">
        <f t="shared" si="21"/>
        <v>37</v>
      </c>
      <c r="AK123" s="100">
        <f>VLOOKUP(AP123,'[3]CONTENEUR PLEIN'!$F:$L,3,FALSE)</f>
        <v>45673</v>
      </c>
      <c r="AL123" s="99">
        <f>VLOOKUP(AP123,'[3]CONTENEUR PLEIN'!$F:$L,5,FALSE)</f>
        <v>45717</v>
      </c>
      <c r="AM123" s="18">
        <f>VLOOKUP(AP123,'[3]CONTENEUR PLEIN'!$F:$L,7,FALSE)</f>
        <v>45727.53125</v>
      </c>
      <c r="AN123" s="90" t="s">
        <v>63</v>
      </c>
      <c r="AO123" s="90" t="s">
        <v>132</v>
      </c>
      <c r="AP123" s="90" t="s">
        <v>133</v>
      </c>
      <c r="AQ123" s="90"/>
      <c r="AR123" s="90" t="e">
        <f>VLOOKUP(AP123,'[2]CONTENEUR PLEIN'!$F:$L,2,FALSE)</f>
        <v>#N/A</v>
      </c>
      <c r="AS123" s="90" t="s">
        <v>51</v>
      </c>
      <c r="AT123" s="98"/>
      <c r="AU123" s="181"/>
    </row>
    <row r="124" spans="1:47" hidden="1" x14ac:dyDescent="0.25">
      <c r="A124" s="197"/>
      <c r="B124" s="232" t="s">
        <v>45</v>
      </c>
      <c r="C124" s="194">
        <v>45548</v>
      </c>
      <c r="D124" s="191">
        <v>24079</v>
      </c>
      <c r="E124" s="195" t="s">
        <v>104</v>
      </c>
      <c r="F124" s="191">
        <v>2409041448</v>
      </c>
      <c r="G124" s="191" t="s">
        <v>64</v>
      </c>
      <c r="H124" s="191" t="s">
        <v>103</v>
      </c>
      <c r="I124" s="191" t="s">
        <v>49</v>
      </c>
      <c r="J124" s="191" t="s">
        <v>46</v>
      </c>
      <c r="K124" s="16" t="s">
        <v>449</v>
      </c>
      <c r="L124" s="194">
        <v>45870</v>
      </c>
      <c r="M124" s="381">
        <f t="shared" si="17"/>
        <v>12</v>
      </c>
      <c r="N124" s="209" t="s">
        <v>49</v>
      </c>
      <c r="O124" s="223">
        <v>21460011</v>
      </c>
      <c r="P124" s="24" t="str">
        <f>VLOOKUP(O124,[1]Feuil2!$A:$M,5,FALSE)</f>
        <v>FOURCHETTE FUSEAU + GENCOD</v>
      </c>
      <c r="Q124" s="191">
        <v>5184</v>
      </c>
      <c r="R124" s="224">
        <v>0.33800000000000002</v>
      </c>
      <c r="S124" s="225">
        <f t="shared" si="13"/>
        <v>1752.192</v>
      </c>
      <c r="T124" s="226">
        <f t="shared" si="19"/>
        <v>128378.288</v>
      </c>
      <c r="U124" s="227"/>
      <c r="V124" s="228">
        <f t="shared" si="14"/>
        <v>128378.288</v>
      </c>
      <c r="W124" s="4">
        <f>VLOOKUP(O124,[1]Feuil2!$A:$M,6,FALSE)</f>
        <v>144</v>
      </c>
      <c r="X124" s="5">
        <f>VLOOKUP(O124,[1]Feuil2!$A:$M,13,FALSE)</f>
        <v>9.6937499999999992E-3</v>
      </c>
      <c r="Y124" s="6">
        <f t="shared" si="20"/>
        <v>0.34897499999999998</v>
      </c>
      <c r="Z124" s="229">
        <f t="shared" si="16"/>
        <v>50.333925749999999</v>
      </c>
      <c r="AA124" s="23" t="s">
        <v>48</v>
      </c>
      <c r="AB124" s="21" t="s">
        <v>57</v>
      </c>
      <c r="AC124" s="210" t="s">
        <v>55</v>
      </c>
      <c r="AD124" s="19" t="s">
        <v>57</v>
      </c>
      <c r="AE124" s="20">
        <v>45825</v>
      </c>
      <c r="AF124" s="21" t="s">
        <v>313</v>
      </c>
      <c r="AG124" s="21"/>
      <c r="AH124" s="209"/>
      <c r="AI124" s="160">
        <v>45636</v>
      </c>
      <c r="AJ124" s="145">
        <f t="shared" si="21"/>
        <v>236</v>
      </c>
      <c r="AK124" s="100">
        <f>VLOOKUP(AP124,'[3]CONTENEUR PLEIN'!$F:$L,3,FALSE)</f>
        <v>45872</v>
      </c>
      <c r="AL124" s="99">
        <f>VLOOKUP(AP124,'[3]CONTENEUR PLEIN'!$F:$L,5,FALSE)</f>
        <v>45907</v>
      </c>
      <c r="AM124" s="18">
        <f>VLOOKUP(AP124,'[3]CONTENEUR PLEIN'!$F:$L,7,FALSE)</f>
        <v>45918.53125</v>
      </c>
      <c r="AN124" s="191" t="s">
        <v>63</v>
      </c>
      <c r="AO124" s="191" t="s">
        <v>371</v>
      </c>
      <c r="AP124" s="191" t="s">
        <v>372</v>
      </c>
      <c r="AQ124" s="191" t="s">
        <v>374</v>
      </c>
      <c r="AR124" s="191" t="e">
        <f>VLOOKUP(AP124,'[2]CONTENEUR PLEIN'!$F:$L,2,FALSE)</f>
        <v>#N/A</v>
      </c>
      <c r="AS124" s="191" t="s">
        <v>316</v>
      </c>
      <c r="AT124" s="209"/>
      <c r="AU124" s="72"/>
    </row>
    <row r="125" spans="1:47" s="72" customFormat="1" hidden="1" x14ac:dyDescent="0.25">
      <c r="A125" s="197"/>
      <c r="B125" s="232" t="s">
        <v>45</v>
      </c>
      <c r="C125" s="194">
        <v>45548</v>
      </c>
      <c r="D125" s="191">
        <v>24079</v>
      </c>
      <c r="E125" s="195" t="s">
        <v>104</v>
      </c>
      <c r="F125" s="191">
        <v>2409041448</v>
      </c>
      <c r="G125" s="191" t="s">
        <v>64</v>
      </c>
      <c r="H125" s="191" t="s">
        <v>103</v>
      </c>
      <c r="I125" s="191" t="s">
        <v>49</v>
      </c>
      <c r="J125" s="191" t="s">
        <v>46</v>
      </c>
      <c r="K125" s="16" t="s">
        <v>449</v>
      </c>
      <c r="L125" s="194">
        <v>45870</v>
      </c>
      <c r="M125" s="381">
        <f t="shared" si="17"/>
        <v>12</v>
      </c>
      <c r="N125" s="209" t="s">
        <v>49</v>
      </c>
      <c r="O125" s="223">
        <v>21460015</v>
      </c>
      <c r="P125" s="24" t="str">
        <f>VLOOKUP(O125,[1]Feuil2!$A:$M,5,FALSE)</f>
        <v>FOURCHETTE DESSERT FUSEAU + GENCOD</v>
      </c>
      <c r="Q125" s="191">
        <v>2160</v>
      </c>
      <c r="R125" s="224">
        <v>0.311</v>
      </c>
      <c r="S125" s="225">
        <f t="shared" si="13"/>
        <v>671.76</v>
      </c>
      <c r="T125" s="226">
        <f t="shared" si="19"/>
        <v>128378.288</v>
      </c>
      <c r="U125" s="227"/>
      <c r="V125" s="228">
        <f t="shared" si="14"/>
        <v>128378.288</v>
      </c>
      <c r="W125" s="4">
        <f>VLOOKUP(O125,[1]Feuil2!$A:$M,6,FALSE)</f>
        <v>144</v>
      </c>
      <c r="X125" s="5">
        <f>VLOOKUP(O125,[1]Feuil2!$A:$M,13,FALSE)</f>
        <v>9.6937499999999992E-3</v>
      </c>
      <c r="Y125" s="6">
        <f t="shared" si="20"/>
        <v>0.14540624999999999</v>
      </c>
      <c r="Z125" s="229">
        <f t="shared" si="16"/>
        <v>50.333925749999999</v>
      </c>
      <c r="AA125" s="23" t="s">
        <v>48</v>
      </c>
      <c r="AB125" s="21" t="s">
        <v>57</v>
      </c>
      <c r="AC125" s="210" t="s">
        <v>55</v>
      </c>
      <c r="AD125" s="19" t="s">
        <v>57</v>
      </c>
      <c r="AE125" s="20">
        <v>45825</v>
      </c>
      <c r="AF125" s="21" t="s">
        <v>314</v>
      </c>
      <c r="AG125" s="21"/>
      <c r="AH125" s="209"/>
      <c r="AI125" s="160">
        <v>45636</v>
      </c>
      <c r="AJ125" s="145">
        <f t="shared" si="21"/>
        <v>236</v>
      </c>
      <c r="AK125" s="100">
        <f>VLOOKUP(AP125,'[3]CONTENEUR PLEIN'!$F:$L,3,FALSE)</f>
        <v>45872</v>
      </c>
      <c r="AL125" s="99">
        <f>VLOOKUP(AP125,'[3]CONTENEUR PLEIN'!$F:$L,5,FALSE)</f>
        <v>45907</v>
      </c>
      <c r="AM125" s="18">
        <f>VLOOKUP(AP125,'[3]CONTENEUR PLEIN'!$F:$L,7,FALSE)</f>
        <v>45918.53125</v>
      </c>
      <c r="AN125" s="191" t="s">
        <v>63</v>
      </c>
      <c r="AO125" s="191" t="s">
        <v>371</v>
      </c>
      <c r="AP125" s="191" t="s">
        <v>372</v>
      </c>
      <c r="AQ125" s="191" t="s">
        <v>374</v>
      </c>
      <c r="AR125" s="191" t="e">
        <f>VLOOKUP(AP125,'[2]CONTENEUR PLEIN'!$F:$L,2,FALSE)</f>
        <v>#N/A</v>
      </c>
      <c r="AS125" s="191" t="s">
        <v>316</v>
      </c>
      <c r="AT125" s="209"/>
      <c r="AU125" s="181"/>
    </row>
    <row r="126" spans="1:47" s="72" customFormat="1" hidden="1" x14ac:dyDescent="0.25">
      <c r="A126" s="71"/>
      <c r="B126" s="29" t="s">
        <v>45</v>
      </c>
      <c r="C126" s="48">
        <v>45548</v>
      </c>
      <c r="D126" s="49">
        <v>24079</v>
      </c>
      <c r="E126" s="50" t="s">
        <v>104</v>
      </c>
      <c r="F126" s="49">
        <v>2409041448</v>
      </c>
      <c r="G126" s="49" t="s">
        <v>64</v>
      </c>
      <c r="H126" s="49" t="s">
        <v>103</v>
      </c>
      <c r="I126" s="49" t="s">
        <v>49</v>
      </c>
      <c r="J126" s="49" t="s">
        <v>46</v>
      </c>
      <c r="K126" s="107" t="s">
        <v>71</v>
      </c>
      <c r="L126" s="49" t="s">
        <v>47</v>
      </c>
      <c r="M126" s="382" t="e">
        <f t="shared" si="17"/>
        <v>#VALUE!</v>
      </c>
      <c r="N126" s="57" t="s">
        <v>49</v>
      </c>
      <c r="O126" s="51">
        <v>21460017</v>
      </c>
      <c r="P126" s="30" t="str">
        <f>VLOOKUP(O126,[1]Feuil2!$A:$M,5,FALSE)</f>
        <v>FOURCHETTE TAPAS FUSEAU + GENCOD</v>
      </c>
      <c r="Q126" s="49">
        <v>2016</v>
      </c>
      <c r="R126" s="52">
        <v>0.34699999999999998</v>
      </c>
      <c r="S126" s="53">
        <f t="shared" si="13"/>
        <v>699.55199999999991</v>
      </c>
      <c r="T126" s="31">
        <f t="shared" si="19"/>
        <v>128378.288</v>
      </c>
      <c r="U126" s="140"/>
      <c r="V126" s="32">
        <f t="shared" si="14"/>
        <v>128378.288</v>
      </c>
      <c r="W126" s="33">
        <f>VLOOKUP(O126,[1]Feuil2!$A:$M,6,FALSE)</f>
        <v>144</v>
      </c>
      <c r="X126" s="34">
        <f>VLOOKUP(O126,[1]Feuil2!$A:$M,13,FALSE)</f>
        <v>5.94E-3</v>
      </c>
      <c r="Y126" s="35">
        <f t="shared" si="20"/>
        <v>8.3159999999999998E-2</v>
      </c>
      <c r="Z126" s="36">
        <f t="shared" si="16"/>
        <v>50.333925749999999</v>
      </c>
      <c r="AA126" s="55" t="s">
        <v>61</v>
      </c>
      <c r="AB126" s="55" t="s">
        <v>61</v>
      </c>
      <c r="AC126" s="49"/>
      <c r="AD126" s="55" t="s">
        <v>61</v>
      </c>
      <c r="AE126" s="48"/>
      <c r="AF126" s="55"/>
      <c r="AG126" s="55"/>
      <c r="AH126" s="57"/>
      <c r="AI126" s="182">
        <v>45636</v>
      </c>
      <c r="AJ126" s="137" t="s">
        <v>49</v>
      </c>
      <c r="AK126" s="56" t="s">
        <v>46</v>
      </c>
      <c r="AL126" s="37" t="s">
        <v>46</v>
      </c>
      <c r="AM126" s="37" t="s">
        <v>46</v>
      </c>
      <c r="AN126" s="49" t="s">
        <v>63</v>
      </c>
      <c r="AO126" s="49"/>
      <c r="AP126" s="49"/>
      <c r="AQ126" s="49"/>
      <c r="AR126" s="49" t="e">
        <f>VLOOKUP(AP126,'[2]CONTENEUR PLEIN'!$F:$L,2,FALSE)</f>
        <v>#N/A</v>
      </c>
      <c r="AS126" s="49"/>
      <c r="AT126" s="57"/>
    </row>
    <row r="127" spans="1:47" s="72" customFormat="1" hidden="1" x14ac:dyDescent="0.25">
      <c r="A127" s="71"/>
      <c r="B127" s="29" t="s">
        <v>45</v>
      </c>
      <c r="C127" s="48">
        <v>45548</v>
      </c>
      <c r="D127" s="49">
        <v>24079</v>
      </c>
      <c r="E127" s="50" t="s">
        <v>104</v>
      </c>
      <c r="F127" s="49">
        <v>2409041448</v>
      </c>
      <c r="G127" s="49" t="s">
        <v>64</v>
      </c>
      <c r="H127" s="49" t="s">
        <v>103</v>
      </c>
      <c r="I127" s="49" t="s">
        <v>49</v>
      </c>
      <c r="J127" s="49" t="s">
        <v>46</v>
      </c>
      <c r="K127" s="107" t="s">
        <v>71</v>
      </c>
      <c r="L127" s="49" t="s">
        <v>47</v>
      </c>
      <c r="M127" s="382" t="e">
        <f t="shared" si="17"/>
        <v>#VALUE!</v>
      </c>
      <c r="N127" s="57" t="s">
        <v>49</v>
      </c>
      <c r="O127" s="51">
        <v>21460018</v>
      </c>
      <c r="P127" s="30" t="str">
        <f>VLOOKUP(O127,[1]Feuil2!$A:$M,5,FALSE)</f>
        <v>CUILLERE TAPAS FUSEAU + GENCOD</v>
      </c>
      <c r="Q127" s="49">
        <v>2160</v>
      </c>
      <c r="R127" s="52">
        <v>0</v>
      </c>
      <c r="S127" s="53">
        <f t="shared" si="13"/>
        <v>0</v>
      </c>
      <c r="T127" s="31">
        <f t="shared" si="19"/>
        <v>128378.288</v>
      </c>
      <c r="U127" s="140"/>
      <c r="V127" s="32">
        <f t="shared" si="14"/>
        <v>128378.288</v>
      </c>
      <c r="W127" s="33">
        <f>VLOOKUP(O127,[1]Feuil2!$A:$M,6,FALSE)</f>
        <v>144</v>
      </c>
      <c r="X127" s="34">
        <f>VLOOKUP(O127,[1]Feuil2!$A:$M,13,FALSE)</f>
        <v>5.94E-3</v>
      </c>
      <c r="Y127" s="35">
        <f t="shared" si="20"/>
        <v>8.9099999999999999E-2</v>
      </c>
      <c r="Z127" s="36">
        <f t="shared" si="16"/>
        <v>50.333925749999999</v>
      </c>
      <c r="AA127" s="235" t="s">
        <v>61</v>
      </c>
      <c r="AB127" s="235" t="s">
        <v>61</v>
      </c>
      <c r="AC127" s="49"/>
      <c r="AD127" s="55" t="s">
        <v>61</v>
      </c>
      <c r="AE127" s="48"/>
      <c r="AF127" s="55"/>
      <c r="AG127" s="55"/>
      <c r="AH127" s="57"/>
      <c r="AI127" s="136">
        <v>45636</v>
      </c>
      <c r="AJ127" s="137" t="s">
        <v>49</v>
      </c>
      <c r="AK127" s="56" t="s">
        <v>46</v>
      </c>
      <c r="AL127" s="37" t="s">
        <v>46</v>
      </c>
      <c r="AM127" s="37" t="s">
        <v>46</v>
      </c>
      <c r="AN127" s="49" t="s">
        <v>63</v>
      </c>
      <c r="AO127" s="37" t="s">
        <v>46</v>
      </c>
      <c r="AP127" s="37" t="s">
        <v>46</v>
      </c>
      <c r="AQ127" s="37" t="s">
        <v>46</v>
      </c>
      <c r="AR127" s="37" t="s">
        <v>46</v>
      </c>
      <c r="AS127" s="37" t="s">
        <v>46</v>
      </c>
      <c r="AT127" s="39" t="s">
        <v>46</v>
      </c>
    </row>
    <row r="128" spans="1:47" s="72" customFormat="1" hidden="1" x14ac:dyDescent="0.25">
      <c r="A128" s="71"/>
      <c r="B128" s="88" t="s">
        <v>45</v>
      </c>
      <c r="C128" s="89">
        <v>45548</v>
      </c>
      <c r="D128" s="90">
        <v>24079</v>
      </c>
      <c r="E128" s="91" t="s">
        <v>104</v>
      </c>
      <c r="F128" s="90">
        <v>2409041448</v>
      </c>
      <c r="G128" s="90" t="s">
        <v>64</v>
      </c>
      <c r="H128" s="90" t="s">
        <v>103</v>
      </c>
      <c r="I128" s="90" t="s">
        <v>49</v>
      </c>
      <c r="J128" s="90" t="s">
        <v>46</v>
      </c>
      <c r="K128" s="16" t="s">
        <v>309</v>
      </c>
      <c r="L128" s="89">
        <v>45770</v>
      </c>
      <c r="M128" s="381">
        <f t="shared" si="17"/>
        <v>9</v>
      </c>
      <c r="N128" s="98" t="s">
        <v>49</v>
      </c>
      <c r="O128" s="92">
        <v>21480001</v>
      </c>
      <c r="P128" s="24" t="str">
        <f>VLOOKUP(O128,[1]Feuil2!$A:$M,5,FALSE)</f>
        <v>COUTEAU BASIQUE</v>
      </c>
      <c r="Q128" s="90">
        <v>11232</v>
      </c>
      <c r="R128" s="93">
        <v>0.23100000000000001</v>
      </c>
      <c r="S128" s="94">
        <f t="shared" si="13"/>
        <v>2594.5920000000001</v>
      </c>
      <c r="T128" s="95">
        <f t="shared" si="19"/>
        <v>128378.288</v>
      </c>
      <c r="U128" s="138"/>
      <c r="V128" s="96">
        <f t="shared" si="14"/>
        <v>128378.288</v>
      </c>
      <c r="W128" s="4">
        <f>VLOOKUP(O128,[1]Feuil2!$A:$M,6,FALSE)</f>
        <v>288</v>
      </c>
      <c r="X128" s="5">
        <f>VLOOKUP(O128,[1]Feuil2!$A:$M,13,FALSE)</f>
        <v>9.4769999999999993E-3</v>
      </c>
      <c r="Y128" s="6">
        <f t="shared" si="20"/>
        <v>0.36960299999999996</v>
      </c>
      <c r="Z128" s="97">
        <f t="shared" si="16"/>
        <v>50.333925749999999</v>
      </c>
      <c r="AA128" s="23" t="s">
        <v>48</v>
      </c>
      <c r="AB128" s="69" t="s">
        <v>57</v>
      </c>
      <c r="AC128" s="87" t="s">
        <v>55</v>
      </c>
      <c r="AD128" s="19" t="s">
        <v>57</v>
      </c>
      <c r="AE128" s="20">
        <v>45755</v>
      </c>
      <c r="AF128" s="21" t="s">
        <v>203</v>
      </c>
      <c r="AG128" s="21"/>
      <c r="AH128" s="98"/>
      <c r="AI128" s="135">
        <v>45636</v>
      </c>
      <c r="AJ128" s="145">
        <f>DATEDIF(AI128,$AK128,"D")</f>
        <v>128</v>
      </c>
      <c r="AK128" s="100">
        <f>VLOOKUP(AP128,'[3]CONTENEUR PLEIN'!$F:$L,3,FALSE)</f>
        <v>45764</v>
      </c>
      <c r="AL128" s="99">
        <f>VLOOKUP(AP128,'[3]CONTENEUR PLEIN'!$F:$L,5,FALSE)</f>
        <v>45812</v>
      </c>
      <c r="AM128" s="18">
        <f>VLOOKUP(AP128,'[3]CONTENEUR PLEIN'!$F:$L,7,FALSE)</f>
        <v>45824.53125</v>
      </c>
      <c r="AN128" s="90" t="s">
        <v>63</v>
      </c>
      <c r="AO128" s="129" t="s">
        <v>212</v>
      </c>
      <c r="AP128" s="129" t="s">
        <v>213</v>
      </c>
      <c r="AQ128" s="129" t="s">
        <v>259</v>
      </c>
      <c r="AR128" s="129" t="e">
        <f>VLOOKUP(AP128,'[2]CONTENEUR PLEIN'!$F:$L,2,FALSE)</f>
        <v>#N/A</v>
      </c>
      <c r="AS128" s="129" t="s">
        <v>51</v>
      </c>
      <c r="AT128" s="98"/>
    </row>
    <row r="129" spans="1:47" s="72" customFormat="1" hidden="1" x14ac:dyDescent="0.25">
      <c r="A129" s="71"/>
      <c r="B129" s="29" t="s">
        <v>45</v>
      </c>
      <c r="C129" s="48">
        <v>45548</v>
      </c>
      <c r="D129" s="49">
        <v>24079</v>
      </c>
      <c r="E129" s="50" t="s">
        <v>104</v>
      </c>
      <c r="F129" s="49">
        <v>2409041448</v>
      </c>
      <c r="G129" s="49" t="s">
        <v>64</v>
      </c>
      <c r="H129" s="49" t="s">
        <v>103</v>
      </c>
      <c r="I129" s="49" t="s">
        <v>49</v>
      </c>
      <c r="J129" s="49" t="s">
        <v>46</v>
      </c>
      <c r="K129" s="262" t="s">
        <v>71</v>
      </c>
      <c r="L129" s="49" t="s">
        <v>47</v>
      </c>
      <c r="M129" s="382" t="e">
        <f t="shared" si="17"/>
        <v>#VALUE!</v>
      </c>
      <c r="N129" s="57" t="s">
        <v>49</v>
      </c>
      <c r="O129" s="51">
        <v>21480002</v>
      </c>
      <c r="P129" s="30" t="str">
        <f>VLOOKUP(O129,[1]Feuil2!$A:$M,5,FALSE)</f>
        <v>FOURCHETTE BASIQUE</v>
      </c>
      <c r="Q129" s="49">
        <v>28224</v>
      </c>
      <c r="R129" s="52">
        <v>0.12</v>
      </c>
      <c r="S129" s="53">
        <f t="shared" si="13"/>
        <v>3386.8799999999997</v>
      </c>
      <c r="T129" s="31">
        <f t="shared" si="19"/>
        <v>128378.288</v>
      </c>
      <c r="U129" s="140"/>
      <c r="V129" s="32">
        <f t="shared" si="14"/>
        <v>128378.288</v>
      </c>
      <c r="W129" s="33">
        <f>VLOOKUP(O129,[1]Feuil2!$A:$M,6,FALSE)</f>
        <v>288</v>
      </c>
      <c r="X129" s="34">
        <f>VLOOKUP(O129,[1]Feuil2!$A:$M,13,FALSE)</f>
        <v>8.7067499999999992E-3</v>
      </c>
      <c r="Y129" s="35">
        <f t="shared" si="20"/>
        <v>0.8532614999999999</v>
      </c>
      <c r="Z129" s="36">
        <f t="shared" si="16"/>
        <v>50.333925749999999</v>
      </c>
      <c r="AA129" s="235" t="s">
        <v>61</v>
      </c>
      <c r="AB129" s="235" t="s">
        <v>61</v>
      </c>
      <c r="AC129" s="49"/>
      <c r="AD129" s="55" t="s">
        <v>61</v>
      </c>
      <c r="AE129" s="48"/>
      <c r="AF129" s="55"/>
      <c r="AG129" s="55"/>
      <c r="AH129" s="57"/>
      <c r="AI129" s="182">
        <v>45636</v>
      </c>
      <c r="AJ129" s="137" t="s">
        <v>49</v>
      </c>
      <c r="AK129" s="56" t="s">
        <v>46</v>
      </c>
      <c r="AL129" s="37" t="s">
        <v>46</v>
      </c>
      <c r="AM129" s="37" t="s">
        <v>46</v>
      </c>
      <c r="AN129" s="49" t="s">
        <v>63</v>
      </c>
      <c r="AO129" s="49"/>
      <c r="AP129" s="49"/>
      <c r="AQ129" s="49"/>
      <c r="AR129" s="49" t="e">
        <f>VLOOKUP(AP129,'[2]CONTENEUR PLEIN'!$F:$L,2,FALSE)</f>
        <v>#N/A</v>
      </c>
      <c r="AS129" s="49"/>
      <c r="AT129" s="57"/>
    </row>
    <row r="130" spans="1:47" s="72" customFormat="1" hidden="1" x14ac:dyDescent="0.25">
      <c r="A130" s="71"/>
      <c r="B130" s="29" t="s">
        <v>45</v>
      </c>
      <c r="C130" s="48">
        <v>45548</v>
      </c>
      <c r="D130" s="49">
        <v>24079</v>
      </c>
      <c r="E130" s="50" t="s">
        <v>104</v>
      </c>
      <c r="F130" s="49">
        <v>2409041448</v>
      </c>
      <c r="G130" s="49" t="s">
        <v>64</v>
      </c>
      <c r="H130" s="49" t="s">
        <v>103</v>
      </c>
      <c r="I130" s="49" t="s">
        <v>49</v>
      </c>
      <c r="J130" s="49" t="s">
        <v>46</v>
      </c>
      <c r="K130" s="262" t="s">
        <v>71</v>
      </c>
      <c r="L130" s="49" t="s">
        <v>47</v>
      </c>
      <c r="M130" s="382" t="e">
        <f t="shared" si="17"/>
        <v>#VALUE!</v>
      </c>
      <c r="N130" s="57" t="s">
        <v>49</v>
      </c>
      <c r="O130" s="51">
        <v>21480003</v>
      </c>
      <c r="P130" s="30" t="str">
        <f>VLOOKUP(O130,[1]Feuil2!$A:$M,5,FALSE)</f>
        <v>CUILLERE BASIQUE</v>
      </c>
      <c r="Q130" s="49">
        <v>7488</v>
      </c>
      <c r="R130" s="52">
        <v>0.125</v>
      </c>
      <c r="S130" s="53">
        <f t="shared" si="13"/>
        <v>936</v>
      </c>
      <c r="T130" s="31">
        <f t="shared" si="19"/>
        <v>128378.288</v>
      </c>
      <c r="U130" s="140"/>
      <c r="V130" s="32">
        <f t="shared" si="14"/>
        <v>128378.288</v>
      </c>
      <c r="W130" s="33">
        <f>VLOOKUP(O130,[1]Feuil2!$A:$M,6,FALSE)</f>
        <v>288</v>
      </c>
      <c r="X130" s="34">
        <f>VLOOKUP(O130,[1]Feuil2!$A:$M,13,FALSE)</f>
        <v>1.6399E-2</v>
      </c>
      <c r="Y130" s="35">
        <f t="shared" si="20"/>
        <v>0.42637400000000003</v>
      </c>
      <c r="Z130" s="36">
        <f t="shared" si="16"/>
        <v>50.333925749999999</v>
      </c>
      <c r="AA130" s="235" t="s">
        <v>57</v>
      </c>
      <c r="AB130" s="235" t="s">
        <v>61</v>
      </c>
      <c r="AC130" s="49"/>
      <c r="AD130" s="55" t="s">
        <v>61</v>
      </c>
      <c r="AE130" s="48"/>
      <c r="AF130" s="55"/>
      <c r="AG130" s="55"/>
      <c r="AH130" s="57"/>
      <c r="AI130" s="182">
        <v>45636</v>
      </c>
      <c r="AJ130" s="137" t="s">
        <v>49</v>
      </c>
      <c r="AK130" s="56" t="s">
        <v>46</v>
      </c>
      <c r="AL130" s="37" t="s">
        <v>46</v>
      </c>
      <c r="AM130" s="37" t="s">
        <v>46</v>
      </c>
      <c r="AN130" s="49" t="s">
        <v>63</v>
      </c>
      <c r="AO130" s="49"/>
      <c r="AP130" s="49"/>
      <c r="AQ130" s="49"/>
      <c r="AR130" s="49" t="e">
        <f>VLOOKUP(AP130,'[2]CONTENEUR PLEIN'!$F:$L,2,FALSE)</f>
        <v>#N/A</v>
      </c>
      <c r="AS130" s="49"/>
      <c r="AT130" s="57"/>
    </row>
    <row r="131" spans="1:47" s="72" customFormat="1" hidden="1" x14ac:dyDescent="0.25">
      <c r="A131" s="71"/>
      <c r="B131" s="29" t="s">
        <v>45</v>
      </c>
      <c r="C131" s="48">
        <v>45548</v>
      </c>
      <c r="D131" s="49">
        <v>24079</v>
      </c>
      <c r="E131" s="50" t="s">
        <v>104</v>
      </c>
      <c r="F131" s="49">
        <v>2409041448</v>
      </c>
      <c r="G131" s="49" t="s">
        <v>64</v>
      </c>
      <c r="H131" s="49" t="s">
        <v>103</v>
      </c>
      <c r="I131" s="49" t="s">
        <v>49</v>
      </c>
      <c r="J131" s="49" t="s">
        <v>46</v>
      </c>
      <c r="K131" s="262" t="s">
        <v>71</v>
      </c>
      <c r="L131" s="49" t="s">
        <v>47</v>
      </c>
      <c r="M131" s="382" t="e">
        <f t="shared" si="17"/>
        <v>#VALUE!</v>
      </c>
      <c r="N131" s="57" t="s">
        <v>49</v>
      </c>
      <c r="O131" s="51">
        <v>21480004</v>
      </c>
      <c r="P131" s="30" t="str">
        <f>VLOOKUP(O131,[1]Feuil2!$A:$M,5,FALSE)</f>
        <v>CAFE BASIQUE</v>
      </c>
      <c r="Q131" s="49">
        <v>29952</v>
      </c>
      <c r="R131" s="52">
        <v>5.5E-2</v>
      </c>
      <c r="S131" s="53">
        <f t="shared" si="13"/>
        <v>1647.36</v>
      </c>
      <c r="T131" s="31">
        <f t="shared" si="19"/>
        <v>128378.288</v>
      </c>
      <c r="U131" s="140"/>
      <c r="V131" s="32">
        <f t="shared" si="14"/>
        <v>128378.288</v>
      </c>
      <c r="W131" s="33">
        <f>VLOOKUP(O131,[1]Feuil2!$A:$M,6,FALSE)</f>
        <v>288</v>
      </c>
      <c r="X131" s="34">
        <f>VLOOKUP(O131,[1]Feuil2!$A:$M,13,FALSE)</f>
        <v>7.0719999999999993E-3</v>
      </c>
      <c r="Y131" s="35">
        <f t="shared" si="20"/>
        <v>0.73548799999999992</v>
      </c>
      <c r="Z131" s="36">
        <f t="shared" si="16"/>
        <v>50.333925749999999</v>
      </c>
      <c r="AA131" s="235" t="s">
        <v>61</v>
      </c>
      <c r="AB131" s="235" t="s">
        <v>61</v>
      </c>
      <c r="AC131" s="49"/>
      <c r="AD131" s="55" t="s">
        <v>61</v>
      </c>
      <c r="AE131" s="48"/>
      <c r="AF131" s="55"/>
      <c r="AG131" s="55"/>
      <c r="AH131" s="57"/>
      <c r="AI131" s="182">
        <v>45636</v>
      </c>
      <c r="AJ131" s="137" t="s">
        <v>49</v>
      </c>
      <c r="AK131" s="56" t="s">
        <v>46</v>
      </c>
      <c r="AL131" s="37" t="s">
        <v>46</v>
      </c>
      <c r="AM131" s="37" t="s">
        <v>46</v>
      </c>
      <c r="AN131" s="49" t="s">
        <v>63</v>
      </c>
      <c r="AO131" s="49"/>
      <c r="AP131" s="49"/>
      <c r="AQ131" s="49"/>
      <c r="AR131" s="49" t="e">
        <f>VLOOKUP(AP131,'[2]CONTENEUR PLEIN'!$F:$L,2,FALSE)</f>
        <v>#N/A</v>
      </c>
      <c r="AS131" s="49"/>
      <c r="AT131" s="57"/>
    </row>
    <row r="132" spans="1:47" s="72" customFormat="1" ht="15" hidden="1" customHeight="1" x14ac:dyDescent="0.25">
      <c r="A132" s="197"/>
      <c r="B132" s="232" t="s">
        <v>45</v>
      </c>
      <c r="C132" s="194">
        <v>45548</v>
      </c>
      <c r="D132" s="191">
        <v>24079</v>
      </c>
      <c r="E132" s="195" t="s">
        <v>104</v>
      </c>
      <c r="F132" s="191">
        <v>2409041448</v>
      </c>
      <c r="G132" s="191" t="s">
        <v>64</v>
      </c>
      <c r="H132" s="191" t="s">
        <v>103</v>
      </c>
      <c r="I132" s="191" t="s">
        <v>49</v>
      </c>
      <c r="J132" s="191" t="s">
        <v>46</v>
      </c>
      <c r="K132" s="16" t="s">
        <v>449</v>
      </c>
      <c r="L132" s="194">
        <v>45870</v>
      </c>
      <c r="M132" s="381">
        <f t="shared" si="17"/>
        <v>12</v>
      </c>
      <c r="N132" s="209" t="s">
        <v>49</v>
      </c>
      <c r="O132" s="223">
        <v>21610003</v>
      </c>
      <c r="P132" s="24" t="str">
        <f>VLOOKUP(O132,[1]Feuil2!$A:$M,5,FALSE)</f>
        <v>FOURCHETTE DAMIER FINITION MIROIR VRAC+GENCOD</v>
      </c>
      <c r="Q132" s="191">
        <v>29760</v>
      </c>
      <c r="R132" s="224">
        <v>0.254</v>
      </c>
      <c r="S132" s="225">
        <f t="shared" si="13"/>
        <v>7559.04</v>
      </c>
      <c r="T132" s="226">
        <f t="shared" si="19"/>
        <v>128378.288</v>
      </c>
      <c r="U132" s="227"/>
      <c r="V132" s="228">
        <f t="shared" si="14"/>
        <v>128378.288</v>
      </c>
      <c r="W132" s="4">
        <f>VLOOKUP(O132,[1]Feuil2!$A:$M,6,FALSE)</f>
        <v>240</v>
      </c>
      <c r="X132" s="5">
        <f>VLOOKUP(O132,[1]Feuil2!$A:$M,13,FALSE)</f>
        <v>1.9507500000000001E-2</v>
      </c>
      <c r="Y132" s="6">
        <f t="shared" si="20"/>
        <v>2.41893</v>
      </c>
      <c r="Z132" s="229">
        <f t="shared" si="16"/>
        <v>50.333925749999999</v>
      </c>
      <c r="AA132" s="23" t="s">
        <v>48</v>
      </c>
      <c r="AB132" s="43" t="s">
        <v>57</v>
      </c>
      <c r="AC132" s="191"/>
      <c r="AD132" s="133" t="s">
        <v>61</v>
      </c>
      <c r="AE132" s="20">
        <v>45841</v>
      </c>
      <c r="AF132" s="21" t="s">
        <v>345</v>
      </c>
      <c r="AG132" s="21"/>
      <c r="AH132" s="209"/>
      <c r="AI132" s="160">
        <v>45636</v>
      </c>
      <c r="AJ132" s="145">
        <f>DATEDIF(AI132,$AK132,"D")</f>
        <v>236</v>
      </c>
      <c r="AK132" s="100">
        <f>VLOOKUP(AP132,'[3]CONTENEUR PLEIN'!$F:$L,3,FALSE)</f>
        <v>45872</v>
      </c>
      <c r="AL132" s="99">
        <f>VLOOKUP(AP132,'[3]CONTENEUR PLEIN'!$F:$L,5,FALSE)</f>
        <v>45907</v>
      </c>
      <c r="AM132" s="18">
        <f>VLOOKUP(AP132,'[3]CONTENEUR PLEIN'!$F:$L,7,FALSE)</f>
        <v>45918.53125</v>
      </c>
      <c r="AN132" s="191" t="s">
        <v>63</v>
      </c>
      <c r="AO132" s="191" t="s">
        <v>371</v>
      </c>
      <c r="AP132" s="191" t="s">
        <v>372</v>
      </c>
      <c r="AQ132" s="191" t="s">
        <v>374</v>
      </c>
      <c r="AR132" s="191" t="e">
        <f>VLOOKUP(AP132,'[2]CONTENEUR PLEIN'!$F:$L,2,FALSE)</f>
        <v>#N/A</v>
      </c>
      <c r="AS132" s="191" t="s">
        <v>316</v>
      </c>
      <c r="AT132" s="209"/>
    </row>
    <row r="133" spans="1:47" s="72" customFormat="1" ht="15" hidden="1" customHeight="1" x14ac:dyDescent="0.25">
      <c r="A133" s="197"/>
      <c r="B133" s="232" t="s">
        <v>45</v>
      </c>
      <c r="C133" s="194">
        <v>45548</v>
      </c>
      <c r="D133" s="191">
        <v>24079</v>
      </c>
      <c r="E133" s="195" t="s">
        <v>104</v>
      </c>
      <c r="F133" s="191">
        <v>2409041448</v>
      </c>
      <c r="G133" s="191" t="s">
        <v>64</v>
      </c>
      <c r="H133" s="191" t="s">
        <v>103</v>
      </c>
      <c r="I133" s="191" t="s">
        <v>49</v>
      </c>
      <c r="J133" s="191" t="s">
        <v>46</v>
      </c>
      <c r="K133" s="16" t="s">
        <v>449</v>
      </c>
      <c r="L133" s="194">
        <v>45870</v>
      </c>
      <c r="M133" s="381">
        <f t="shared" si="17"/>
        <v>12</v>
      </c>
      <c r="N133" s="209" t="s">
        <v>49</v>
      </c>
      <c r="O133" s="223">
        <v>21610004</v>
      </c>
      <c r="P133" s="24" t="str">
        <f>VLOOKUP(O133,[1]Feuil2!$A:$M,5,FALSE)</f>
        <v>CUILLERE DAMIER FINITION MIROIR VRAC+GENCOD</v>
      </c>
      <c r="Q133" s="191">
        <v>16320</v>
      </c>
      <c r="R133" s="224">
        <v>0.26</v>
      </c>
      <c r="S133" s="225">
        <f t="shared" ref="S133:S191" si="22">Q133*R133</f>
        <v>4243.2</v>
      </c>
      <c r="T133" s="226">
        <f t="shared" si="19"/>
        <v>128378.288</v>
      </c>
      <c r="U133" s="227"/>
      <c r="V133" s="228">
        <f t="shared" ref="V133:V191" si="23">U133+T133</f>
        <v>128378.288</v>
      </c>
      <c r="W133" s="4">
        <f>VLOOKUP(O133,[1]Feuil2!$A:$M,6,FALSE)</f>
        <v>240</v>
      </c>
      <c r="X133" s="5">
        <f>VLOOKUP(O133,[1]Feuil2!$A:$M,13,FALSE)</f>
        <v>1.0951874999999998E-2</v>
      </c>
      <c r="Y133" s="6">
        <f t="shared" si="20"/>
        <v>0.74472749999999988</v>
      </c>
      <c r="Z133" s="229">
        <f t="shared" ref="Z133:Z191" si="24">SUMIF($E:$E,E133,$Y:$Y)</f>
        <v>50.333925749999999</v>
      </c>
      <c r="AA133" s="23" t="s">
        <v>48</v>
      </c>
      <c r="AB133" s="69" t="s">
        <v>57</v>
      </c>
      <c r="AC133" s="191" t="s">
        <v>55</v>
      </c>
      <c r="AD133" s="21" t="s">
        <v>57</v>
      </c>
      <c r="AE133" s="20">
        <v>45831</v>
      </c>
      <c r="AF133" s="21" t="s">
        <v>327</v>
      </c>
      <c r="AG133" s="21"/>
      <c r="AH133" s="209"/>
      <c r="AI133" s="160">
        <v>45636</v>
      </c>
      <c r="AJ133" s="145">
        <f>DATEDIF(AI133,$AK133,"D")</f>
        <v>236</v>
      </c>
      <c r="AK133" s="100">
        <f>VLOOKUP(AP133,'[3]CONTENEUR PLEIN'!$F:$L,3,FALSE)</f>
        <v>45872</v>
      </c>
      <c r="AL133" s="99">
        <f>VLOOKUP(AP133,'[3]CONTENEUR PLEIN'!$F:$L,5,FALSE)</f>
        <v>45907</v>
      </c>
      <c r="AM133" s="18">
        <f>VLOOKUP(AP133,'[3]CONTENEUR PLEIN'!$F:$L,7,FALSE)</f>
        <v>45918.53125</v>
      </c>
      <c r="AN133" s="191" t="s">
        <v>63</v>
      </c>
      <c r="AO133" s="191" t="s">
        <v>371</v>
      </c>
      <c r="AP133" s="191" t="s">
        <v>372</v>
      </c>
      <c r="AQ133" s="191" t="s">
        <v>374</v>
      </c>
      <c r="AR133" s="191" t="e">
        <f>VLOOKUP(AP133,'[2]CONTENEUR PLEIN'!$F:$L,2,FALSE)</f>
        <v>#N/A</v>
      </c>
      <c r="AS133" s="191" t="s">
        <v>316</v>
      </c>
      <c r="AT133" s="209"/>
      <c r="AU133" s="181"/>
    </row>
    <row r="134" spans="1:47" s="72" customFormat="1" hidden="1" x14ac:dyDescent="0.25">
      <c r="A134" s="197"/>
      <c r="B134" s="232" t="s">
        <v>45</v>
      </c>
      <c r="C134" s="194">
        <v>45548</v>
      </c>
      <c r="D134" s="191">
        <v>24079</v>
      </c>
      <c r="E134" s="195" t="s">
        <v>104</v>
      </c>
      <c r="F134" s="191">
        <v>2409041448</v>
      </c>
      <c r="G134" s="191" t="s">
        <v>64</v>
      </c>
      <c r="H134" s="191" t="s">
        <v>103</v>
      </c>
      <c r="I134" s="191" t="s">
        <v>49</v>
      </c>
      <c r="J134" s="191" t="s">
        <v>46</v>
      </c>
      <c r="K134" s="16" t="s">
        <v>449</v>
      </c>
      <c r="L134" s="194">
        <v>45870</v>
      </c>
      <c r="M134" s="381">
        <f t="shared" si="17"/>
        <v>12</v>
      </c>
      <c r="N134" s="209" t="s">
        <v>49</v>
      </c>
      <c r="O134" s="223">
        <v>21610005</v>
      </c>
      <c r="P134" s="24" t="str">
        <f>VLOOKUP(O134,[1]Feuil2!$A:$M,5,FALSE)</f>
        <v>CAFE DAMIER FINITION MIROIR VRAC+GENCOD</v>
      </c>
      <c r="Q134" s="191">
        <v>36480</v>
      </c>
      <c r="R134" s="224">
        <v>0.21</v>
      </c>
      <c r="S134" s="225">
        <f t="shared" si="22"/>
        <v>7660.7999999999993</v>
      </c>
      <c r="T134" s="226">
        <f t="shared" si="19"/>
        <v>128378.288</v>
      </c>
      <c r="U134" s="227"/>
      <c r="V134" s="228">
        <f t="shared" si="23"/>
        <v>128378.288</v>
      </c>
      <c r="W134" s="4">
        <f>VLOOKUP(O134,[1]Feuil2!$A:$M,6,FALSE)</f>
        <v>240</v>
      </c>
      <c r="X134" s="5">
        <f>VLOOKUP(O134,[1]Feuil2!$A:$M,13,FALSE)</f>
        <v>1.9507500000000001E-2</v>
      </c>
      <c r="Y134" s="6">
        <f t="shared" si="20"/>
        <v>2.9651399999999999</v>
      </c>
      <c r="Z134" s="229">
        <f t="shared" si="24"/>
        <v>50.333925749999999</v>
      </c>
      <c r="AA134" s="69" t="s">
        <v>57</v>
      </c>
      <c r="AB134" s="68" t="s">
        <v>48</v>
      </c>
      <c r="AC134" s="191"/>
      <c r="AD134" s="133" t="s">
        <v>61</v>
      </c>
      <c r="AE134" s="20">
        <v>45834</v>
      </c>
      <c r="AF134" s="21" t="s">
        <v>337</v>
      </c>
      <c r="AG134" s="21"/>
      <c r="AH134" s="209"/>
      <c r="AI134" s="160">
        <v>45636</v>
      </c>
      <c r="AJ134" s="145">
        <f>DATEDIF(AI134,$AK134,"D")</f>
        <v>236</v>
      </c>
      <c r="AK134" s="100">
        <f>VLOOKUP(AP134,'[3]CONTENEUR PLEIN'!$F:$L,3,FALSE)</f>
        <v>45872</v>
      </c>
      <c r="AL134" s="99">
        <f>VLOOKUP(AP134,'[3]CONTENEUR PLEIN'!$F:$L,5,FALSE)</f>
        <v>45907</v>
      </c>
      <c r="AM134" s="18">
        <f>VLOOKUP(AP134,'[3]CONTENEUR PLEIN'!$F:$L,7,FALSE)</f>
        <v>45918.53125</v>
      </c>
      <c r="AN134" s="191" t="s">
        <v>63</v>
      </c>
      <c r="AO134" s="191" t="s">
        <v>371</v>
      </c>
      <c r="AP134" s="191" t="s">
        <v>372</v>
      </c>
      <c r="AQ134" s="191" t="s">
        <v>374</v>
      </c>
      <c r="AR134" s="191" t="e">
        <f>VLOOKUP(AP134,'[2]CONTENEUR PLEIN'!$F:$L,2,FALSE)</f>
        <v>#N/A</v>
      </c>
      <c r="AS134" s="191" t="s">
        <v>316</v>
      </c>
      <c r="AT134" s="209"/>
      <c r="AU134" s="181"/>
    </row>
    <row r="135" spans="1:47" ht="15" hidden="1" customHeight="1" x14ac:dyDescent="0.25">
      <c r="A135" s="71"/>
      <c r="B135" s="29" t="s">
        <v>45</v>
      </c>
      <c r="C135" s="48">
        <v>45548</v>
      </c>
      <c r="D135" s="49">
        <v>24079</v>
      </c>
      <c r="E135" s="50" t="s">
        <v>104</v>
      </c>
      <c r="F135" s="49">
        <v>2409041448</v>
      </c>
      <c r="G135" s="49" t="s">
        <v>64</v>
      </c>
      <c r="H135" s="49" t="s">
        <v>103</v>
      </c>
      <c r="I135" s="49" t="s">
        <v>49</v>
      </c>
      <c r="J135" s="49" t="s">
        <v>46</v>
      </c>
      <c r="K135" s="262" t="s">
        <v>71</v>
      </c>
      <c r="L135" s="49" t="s">
        <v>47</v>
      </c>
      <c r="M135" s="382" t="e">
        <f t="shared" si="17"/>
        <v>#VALUE!</v>
      </c>
      <c r="N135" s="57" t="s">
        <v>62</v>
      </c>
      <c r="O135" s="51">
        <v>21850001</v>
      </c>
      <c r="P135" s="30" t="str">
        <f>VLOOKUP(O135,[1]Feuil2!$A:$M,5,FALSE)</f>
        <v>COUTEAU REGAL EN BOITE PEGBOARDABLE</v>
      </c>
      <c r="Q135" s="49">
        <v>5040</v>
      </c>
      <c r="R135" s="52">
        <v>0.378</v>
      </c>
      <c r="S135" s="53">
        <f t="shared" si="22"/>
        <v>1905.1200000000001</v>
      </c>
      <c r="T135" s="31">
        <f t="shared" si="19"/>
        <v>128378.288</v>
      </c>
      <c r="U135" s="140"/>
      <c r="V135" s="32">
        <f t="shared" si="23"/>
        <v>128378.288</v>
      </c>
      <c r="W135" s="33">
        <f>VLOOKUP(O135,[1]Feuil2!$A:$M,6,FALSE)</f>
        <v>72</v>
      </c>
      <c r="X135" s="34">
        <f>VLOOKUP(O135,[1]Feuil2!$A:$M,13,FALSE)</f>
        <v>7.9895000000000001E-3</v>
      </c>
      <c r="Y135" s="35">
        <f t="shared" si="20"/>
        <v>0.55926500000000001</v>
      </c>
      <c r="Z135" s="36">
        <f t="shared" si="24"/>
        <v>50.333925749999999</v>
      </c>
      <c r="AA135" s="235" t="s">
        <v>61</v>
      </c>
      <c r="AB135" s="235" t="s">
        <v>61</v>
      </c>
      <c r="AC135" s="49"/>
      <c r="AD135" s="55" t="s">
        <v>61</v>
      </c>
      <c r="AE135" s="48"/>
      <c r="AF135" s="55"/>
      <c r="AG135" s="55"/>
      <c r="AH135" s="57"/>
      <c r="AI135" s="182">
        <v>45636</v>
      </c>
      <c r="AJ135" s="137" t="s">
        <v>49</v>
      </c>
      <c r="AK135" s="56" t="s">
        <v>46</v>
      </c>
      <c r="AL135" s="37" t="s">
        <v>46</v>
      </c>
      <c r="AM135" s="37" t="s">
        <v>46</v>
      </c>
      <c r="AN135" s="49" t="s">
        <v>63</v>
      </c>
      <c r="AO135" s="49"/>
      <c r="AP135" s="49"/>
      <c r="AQ135" s="49"/>
      <c r="AR135" s="49" t="e">
        <f>VLOOKUP(AP135,'[2]CONTENEUR PLEIN'!$F:$L,2,FALSE)</f>
        <v>#N/A</v>
      </c>
      <c r="AS135" s="49"/>
      <c r="AT135" s="57"/>
      <c r="AU135" s="72"/>
    </row>
    <row r="136" spans="1:47" s="72" customFormat="1" hidden="1" x14ac:dyDescent="0.25">
      <c r="A136" s="71"/>
      <c r="B136" s="29" t="s">
        <v>45</v>
      </c>
      <c r="C136" s="48">
        <v>45548</v>
      </c>
      <c r="D136" s="49">
        <v>24079</v>
      </c>
      <c r="E136" s="50" t="s">
        <v>104</v>
      </c>
      <c r="F136" s="49">
        <v>2409041448</v>
      </c>
      <c r="G136" s="49" t="s">
        <v>64</v>
      </c>
      <c r="H136" s="49" t="s">
        <v>103</v>
      </c>
      <c r="I136" s="49" t="s">
        <v>49</v>
      </c>
      <c r="J136" s="49" t="s">
        <v>46</v>
      </c>
      <c r="K136" s="262" t="s">
        <v>71</v>
      </c>
      <c r="L136" s="49" t="s">
        <v>47</v>
      </c>
      <c r="M136" s="382" t="e">
        <f t="shared" ref="M136:M191" si="25">DATEDIF(C136,AM136,"M")</f>
        <v>#VALUE!</v>
      </c>
      <c r="N136" s="57" t="s">
        <v>62</v>
      </c>
      <c r="O136" s="51">
        <v>21850004</v>
      </c>
      <c r="P136" s="30" t="str">
        <f>VLOOKUP(O136,[1]Feuil2!$A:$M,5,FALSE)</f>
        <v>CAFE REGAL EN BOITE PEGBOARDABLE</v>
      </c>
      <c r="Q136" s="49">
        <v>5040</v>
      </c>
      <c r="R136" s="52">
        <v>0.22500000000000001</v>
      </c>
      <c r="S136" s="53">
        <f t="shared" si="22"/>
        <v>1134</v>
      </c>
      <c r="T136" s="31">
        <f t="shared" si="19"/>
        <v>128378.288</v>
      </c>
      <c r="U136" s="140"/>
      <c r="V136" s="32">
        <f t="shared" si="23"/>
        <v>128378.288</v>
      </c>
      <c r="W136" s="33">
        <f>VLOOKUP(O136,[1]Feuil2!$A:$M,6,FALSE)</f>
        <v>72</v>
      </c>
      <c r="X136" s="34">
        <f>VLOOKUP(O136,[1]Feuil2!$A:$M,13,FALSE)</f>
        <v>5.8519999999999996E-3</v>
      </c>
      <c r="Y136" s="35">
        <f t="shared" si="20"/>
        <v>0.40963999999999995</v>
      </c>
      <c r="Z136" s="36">
        <f t="shared" si="24"/>
        <v>50.333925749999999</v>
      </c>
      <c r="AA136" s="235" t="s">
        <v>61</v>
      </c>
      <c r="AB136" s="55" t="s">
        <v>61</v>
      </c>
      <c r="AC136" s="49"/>
      <c r="AD136" s="55" t="s">
        <v>61</v>
      </c>
      <c r="AE136" s="48"/>
      <c r="AF136" s="55"/>
      <c r="AG136" s="55"/>
      <c r="AH136" s="57"/>
      <c r="AI136" s="182">
        <v>45636</v>
      </c>
      <c r="AJ136" s="137" t="s">
        <v>49</v>
      </c>
      <c r="AK136" s="56" t="s">
        <v>46</v>
      </c>
      <c r="AL136" s="37" t="s">
        <v>46</v>
      </c>
      <c r="AM136" s="37" t="s">
        <v>46</v>
      </c>
      <c r="AN136" s="49" t="s">
        <v>63</v>
      </c>
      <c r="AO136" s="49"/>
      <c r="AP136" s="49"/>
      <c r="AQ136" s="49"/>
      <c r="AR136" s="49" t="e">
        <f>VLOOKUP(AP136,'[2]CONTENEUR PLEIN'!$F:$L,2,FALSE)</f>
        <v>#N/A</v>
      </c>
      <c r="AS136" s="49"/>
      <c r="AT136" s="57"/>
    </row>
    <row r="137" spans="1:47" ht="15" hidden="1" customHeight="1" x14ac:dyDescent="0.25">
      <c r="A137" s="71"/>
      <c r="B137" s="29" t="s">
        <v>45</v>
      </c>
      <c r="C137" s="48">
        <v>45548</v>
      </c>
      <c r="D137" s="49">
        <v>24079</v>
      </c>
      <c r="E137" s="50" t="s">
        <v>104</v>
      </c>
      <c r="F137" s="49">
        <v>2409041448</v>
      </c>
      <c r="G137" s="49" t="s">
        <v>64</v>
      </c>
      <c r="H137" s="49" t="s">
        <v>103</v>
      </c>
      <c r="I137" s="49" t="s">
        <v>49</v>
      </c>
      <c r="J137" s="49" t="s">
        <v>46</v>
      </c>
      <c r="K137" s="107" t="s">
        <v>71</v>
      </c>
      <c r="L137" s="49" t="s">
        <v>47</v>
      </c>
      <c r="M137" s="382" t="e">
        <f t="shared" si="25"/>
        <v>#VALUE!</v>
      </c>
      <c r="N137" s="57" t="s">
        <v>49</v>
      </c>
      <c r="O137" s="51">
        <v>21870001</v>
      </c>
      <c r="P137" s="30" t="str">
        <f>VLOOKUP(O137,[1]Feuil2!$A:$M,5,FALSE)</f>
        <v>COUTEAU BUFFET EN BOITE BLANCHE</v>
      </c>
      <c r="Q137" s="49">
        <v>4248</v>
      </c>
      <c r="R137" s="52">
        <v>0</v>
      </c>
      <c r="S137" s="53">
        <f t="shared" si="22"/>
        <v>0</v>
      </c>
      <c r="T137" s="31">
        <f t="shared" si="19"/>
        <v>128378.288</v>
      </c>
      <c r="U137" s="140"/>
      <c r="V137" s="32">
        <f t="shared" si="23"/>
        <v>128378.288</v>
      </c>
      <c r="W137" s="33">
        <f>VLOOKUP(O137,[1]Feuil2!$A:$M,6,FALSE)</f>
        <v>72</v>
      </c>
      <c r="X137" s="34">
        <f>VLOOKUP(O137,[1]Feuil2!$A:$M,13,FALSE)</f>
        <v>1.029E-3</v>
      </c>
      <c r="Y137" s="35">
        <f t="shared" si="20"/>
        <v>6.0711000000000001E-2</v>
      </c>
      <c r="Z137" s="36">
        <f t="shared" si="24"/>
        <v>50.333925749999999</v>
      </c>
      <c r="AA137" s="235" t="s">
        <v>61</v>
      </c>
      <c r="AB137" s="55" t="s">
        <v>61</v>
      </c>
      <c r="AC137" s="49"/>
      <c r="AD137" s="55" t="s">
        <v>61</v>
      </c>
      <c r="AE137" s="48"/>
      <c r="AF137" s="55"/>
      <c r="AG137" s="55"/>
      <c r="AH137" s="57"/>
      <c r="AI137" s="136">
        <v>45636</v>
      </c>
      <c r="AJ137" s="137" t="s">
        <v>49</v>
      </c>
      <c r="AK137" s="56" t="s">
        <v>46</v>
      </c>
      <c r="AL137" s="37" t="s">
        <v>46</v>
      </c>
      <c r="AM137" s="37" t="s">
        <v>46</v>
      </c>
      <c r="AN137" s="49" t="s">
        <v>63</v>
      </c>
      <c r="AO137" s="37" t="s">
        <v>46</v>
      </c>
      <c r="AP137" s="37" t="s">
        <v>46</v>
      </c>
      <c r="AQ137" s="37" t="s">
        <v>46</v>
      </c>
      <c r="AR137" s="37" t="s">
        <v>46</v>
      </c>
      <c r="AS137" s="37" t="s">
        <v>46</v>
      </c>
      <c r="AT137" s="39" t="s">
        <v>46</v>
      </c>
      <c r="AU137" s="72"/>
    </row>
    <row r="138" spans="1:47" s="72" customFormat="1" hidden="1" x14ac:dyDescent="0.25">
      <c r="A138" s="71"/>
      <c r="B138" s="88" t="s">
        <v>45</v>
      </c>
      <c r="C138" s="89">
        <v>45548</v>
      </c>
      <c r="D138" s="90">
        <v>24079</v>
      </c>
      <c r="E138" s="91" t="s">
        <v>104</v>
      </c>
      <c r="F138" s="90">
        <v>2409041448</v>
      </c>
      <c r="G138" s="90" t="s">
        <v>64</v>
      </c>
      <c r="H138" s="90" t="s">
        <v>103</v>
      </c>
      <c r="I138" s="90" t="s">
        <v>49</v>
      </c>
      <c r="J138" s="90" t="s">
        <v>46</v>
      </c>
      <c r="K138" s="16" t="s">
        <v>862</v>
      </c>
      <c r="L138" s="89">
        <v>45995</v>
      </c>
      <c r="M138" s="381">
        <f t="shared" si="25"/>
        <v>16</v>
      </c>
      <c r="N138" s="98" t="s">
        <v>49</v>
      </c>
      <c r="O138" s="92">
        <v>21870004</v>
      </c>
      <c r="P138" s="24" t="str">
        <f>VLOOKUP(O138,[1]Feuil2!$A:$M,5,FALSE)</f>
        <v>CAFE BUFFET EN BOITE BLANCHE</v>
      </c>
      <c r="Q138" s="90">
        <v>29400</v>
      </c>
      <c r="R138" s="93">
        <v>6.2E-2</v>
      </c>
      <c r="S138" s="94">
        <f t="shared" si="22"/>
        <v>1822.8</v>
      </c>
      <c r="T138" s="95">
        <f t="shared" si="19"/>
        <v>128378.288</v>
      </c>
      <c r="U138" s="138"/>
      <c r="V138" s="96">
        <f t="shared" si="23"/>
        <v>128378.288</v>
      </c>
      <c r="W138" s="4">
        <f>VLOOKUP(O138,[1]Feuil2!$A:$M,6,FALSE)</f>
        <v>300</v>
      </c>
      <c r="X138" s="5">
        <f>VLOOKUP(O138,[1]Feuil2!$A:$M,13,FALSE)</f>
        <v>3.1679999999999998E-3</v>
      </c>
      <c r="Y138" s="6">
        <f t="shared" si="20"/>
        <v>0.31046399999999996</v>
      </c>
      <c r="Z138" s="97">
        <f t="shared" si="24"/>
        <v>50.333925749999999</v>
      </c>
      <c r="AA138" s="43" t="s">
        <v>57</v>
      </c>
      <c r="AB138" s="67" t="s">
        <v>48</v>
      </c>
      <c r="AC138" s="90"/>
      <c r="AD138" s="133" t="s">
        <v>61</v>
      </c>
      <c r="AE138" s="20">
        <v>45950</v>
      </c>
      <c r="AF138" s="21" t="s">
        <v>553</v>
      </c>
      <c r="AG138" s="21" t="s">
        <v>57</v>
      </c>
      <c r="AH138" s="503" t="s">
        <v>48</v>
      </c>
      <c r="AI138" s="160">
        <v>45636</v>
      </c>
      <c r="AJ138" s="145">
        <f>DATEDIF(AI138,AK138,"D")</f>
        <v>348</v>
      </c>
      <c r="AK138" s="100">
        <f>VLOOKUP(AP138,'[2]CONTENEUR PLEIN'!$F:$L,3,FALSE)</f>
        <v>45984</v>
      </c>
      <c r="AL138" s="99">
        <f>VLOOKUP(AP138,'[2]CONTENEUR PLEIN'!$F:$L,5,FALSE)</f>
        <v>46030</v>
      </c>
      <c r="AM138" s="18">
        <f>VLOOKUP(AP138,'[2]CONTENEUR PLEIN'!$F:$L,7,FALSE)</f>
        <v>46036.333333333336</v>
      </c>
      <c r="AN138" s="90" t="s">
        <v>63</v>
      </c>
      <c r="AO138" s="351" t="s">
        <v>577</v>
      </c>
      <c r="AP138" s="351" t="s">
        <v>578</v>
      </c>
      <c r="AQ138" s="351" t="s">
        <v>580</v>
      </c>
      <c r="AR138" s="90" t="str">
        <f>VLOOKUP(AP138,'[2]CONTENEUR PLEIN'!$F:$L,2,FALSE)</f>
        <v>CMA CGM GRACE BAY</v>
      </c>
      <c r="AS138" s="351" t="s">
        <v>316</v>
      </c>
      <c r="AT138" s="98"/>
    </row>
    <row r="139" spans="1:47" hidden="1" x14ac:dyDescent="0.25">
      <c r="A139" s="71"/>
      <c r="B139" s="29" t="s">
        <v>45</v>
      </c>
      <c r="C139" s="48">
        <v>45548</v>
      </c>
      <c r="D139" s="49">
        <v>24079</v>
      </c>
      <c r="E139" s="50" t="s">
        <v>104</v>
      </c>
      <c r="F139" s="49">
        <v>2409041448</v>
      </c>
      <c r="G139" s="49" t="s">
        <v>64</v>
      </c>
      <c r="H139" s="49" t="s">
        <v>103</v>
      </c>
      <c r="I139" s="49" t="s">
        <v>49</v>
      </c>
      <c r="J139" s="49" t="s">
        <v>46</v>
      </c>
      <c r="K139" s="107" t="s">
        <v>71</v>
      </c>
      <c r="L139" s="49" t="s">
        <v>47</v>
      </c>
      <c r="M139" s="382" t="e">
        <f t="shared" si="25"/>
        <v>#VALUE!</v>
      </c>
      <c r="N139" s="57" t="s">
        <v>49</v>
      </c>
      <c r="O139" s="51">
        <v>21870006</v>
      </c>
      <c r="P139" s="30" t="str">
        <f>VLOOKUP(O139,[1]Feuil2!$A:$M,5,FALSE)</f>
        <v>MAZAGRAN BUFFET EN BOITE BLANCHE</v>
      </c>
      <c r="Q139" s="49">
        <v>21750</v>
      </c>
      <c r="R139" s="52">
        <v>0</v>
      </c>
      <c r="S139" s="53">
        <f t="shared" si="22"/>
        <v>0</v>
      </c>
      <c r="T139" s="31">
        <f t="shared" si="19"/>
        <v>128378.288</v>
      </c>
      <c r="U139" s="140"/>
      <c r="V139" s="32">
        <f t="shared" si="23"/>
        <v>128378.288</v>
      </c>
      <c r="W139" s="33">
        <f>VLOOKUP(O139,[1]Feuil2!$A:$M,6,FALSE)</f>
        <v>250</v>
      </c>
      <c r="X139" s="34">
        <f>VLOOKUP(O139,[1]Feuil2!$A:$M,13,FALSE)</f>
        <v>8.6399999999999984E-3</v>
      </c>
      <c r="Y139" s="35">
        <f t="shared" si="20"/>
        <v>0.7516799999999999</v>
      </c>
      <c r="Z139" s="36">
        <f t="shared" si="24"/>
        <v>50.333925749999999</v>
      </c>
      <c r="AA139" s="235" t="s">
        <v>61</v>
      </c>
      <c r="AB139" s="55" t="s">
        <v>61</v>
      </c>
      <c r="AC139" s="49"/>
      <c r="AD139" s="55" t="s">
        <v>61</v>
      </c>
      <c r="AE139" s="48"/>
      <c r="AF139" s="55"/>
      <c r="AG139" s="55"/>
      <c r="AH139" s="57"/>
      <c r="AI139" s="136">
        <v>45636</v>
      </c>
      <c r="AJ139" s="137" t="s">
        <v>49</v>
      </c>
      <c r="AK139" s="56" t="s">
        <v>46</v>
      </c>
      <c r="AL139" s="37" t="s">
        <v>46</v>
      </c>
      <c r="AM139" s="37" t="s">
        <v>46</v>
      </c>
      <c r="AN139" s="49" t="s">
        <v>63</v>
      </c>
      <c r="AO139" s="37" t="s">
        <v>46</v>
      </c>
      <c r="AP139" s="37" t="s">
        <v>46</v>
      </c>
      <c r="AQ139" s="37" t="s">
        <v>46</v>
      </c>
      <c r="AR139" s="37" t="s">
        <v>46</v>
      </c>
      <c r="AS139" s="37" t="s">
        <v>46</v>
      </c>
      <c r="AT139" s="39" t="s">
        <v>46</v>
      </c>
      <c r="AU139" s="72"/>
    </row>
    <row r="140" spans="1:47" s="72" customFormat="1" hidden="1" x14ac:dyDescent="0.25">
      <c r="A140" s="71"/>
      <c r="B140" s="88" t="s">
        <v>45</v>
      </c>
      <c r="C140" s="89">
        <v>45548</v>
      </c>
      <c r="D140" s="90">
        <v>24079</v>
      </c>
      <c r="E140" s="91" t="s">
        <v>104</v>
      </c>
      <c r="F140" s="90">
        <v>2409041448</v>
      </c>
      <c r="G140" s="90" t="s">
        <v>64</v>
      </c>
      <c r="H140" s="90" t="s">
        <v>103</v>
      </c>
      <c r="I140" s="90" t="s">
        <v>49</v>
      </c>
      <c r="J140" s="106" t="s">
        <v>81</v>
      </c>
      <c r="K140" s="16" t="s">
        <v>309</v>
      </c>
      <c r="L140" s="89">
        <v>45770</v>
      </c>
      <c r="M140" s="381">
        <f t="shared" si="25"/>
        <v>9</v>
      </c>
      <c r="N140" s="98" t="s">
        <v>62</v>
      </c>
      <c r="O140" s="92">
        <v>21960001</v>
      </c>
      <c r="P140" s="24" t="str">
        <f>VLOOKUP(O140,[1]Feuil2!$A:$M,5,FALSE)</f>
        <v>M24 GALAXY EN BOITE CARREFOUR HOME</v>
      </c>
      <c r="Q140" s="90">
        <f>5502-1977-3426</f>
        <v>99</v>
      </c>
      <c r="R140" s="93">
        <v>3.95</v>
      </c>
      <c r="S140" s="94">
        <f t="shared" si="22"/>
        <v>391.05</v>
      </c>
      <c r="T140" s="95">
        <f t="shared" si="19"/>
        <v>128378.288</v>
      </c>
      <c r="U140" s="138"/>
      <c r="V140" s="96">
        <f t="shared" si="23"/>
        <v>128378.288</v>
      </c>
      <c r="W140" s="4">
        <f>VLOOKUP(O140,[1]Feuil2!$A:$M,6,FALSE)</f>
        <v>3</v>
      </c>
      <c r="X140" s="5">
        <f>VLOOKUP(O140,[1]Feuil2!$A:$M,13,FALSE)</f>
        <v>1.0005E-2</v>
      </c>
      <c r="Y140" s="6">
        <f t="shared" si="20"/>
        <v>0.33016499999999999</v>
      </c>
      <c r="Z140" s="97">
        <f t="shared" si="24"/>
        <v>50.333925749999999</v>
      </c>
      <c r="AA140" s="23" t="s">
        <v>48</v>
      </c>
      <c r="AB140" s="21" t="s">
        <v>57</v>
      </c>
      <c r="AC140" s="90" t="s">
        <v>55</v>
      </c>
      <c r="AD140" s="21" t="s">
        <v>57</v>
      </c>
      <c r="AE140" s="20">
        <v>45674</v>
      </c>
      <c r="AF140" s="21" t="s">
        <v>140</v>
      </c>
      <c r="AG140" s="21"/>
      <c r="AH140" s="98"/>
      <c r="AI140" s="135">
        <v>45636</v>
      </c>
      <c r="AJ140" s="145">
        <f>DATEDIF(AI140,$AK140,"D")</f>
        <v>128</v>
      </c>
      <c r="AK140" s="100">
        <f>VLOOKUP(AP140,'[3]CONTENEUR PLEIN'!$F:$L,3,FALSE)</f>
        <v>45764</v>
      </c>
      <c r="AL140" s="99">
        <f>VLOOKUP(AP140,'[3]CONTENEUR PLEIN'!$F:$L,5,FALSE)</f>
        <v>45812</v>
      </c>
      <c r="AM140" s="18">
        <f>VLOOKUP(AP140,'[3]CONTENEUR PLEIN'!$F:$L,7,FALSE)</f>
        <v>45824.53125</v>
      </c>
      <c r="AN140" s="90" t="s">
        <v>63</v>
      </c>
      <c r="AO140" s="129" t="s">
        <v>212</v>
      </c>
      <c r="AP140" s="129" t="s">
        <v>213</v>
      </c>
      <c r="AQ140" s="129" t="s">
        <v>259</v>
      </c>
      <c r="AR140" s="129" t="e">
        <f>VLOOKUP(AP140,'[2]CONTENEUR PLEIN'!$F:$L,2,FALSE)</f>
        <v>#N/A</v>
      </c>
      <c r="AS140" s="129" t="s">
        <v>51</v>
      </c>
      <c r="AT140" s="98"/>
    </row>
    <row r="141" spans="1:47" ht="15" hidden="1" customHeight="1" x14ac:dyDescent="0.25">
      <c r="A141" s="71"/>
      <c r="B141" s="88" t="s">
        <v>45</v>
      </c>
      <c r="C141" s="89">
        <v>45548</v>
      </c>
      <c r="D141" s="90">
        <v>24079</v>
      </c>
      <c r="E141" s="91" t="s">
        <v>104</v>
      </c>
      <c r="F141" s="90">
        <v>2409041448</v>
      </c>
      <c r="G141" s="90" t="s">
        <v>64</v>
      </c>
      <c r="H141" s="90" t="s">
        <v>103</v>
      </c>
      <c r="I141" s="90" t="s">
        <v>49</v>
      </c>
      <c r="J141" s="106" t="s">
        <v>81</v>
      </c>
      <c r="K141" s="16" t="s">
        <v>201</v>
      </c>
      <c r="L141" s="89">
        <v>45700</v>
      </c>
      <c r="M141" s="381">
        <f t="shared" si="25"/>
        <v>6</v>
      </c>
      <c r="N141" s="98" t="s">
        <v>62</v>
      </c>
      <c r="O141" s="92">
        <v>21960001</v>
      </c>
      <c r="P141" s="24" t="str">
        <f>VLOOKUP(O141,[1]Feuil2!$A:$M,5,FALSE)</f>
        <v>M24 GALAXY EN BOITE CARREFOUR HOME</v>
      </c>
      <c r="Q141" s="90">
        <v>3426</v>
      </c>
      <c r="R141" s="93">
        <v>3.95</v>
      </c>
      <c r="S141" s="94">
        <f t="shared" si="22"/>
        <v>13532.7</v>
      </c>
      <c r="T141" s="95">
        <f t="shared" si="19"/>
        <v>128378.288</v>
      </c>
      <c r="U141" s="138"/>
      <c r="V141" s="96">
        <f t="shared" si="23"/>
        <v>128378.288</v>
      </c>
      <c r="W141" s="4">
        <f>VLOOKUP(O141,[1]Feuil2!$A:$M,6,FALSE)</f>
        <v>3</v>
      </c>
      <c r="X141" s="5">
        <f>VLOOKUP(O141,[1]Feuil2!$A:$M,13,FALSE)</f>
        <v>1.0005E-2</v>
      </c>
      <c r="Y141" s="6">
        <f t="shared" si="20"/>
        <v>11.42571</v>
      </c>
      <c r="Z141" s="97">
        <f t="shared" si="24"/>
        <v>50.333925749999999</v>
      </c>
      <c r="AA141" s="23" t="s">
        <v>48</v>
      </c>
      <c r="AB141" s="21" t="s">
        <v>57</v>
      </c>
      <c r="AC141" s="90" t="s">
        <v>55</v>
      </c>
      <c r="AD141" s="21" t="s">
        <v>57</v>
      </c>
      <c r="AE141" s="20">
        <v>45674</v>
      </c>
      <c r="AF141" s="21" t="s">
        <v>140</v>
      </c>
      <c r="AG141" s="21"/>
      <c r="AH141" s="98"/>
      <c r="AI141" s="135">
        <v>45636</v>
      </c>
      <c r="AJ141" s="145">
        <f>DATEDIF(AI141,$AK141,"D")</f>
        <v>53</v>
      </c>
      <c r="AK141" s="100">
        <f>VLOOKUP(AP141,'[3]CONTENEUR PLEIN'!$F:$L,3,FALSE)</f>
        <v>45689</v>
      </c>
      <c r="AL141" s="99">
        <f>VLOOKUP(AP141,'[3]CONTENEUR PLEIN'!$F:$L,5,FALSE)</f>
        <v>45737</v>
      </c>
      <c r="AM141" s="18">
        <f>VLOOKUP(AP141,'[3]CONTENEUR PLEIN'!$F:$L,7,FALSE)</f>
        <v>45754.333333333336</v>
      </c>
      <c r="AN141" s="90" t="s">
        <v>63</v>
      </c>
      <c r="AO141" s="106" t="s">
        <v>141</v>
      </c>
      <c r="AP141" s="125" t="s">
        <v>142</v>
      </c>
      <c r="AQ141" s="125"/>
      <c r="AR141" s="118" t="e">
        <f>VLOOKUP(AP141,'[2]CONTENEUR PLEIN'!$F:$L,2,FALSE)</f>
        <v>#N/A</v>
      </c>
      <c r="AS141" s="106" t="s">
        <v>51</v>
      </c>
      <c r="AT141" s="98"/>
      <c r="AU141" s="72"/>
    </row>
    <row r="142" spans="1:47" ht="15" hidden="1" customHeight="1" x14ac:dyDescent="0.25">
      <c r="A142" s="71"/>
      <c r="B142" s="88" t="s">
        <v>45</v>
      </c>
      <c r="C142" s="89">
        <v>45548</v>
      </c>
      <c r="D142" s="90">
        <v>24079</v>
      </c>
      <c r="E142" s="91" t="s">
        <v>104</v>
      </c>
      <c r="F142" s="90">
        <v>2409041448</v>
      </c>
      <c r="G142" s="90" t="s">
        <v>64</v>
      </c>
      <c r="H142" s="90" t="s">
        <v>103</v>
      </c>
      <c r="I142" s="90" t="s">
        <v>49</v>
      </c>
      <c r="J142" s="8" t="s">
        <v>66</v>
      </c>
      <c r="K142" s="16" t="s">
        <v>176</v>
      </c>
      <c r="L142" s="111">
        <v>45692</v>
      </c>
      <c r="M142" s="381">
        <f t="shared" si="25"/>
        <v>5</v>
      </c>
      <c r="N142" s="98" t="s">
        <v>62</v>
      </c>
      <c r="O142" s="92">
        <v>21960001</v>
      </c>
      <c r="P142" s="24" t="str">
        <f>VLOOKUP(O142,[1]Feuil2!$A:$M,5,FALSE)</f>
        <v>M24 GALAXY EN BOITE CARREFOUR HOME</v>
      </c>
      <c r="Q142" s="90">
        <v>1977</v>
      </c>
      <c r="R142" s="93">
        <v>3.95</v>
      </c>
      <c r="S142" s="94">
        <f t="shared" si="22"/>
        <v>7809.1500000000005</v>
      </c>
      <c r="T142" s="95">
        <f t="shared" si="19"/>
        <v>128378.288</v>
      </c>
      <c r="U142" s="138"/>
      <c r="V142" s="96">
        <f t="shared" si="23"/>
        <v>128378.288</v>
      </c>
      <c r="W142" s="4">
        <f>VLOOKUP(O142,[1]Feuil2!$A:$M,6,FALSE)</f>
        <v>3</v>
      </c>
      <c r="X142" s="5">
        <f>VLOOKUP(O142,[1]Feuil2!$A:$M,13,FALSE)</f>
        <v>1.0005E-2</v>
      </c>
      <c r="Y142" s="6">
        <f t="shared" ref="Y142:Y173" si="26">(Q142/W142)*X142</f>
        <v>6.5932950000000003</v>
      </c>
      <c r="Z142" s="97">
        <f t="shared" si="24"/>
        <v>50.333925749999999</v>
      </c>
      <c r="AA142" s="23" t="s">
        <v>48</v>
      </c>
      <c r="AB142" s="21" t="s">
        <v>57</v>
      </c>
      <c r="AC142" s="90" t="s">
        <v>55</v>
      </c>
      <c r="AD142" s="21" t="s">
        <v>57</v>
      </c>
      <c r="AE142" s="20">
        <v>45663</v>
      </c>
      <c r="AF142" s="21" t="s">
        <v>129</v>
      </c>
      <c r="AG142" s="21"/>
      <c r="AH142" s="98"/>
      <c r="AI142" s="135">
        <v>45636</v>
      </c>
      <c r="AJ142" s="145">
        <f>DATEDIF(AI142,$AK142,"D")</f>
        <v>37</v>
      </c>
      <c r="AK142" s="100">
        <f>VLOOKUP(AP142,'[3]CONTENEUR PLEIN'!$F:$L,3,FALSE)</f>
        <v>45673</v>
      </c>
      <c r="AL142" s="99">
        <f>VLOOKUP(AP142,'[3]CONTENEUR PLEIN'!$F:$L,5,FALSE)</f>
        <v>45717</v>
      </c>
      <c r="AM142" s="18">
        <f>VLOOKUP(AP142,'[3]CONTENEUR PLEIN'!$F:$L,7,FALSE)</f>
        <v>45727.53125</v>
      </c>
      <c r="AN142" s="90" t="s">
        <v>63</v>
      </c>
      <c r="AO142" s="90" t="s">
        <v>132</v>
      </c>
      <c r="AP142" s="90" t="s">
        <v>133</v>
      </c>
      <c r="AQ142" s="90"/>
      <c r="AR142" s="90" t="e">
        <f>VLOOKUP(AP142,'[2]CONTENEUR PLEIN'!$F:$L,2,FALSE)</f>
        <v>#N/A</v>
      </c>
      <c r="AS142" s="90" t="s">
        <v>51</v>
      </c>
      <c r="AT142" s="44" t="s">
        <v>205</v>
      </c>
      <c r="AU142" s="72"/>
    </row>
    <row r="143" spans="1:47" s="72" customFormat="1" ht="15" hidden="1" customHeight="1" x14ac:dyDescent="0.25">
      <c r="A143" s="71"/>
      <c r="B143" s="88" t="s">
        <v>45</v>
      </c>
      <c r="C143" s="89">
        <v>45547</v>
      </c>
      <c r="D143" s="90">
        <v>24078</v>
      </c>
      <c r="E143" s="91" t="s">
        <v>111</v>
      </c>
      <c r="F143" s="90">
        <v>2409121448</v>
      </c>
      <c r="G143" s="90" t="s">
        <v>74</v>
      </c>
      <c r="H143" s="90" t="s">
        <v>67</v>
      </c>
      <c r="I143" s="90" t="s">
        <v>49</v>
      </c>
      <c r="J143" s="8" t="s">
        <v>66</v>
      </c>
      <c r="K143" s="16" t="s">
        <v>349</v>
      </c>
      <c r="L143" s="89">
        <v>45790</v>
      </c>
      <c r="M143" s="381">
        <f t="shared" si="25"/>
        <v>9</v>
      </c>
      <c r="N143" s="98" t="s">
        <v>62</v>
      </c>
      <c r="O143" s="92">
        <v>32000001</v>
      </c>
      <c r="P143" s="24" t="str">
        <f>VLOOKUP(O143,[1]Feuil2!$A:$M,5,FALSE)</f>
        <v>M24 PASSION NOIR 6C BOITE LAGUIOLE HERITAGE</v>
      </c>
      <c r="Q143" s="90">
        <f>6000-3600</f>
        <v>2400</v>
      </c>
      <c r="R143" s="93">
        <v>7.23</v>
      </c>
      <c r="S143" s="94">
        <f t="shared" si="22"/>
        <v>17352</v>
      </c>
      <c r="T143" s="95">
        <f t="shared" si="19"/>
        <v>279786.72000000003</v>
      </c>
      <c r="U143" s="138"/>
      <c r="V143" s="96">
        <f t="shared" si="23"/>
        <v>279786.72000000003</v>
      </c>
      <c r="W143" s="4">
        <f>VLOOKUP(O143,[1]Feuil2!$A:$M,6,FALSE)</f>
        <v>6</v>
      </c>
      <c r="X143" s="5">
        <f>VLOOKUP(O143,[1]Feuil2!$A:$M,13,FALSE)</f>
        <v>2.3789999999999999E-2</v>
      </c>
      <c r="Y143" s="6">
        <f t="shared" si="26"/>
        <v>9.516</v>
      </c>
      <c r="Z143" s="97">
        <f t="shared" si="24"/>
        <v>143.77948600000005</v>
      </c>
      <c r="AA143" s="69" t="s">
        <v>57</v>
      </c>
      <c r="AB143" s="24" t="s">
        <v>48</v>
      </c>
      <c r="AC143" s="125" t="s">
        <v>55</v>
      </c>
      <c r="AD143" s="21" t="s">
        <v>57</v>
      </c>
      <c r="AE143" s="20">
        <v>45768</v>
      </c>
      <c r="AF143" s="47" t="s">
        <v>218</v>
      </c>
      <c r="AG143" s="21" t="s">
        <v>57</v>
      </c>
      <c r="AH143" s="98"/>
      <c r="AI143" s="135">
        <v>45797</v>
      </c>
      <c r="AJ143" s="145" t="s">
        <v>49</v>
      </c>
      <c r="AK143" s="100">
        <f>VLOOKUP(AP143,'[3]CONTENEUR PLEIN'!$F:$L,3,FALSE)</f>
        <v>45788</v>
      </c>
      <c r="AL143" s="99">
        <f>VLOOKUP(AP143,'[3]CONTENEUR PLEIN'!$F:$L,5,FALSE)</f>
        <v>45834</v>
      </c>
      <c r="AM143" s="18">
        <f>VLOOKUP(AP143,'[3]CONTENEUR PLEIN'!$F:$L,7,FALSE)</f>
        <v>45845.291666666664</v>
      </c>
      <c r="AN143" s="90" t="s">
        <v>63</v>
      </c>
      <c r="AO143" s="129" t="s">
        <v>247</v>
      </c>
      <c r="AP143" s="129" t="s">
        <v>248</v>
      </c>
      <c r="AQ143" s="129" t="s">
        <v>262</v>
      </c>
      <c r="AR143" s="129" t="e">
        <f>VLOOKUP(AP143,'[2]CONTENEUR PLEIN'!$F:$L,2,FALSE)</f>
        <v>#N/A</v>
      </c>
      <c r="AS143" s="129" t="s">
        <v>51</v>
      </c>
      <c r="AT143" s="98"/>
    </row>
    <row r="144" spans="1:47" ht="15" hidden="1" customHeight="1" x14ac:dyDescent="0.25">
      <c r="A144" s="71"/>
      <c r="B144" s="88" t="s">
        <v>45</v>
      </c>
      <c r="C144" s="89">
        <v>45547</v>
      </c>
      <c r="D144" s="90">
        <v>24078</v>
      </c>
      <c r="E144" s="91" t="s">
        <v>111</v>
      </c>
      <c r="F144" s="90">
        <v>2409121448</v>
      </c>
      <c r="G144" s="90" t="s">
        <v>74</v>
      </c>
      <c r="H144" s="90" t="s">
        <v>67</v>
      </c>
      <c r="I144" s="90" t="s">
        <v>49</v>
      </c>
      <c r="J144" s="8" t="s">
        <v>66</v>
      </c>
      <c r="K144" s="16" t="s">
        <v>349</v>
      </c>
      <c r="L144" s="89">
        <v>45790</v>
      </c>
      <c r="M144" s="381">
        <f t="shared" si="25"/>
        <v>9</v>
      </c>
      <c r="N144" s="98" t="s">
        <v>62</v>
      </c>
      <c r="O144" s="92">
        <v>32000002</v>
      </c>
      <c r="P144" s="24" t="str">
        <f>VLOOKUP(O144,[1]Feuil2!$A:$M,5,FALSE)</f>
        <v>M24 PASSION BLANC BOITE LAGUIOLE HERITAGE</v>
      </c>
      <c r="Q144" s="90">
        <f>6000-3600</f>
        <v>2400</v>
      </c>
      <c r="R144" s="93">
        <v>7.23</v>
      </c>
      <c r="S144" s="94">
        <f t="shared" si="22"/>
        <v>17352</v>
      </c>
      <c r="T144" s="95">
        <f t="shared" si="19"/>
        <v>279786.72000000003</v>
      </c>
      <c r="U144" s="138"/>
      <c r="V144" s="96">
        <f t="shared" si="23"/>
        <v>279786.72000000003</v>
      </c>
      <c r="W144" s="4">
        <f>VLOOKUP(O144,[1]Feuil2!$A:$M,6,FALSE)</f>
        <v>6</v>
      </c>
      <c r="X144" s="5">
        <f>VLOOKUP(O144,[1]Feuil2!$A:$M,13,FALSE)</f>
        <v>2.3789999999999999E-2</v>
      </c>
      <c r="Y144" s="6">
        <f t="shared" si="26"/>
        <v>9.516</v>
      </c>
      <c r="Z144" s="97">
        <f t="shared" si="24"/>
        <v>143.77948600000005</v>
      </c>
      <c r="AA144" s="69" t="s">
        <v>57</v>
      </c>
      <c r="AB144" s="24" t="s">
        <v>48</v>
      </c>
      <c r="AC144" s="125" t="s">
        <v>55</v>
      </c>
      <c r="AD144" s="21" t="s">
        <v>57</v>
      </c>
      <c r="AE144" s="20">
        <v>45768</v>
      </c>
      <c r="AF144" s="47" t="s">
        <v>219</v>
      </c>
      <c r="AG144" s="21" t="s">
        <v>57</v>
      </c>
      <c r="AH144" s="98"/>
      <c r="AI144" s="135">
        <v>45797</v>
      </c>
      <c r="AJ144" s="145" t="s">
        <v>49</v>
      </c>
      <c r="AK144" s="100">
        <f>VLOOKUP(AP144,'[3]CONTENEUR PLEIN'!$F:$L,3,FALSE)</f>
        <v>45788</v>
      </c>
      <c r="AL144" s="99">
        <f>VLOOKUP(AP144,'[3]CONTENEUR PLEIN'!$F:$L,5,FALSE)</f>
        <v>45834</v>
      </c>
      <c r="AM144" s="18">
        <f>VLOOKUP(AP144,'[3]CONTENEUR PLEIN'!$F:$L,7,FALSE)</f>
        <v>45845.291666666664</v>
      </c>
      <c r="AN144" s="90" t="s">
        <v>63</v>
      </c>
      <c r="AO144" s="129" t="s">
        <v>247</v>
      </c>
      <c r="AP144" s="129" t="s">
        <v>248</v>
      </c>
      <c r="AQ144" s="129" t="s">
        <v>262</v>
      </c>
      <c r="AR144" s="129" t="e">
        <f>VLOOKUP(AP144,'[2]CONTENEUR PLEIN'!$F:$L,2,FALSE)</f>
        <v>#N/A</v>
      </c>
      <c r="AS144" s="129" t="s">
        <v>51</v>
      </c>
      <c r="AT144" s="98"/>
      <c r="AU144" s="72"/>
    </row>
    <row r="145" spans="1:47" ht="15" hidden="1" customHeight="1" x14ac:dyDescent="0.25">
      <c r="A145" s="114"/>
      <c r="B145" s="88" t="s">
        <v>45</v>
      </c>
      <c r="C145" s="89">
        <v>45547</v>
      </c>
      <c r="D145" s="90">
        <v>24078</v>
      </c>
      <c r="E145" s="91" t="s">
        <v>111</v>
      </c>
      <c r="F145" s="90">
        <v>2409121448</v>
      </c>
      <c r="G145" s="90" t="s">
        <v>74</v>
      </c>
      <c r="H145" s="655" t="s">
        <v>305</v>
      </c>
      <c r="I145" s="90" t="s">
        <v>49</v>
      </c>
      <c r="J145" s="90" t="s">
        <v>131</v>
      </c>
      <c r="K145" s="16" t="s">
        <v>1051</v>
      </c>
      <c r="L145" s="89">
        <v>45841</v>
      </c>
      <c r="M145" s="381">
        <f t="shared" si="25"/>
        <v>18</v>
      </c>
      <c r="N145" s="98" t="s">
        <v>49</v>
      </c>
      <c r="O145" s="92">
        <v>32000014</v>
      </c>
      <c r="P145" s="24" t="str">
        <f>VLOOKUP(O145,[1]Feuil2!$A:$M,5,FALSE)</f>
        <v>COUTEAU LAGUIOLE PASSION ABS ROUGE 187C + GENCOD</v>
      </c>
      <c r="Q145" s="90">
        <v>2400</v>
      </c>
      <c r="R145" s="93">
        <v>0</v>
      </c>
      <c r="S145" s="94">
        <f t="shared" si="22"/>
        <v>0</v>
      </c>
      <c r="T145" s="95">
        <f t="shared" si="19"/>
        <v>279786.72000000003</v>
      </c>
      <c r="U145" s="138"/>
      <c r="V145" s="96">
        <f t="shared" si="23"/>
        <v>279786.72000000003</v>
      </c>
      <c r="W145" s="4">
        <f>VLOOKUP(O145,[1]Feuil2!$A:$M,6,FALSE)</f>
        <v>240</v>
      </c>
      <c r="X145" s="5">
        <f>VLOOKUP(O145,[1]Feuil2!$A:$M,13,FALSE)</f>
        <v>2.9376000000000006E-2</v>
      </c>
      <c r="Y145" s="6">
        <f t="shared" si="26"/>
        <v>0.29376000000000008</v>
      </c>
      <c r="Z145" s="97">
        <f t="shared" si="24"/>
        <v>143.77948600000005</v>
      </c>
      <c r="AA145" s="69" t="s">
        <v>57</v>
      </c>
      <c r="AB145" s="24" t="s">
        <v>48</v>
      </c>
      <c r="AC145" s="125" t="s">
        <v>55</v>
      </c>
      <c r="AD145" s="21" t="s">
        <v>57</v>
      </c>
      <c r="AE145" s="20">
        <v>46006</v>
      </c>
      <c r="AF145" s="47" t="s">
        <v>747</v>
      </c>
      <c r="AG145" s="21"/>
      <c r="AH145" s="102"/>
      <c r="AI145" s="485">
        <v>45797</v>
      </c>
      <c r="AJ145" s="145">
        <f t="shared" ref="AJ145:AJ191" si="27">DATEDIF(AI145,$AK145,"D")</f>
        <v>229</v>
      </c>
      <c r="AK145" s="100">
        <f>VLOOKUP(AP145,'[2]CONTENEUR PLEIN'!$F:$L,3,FALSE)</f>
        <v>46026</v>
      </c>
      <c r="AL145" s="99">
        <f>VLOOKUP(AP145,'[2]CONTENEUR PLEIN'!$F:$L,5,FALSE)</f>
        <v>46081</v>
      </c>
      <c r="AM145" s="18">
        <f>VLOOKUP(AP145,'[2]CONTENEUR PLEIN'!$F:$L,7,FALSE)</f>
        <v>46098.53125</v>
      </c>
      <c r="AN145" s="90" t="s">
        <v>63</v>
      </c>
      <c r="AO145" s="514" t="s">
        <v>786</v>
      </c>
      <c r="AP145" s="514" t="s">
        <v>787</v>
      </c>
      <c r="AQ145" s="514" t="s">
        <v>791</v>
      </c>
      <c r="AR145" s="129" t="str">
        <f>VLOOKUP(AP145,'[2]CONTENEUR PLEIN'!$F:$L,2,FALSE)</f>
        <v>ZEPHYR LUMOS</v>
      </c>
      <c r="AS145" s="514" t="s">
        <v>316</v>
      </c>
      <c r="AT145" s="98"/>
      <c r="AU145" s="278"/>
    </row>
    <row r="146" spans="1:47" s="72" customFormat="1" hidden="1" x14ac:dyDescent="0.25">
      <c r="A146" s="278"/>
      <c r="B146" s="88" t="s">
        <v>45</v>
      </c>
      <c r="C146" s="89">
        <v>45547</v>
      </c>
      <c r="D146" s="90">
        <v>24078</v>
      </c>
      <c r="E146" s="91" t="s">
        <v>111</v>
      </c>
      <c r="F146" s="90">
        <v>2409121448</v>
      </c>
      <c r="G146" s="90" t="s">
        <v>74</v>
      </c>
      <c r="H146" s="655" t="s">
        <v>305</v>
      </c>
      <c r="I146" s="90" t="s">
        <v>49</v>
      </c>
      <c r="J146" s="90" t="s">
        <v>131</v>
      </c>
      <c r="K146" s="16" t="s">
        <v>1051</v>
      </c>
      <c r="L146" s="89">
        <v>45826</v>
      </c>
      <c r="M146" s="381">
        <f t="shared" si="25"/>
        <v>18</v>
      </c>
      <c r="N146" s="98" t="s">
        <v>49</v>
      </c>
      <c r="O146" s="92">
        <v>32000030</v>
      </c>
      <c r="P146" s="24" t="str">
        <f>VLOOKUP(O146,[1]Feuil2!$A:$M,5,FALSE)</f>
        <v>COUTEAU LAGUIOLE PASSION ABS BLEU 432C + GENCOD</v>
      </c>
      <c r="Q146" s="90">
        <v>2400</v>
      </c>
      <c r="R146" s="93">
        <v>0</v>
      </c>
      <c r="S146" s="94">
        <f t="shared" si="22"/>
        <v>0</v>
      </c>
      <c r="T146" s="95">
        <f t="shared" si="19"/>
        <v>279786.72000000003</v>
      </c>
      <c r="U146" s="138"/>
      <c r="V146" s="96">
        <f t="shared" si="23"/>
        <v>279786.72000000003</v>
      </c>
      <c r="W146" s="4">
        <f>VLOOKUP(O146,[1]Feuil2!$A:$M,6,FALSE)</f>
        <v>240</v>
      </c>
      <c r="X146" s="5">
        <f>VLOOKUP(O146,[1]Feuil2!$A:$M,13,FALSE)</f>
        <v>2.9376000000000006E-2</v>
      </c>
      <c r="Y146" s="6">
        <f t="shared" si="26"/>
        <v>0.29376000000000008</v>
      </c>
      <c r="Z146" s="97">
        <f t="shared" si="24"/>
        <v>143.77948600000005</v>
      </c>
      <c r="AA146" s="69" t="s">
        <v>57</v>
      </c>
      <c r="AB146" s="24" t="s">
        <v>48</v>
      </c>
      <c r="AC146" s="125" t="s">
        <v>55</v>
      </c>
      <c r="AD146" s="21" t="s">
        <v>57</v>
      </c>
      <c r="AE146" s="20">
        <v>46014</v>
      </c>
      <c r="AF146" s="21" t="s">
        <v>775</v>
      </c>
      <c r="AG146" s="21"/>
      <c r="AH146" s="196"/>
      <c r="AI146" s="485">
        <v>45797</v>
      </c>
      <c r="AJ146" s="145">
        <f t="shared" si="27"/>
        <v>229</v>
      </c>
      <c r="AK146" s="100">
        <f>VLOOKUP(AP146,'[2]CONTENEUR PLEIN'!$F:$L,3,FALSE)</f>
        <v>46026</v>
      </c>
      <c r="AL146" s="99">
        <f>VLOOKUP(AP146,'[2]CONTENEUR PLEIN'!$F:$L,5,FALSE)</f>
        <v>46081</v>
      </c>
      <c r="AM146" s="18">
        <f>VLOOKUP(AP146,'[2]CONTENEUR PLEIN'!$F:$L,7,FALSE)</f>
        <v>46098.53125</v>
      </c>
      <c r="AN146" s="90" t="s">
        <v>63</v>
      </c>
      <c r="AO146" s="514" t="s">
        <v>786</v>
      </c>
      <c r="AP146" s="514" t="s">
        <v>787</v>
      </c>
      <c r="AQ146" s="514" t="s">
        <v>791</v>
      </c>
      <c r="AR146" s="129" t="str">
        <f>VLOOKUP(AP146,'[2]CONTENEUR PLEIN'!$F:$L,2,FALSE)</f>
        <v>ZEPHYR LUMOS</v>
      </c>
      <c r="AS146" s="514" t="s">
        <v>316</v>
      </c>
      <c r="AT146" s="98"/>
      <c r="AU146" s="211"/>
    </row>
    <row r="147" spans="1:47" s="72" customFormat="1" hidden="1" x14ac:dyDescent="0.25">
      <c r="A147" s="278"/>
      <c r="B147" s="88" t="s">
        <v>45</v>
      </c>
      <c r="C147" s="89">
        <v>45547</v>
      </c>
      <c r="D147" s="90">
        <v>24078</v>
      </c>
      <c r="E147" s="91" t="s">
        <v>111</v>
      </c>
      <c r="F147" s="90">
        <v>2409121448</v>
      </c>
      <c r="G147" s="90" t="s">
        <v>74</v>
      </c>
      <c r="H147" s="655" t="s">
        <v>305</v>
      </c>
      <c r="I147" s="90" t="s">
        <v>49</v>
      </c>
      <c r="J147" s="90" t="s">
        <v>131</v>
      </c>
      <c r="K147" s="16" t="s">
        <v>1051</v>
      </c>
      <c r="L147" s="89">
        <v>45826</v>
      </c>
      <c r="M147" s="381">
        <f t="shared" si="25"/>
        <v>18</v>
      </c>
      <c r="N147" s="98" t="s">
        <v>49</v>
      </c>
      <c r="O147" s="92">
        <v>32000032</v>
      </c>
      <c r="P147" s="24" t="str">
        <f>VLOOKUP(O147,[1]Feuil2!$A:$M,5,FALSE)</f>
        <v>CUILLERE LAGUIOLE PASSION ABS BLEU 432C + GENCOD</v>
      </c>
      <c r="Q147" s="90">
        <v>1920</v>
      </c>
      <c r="R147" s="93">
        <v>0</v>
      </c>
      <c r="S147" s="94">
        <f t="shared" si="22"/>
        <v>0</v>
      </c>
      <c r="T147" s="95">
        <f t="shared" si="19"/>
        <v>279786.72000000003</v>
      </c>
      <c r="U147" s="138"/>
      <c r="V147" s="96">
        <f t="shared" si="23"/>
        <v>279786.72000000003</v>
      </c>
      <c r="W147" s="4">
        <f>VLOOKUP(O147,[1]Feuil2!$A:$M,6,FALSE)</f>
        <v>240</v>
      </c>
      <c r="X147" s="5">
        <f>VLOOKUP(O147,[1]Feuil2!$A:$M,13,FALSE)</f>
        <v>2.9791999999999999E-2</v>
      </c>
      <c r="Y147" s="6">
        <f t="shared" si="26"/>
        <v>0.23833599999999999</v>
      </c>
      <c r="Z147" s="97">
        <f t="shared" si="24"/>
        <v>143.77948600000005</v>
      </c>
      <c r="AA147" s="69" t="s">
        <v>57</v>
      </c>
      <c r="AB147" s="24" t="s">
        <v>48</v>
      </c>
      <c r="AC147" s="125" t="s">
        <v>55</v>
      </c>
      <c r="AD147" s="21" t="s">
        <v>57</v>
      </c>
      <c r="AE147" s="20">
        <v>46006</v>
      </c>
      <c r="AF147" s="47" t="s">
        <v>748</v>
      </c>
      <c r="AG147" s="21"/>
      <c r="AH147" s="102"/>
      <c r="AI147" s="485">
        <v>45797</v>
      </c>
      <c r="AJ147" s="145">
        <f t="shared" si="27"/>
        <v>229</v>
      </c>
      <c r="AK147" s="100">
        <f>VLOOKUP(AP147,'[2]CONTENEUR PLEIN'!$F:$L,3,FALSE)</f>
        <v>46026</v>
      </c>
      <c r="AL147" s="99">
        <f>VLOOKUP(AP147,'[2]CONTENEUR PLEIN'!$F:$L,5,FALSE)</f>
        <v>46081</v>
      </c>
      <c r="AM147" s="18">
        <f>VLOOKUP(AP147,'[2]CONTENEUR PLEIN'!$F:$L,7,FALSE)</f>
        <v>46098.53125</v>
      </c>
      <c r="AN147" s="90" t="s">
        <v>63</v>
      </c>
      <c r="AO147" s="514" t="s">
        <v>786</v>
      </c>
      <c r="AP147" s="514" t="s">
        <v>787</v>
      </c>
      <c r="AQ147" s="514" t="s">
        <v>791</v>
      </c>
      <c r="AR147" s="129" t="str">
        <f>VLOOKUP(AP147,'[2]CONTENEUR PLEIN'!$F:$L,2,FALSE)</f>
        <v>ZEPHYR LUMOS</v>
      </c>
      <c r="AS147" s="514" t="s">
        <v>316</v>
      </c>
      <c r="AT147" s="98"/>
      <c r="AU147" s="278"/>
    </row>
    <row r="148" spans="1:47" s="72" customFormat="1" hidden="1" x14ac:dyDescent="0.25">
      <c r="A148" s="71"/>
      <c r="B148" s="88" t="s">
        <v>45</v>
      </c>
      <c r="C148" s="89">
        <v>45547</v>
      </c>
      <c r="D148" s="90">
        <v>24078</v>
      </c>
      <c r="E148" s="91" t="s">
        <v>111</v>
      </c>
      <c r="F148" s="90">
        <v>2409121448</v>
      </c>
      <c r="G148" s="90" t="s">
        <v>74</v>
      </c>
      <c r="H148" s="90" t="s">
        <v>50</v>
      </c>
      <c r="I148" s="90" t="s">
        <v>49</v>
      </c>
      <c r="J148" s="90" t="s">
        <v>131</v>
      </c>
      <c r="K148" s="8" t="s">
        <v>572</v>
      </c>
      <c r="L148" s="89">
        <v>45902</v>
      </c>
      <c r="M148" s="381">
        <f t="shared" si="25"/>
        <v>13</v>
      </c>
      <c r="N148" s="98" t="s">
        <v>62</v>
      </c>
      <c r="O148" s="92">
        <v>32000003</v>
      </c>
      <c r="P148" s="24" t="str">
        <f>VLOOKUP(O148,[1]Feuil2!$A:$M,5,FALSE)</f>
        <v>M24 PASSION GRIS 7C BOITE LAGUIOLE HERITAGE</v>
      </c>
      <c r="Q148" s="90">
        <f>2400-2310</f>
        <v>90</v>
      </c>
      <c r="R148" s="93">
        <v>7.23</v>
      </c>
      <c r="S148" s="94">
        <f t="shared" si="22"/>
        <v>650.70000000000005</v>
      </c>
      <c r="T148" s="95">
        <f t="shared" si="19"/>
        <v>279786.72000000003</v>
      </c>
      <c r="U148" s="138"/>
      <c r="V148" s="96">
        <f t="shared" si="23"/>
        <v>279786.72000000003</v>
      </c>
      <c r="W148" s="4">
        <f>VLOOKUP(O148,[1]Feuil2!$A:$M,6,FALSE)</f>
        <v>6</v>
      </c>
      <c r="X148" s="5">
        <f>VLOOKUP(O148,[1]Feuil2!$A:$M,13,FALSE)</f>
        <v>2.3789999999999999E-2</v>
      </c>
      <c r="Y148" s="6">
        <f t="shared" si="26"/>
        <v>0.35685</v>
      </c>
      <c r="Z148" s="97">
        <f t="shared" si="24"/>
        <v>143.77948600000005</v>
      </c>
      <c r="AA148" s="69" t="s">
        <v>57</v>
      </c>
      <c r="AB148" s="24" t="s">
        <v>48</v>
      </c>
      <c r="AC148" s="125" t="s">
        <v>55</v>
      </c>
      <c r="AD148" s="21" t="s">
        <v>57</v>
      </c>
      <c r="AE148" s="20">
        <v>45826</v>
      </c>
      <c r="AF148" s="47" t="s">
        <v>321</v>
      </c>
      <c r="AG148" s="21" t="s">
        <v>57</v>
      </c>
      <c r="AH148" s="98"/>
      <c r="AI148" s="160">
        <v>45797</v>
      </c>
      <c r="AJ148" s="145">
        <f t="shared" si="27"/>
        <v>93</v>
      </c>
      <c r="AK148" s="100">
        <f>VLOOKUP(AP148,'[3]CONTENEUR PLEIN'!$F:$L,3,FALSE)</f>
        <v>45890</v>
      </c>
      <c r="AL148" s="99">
        <f>VLOOKUP(AP148,'[3]CONTENEUR PLEIN'!$F:$L,5,FALSE)</f>
        <v>45933</v>
      </c>
      <c r="AM148" s="18">
        <f>VLOOKUP(AP148,'[3]CONTENEUR PLEIN'!$F:$L,7,FALSE)</f>
        <v>45943.333333333336</v>
      </c>
      <c r="AN148" s="90" t="s">
        <v>63</v>
      </c>
      <c r="AO148" s="191" t="s">
        <v>399</v>
      </c>
      <c r="AP148" s="191" t="s">
        <v>400</v>
      </c>
      <c r="AQ148" s="191" t="s">
        <v>401</v>
      </c>
      <c r="AR148" s="191" t="e">
        <f>VLOOKUP(AP148,'[2]CONTENEUR PLEIN'!$F:$L,2,FALSE)</f>
        <v>#N/A</v>
      </c>
      <c r="AS148" s="191" t="s">
        <v>316</v>
      </c>
      <c r="AT148" s="98"/>
    </row>
    <row r="149" spans="1:47" s="72" customFormat="1" ht="15" hidden="1" customHeight="1" x14ac:dyDescent="0.25">
      <c r="A149" s="71"/>
      <c r="B149" s="88" t="s">
        <v>45</v>
      </c>
      <c r="C149" s="89">
        <v>45547</v>
      </c>
      <c r="D149" s="90">
        <v>24078</v>
      </c>
      <c r="E149" s="91" t="s">
        <v>111</v>
      </c>
      <c r="F149" s="90">
        <v>2409121448</v>
      </c>
      <c r="G149" s="90" t="s">
        <v>74</v>
      </c>
      <c r="H149" s="90" t="s">
        <v>50</v>
      </c>
      <c r="I149" s="90" t="s">
        <v>49</v>
      </c>
      <c r="J149" s="90" t="s">
        <v>131</v>
      </c>
      <c r="K149" s="8" t="s">
        <v>572</v>
      </c>
      <c r="L149" s="89">
        <v>45902</v>
      </c>
      <c r="M149" s="381">
        <f t="shared" si="25"/>
        <v>13</v>
      </c>
      <c r="N149" s="98" t="s">
        <v>62</v>
      </c>
      <c r="O149" s="92">
        <v>32000007</v>
      </c>
      <c r="P149" s="24" t="str">
        <f>VLOOKUP(O149,[1]Feuil2!$A:$M,5,FALSE)</f>
        <v>M24 PASSION IMIT BOIS CLAIR BOITE LAGUIOLE HERITAGE</v>
      </c>
      <c r="Q149" s="90">
        <f>3600-3132</f>
        <v>468</v>
      </c>
      <c r="R149" s="93">
        <v>7.99</v>
      </c>
      <c r="S149" s="94">
        <f t="shared" si="22"/>
        <v>3739.32</v>
      </c>
      <c r="T149" s="95">
        <f t="shared" si="19"/>
        <v>279786.72000000003</v>
      </c>
      <c r="U149" s="138"/>
      <c r="V149" s="96">
        <f t="shared" si="23"/>
        <v>279786.72000000003</v>
      </c>
      <c r="W149" s="4">
        <f>VLOOKUP(O149,[1]Feuil2!$A:$M,6,FALSE)</f>
        <v>6</v>
      </c>
      <c r="X149" s="5">
        <f>VLOOKUP(O149,[1]Feuil2!$A:$M,13,FALSE)</f>
        <v>2.3789999999999999E-2</v>
      </c>
      <c r="Y149" s="6">
        <f t="shared" si="26"/>
        <v>1.8556199999999998</v>
      </c>
      <c r="Z149" s="97">
        <f t="shared" si="24"/>
        <v>143.77948600000005</v>
      </c>
      <c r="AA149" s="69" t="s">
        <v>57</v>
      </c>
      <c r="AB149" s="23" t="s">
        <v>48</v>
      </c>
      <c r="AC149" s="125" t="s">
        <v>55</v>
      </c>
      <c r="AD149" s="69" t="s">
        <v>57</v>
      </c>
      <c r="AE149" s="20">
        <v>45834</v>
      </c>
      <c r="AF149" s="47" t="s">
        <v>332</v>
      </c>
      <c r="AG149" s="21" t="s">
        <v>57</v>
      </c>
      <c r="AH149" s="98"/>
      <c r="AI149" s="160">
        <v>45797</v>
      </c>
      <c r="AJ149" s="145">
        <f t="shared" si="27"/>
        <v>93</v>
      </c>
      <c r="AK149" s="100">
        <f>VLOOKUP(AP149,'[3]CONTENEUR PLEIN'!$F:$L,3,FALSE)</f>
        <v>45890</v>
      </c>
      <c r="AL149" s="99">
        <f>VLOOKUP(AP149,'[3]CONTENEUR PLEIN'!$F:$L,5,FALSE)</f>
        <v>45933</v>
      </c>
      <c r="AM149" s="18">
        <f>VLOOKUP(AP149,'[3]CONTENEUR PLEIN'!$F:$L,7,FALSE)</f>
        <v>45943.333333333336</v>
      </c>
      <c r="AN149" s="90" t="s">
        <v>63</v>
      </c>
      <c r="AO149" s="191" t="s">
        <v>399</v>
      </c>
      <c r="AP149" s="191" t="s">
        <v>400</v>
      </c>
      <c r="AQ149" s="191" t="s">
        <v>401</v>
      </c>
      <c r="AR149" s="191" t="e">
        <f>VLOOKUP(AP149,'[2]CONTENEUR PLEIN'!$F:$L,2,FALSE)</f>
        <v>#N/A</v>
      </c>
      <c r="AS149" s="191" t="s">
        <v>316</v>
      </c>
      <c r="AT149" s="98"/>
    </row>
    <row r="150" spans="1:47" s="72" customFormat="1" ht="15" hidden="1" customHeight="1" x14ac:dyDescent="0.25">
      <c r="A150" s="71"/>
      <c r="B150" s="88" t="s">
        <v>45</v>
      </c>
      <c r="C150" s="89">
        <v>45547</v>
      </c>
      <c r="D150" s="90">
        <v>24078</v>
      </c>
      <c r="E150" s="91" t="s">
        <v>111</v>
      </c>
      <c r="F150" s="90">
        <v>2409121448</v>
      </c>
      <c r="G150" s="168" t="s">
        <v>74</v>
      </c>
      <c r="H150" s="90" t="s">
        <v>50</v>
      </c>
      <c r="I150" s="90" t="s">
        <v>49</v>
      </c>
      <c r="J150" s="90" t="s">
        <v>131</v>
      </c>
      <c r="K150" s="8" t="s">
        <v>572</v>
      </c>
      <c r="L150" s="89">
        <v>45902</v>
      </c>
      <c r="M150" s="381">
        <f t="shared" si="25"/>
        <v>13</v>
      </c>
      <c r="N150" s="98" t="s">
        <v>62</v>
      </c>
      <c r="O150" s="92">
        <v>32000008</v>
      </c>
      <c r="P150" s="24" t="str">
        <f>VLOOKUP(O150,[1]Feuil2!$A:$M,5,FALSE)</f>
        <v>M24 PASSION IMIT BOIS GRIS BOITE LAGUIOLE HERITAGE</v>
      </c>
      <c r="Q150" s="90">
        <v>6</v>
      </c>
      <c r="R150" s="93">
        <v>0</v>
      </c>
      <c r="S150" s="94">
        <f t="shared" si="22"/>
        <v>0</v>
      </c>
      <c r="T150" s="95">
        <f t="shared" si="19"/>
        <v>279786.72000000003</v>
      </c>
      <c r="U150" s="138"/>
      <c r="V150" s="96">
        <f t="shared" si="23"/>
        <v>279786.72000000003</v>
      </c>
      <c r="W150" s="4">
        <f>VLOOKUP(O150,[1]Feuil2!$A:$M,6,FALSE)</f>
        <v>6</v>
      </c>
      <c r="X150" s="5">
        <f>VLOOKUP(O150,[1]Feuil2!$A:$M,13,FALSE)</f>
        <v>2.3789999999999999E-2</v>
      </c>
      <c r="Y150" s="6">
        <f t="shared" si="26"/>
        <v>2.3789999999999999E-2</v>
      </c>
      <c r="Z150" s="97">
        <f t="shared" si="24"/>
        <v>143.77948600000005</v>
      </c>
      <c r="AA150" s="69" t="s">
        <v>57</v>
      </c>
      <c r="AB150" s="23" t="s">
        <v>48</v>
      </c>
      <c r="AC150" s="125" t="s">
        <v>55</v>
      </c>
      <c r="AD150" s="69" t="s">
        <v>57</v>
      </c>
      <c r="AE150" s="20">
        <v>45834</v>
      </c>
      <c r="AF150" s="47" t="s">
        <v>333</v>
      </c>
      <c r="AG150" s="21" t="s">
        <v>57</v>
      </c>
      <c r="AH150" s="98"/>
      <c r="AI150" s="160">
        <v>45797</v>
      </c>
      <c r="AJ150" s="145">
        <f t="shared" si="27"/>
        <v>93</v>
      </c>
      <c r="AK150" s="100">
        <f>VLOOKUP(AP150,'[3]CONTENEUR PLEIN'!$F:$L,3,FALSE)</f>
        <v>45890</v>
      </c>
      <c r="AL150" s="99">
        <f>VLOOKUP(AP150,'[3]CONTENEUR PLEIN'!$F:$L,5,FALSE)</f>
        <v>45933</v>
      </c>
      <c r="AM150" s="18">
        <f>VLOOKUP(AP150,'[3]CONTENEUR PLEIN'!$F:$L,7,FALSE)</f>
        <v>45943.333333333336</v>
      </c>
      <c r="AN150" s="90" t="s">
        <v>63</v>
      </c>
      <c r="AO150" s="191" t="s">
        <v>399</v>
      </c>
      <c r="AP150" s="191" t="s">
        <v>400</v>
      </c>
      <c r="AQ150" s="191" t="s">
        <v>401</v>
      </c>
      <c r="AR150" s="191" t="e">
        <f>VLOOKUP(AP150,'[2]CONTENEUR PLEIN'!$F:$L,2,FALSE)</f>
        <v>#N/A</v>
      </c>
      <c r="AS150" s="191" t="s">
        <v>316</v>
      </c>
      <c r="AT150" s="98"/>
    </row>
    <row r="151" spans="1:47" s="72" customFormat="1" hidden="1" x14ac:dyDescent="0.25">
      <c r="A151" s="71"/>
      <c r="B151" s="88" t="s">
        <v>45</v>
      </c>
      <c r="C151" s="89">
        <v>45547</v>
      </c>
      <c r="D151" s="90">
        <v>24078</v>
      </c>
      <c r="E151" s="91" t="s">
        <v>111</v>
      </c>
      <c r="F151" s="90">
        <v>2409121448</v>
      </c>
      <c r="G151" s="168" t="s">
        <v>74</v>
      </c>
      <c r="H151" s="90" t="s">
        <v>50</v>
      </c>
      <c r="I151" s="90" t="s">
        <v>49</v>
      </c>
      <c r="J151" s="90" t="s">
        <v>131</v>
      </c>
      <c r="K151" s="8" t="s">
        <v>572</v>
      </c>
      <c r="L151" s="89">
        <v>45902</v>
      </c>
      <c r="M151" s="381">
        <f t="shared" si="25"/>
        <v>13</v>
      </c>
      <c r="N151" s="98" t="s">
        <v>62</v>
      </c>
      <c r="O151" s="92">
        <v>32000008</v>
      </c>
      <c r="P151" s="24" t="str">
        <f>VLOOKUP(O151,[1]Feuil2!$A:$M,5,FALSE)</f>
        <v>M24 PASSION IMIT BOIS GRIS BOITE LAGUIOLE HERITAGE</v>
      </c>
      <c r="Q151" s="90">
        <f>3600-3006</f>
        <v>594</v>
      </c>
      <c r="R151" s="93">
        <v>7.99</v>
      </c>
      <c r="S151" s="94">
        <f t="shared" si="22"/>
        <v>4746.0600000000004</v>
      </c>
      <c r="T151" s="95">
        <f t="shared" si="19"/>
        <v>279786.72000000003</v>
      </c>
      <c r="U151" s="138"/>
      <c r="V151" s="96">
        <f t="shared" si="23"/>
        <v>279786.72000000003</v>
      </c>
      <c r="W151" s="4">
        <f>VLOOKUP(O151,[1]Feuil2!$A:$M,6,FALSE)</f>
        <v>6</v>
      </c>
      <c r="X151" s="5">
        <f>VLOOKUP(O151,[1]Feuil2!$A:$M,13,FALSE)</f>
        <v>2.3789999999999999E-2</v>
      </c>
      <c r="Y151" s="6">
        <f t="shared" si="26"/>
        <v>2.35521</v>
      </c>
      <c r="Z151" s="97">
        <f t="shared" si="24"/>
        <v>143.77948600000005</v>
      </c>
      <c r="AA151" s="69" t="s">
        <v>57</v>
      </c>
      <c r="AB151" s="23" t="s">
        <v>48</v>
      </c>
      <c r="AC151" s="125" t="s">
        <v>55</v>
      </c>
      <c r="AD151" s="21" t="s">
        <v>57</v>
      </c>
      <c r="AE151" s="20">
        <v>45834</v>
      </c>
      <c r="AF151" s="47" t="s">
        <v>333</v>
      </c>
      <c r="AG151" s="21" t="s">
        <v>57</v>
      </c>
      <c r="AH151" s="98"/>
      <c r="AI151" s="160">
        <v>45797</v>
      </c>
      <c r="AJ151" s="145">
        <f t="shared" si="27"/>
        <v>93</v>
      </c>
      <c r="AK151" s="100">
        <f>VLOOKUP(AP151,'[3]CONTENEUR PLEIN'!$F:$L,3,FALSE)</f>
        <v>45890</v>
      </c>
      <c r="AL151" s="99">
        <f>VLOOKUP(AP151,'[3]CONTENEUR PLEIN'!$F:$L,5,FALSE)</f>
        <v>45933</v>
      </c>
      <c r="AM151" s="18">
        <f>VLOOKUP(AP151,'[3]CONTENEUR PLEIN'!$F:$L,7,FALSE)</f>
        <v>45943.333333333336</v>
      </c>
      <c r="AN151" s="90" t="s">
        <v>63</v>
      </c>
      <c r="AO151" s="191" t="s">
        <v>399</v>
      </c>
      <c r="AP151" s="191" t="s">
        <v>400</v>
      </c>
      <c r="AQ151" s="191" t="s">
        <v>401</v>
      </c>
      <c r="AR151" s="191" t="e">
        <f>VLOOKUP(AP151,'[2]CONTENEUR PLEIN'!$F:$L,2,FALSE)</f>
        <v>#N/A</v>
      </c>
      <c r="AS151" s="191" t="s">
        <v>316</v>
      </c>
      <c r="AT151" s="98"/>
    </row>
    <row r="152" spans="1:47" s="72" customFormat="1" hidden="1" x14ac:dyDescent="0.25">
      <c r="A152" s="71"/>
      <c r="B152" s="88" t="s">
        <v>45</v>
      </c>
      <c r="C152" s="89">
        <v>45547</v>
      </c>
      <c r="D152" s="90">
        <v>24078</v>
      </c>
      <c r="E152" s="91" t="s">
        <v>111</v>
      </c>
      <c r="F152" s="90">
        <v>2409121448</v>
      </c>
      <c r="G152" s="90" t="s">
        <v>74</v>
      </c>
      <c r="H152" s="90" t="s">
        <v>50</v>
      </c>
      <c r="I152" s="90" t="s">
        <v>49</v>
      </c>
      <c r="J152" s="90" t="s">
        <v>131</v>
      </c>
      <c r="K152" s="8" t="s">
        <v>572</v>
      </c>
      <c r="L152" s="89">
        <v>45902</v>
      </c>
      <c r="M152" s="381">
        <f t="shared" si="25"/>
        <v>13</v>
      </c>
      <c r="N152" s="98" t="s">
        <v>62</v>
      </c>
      <c r="O152" s="92">
        <v>32000009</v>
      </c>
      <c r="P152" s="24" t="str">
        <f>VLOOKUP(O152,[1]Feuil2!$A:$M,5,FALSE)</f>
        <v>M24 PASSION IMIT BOIS FONCE BOITE LAGUIOLE HERITAGE</v>
      </c>
      <c r="Q152" s="90">
        <f>3600-3294</f>
        <v>306</v>
      </c>
      <c r="R152" s="93">
        <v>7.99</v>
      </c>
      <c r="S152" s="94">
        <f t="shared" si="22"/>
        <v>2444.94</v>
      </c>
      <c r="T152" s="95">
        <f t="shared" ref="T152:T191" si="28">SUMIF($E$5:$E$9257,E152,$S$5:$S$9257)</f>
        <v>279786.72000000003</v>
      </c>
      <c r="U152" s="138"/>
      <c r="V152" s="96">
        <f t="shared" si="23"/>
        <v>279786.72000000003</v>
      </c>
      <c r="W152" s="4">
        <f>VLOOKUP(O152,[1]Feuil2!$A:$M,6,FALSE)</f>
        <v>6</v>
      </c>
      <c r="X152" s="5">
        <f>VLOOKUP(O152,[1]Feuil2!$A:$M,13,FALSE)</f>
        <v>2.3789999999999999E-2</v>
      </c>
      <c r="Y152" s="6">
        <f t="shared" si="26"/>
        <v>1.21329</v>
      </c>
      <c r="Z152" s="97">
        <f t="shared" si="24"/>
        <v>143.77948600000005</v>
      </c>
      <c r="AA152" s="69" t="s">
        <v>57</v>
      </c>
      <c r="AB152" s="23" t="s">
        <v>48</v>
      </c>
      <c r="AC152" s="125" t="s">
        <v>55</v>
      </c>
      <c r="AD152" s="21" t="s">
        <v>57</v>
      </c>
      <c r="AE152" s="20">
        <v>45834</v>
      </c>
      <c r="AF152" s="47" t="s">
        <v>334</v>
      </c>
      <c r="AG152" s="21" t="s">
        <v>57</v>
      </c>
      <c r="AH152" s="98"/>
      <c r="AI152" s="160">
        <v>45797</v>
      </c>
      <c r="AJ152" s="145">
        <f t="shared" si="27"/>
        <v>93</v>
      </c>
      <c r="AK152" s="100">
        <f>VLOOKUP(AP152,'[3]CONTENEUR PLEIN'!$F:$L,3,FALSE)</f>
        <v>45890</v>
      </c>
      <c r="AL152" s="99">
        <f>VLOOKUP(AP152,'[3]CONTENEUR PLEIN'!$F:$L,5,FALSE)</f>
        <v>45933</v>
      </c>
      <c r="AM152" s="18">
        <f>VLOOKUP(AP152,'[3]CONTENEUR PLEIN'!$F:$L,7,FALSE)</f>
        <v>45943.333333333336</v>
      </c>
      <c r="AN152" s="90" t="s">
        <v>63</v>
      </c>
      <c r="AO152" s="191" t="s">
        <v>399</v>
      </c>
      <c r="AP152" s="191" t="s">
        <v>400</v>
      </c>
      <c r="AQ152" s="191" t="s">
        <v>401</v>
      </c>
      <c r="AR152" s="191" t="e">
        <f>VLOOKUP(AP152,'[2]CONTENEUR PLEIN'!$F:$L,2,FALSE)</f>
        <v>#N/A</v>
      </c>
      <c r="AS152" s="191" t="s">
        <v>316</v>
      </c>
      <c r="AT152" s="98"/>
    </row>
    <row r="153" spans="1:47" s="72" customFormat="1" hidden="1" x14ac:dyDescent="0.25">
      <c r="A153" s="71"/>
      <c r="B153" s="88" t="s">
        <v>45</v>
      </c>
      <c r="C153" s="89">
        <v>45547</v>
      </c>
      <c r="D153" s="90">
        <v>24078</v>
      </c>
      <c r="E153" s="91" t="s">
        <v>111</v>
      </c>
      <c r="F153" s="90">
        <v>2409121448</v>
      </c>
      <c r="G153" s="90" t="s">
        <v>74</v>
      </c>
      <c r="H153" s="90" t="s">
        <v>50</v>
      </c>
      <c r="I153" s="90" t="s">
        <v>49</v>
      </c>
      <c r="J153" s="90" t="s">
        <v>131</v>
      </c>
      <c r="K153" s="8" t="s">
        <v>572</v>
      </c>
      <c r="L153" s="89">
        <v>45902</v>
      </c>
      <c r="M153" s="381">
        <f t="shared" si="25"/>
        <v>13</v>
      </c>
      <c r="N153" s="98" t="s">
        <v>49</v>
      </c>
      <c r="O153" s="92">
        <v>32000011</v>
      </c>
      <c r="P153" s="24" t="str">
        <f>VLOOKUP(O153,[1]Feuil2!$A:$M,5,FALSE)</f>
        <v>FOURCHETTE LAGUIOLE PASSION ABS GRIS 7C + GENCOD</v>
      </c>
      <c r="Q153" s="90">
        <f>2400-2160</f>
        <v>240</v>
      </c>
      <c r="R153" s="93">
        <v>0.315</v>
      </c>
      <c r="S153" s="94">
        <f t="shared" si="22"/>
        <v>75.599999999999994</v>
      </c>
      <c r="T153" s="95">
        <f t="shared" si="28"/>
        <v>279786.72000000003</v>
      </c>
      <c r="U153" s="138"/>
      <c r="V153" s="96">
        <f t="shared" si="23"/>
        <v>279786.72000000003</v>
      </c>
      <c r="W153" s="4">
        <f>VLOOKUP(O153,[1]Feuil2!$A:$M,6,FALSE)</f>
        <v>240</v>
      </c>
      <c r="X153" s="5">
        <f>VLOOKUP(O153,[1]Feuil2!$A:$M,13,FALSE)</f>
        <v>2.9791999999999999E-2</v>
      </c>
      <c r="Y153" s="6">
        <f t="shared" si="26"/>
        <v>2.9791999999999999E-2</v>
      </c>
      <c r="Z153" s="97">
        <f t="shared" si="24"/>
        <v>143.77948600000005</v>
      </c>
      <c r="AA153" s="69" t="s">
        <v>57</v>
      </c>
      <c r="AB153" s="23" t="s">
        <v>48</v>
      </c>
      <c r="AC153" s="125" t="s">
        <v>55</v>
      </c>
      <c r="AD153" s="21" t="s">
        <v>57</v>
      </c>
      <c r="AE153" s="20">
        <v>45826</v>
      </c>
      <c r="AF153" s="47" t="s">
        <v>323</v>
      </c>
      <c r="AG153" s="21" t="s">
        <v>57</v>
      </c>
      <c r="AH153" s="98"/>
      <c r="AI153" s="160">
        <v>45797</v>
      </c>
      <c r="AJ153" s="145">
        <f t="shared" si="27"/>
        <v>93</v>
      </c>
      <c r="AK153" s="100">
        <f>VLOOKUP(AP153,'[3]CONTENEUR PLEIN'!$F:$L,3,FALSE)</f>
        <v>45890</v>
      </c>
      <c r="AL153" s="99">
        <f>VLOOKUP(AP153,'[3]CONTENEUR PLEIN'!$F:$L,5,FALSE)</f>
        <v>45933</v>
      </c>
      <c r="AM153" s="18">
        <f>VLOOKUP(AP153,'[3]CONTENEUR PLEIN'!$F:$L,7,FALSE)</f>
        <v>45943.333333333336</v>
      </c>
      <c r="AN153" s="90" t="s">
        <v>63</v>
      </c>
      <c r="AO153" s="191" t="s">
        <v>399</v>
      </c>
      <c r="AP153" s="191" t="s">
        <v>400</v>
      </c>
      <c r="AQ153" s="191" t="s">
        <v>401</v>
      </c>
      <c r="AR153" s="191" t="e">
        <f>VLOOKUP(AP153,'[2]CONTENEUR PLEIN'!$F:$L,2,FALSE)</f>
        <v>#N/A</v>
      </c>
      <c r="AS153" s="191" t="s">
        <v>316</v>
      </c>
      <c r="AT153" s="98"/>
    </row>
    <row r="154" spans="1:47" s="72" customFormat="1" hidden="1" x14ac:dyDescent="0.25">
      <c r="A154" s="71"/>
      <c r="B154" s="88" t="s">
        <v>45</v>
      </c>
      <c r="C154" s="89">
        <v>45547</v>
      </c>
      <c r="D154" s="90">
        <v>24078</v>
      </c>
      <c r="E154" s="91" t="s">
        <v>111</v>
      </c>
      <c r="F154" s="90">
        <v>2409121448</v>
      </c>
      <c r="G154" s="90" t="s">
        <v>74</v>
      </c>
      <c r="H154" s="90" t="s">
        <v>50</v>
      </c>
      <c r="I154" s="90" t="s">
        <v>49</v>
      </c>
      <c r="J154" s="90" t="s">
        <v>131</v>
      </c>
      <c r="K154" s="8" t="s">
        <v>572</v>
      </c>
      <c r="L154" s="89">
        <v>45902</v>
      </c>
      <c r="M154" s="381">
        <f t="shared" si="25"/>
        <v>13</v>
      </c>
      <c r="N154" s="98" t="s">
        <v>49</v>
      </c>
      <c r="O154" s="92">
        <v>32000013</v>
      </c>
      <c r="P154" s="24" t="str">
        <f>VLOOKUP(O154,[1]Feuil2!$A:$M,5,FALSE)</f>
        <v>CAFE LAGUIOLE PASSION ABS GRIS 7C + GENCOD</v>
      </c>
      <c r="Q154" s="90">
        <f>3360-2400</f>
        <v>960</v>
      </c>
      <c r="R154" s="93">
        <v>0.28000000000000003</v>
      </c>
      <c r="S154" s="94">
        <f t="shared" si="22"/>
        <v>268.8</v>
      </c>
      <c r="T154" s="95">
        <f t="shared" si="28"/>
        <v>279786.72000000003</v>
      </c>
      <c r="U154" s="138"/>
      <c r="V154" s="96">
        <f t="shared" si="23"/>
        <v>279786.72000000003</v>
      </c>
      <c r="W154" s="4">
        <f>VLOOKUP(O154,[1]Feuil2!$A:$M,6,FALSE)</f>
        <v>240</v>
      </c>
      <c r="X154" s="5">
        <f>VLOOKUP(O154,[1]Feuil2!$A:$M,13,FALSE)</f>
        <v>2.052E-2</v>
      </c>
      <c r="Y154" s="6">
        <f t="shared" si="26"/>
        <v>8.208E-2</v>
      </c>
      <c r="Z154" s="97">
        <f t="shared" si="24"/>
        <v>143.77948600000005</v>
      </c>
      <c r="AA154" s="69" t="s">
        <v>57</v>
      </c>
      <c r="AB154" s="23" t="s">
        <v>48</v>
      </c>
      <c r="AC154" s="125" t="s">
        <v>55</v>
      </c>
      <c r="AD154" s="21" t="s">
        <v>57</v>
      </c>
      <c r="AE154" s="20">
        <v>45826</v>
      </c>
      <c r="AF154" s="47" t="s">
        <v>324</v>
      </c>
      <c r="AG154" s="21" t="s">
        <v>57</v>
      </c>
      <c r="AH154" s="98"/>
      <c r="AI154" s="160">
        <v>45797</v>
      </c>
      <c r="AJ154" s="145">
        <f t="shared" si="27"/>
        <v>93</v>
      </c>
      <c r="AK154" s="100">
        <f>VLOOKUP(AP154,'[3]CONTENEUR PLEIN'!$F:$L,3,FALSE)</f>
        <v>45890</v>
      </c>
      <c r="AL154" s="99">
        <f>VLOOKUP(AP154,'[3]CONTENEUR PLEIN'!$F:$L,5,FALSE)</f>
        <v>45933</v>
      </c>
      <c r="AM154" s="18">
        <f>VLOOKUP(AP154,'[3]CONTENEUR PLEIN'!$F:$L,7,FALSE)</f>
        <v>45943.333333333336</v>
      </c>
      <c r="AN154" s="90" t="s">
        <v>63</v>
      </c>
      <c r="AO154" s="191" t="s">
        <v>399</v>
      </c>
      <c r="AP154" s="191" t="s">
        <v>400</v>
      </c>
      <c r="AQ154" s="191" t="s">
        <v>401</v>
      </c>
      <c r="AR154" s="191" t="e">
        <f>VLOOKUP(AP154,'[2]CONTENEUR PLEIN'!$F:$L,2,FALSE)</f>
        <v>#N/A</v>
      </c>
      <c r="AS154" s="191" t="s">
        <v>316</v>
      </c>
      <c r="AT154" s="98"/>
    </row>
    <row r="155" spans="1:47" s="72" customFormat="1" hidden="1" x14ac:dyDescent="0.25">
      <c r="A155" s="197"/>
      <c r="B155" s="232" t="s">
        <v>45</v>
      </c>
      <c r="C155" s="194">
        <v>45547</v>
      </c>
      <c r="D155" s="191">
        <v>24078</v>
      </c>
      <c r="E155" s="195" t="s">
        <v>111</v>
      </c>
      <c r="F155" s="191">
        <v>2409121448</v>
      </c>
      <c r="G155" s="191" t="s">
        <v>74</v>
      </c>
      <c r="H155" s="191" t="s">
        <v>50</v>
      </c>
      <c r="I155" s="191" t="s">
        <v>49</v>
      </c>
      <c r="J155" s="191" t="s">
        <v>131</v>
      </c>
      <c r="K155" s="16" t="s">
        <v>449</v>
      </c>
      <c r="L155" s="194">
        <v>45875</v>
      </c>
      <c r="M155" s="381">
        <f t="shared" si="25"/>
        <v>12</v>
      </c>
      <c r="N155" s="209" t="s">
        <v>62</v>
      </c>
      <c r="O155" s="223">
        <v>32000003</v>
      </c>
      <c r="P155" s="24" t="str">
        <f>VLOOKUP(O155,[1]Feuil2!$A:$M,5,FALSE)</f>
        <v>M24 PASSION GRIS 7C BOITE LAGUIOLE HERITAGE</v>
      </c>
      <c r="Q155" s="191">
        <v>2310</v>
      </c>
      <c r="R155" s="224">
        <v>7.23</v>
      </c>
      <c r="S155" s="225">
        <f t="shared" si="22"/>
        <v>16701.3</v>
      </c>
      <c r="T155" s="226">
        <f t="shared" si="28"/>
        <v>279786.72000000003</v>
      </c>
      <c r="U155" s="227"/>
      <c r="V155" s="228">
        <f t="shared" si="23"/>
        <v>279786.72000000003</v>
      </c>
      <c r="W155" s="4">
        <f>VLOOKUP(O155,[1]Feuil2!$A:$M,6,FALSE)</f>
        <v>6</v>
      </c>
      <c r="X155" s="5">
        <f>VLOOKUP(O155,[1]Feuil2!$A:$M,13,FALSE)</f>
        <v>2.3789999999999999E-2</v>
      </c>
      <c r="Y155" s="6">
        <f t="shared" si="26"/>
        <v>9.1591500000000003</v>
      </c>
      <c r="Z155" s="229">
        <f t="shared" si="24"/>
        <v>143.77948600000005</v>
      </c>
      <c r="AA155" s="69" t="s">
        <v>57</v>
      </c>
      <c r="AB155" s="23" t="s">
        <v>48</v>
      </c>
      <c r="AC155" s="191" t="s">
        <v>55</v>
      </c>
      <c r="AD155" s="21" t="s">
        <v>57</v>
      </c>
      <c r="AE155" s="20">
        <v>45826</v>
      </c>
      <c r="AF155" s="47" t="s">
        <v>321</v>
      </c>
      <c r="AG155" s="21" t="s">
        <v>57</v>
      </c>
      <c r="AH155" s="209"/>
      <c r="AI155" s="160">
        <v>45797</v>
      </c>
      <c r="AJ155" s="145">
        <f t="shared" si="27"/>
        <v>60</v>
      </c>
      <c r="AK155" s="100">
        <f>VLOOKUP(AP155,'[3]CONTENEUR PLEIN'!$F:$L,3,FALSE)</f>
        <v>45857</v>
      </c>
      <c r="AL155" s="99">
        <f>VLOOKUP(AP155,'[3]CONTENEUR PLEIN'!$F:$L,5,FALSE)</f>
        <v>45907</v>
      </c>
      <c r="AM155" s="18">
        <f>VLOOKUP(AP155,'[3]CONTENEUR PLEIN'!$F:$L,7,FALSE)</f>
        <v>45918.333333333336</v>
      </c>
      <c r="AN155" s="191" t="s">
        <v>63</v>
      </c>
      <c r="AO155" s="191" t="s">
        <v>356</v>
      </c>
      <c r="AP155" s="191" t="s">
        <v>357</v>
      </c>
      <c r="AQ155" s="191" t="s">
        <v>358</v>
      </c>
      <c r="AR155" s="191" t="e">
        <f>VLOOKUP(AP155,'[2]CONTENEUR PLEIN'!$F:$L,2,FALSE)</f>
        <v>#N/A</v>
      </c>
      <c r="AS155" s="191" t="s">
        <v>316</v>
      </c>
      <c r="AT155" s="209"/>
    </row>
    <row r="156" spans="1:47" s="72" customFormat="1" hidden="1" x14ac:dyDescent="0.25">
      <c r="A156" s="197"/>
      <c r="B156" s="232" t="s">
        <v>45</v>
      </c>
      <c r="C156" s="194">
        <v>45547</v>
      </c>
      <c r="D156" s="191">
        <v>24078</v>
      </c>
      <c r="E156" s="195" t="s">
        <v>111</v>
      </c>
      <c r="F156" s="191">
        <v>2409121448</v>
      </c>
      <c r="G156" s="191" t="s">
        <v>74</v>
      </c>
      <c r="H156" s="191" t="s">
        <v>50</v>
      </c>
      <c r="I156" s="191" t="s">
        <v>49</v>
      </c>
      <c r="J156" s="191" t="s">
        <v>131</v>
      </c>
      <c r="K156" s="16" t="s">
        <v>457</v>
      </c>
      <c r="L156" s="194">
        <v>45875</v>
      </c>
      <c r="M156" s="381">
        <f t="shared" si="25"/>
        <v>12</v>
      </c>
      <c r="N156" s="209" t="s">
        <v>62</v>
      </c>
      <c r="O156" s="223">
        <v>32000007</v>
      </c>
      <c r="P156" s="24" t="str">
        <f>VLOOKUP(O156,[1]Feuil2!$A:$M,5,FALSE)</f>
        <v>M24 PASSION IMIT BOIS CLAIR BOITE LAGUIOLE HERITAGE</v>
      </c>
      <c r="Q156" s="191">
        <v>3132</v>
      </c>
      <c r="R156" s="224">
        <v>7.99</v>
      </c>
      <c r="S156" s="225">
        <f t="shared" si="22"/>
        <v>25024.68</v>
      </c>
      <c r="T156" s="226">
        <f t="shared" si="28"/>
        <v>279786.72000000003</v>
      </c>
      <c r="U156" s="227"/>
      <c r="V156" s="228">
        <f t="shared" si="23"/>
        <v>279786.72000000003</v>
      </c>
      <c r="W156" s="4">
        <f>VLOOKUP(O156,[1]Feuil2!$A:$M,6,FALSE)</f>
        <v>6</v>
      </c>
      <c r="X156" s="5">
        <f>VLOOKUP(O156,[1]Feuil2!$A:$M,13,FALSE)</f>
        <v>2.3789999999999999E-2</v>
      </c>
      <c r="Y156" s="6">
        <f t="shared" si="26"/>
        <v>12.418379999999999</v>
      </c>
      <c r="Z156" s="229">
        <f t="shared" si="24"/>
        <v>143.77948600000005</v>
      </c>
      <c r="AA156" s="69" t="s">
        <v>57</v>
      </c>
      <c r="AB156" s="23" t="s">
        <v>48</v>
      </c>
      <c r="AC156" s="191" t="s">
        <v>55</v>
      </c>
      <c r="AD156" s="21" t="s">
        <v>57</v>
      </c>
      <c r="AE156" s="20">
        <v>45834</v>
      </c>
      <c r="AF156" s="47" t="s">
        <v>332</v>
      </c>
      <c r="AG156" s="21" t="s">
        <v>57</v>
      </c>
      <c r="AH156" s="209"/>
      <c r="AI156" s="160">
        <v>45797</v>
      </c>
      <c r="AJ156" s="145">
        <f t="shared" si="27"/>
        <v>60</v>
      </c>
      <c r="AK156" s="100">
        <f>VLOOKUP(AP156,'[3]CONTENEUR PLEIN'!$F:$L,3,FALSE)</f>
        <v>45857</v>
      </c>
      <c r="AL156" s="99">
        <f>VLOOKUP(AP156,'[3]CONTENEUR PLEIN'!$F:$L,5,FALSE)</f>
        <v>45907</v>
      </c>
      <c r="AM156" s="18">
        <f>VLOOKUP(AP156,'[3]CONTENEUR PLEIN'!$F:$L,7,FALSE)</f>
        <v>45919.291666666664</v>
      </c>
      <c r="AN156" s="191" t="s">
        <v>63</v>
      </c>
      <c r="AO156" s="191" t="s">
        <v>360</v>
      </c>
      <c r="AP156" s="191" t="s">
        <v>361</v>
      </c>
      <c r="AQ156" s="191" t="s">
        <v>362</v>
      </c>
      <c r="AR156" s="191" t="e">
        <f>VLOOKUP(AP156,'[2]CONTENEUR PLEIN'!$F:$L,2,FALSE)</f>
        <v>#N/A</v>
      </c>
      <c r="AS156" s="191" t="s">
        <v>316</v>
      </c>
      <c r="AT156" s="209"/>
    </row>
    <row r="157" spans="1:47" s="278" customFormat="1" hidden="1" x14ac:dyDescent="0.25">
      <c r="A157" s="197"/>
      <c r="B157" s="232" t="s">
        <v>45</v>
      </c>
      <c r="C157" s="194">
        <v>45547</v>
      </c>
      <c r="D157" s="191">
        <v>24078</v>
      </c>
      <c r="E157" s="195" t="s">
        <v>111</v>
      </c>
      <c r="F157" s="191">
        <v>2409121448</v>
      </c>
      <c r="G157" s="191" t="s">
        <v>74</v>
      </c>
      <c r="H157" s="191" t="s">
        <v>50</v>
      </c>
      <c r="I157" s="191" t="s">
        <v>49</v>
      </c>
      <c r="J157" s="191" t="s">
        <v>131</v>
      </c>
      <c r="K157" s="16" t="s">
        <v>457</v>
      </c>
      <c r="L157" s="194">
        <v>45875</v>
      </c>
      <c r="M157" s="381">
        <f t="shared" si="25"/>
        <v>12</v>
      </c>
      <c r="N157" s="209" t="s">
        <v>62</v>
      </c>
      <c r="O157" s="223">
        <v>32000008</v>
      </c>
      <c r="P157" s="24" t="str">
        <f>VLOOKUP(O157,[1]Feuil2!$A:$M,5,FALSE)</f>
        <v>M24 PASSION IMIT BOIS GRIS BOITE LAGUIOLE HERITAGE</v>
      </c>
      <c r="Q157" s="191">
        <f>3600-594</f>
        <v>3006</v>
      </c>
      <c r="R157" s="224">
        <v>7.99</v>
      </c>
      <c r="S157" s="225">
        <f t="shared" si="22"/>
        <v>24017.940000000002</v>
      </c>
      <c r="T157" s="226">
        <f t="shared" si="28"/>
        <v>279786.72000000003</v>
      </c>
      <c r="U157" s="227"/>
      <c r="V157" s="228">
        <f t="shared" si="23"/>
        <v>279786.72000000003</v>
      </c>
      <c r="W157" s="4">
        <f>VLOOKUP(O157,[1]Feuil2!$A:$M,6,FALSE)</f>
        <v>6</v>
      </c>
      <c r="X157" s="5">
        <f>VLOOKUP(O157,[1]Feuil2!$A:$M,13,FALSE)</f>
        <v>2.3789999999999999E-2</v>
      </c>
      <c r="Y157" s="6">
        <f t="shared" si="26"/>
        <v>11.91879</v>
      </c>
      <c r="Z157" s="229">
        <f t="shared" si="24"/>
        <v>143.77948600000005</v>
      </c>
      <c r="AA157" s="69" t="s">
        <v>57</v>
      </c>
      <c r="AB157" s="23" t="s">
        <v>48</v>
      </c>
      <c r="AC157" s="191" t="s">
        <v>55</v>
      </c>
      <c r="AD157" s="21" t="s">
        <v>57</v>
      </c>
      <c r="AE157" s="20">
        <v>45834</v>
      </c>
      <c r="AF157" s="47" t="s">
        <v>333</v>
      </c>
      <c r="AG157" s="21" t="s">
        <v>57</v>
      </c>
      <c r="AH157" s="209"/>
      <c r="AI157" s="160">
        <v>45797</v>
      </c>
      <c r="AJ157" s="145">
        <f t="shared" si="27"/>
        <v>60</v>
      </c>
      <c r="AK157" s="100">
        <f>VLOOKUP(AP157,'[3]CONTENEUR PLEIN'!$F:$L,3,FALSE)</f>
        <v>45857</v>
      </c>
      <c r="AL157" s="99">
        <f>VLOOKUP(AP157,'[3]CONTENEUR PLEIN'!$F:$L,5,FALSE)</f>
        <v>45907</v>
      </c>
      <c r="AM157" s="18">
        <f>VLOOKUP(AP157,'[3]CONTENEUR PLEIN'!$F:$L,7,FALSE)</f>
        <v>45919.291666666664</v>
      </c>
      <c r="AN157" s="191" t="s">
        <v>63</v>
      </c>
      <c r="AO157" s="191" t="s">
        <v>360</v>
      </c>
      <c r="AP157" s="191" t="s">
        <v>361</v>
      </c>
      <c r="AQ157" s="191" t="s">
        <v>362</v>
      </c>
      <c r="AR157" s="191" t="e">
        <f>VLOOKUP(AP157,'[2]CONTENEUR PLEIN'!$F:$L,2,FALSE)</f>
        <v>#N/A</v>
      </c>
      <c r="AS157" s="191" t="s">
        <v>316</v>
      </c>
      <c r="AT157" s="102" t="s">
        <v>589</v>
      </c>
      <c r="AU157" s="72"/>
    </row>
    <row r="158" spans="1:47" s="72" customFormat="1" hidden="1" x14ac:dyDescent="0.25">
      <c r="A158" s="197"/>
      <c r="B158" s="232" t="s">
        <v>45</v>
      </c>
      <c r="C158" s="194">
        <v>45547</v>
      </c>
      <c r="D158" s="191">
        <v>24078</v>
      </c>
      <c r="E158" s="195" t="s">
        <v>111</v>
      </c>
      <c r="F158" s="191">
        <v>2409121448</v>
      </c>
      <c r="G158" s="191" t="s">
        <v>74</v>
      </c>
      <c r="H158" s="191" t="s">
        <v>50</v>
      </c>
      <c r="I158" s="191" t="s">
        <v>49</v>
      </c>
      <c r="J158" s="191" t="s">
        <v>131</v>
      </c>
      <c r="K158" s="16" t="s">
        <v>457</v>
      </c>
      <c r="L158" s="194">
        <v>45875</v>
      </c>
      <c r="M158" s="381">
        <f t="shared" si="25"/>
        <v>12</v>
      </c>
      <c r="N158" s="209" t="s">
        <v>62</v>
      </c>
      <c r="O158" s="223">
        <v>32000009</v>
      </c>
      <c r="P158" s="24" t="str">
        <f>VLOOKUP(O158,[1]Feuil2!$A:$M,5,FALSE)</f>
        <v>M24 PASSION IMIT BOIS FONCE BOITE LAGUIOLE HERITAGE</v>
      </c>
      <c r="Q158" s="191">
        <v>3294</v>
      </c>
      <c r="R158" s="224">
        <v>7.99</v>
      </c>
      <c r="S158" s="225">
        <f t="shared" si="22"/>
        <v>26319.06</v>
      </c>
      <c r="T158" s="226">
        <f t="shared" si="28"/>
        <v>279786.72000000003</v>
      </c>
      <c r="U158" s="227"/>
      <c r="V158" s="228">
        <f t="shared" si="23"/>
        <v>279786.72000000003</v>
      </c>
      <c r="W158" s="4">
        <f>VLOOKUP(O158,[1]Feuil2!$A:$M,6,FALSE)</f>
        <v>6</v>
      </c>
      <c r="X158" s="5">
        <f>VLOOKUP(O158,[1]Feuil2!$A:$M,13,FALSE)</f>
        <v>2.3789999999999999E-2</v>
      </c>
      <c r="Y158" s="6">
        <f t="shared" si="26"/>
        <v>13.060709999999998</v>
      </c>
      <c r="Z158" s="229">
        <f t="shared" si="24"/>
        <v>143.77948600000005</v>
      </c>
      <c r="AA158" s="69" t="s">
        <v>57</v>
      </c>
      <c r="AB158" s="23" t="s">
        <v>48</v>
      </c>
      <c r="AC158" s="191" t="s">
        <v>55</v>
      </c>
      <c r="AD158" s="21" t="s">
        <v>57</v>
      </c>
      <c r="AE158" s="20">
        <v>45834</v>
      </c>
      <c r="AF158" s="47" t="s">
        <v>334</v>
      </c>
      <c r="AG158" s="21" t="s">
        <v>57</v>
      </c>
      <c r="AH158" s="209"/>
      <c r="AI158" s="160">
        <v>45797</v>
      </c>
      <c r="AJ158" s="145">
        <f t="shared" si="27"/>
        <v>60</v>
      </c>
      <c r="AK158" s="100">
        <f>VLOOKUP(AP158,'[3]CONTENEUR PLEIN'!$F:$L,3,FALSE)</f>
        <v>45857</v>
      </c>
      <c r="AL158" s="99">
        <f>VLOOKUP(AP158,'[3]CONTENEUR PLEIN'!$F:$L,5,FALSE)</f>
        <v>45907</v>
      </c>
      <c r="AM158" s="18">
        <f>VLOOKUP(AP158,'[3]CONTENEUR PLEIN'!$F:$L,7,FALSE)</f>
        <v>45919.291666666664</v>
      </c>
      <c r="AN158" s="191" t="s">
        <v>63</v>
      </c>
      <c r="AO158" s="191" t="s">
        <v>360</v>
      </c>
      <c r="AP158" s="191" t="s">
        <v>361</v>
      </c>
      <c r="AQ158" s="191" t="s">
        <v>362</v>
      </c>
      <c r="AR158" s="191" t="e">
        <f>VLOOKUP(AP158,'[2]CONTENEUR PLEIN'!$F:$L,2,FALSE)</f>
        <v>#N/A</v>
      </c>
      <c r="AS158" s="191" t="s">
        <v>316</v>
      </c>
      <c r="AT158" s="209"/>
    </row>
    <row r="159" spans="1:47" s="72" customFormat="1" hidden="1" x14ac:dyDescent="0.25">
      <c r="A159" s="197"/>
      <c r="B159" s="232" t="s">
        <v>45</v>
      </c>
      <c r="C159" s="194">
        <v>45547</v>
      </c>
      <c r="D159" s="191">
        <v>24078</v>
      </c>
      <c r="E159" s="195" t="s">
        <v>111</v>
      </c>
      <c r="F159" s="191">
        <v>2409121448</v>
      </c>
      <c r="G159" s="191" t="s">
        <v>74</v>
      </c>
      <c r="H159" s="191" t="s">
        <v>50</v>
      </c>
      <c r="I159" s="191" t="s">
        <v>49</v>
      </c>
      <c r="J159" s="191" t="s">
        <v>131</v>
      </c>
      <c r="K159" s="16" t="s">
        <v>449</v>
      </c>
      <c r="L159" s="194">
        <v>45875</v>
      </c>
      <c r="M159" s="381">
        <f t="shared" si="25"/>
        <v>12</v>
      </c>
      <c r="N159" s="209" t="s">
        <v>49</v>
      </c>
      <c r="O159" s="223">
        <v>32000010</v>
      </c>
      <c r="P159" s="24" t="str">
        <f>VLOOKUP(O159,[1]Feuil2!$A:$M,5,FALSE)</f>
        <v>COUTEAU LAGUIOLE PASSION ABS GRIS 7C + GENCOD</v>
      </c>
      <c r="Q159" s="191">
        <v>2400</v>
      </c>
      <c r="R159" s="224">
        <v>0.3</v>
      </c>
      <c r="S159" s="225">
        <f t="shared" si="22"/>
        <v>720</v>
      </c>
      <c r="T159" s="226">
        <f t="shared" si="28"/>
        <v>279786.72000000003</v>
      </c>
      <c r="U159" s="227"/>
      <c r="V159" s="228">
        <f t="shared" si="23"/>
        <v>279786.72000000003</v>
      </c>
      <c r="W159" s="4">
        <f>VLOOKUP(O159,[1]Feuil2!$A:$M,6,FALSE)</f>
        <v>240</v>
      </c>
      <c r="X159" s="5">
        <f>VLOOKUP(O159,[1]Feuil2!$A:$M,13,FALSE)</f>
        <v>2.9376000000000006E-2</v>
      </c>
      <c r="Y159" s="6">
        <f t="shared" si="26"/>
        <v>0.29376000000000008</v>
      </c>
      <c r="Z159" s="229">
        <f t="shared" si="24"/>
        <v>143.77948600000005</v>
      </c>
      <c r="AA159" s="69" t="s">
        <v>57</v>
      </c>
      <c r="AB159" s="23" t="s">
        <v>48</v>
      </c>
      <c r="AC159" s="191" t="s">
        <v>55</v>
      </c>
      <c r="AD159" s="21" t="s">
        <v>57</v>
      </c>
      <c r="AE159" s="20">
        <v>45826</v>
      </c>
      <c r="AF159" s="47" t="s">
        <v>322</v>
      </c>
      <c r="AG159" s="21" t="s">
        <v>57</v>
      </c>
      <c r="AH159" s="209"/>
      <c r="AI159" s="160">
        <v>45797</v>
      </c>
      <c r="AJ159" s="145">
        <f t="shared" si="27"/>
        <v>60</v>
      </c>
      <c r="AK159" s="100">
        <f>VLOOKUP(AP159,'[3]CONTENEUR PLEIN'!$F:$L,3,FALSE)</f>
        <v>45857</v>
      </c>
      <c r="AL159" s="99">
        <f>VLOOKUP(AP159,'[3]CONTENEUR PLEIN'!$F:$L,5,FALSE)</f>
        <v>45907</v>
      </c>
      <c r="AM159" s="18">
        <f>VLOOKUP(AP159,'[3]CONTENEUR PLEIN'!$F:$L,7,FALSE)</f>
        <v>45918.333333333336</v>
      </c>
      <c r="AN159" s="191" t="s">
        <v>63</v>
      </c>
      <c r="AO159" s="191" t="s">
        <v>356</v>
      </c>
      <c r="AP159" s="191" t="s">
        <v>357</v>
      </c>
      <c r="AQ159" s="191" t="s">
        <v>358</v>
      </c>
      <c r="AR159" s="191" t="e">
        <f>VLOOKUP(AP159,'[2]CONTENEUR PLEIN'!$F:$L,2,FALSE)</f>
        <v>#N/A</v>
      </c>
      <c r="AS159" s="191" t="s">
        <v>316</v>
      </c>
      <c r="AT159" s="209"/>
    </row>
    <row r="160" spans="1:47" s="72" customFormat="1" hidden="1" x14ac:dyDescent="0.25">
      <c r="A160" s="197"/>
      <c r="B160" s="232" t="s">
        <v>45</v>
      </c>
      <c r="C160" s="194">
        <v>45547</v>
      </c>
      <c r="D160" s="191">
        <v>24078</v>
      </c>
      <c r="E160" s="195" t="s">
        <v>111</v>
      </c>
      <c r="F160" s="191">
        <v>2409121448</v>
      </c>
      <c r="G160" s="191" t="s">
        <v>74</v>
      </c>
      <c r="H160" s="191" t="s">
        <v>50</v>
      </c>
      <c r="I160" s="191" t="s">
        <v>49</v>
      </c>
      <c r="J160" s="191" t="s">
        <v>131</v>
      </c>
      <c r="K160" s="16" t="s">
        <v>449</v>
      </c>
      <c r="L160" s="194">
        <v>45875</v>
      </c>
      <c r="M160" s="381">
        <f t="shared" si="25"/>
        <v>12</v>
      </c>
      <c r="N160" s="209" t="s">
        <v>49</v>
      </c>
      <c r="O160" s="223">
        <v>32000011</v>
      </c>
      <c r="P160" s="24" t="str">
        <f>VLOOKUP(O160,[1]Feuil2!$A:$M,5,FALSE)</f>
        <v>FOURCHETTE LAGUIOLE PASSION ABS GRIS 7C + GENCOD</v>
      </c>
      <c r="Q160" s="191">
        <v>2160</v>
      </c>
      <c r="R160" s="224">
        <v>0.315</v>
      </c>
      <c r="S160" s="225">
        <f t="shared" si="22"/>
        <v>680.4</v>
      </c>
      <c r="T160" s="226">
        <f t="shared" si="28"/>
        <v>279786.72000000003</v>
      </c>
      <c r="U160" s="227"/>
      <c r="V160" s="228">
        <f t="shared" si="23"/>
        <v>279786.72000000003</v>
      </c>
      <c r="W160" s="4">
        <f>VLOOKUP(O160,[1]Feuil2!$A:$M,6,FALSE)</f>
        <v>240</v>
      </c>
      <c r="X160" s="5">
        <f>VLOOKUP(O160,[1]Feuil2!$A:$M,13,FALSE)</f>
        <v>2.9791999999999999E-2</v>
      </c>
      <c r="Y160" s="6">
        <f t="shared" si="26"/>
        <v>0.26812799999999998</v>
      </c>
      <c r="Z160" s="229">
        <f t="shared" si="24"/>
        <v>143.77948600000005</v>
      </c>
      <c r="AA160" s="69" t="s">
        <v>57</v>
      </c>
      <c r="AB160" s="23" t="s">
        <v>48</v>
      </c>
      <c r="AC160" s="191" t="s">
        <v>55</v>
      </c>
      <c r="AD160" s="21" t="s">
        <v>57</v>
      </c>
      <c r="AE160" s="20">
        <v>45826</v>
      </c>
      <c r="AF160" s="47" t="s">
        <v>323</v>
      </c>
      <c r="AG160" s="21" t="s">
        <v>57</v>
      </c>
      <c r="AH160" s="209"/>
      <c r="AI160" s="160">
        <v>45797</v>
      </c>
      <c r="AJ160" s="145">
        <f t="shared" si="27"/>
        <v>60</v>
      </c>
      <c r="AK160" s="100">
        <f>VLOOKUP(AP160,'[3]CONTENEUR PLEIN'!$F:$L,3,FALSE)</f>
        <v>45857</v>
      </c>
      <c r="AL160" s="99">
        <f>VLOOKUP(AP160,'[3]CONTENEUR PLEIN'!$F:$L,5,FALSE)</f>
        <v>45907</v>
      </c>
      <c r="AM160" s="18">
        <f>VLOOKUP(AP160,'[3]CONTENEUR PLEIN'!$F:$L,7,FALSE)</f>
        <v>45918.333333333336</v>
      </c>
      <c r="AN160" s="191" t="s">
        <v>63</v>
      </c>
      <c r="AO160" s="191" t="s">
        <v>356</v>
      </c>
      <c r="AP160" s="191" t="s">
        <v>357</v>
      </c>
      <c r="AQ160" s="191" t="s">
        <v>358</v>
      </c>
      <c r="AR160" s="191" t="e">
        <f>VLOOKUP(AP160,'[2]CONTENEUR PLEIN'!$F:$L,2,FALSE)</f>
        <v>#N/A</v>
      </c>
      <c r="AS160" s="191" t="s">
        <v>316</v>
      </c>
      <c r="AT160" s="209"/>
    </row>
    <row r="161" spans="1:47" s="72" customFormat="1" hidden="1" x14ac:dyDescent="0.25">
      <c r="A161" s="197"/>
      <c r="B161" s="232" t="s">
        <v>45</v>
      </c>
      <c r="C161" s="194">
        <v>45547</v>
      </c>
      <c r="D161" s="191">
        <v>24078</v>
      </c>
      <c r="E161" s="195" t="s">
        <v>111</v>
      </c>
      <c r="F161" s="191">
        <v>2409121448</v>
      </c>
      <c r="G161" s="191" t="s">
        <v>74</v>
      </c>
      <c r="H161" s="191" t="s">
        <v>50</v>
      </c>
      <c r="I161" s="191" t="s">
        <v>49</v>
      </c>
      <c r="J161" s="191" t="s">
        <v>131</v>
      </c>
      <c r="K161" s="16" t="s">
        <v>449</v>
      </c>
      <c r="L161" s="194">
        <v>45875</v>
      </c>
      <c r="M161" s="381">
        <f t="shared" si="25"/>
        <v>12</v>
      </c>
      <c r="N161" s="209" t="s">
        <v>49</v>
      </c>
      <c r="O161" s="223">
        <v>32000012</v>
      </c>
      <c r="P161" s="24" t="str">
        <f>VLOOKUP(O161,[1]Feuil2!$A:$M,5,FALSE)</f>
        <v>CUILLERE LAGUIOLE PASSION ABS GRIS 7C + GENCOD</v>
      </c>
      <c r="Q161" s="191">
        <v>1920</v>
      </c>
      <c r="R161" s="224">
        <v>0.314</v>
      </c>
      <c r="S161" s="225">
        <f t="shared" si="22"/>
        <v>602.88</v>
      </c>
      <c r="T161" s="226">
        <f t="shared" si="28"/>
        <v>279786.72000000003</v>
      </c>
      <c r="U161" s="227"/>
      <c r="V161" s="228">
        <f t="shared" si="23"/>
        <v>279786.72000000003</v>
      </c>
      <c r="W161" s="4">
        <f>VLOOKUP(O161,[1]Feuil2!$A:$M,6,FALSE)</f>
        <v>240</v>
      </c>
      <c r="X161" s="5">
        <f>VLOOKUP(O161,[1]Feuil2!$A:$M,13,FALSE)</f>
        <v>2.9791999999999999E-2</v>
      </c>
      <c r="Y161" s="6">
        <f t="shared" si="26"/>
        <v>0.23833599999999999</v>
      </c>
      <c r="Z161" s="229">
        <f t="shared" si="24"/>
        <v>143.77948600000005</v>
      </c>
      <c r="AA161" s="69" t="s">
        <v>57</v>
      </c>
      <c r="AB161" s="23" t="s">
        <v>48</v>
      </c>
      <c r="AC161" s="191" t="s">
        <v>55</v>
      </c>
      <c r="AD161" s="21" t="s">
        <v>57</v>
      </c>
      <c r="AE161" s="20">
        <v>45826</v>
      </c>
      <c r="AF161" s="47" t="s">
        <v>325</v>
      </c>
      <c r="AG161" s="21" t="s">
        <v>57</v>
      </c>
      <c r="AH161" s="209"/>
      <c r="AI161" s="160">
        <v>45797</v>
      </c>
      <c r="AJ161" s="145">
        <f t="shared" si="27"/>
        <v>60</v>
      </c>
      <c r="AK161" s="100">
        <f>VLOOKUP(AP161,'[3]CONTENEUR PLEIN'!$F:$L,3,FALSE)</f>
        <v>45857</v>
      </c>
      <c r="AL161" s="99">
        <f>VLOOKUP(AP161,'[3]CONTENEUR PLEIN'!$F:$L,5,FALSE)</f>
        <v>45907</v>
      </c>
      <c r="AM161" s="18">
        <f>VLOOKUP(AP161,'[3]CONTENEUR PLEIN'!$F:$L,7,FALSE)</f>
        <v>45918.333333333336</v>
      </c>
      <c r="AN161" s="191" t="s">
        <v>63</v>
      </c>
      <c r="AO161" s="191" t="s">
        <v>356</v>
      </c>
      <c r="AP161" s="191" t="s">
        <v>357</v>
      </c>
      <c r="AQ161" s="191" t="s">
        <v>358</v>
      </c>
      <c r="AR161" s="191" t="e">
        <f>VLOOKUP(AP161,'[2]CONTENEUR PLEIN'!$F:$L,2,FALSE)</f>
        <v>#N/A</v>
      </c>
      <c r="AS161" s="191" t="s">
        <v>316</v>
      </c>
      <c r="AT161" s="209"/>
    </row>
    <row r="162" spans="1:47" s="72" customFormat="1" hidden="1" x14ac:dyDescent="0.25">
      <c r="A162" s="197"/>
      <c r="B162" s="232" t="s">
        <v>45</v>
      </c>
      <c r="C162" s="194">
        <v>45547</v>
      </c>
      <c r="D162" s="191">
        <v>24078</v>
      </c>
      <c r="E162" s="195" t="s">
        <v>111</v>
      </c>
      <c r="F162" s="191">
        <v>2409121448</v>
      </c>
      <c r="G162" s="191" t="s">
        <v>74</v>
      </c>
      <c r="H162" s="191" t="s">
        <v>50</v>
      </c>
      <c r="I162" s="191" t="s">
        <v>49</v>
      </c>
      <c r="J162" s="191" t="s">
        <v>131</v>
      </c>
      <c r="K162" s="16" t="s">
        <v>449</v>
      </c>
      <c r="L162" s="194">
        <v>45875</v>
      </c>
      <c r="M162" s="381">
        <f t="shared" si="25"/>
        <v>12</v>
      </c>
      <c r="N162" s="209" t="s">
        <v>49</v>
      </c>
      <c r="O162" s="223">
        <v>32000013</v>
      </c>
      <c r="P162" s="24" t="str">
        <f>VLOOKUP(O162,[1]Feuil2!$A:$M,5,FALSE)</f>
        <v>CAFE LAGUIOLE PASSION ABS GRIS 7C + GENCOD</v>
      </c>
      <c r="Q162" s="191">
        <v>2400</v>
      </c>
      <c r="R162" s="224">
        <v>0.28000000000000003</v>
      </c>
      <c r="S162" s="225">
        <f t="shared" si="22"/>
        <v>672.00000000000011</v>
      </c>
      <c r="T162" s="226">
        <f t="shared" si="28"/>
        <v>279786.72000000003</v>
      </c>
      <c r="U162" s="227"/>
      <c r="V162" s="228">
        <f t="shared" si="23"/>
        <v>279786.72000000003</v>
      </c>
      <c r="W162" s="4">
        <f>VLOOKUP(O162,[1]Feuil2!$A:$M,6,FALSE)</f>
        <v>240</v>
      </c>
      <c r="X162" s="5">
        <f>VLOOKUP(O162,[1]Feuil2!$A:$M,13,FALSE)</f>
        <v>2.052E-2</v>
      </c>
      <c r="Y162" s="6">
        <f t="shared" si="26"/>
        <v>0.20519999999999999</v>
      </c>
      <c r="Z162" s="229">
        <f t="shared" si="24"/>
        <v>143.77948600000005</v>
      </c>
      <c r="AA162" s="69" t="s">
        <v>57</v>
      </c>
      <c r="AB162" s="23" t="s">
        <v>48</v>
      </c>
      <c r="AC162" s="191" t="s">
        <v>55</v>
      </c>
      <c r="AD162" s="21" t="s">
        <v>57</v>
      </c>
      <c r="AE162" s="20">
        <v>45826</v>
      </c>
      <c r="AF162" s="47" t="s">
        <v>324</v>
      </c>
      <c r="AG162" s="21" t="s">
        <v>57</v>
      </c>
      <c r="AH162" s="209"/>
      <c r="AI162" s="160">
        <v>45797</v>
      </c>
      <c r="AJ162" s="145">
        <f t="shared" si="27"/>
        <v>60</v>
      </c>
      <c r="AK162" s="100">
        <f>VLOOKUP(AP162,'[3]CONTENEUR PLEIN'!$F:$L,3,FALSE)</f>
        <v>45857</v>
      </c>
      <c r="AL162" s="99">
        <f>VLOOKUP(AP162,'[3]CONTENEUR PLEIN'!$F:$L,5,FALSE)</f>
        <v>45907</v>
      </c>
      <c r="AM162" s="18">
        <f>VLOOKUP(AP162,'[3]CONTENEUR PLEIN'!$F:$L,7,FALSE)</f>
        <v>45918.333333333336</v>
      </c>
      <c r="AN162" s="191" t="s">
        <v>63</v>
      </c>
      <c r="AO162" s="191" t="s">
        <v>356</v>
      </c>
      <c r="AP162" s="191" t="s">
        <v>357</v>
      </c>
      <c r="AQ162" s="191" t="s">
        <v>358</v>
      </c>
      <c r="AR162" s="191" t="e">
        <f>VLOOKUP(AP162,'[2]CONTENEUR PLEIN'!$F:$L,2,FALSE)</f>
        <v>#N/A</v>
      </c>
      <c r="AS162" s="191" t="s">
        <v>316</v>
      </c>
      <c r="AT162" s="209"/>
    </row>
    <row r="163" spans="1:47" s="72" customFormat="1" hidden="1" x14ac:dyDescent="0.25">
      <c r="A163" s="71"/>
      <c r="B163" s="88" t="s">
        <v>45</v>
      </c>
      <c r="C163" s="89">
        <v>45547</v>
      </c>
      <c r="D163" s="90">
        <v>24078</v>
      </c>
      <c r="E163" s="91" t="s">
        <v>111</v>
      </c>
      <c r="F163" s="90">
        <v>2409121448</v>
      </c>
      <c r="G163" s="90" t="s">
        <v>74</v>
      </c>
      <c r="H163" s="90" t="s">
        <v>67</v>
      </c>
      <c r="I163" s="90" t="s">
        <v>49</v>
      </c>
      <c r="J163" s="90" t="s">
        <v>131</v>
      </c>
      <c r="K163" s="16" t="s">
        <v>349</v>
      </c>
      <c r="L163" s="89">
        <v>45790</v>
      </c>
      <c r="M163" s="381">
        <f t="shared" si="25"/>
        <v>9</v>
      </c>
      <c r="N163" s="98" t="s">
        <v>49</v>
      </c>
      <c r="O163" s="92">
        <v>32000025</v>
      </c>
      <c r="P163" s="24" t="str">
        <f>VLOOKUP(O163,[1]Feuil2!$A:$M,5,FALSE)</f>
        <v>CAFE LAGUIOLE PASSION ABS NOIR 6C + GENCOD</v>
      </c>
      <c r="Q163" s="90">
        <v>12000</v>
      </c>
      <c r="R163" s="93">
        <v>0.28000000000000003</v>
      </c>
      <c r="S163" s="94">
        <f t="shared" si="22"/>
        <v>3360.0000000000005</v>
      </c>
      <c r="T163" s="95">
        <f t="shared" si="28"/>
        <v>279786.72000000003</v>
      </c>
      <c r="U163" s="138"/>
      <c r="V163" s="96">
        <f t="shared" si="23"/>
        <v>279786.72000000003</v>
      </c>
      <c r="W163" s="4">
        <f>VLOOKUP(O163,[1]Feuil2!$A:$M,6,FALSE)</f>
        <v>240</v>
      </c>
      <c r="X163" s="5">
        <f>VLOOKUP(O163,[1]Feuil2!$A:$M,13,FALSE)</f>
        <v>2.052E-2</v>
      </c>
      <c r="Y163" s="6">
        <f t="shared" si="26"/>
        <v>1.026</v>
      </c>
      <c r="Z163" s="97">
        <f t="shared" si="24"/>
        <v>143.77948600000005</v>
      </c>
      <c r="AA163" s="69" t="s">
        <v>57</v>
      </c>
      <c r="AB163" s="23" t="s">
        <v>48</v>
      </c>
      <c r="AC163" s="125" t="s">
        <v>55</v>
      </c>
      <c r="AD163" s="21" t="s">
        <v>57</v>
      </c>
      <c r="AE163" s="20">
        <v>45769</v>
      </c>
      <c r="AF163" s="47" t="s">
        <v>220</v>
      </c>
      <c r="AG163" s="21" t="s">
        <v>57</v>
      </c>
      <c r="AH163" s="98"/>
      <c r="AI163" s="135">
        <v>45731</v>
      </c>
      <c r="AJ163" s="145">
        <f t="shared" si="27"/>
        <v>57</v>
      </c>
      <c r="AK163" s="100">
        <f>VLOOKUP(AP163,'[3]CONTENEUR PLEIN'!$F:$L,3,FALSE)</f>
        <v>45788</v>
      </c>
      <c r="AL163" s="99">
        <f>VLOOKUP(AP163,'[3]CONTENEUR PLEIN'!$F:$L,5,FALSE)</f>
        <v>45834</v>
      </c>
      <c r="AM163" s="18">
        <f>VLOOKUP(AP163,'[3]CONTENEUR PLEIN'!$F:$L,7,FALSE)</f>
        <v>45845.291666666664</v>
      </c>
      <c r="AN163" s="90" t="s">
        <v>63</v>
      </c>
      <c r="AO163" s="129" t="s">
        <v>247</v>
      </c>
      <c r="AP163" s="129" t="s">
        <v>248</v>
      </c>
      <c r="AQ163" s="129" t="s">
        <v>262</v>
      </c>
      <c r="AR163" s="129" t="e">
        <f>VLOOKUP(AP163,'[2]CONTENEUR PLEIN'!$F:$L,2,FALSE)</f>
        <v>#N/A</v>
      </c>
      <c r="AS163" s="129" t="s">
        <v>51</v>
      </c>
      <c r="AT163" s="98"/>
    </row>
    <row r="164" spans="1:47" s="72" customFormat="1" hidden="1" x14ac:dyDescent="0.25">
      <c r="A164" s="71"/>
      <c r="B164" s="88" t="s">
        <v>45</v>
      </c>
      <c r="C164" s="89">
        <v>45547</v>
      </c>
      <c r="D164" s="90">
        <v>24078</v>
      </c>
      <c r="E164" s="91" t="s">
        <v>111</v>
      </c>
      <c r="F164" s="90">
        <v>2409121448</v>
      </c>
      <c r="G164" s="90" t="s">
        <v>74</v>
      </c>
      <c r="H164" s="90" t="s">
        <v>67</v>
      </c>
      <c r="I164" s="90" t="s">
        <v>49</v>
      </c>
      <c r="J164" s="90" t="s">
        <v>131</v>
      </c>
      <c r="K164" s="16" t="s">
        <v>349</v>
      </c>
      <c r="L164" s="89">
        <v>45790</v>
      </c>
      <c r="M164" s="381">
        <f t="shared" si="25"/>
        <v>9</v>
      </c>
      <c r="N164" s="98" t="s">
        <v>49</v>
      </c>
      <c r="O164" s="92">
        <v>32000026</v>
      </c>
      <c r="P164" s="24" t="str">
        <f>VLOOKUP(O164,[1]Feuil2!$A:$M,5,FALSE)</f>
        <v>COUTEAU LAGUIOLE PASSION ABS BLANC + GENCOD</v>
      </c>
      <c r="Q164" s="90">
        <f>12000-9840</f>
        <v>2160</v>
      </c>
      <c r="R164" s="93">
        <v>0.3</v>
      </c>
      <c r="S164" s="94">
        <f t="shared" si="22"/>
        <v>648</v>
      </c>
      <c r="T164" s="95">
        <f t="shared" si="28"/>
        <v>279786.72000000003</v>
      </c>
      <c r="U164" s="138"/>
      <c r="V164" s="96">
        <f t="shared" si="23"/>
        <v>279786.72000000003</v>
      </c>
      <c r="W164" s="4">
        <f>VLOOKUP(O164,[1]Feuil2!$A:$M,6,FALSE)</f>
        <v>240</v>
      </c>
      <c r="X164" s="5">
        <f>VLOOKUP(O164,[1]Feuil2!$A:$M,13,FALSE)</f>
        <v>2.9376000000000006E-2</v>
      </c>
      <c r="Y164" s="6">
        <f t="shared" si="26"/>
        <v>0.26438400000000006</v>
      </c>
      <c r="Z164" s="97">
        <f t="shared" si="24"/>
        <v>143.77948600000005</v>
      </c>
      <c r="AA164" s="69" t="s">
        <v>57</v>
      </c>
      <c r="AB164" s="23" t="s">
        <v>48</v>
      </c>
      <c r="AC164" s="125" t="s">
        <v>55</v>
      </c>
      <c r="AD164" s="21" t="s">
        <v>57</v>
      </c>
      <c r="AE164" s="20">
        <v>45733</v>
      </c>
      <c r="AF164" s="47" t="s">
        <v>180</v>
      </c>
      <c r="AG164" s="21" t="s">
        <v>57</v>
      </c>
      <c r="AH164" s="98"/>
      <c r="AI164" s="135">
        <v>45731</v>
      </c>
      <c r="AJ164" s="145">
        <f t="shared" si="27"/>
        <v>57</v>
      </c>
      <c r="AK164" s="100">
        <f>VLOOKUP(AP164,'[3]CONTENEUR PLEIN'!$F:$L,3,FALSE)</f>
        <v>45788</v>
      </c>
      <c r="AL164" s="99">
        <f>VLOOKUP(AP164,'[3]CONTENEUR PLEIN'!$F:$L,5,FALSE)</f>
        <v>45834</v>
      </c>
      <c r="AM164" s="18">
        <f>VLOOKUP(AP164,'[3]CONTENEUR PLEIN'!$F:$L,7,FALSE)</f>
        <v>45845.291666666664</v>
      </c>
      <c r="AN164" s="90" t="s">
        <v>63</v>
      </c>
      <c r="AO164" s="129" t="s">
        <v>247</v>
      </c>
      <c r="AP164" s="129" t="s">
        <v>248</v>
      </c>
      <c r="AQ164" s="129" t="s">
        <v>262</v>
      </c>
      <c r="AR164" s="129" t="e">
        <f>VLOOKUP(AP164,'[2]CONTENEUR PLEIN'!$F:$L,2,FALSE)</f>
        <v>#N/A</v>
      </c>
      <c r="AS164" s="129" t="s">
        <v>51</v>
      </c>
      <c r="AT164" s="98"/>
    </row>
    <row r="165" spans="1:47" s="72" customFormat="1" hidden="1" x14ac:dyDescent="0.25">
      <c r="A165" s="71"/>
      <c r="B165" s="88" t="s">
        <v>45</v>
      </c>
      <c r="C165" s="89">
        <v>45547</v>
      </c>
      <c r="D165" s="90">
        <v>24078</v>
      </c>
      <c r="E165" s="91" t="s">
        <v>111</v>
      </c>
      <c r="F165" s="90">
        <v>2409121448</v>
      </c>
      <c r="G165" s="90" t="s">
        <v>74</v>
      </c>
      <c r="H165" s="90" t="s">
        <v>67</v>
      </c>
      <c r="I165" s="90" t="s">
        <v>49</v>
      </c>
      <c r="J165" s="90" t="s">
        <v>131</v>
      </c>
      <c r="K165" s="16" t="s">
        <v>349</v>
      </c>
      <c r="L165" s="89">
        <v>45790</v>
      </c>
      <c r="M165" s="381">
        <f t="shared" si="25"/>
        <v>9</v>
      </c>
      <c r="N165" s="98" t="s">
        <v>49</v>
      </c>
      <c r="O165" s="92">
        <v>32000028</v>
      </c>
      <c r="P165" s="24" t="str">
        <f>VLOOKUP(O165,[1]Feuil2!$A:$M,5,FALSE)</f>
        <v>CUILLERE LAGUIOLE PASSION ABS BLANC + GENCOD</v>
      </c>
      <c r="Q165" s="90">
        <f>6000-4560</f>
        <v>1440</v>
      </c>
      <c r="R165" s="93">
        <v>0.314</v>
      </c>
      <c r="S165" s="94">
        <f t="shared" si="22"/>
        <v>452.16</v>
      </c>
      <c r="T165" s="95">
        <f t="shared" si="28"/>
        <v>279786.72000000003</v>
      </c>
      <c r="U165" s="138"/>
      <c r="V165" s="96">
        <f t="shared" si="23"/>
        <v>279786.72000000003</v>
      </c>
      <c r="W165" s="4">
        <f>VLOOKUP(O165,[1]Feuil2!$A:$M,6,FALSE)</f>
        <v>240</v>
      </c>
      <c r="X165" s="5">
        <f>VLOOKUP(O165,[1]Feuil2!$A:$M,13,FALSE)</f>
        <v>2.9791999999999999E-2</v>
      </c>
      <c r="Y165" s="6">
        <f t="shared" si="26"/>
        <v>0.17875199999999999</v>
      </c>
      <c r="Z165" s="97">
        <f t="shared" si="24"/>
        <v>143.77948600000005</v>
      </c>
      <c r="AA165" s="69" t="s">
        <v>57</v>
      </c>
      <c r="AB165" s="23" t="s">
        <v>48</v>
      </c>
      <c r="AC165" s="125" t="s">
        <v>55</v>
      </c>
      <c r="AD165" s="21" t="s">
        <v>57</v>
      </c>
      <c r="AE165" s="20">
        <v>45733</v>
      </c>
      <c r="AF165" s="47" t="s">
        <v>183</v>
      </c>
      <c r="AG165" s="21" t="s">
        <v>57</v>
      </c>
      <c r="AH165" s="98"/>
      <c r="AI165" s="135">
        <v>45731</v>
      </c>
      <c r="AJ165" s="145">
        <f t="shared" si="27"/>
        <v>57</v>
      </c>
      <c r="AK165" s="100">
        <f>VLOOKUP(AP165,'[3]CONTENEUR PLEIN'!$F:$L,3,FALSE)</f>
        <v>45788</v>
      </c>
      <c r="AL165" s="99">
        <f>VLOOKUP(AP165,'[3]CONTENEUR PLEIN'!$F:$L,5,FALSE)</f>
        <v>45834</v>
      </c>
      <c r="AM165" s="18">
        <f>VLOOKUP(AP165,'[3]CONTENEUR PLEIN'!$F:$L,7,FALSE)</f>
        <v>45845.291666666664</v>
      </c>
      <c r="AN165" s="90" t="s">
        <v>63</v>
      </c>
      <c r="AO165" s="129" t="s">
        <v>247</v>
      </c>
      <c r="AP165" s="129" t="s">
        <v>248</v>
      </c>
      <c r="AQ165" s="129" t="s">
        <v>262</v>
      </c>
      <c r="AR165" s="129" t="e">
        <f>VLOOKUP(AP165,'[2]CONTENEUR PLEIN'!$F:$L,2,FALSE)</f>
        <v>#N/A</v>
      </c>
      <c r="AS165" s="129" t="s">
        <v>51</v>
      </c>
      <c r="AT165" s="98"/>
    </row>
    <row r="166" spans="1:47" s="72" customFormat="1" hidden="1" x14ac:dyDescent="0.25">
      <c r="A166" s="71"/>
      <c r="B166" s="88" t="s">
        <v>45</v>
      </c>
      <c r="C166" s="89">
        <v>45547</v>
      </c>
      <c r="D166" s="90">
        <v>24078</v>
      </c>
      <c r="E166" s="91" t="s">
        <v>111</v>
      </c>
      <c r="F166" s="90">
        <v>2409121448</v>
      </c>
      <c r="G166" s="90" t="s">
        <v>74</v>
      </c>
      <c r="H166" s="90" t="s">
        <v>50</v>
      </c>
      <c r="I166" s="90" t="s">
        <v>49</v>
      </c>
      <c r="J166" s="90" t="s">
        <v>131</v>
      </c>
      <c r="K166" s="16" t="s">
        <v>349</v>
      </c>
      <c r="L166" s="89">
        <v>45790</v>
      </c>
      <c r="M166" s="381">
        <f t="shared" si="25"/>
        <v>9</v>
      </c>
      <c r="N166" s="98" t="s">
        <v>49</v>
      </c>
      <c r="O166" s="92">
        <v>32000029</v>
      </c>
      <c r="P166" s="24" t="str">
        <f>VLOOKUP(O166,[1]Feuil2!$A:$M,5,FALSE)</f>
        <v>CAFE LAGUIOLE PASSION ABS BLANC + GENCOD</v>
      </c>
      <c r="Q166" s="90">
        <v>12000</v>
      </c>
      <c r="R166" s="93">
        <v>0.28000000000000003</v>
      </c>
      <c r="S166" s="94">
        <f t="shared" si="22"/>
        <v>3360.0000000000005</v>
      </c>
      <c r="T166" s="95">
        <f t="shared" si="28"/>
        <v>279786.72000000003</v>
      </c>
      <c r="U166" s="138"/>
      <c r="V166" s="96">
        <f t="shared" si="23"/>
        <v>279786.72000000003</v>
      </c>
      <c r="W166" s="4">
        <f>VLOOKUP(O166,[1]Feuil2!$A:$M,6,FALSE)</f>
        <v>240</v>
      </c>
      <c r="X166" s="5">
        <f>VLOOKUP(O166,[1]Feuil2!$A:$M,13,FALSE)</f>
        <v>2.052E-2</v>
      </c>
      <c r="Y166" s="6">
        <f t="shared" si="26"/>
        <v>1.026</v>
      </c>
      <c r="Z166" s="97">
        <f t="shared" si="24"/>
        <v>143.77948600000005</v>
      </c>
      <c r="AA166" s="69" t="s">
        <v>57</v>
      </c>
      <c r="AB166" s="23" t="s">
        <v>48</v>
      </c>
      <c r="AC166" s="125" t="s">
        <v>55</v>
      </c>
      <c r="AD166" s="21" t="s">
        <v>57</v>
      </c>
      <c r="AE166" s="20">
        <v>45769</v>
      </c>
      <c r="AF166" s="47" t="s">
        <v>221</v>
      </c>
      <c r="AG166" s="21" t="s">
        <v>57</v>
      </c>
      <c r="AH166" s="98"/>
      <c r="AI166" s="135">
        <v>45731</v>
      </c>
      <c r="AJ166" s="145">
        <f t="shared" si="27"/>
        <v>57</v>
      </c>
      <c r="AK166" s="100">
        <f>VLOOKUP(AP166,'[3]CONTENEUR PLEIN'!$F:$L,3,FALSE)</f>
        <v>45788</v>
      </c>
      <c r="AL166" s="99">
        <f>VLOOKUP(AP166,'[3]CONTENEUR PLEIN'!$F:$L,5,FALSE)</f>
        <v>45834</v>
      </c>
      <c r="AM166" s="18">
        <f>VLOOKUP(AP166,'[3]CONTENEUR PLEIN'!$F:$L,7,FALSE)</f>
        <v>45845.291666666664</v>
      </c>
      <c r="AN166" s="90" t="s">
        <v>63</v>
      </c>
      <c r="AO166" s="129" t="s">
        <v>247</v>
      </c>
      <c r="AP166" s="129" t="s">
        <v>248</v>
      </c>
      <c r="AQ166" s="129" t="s">
        <v>262</v>
      </c>
      <c r="AR166" s="129" t="e">
        <f>VLOOKUP(AP166,'[2]CONTENEUR PLEIN'!$F:$L,2,FALSE)</f>
        <v>#N/A</v>
      </c>
      <c r="AS166" s="129" t="s">
        <v>51</v>
      </c>
      <c r="AT166" s="98"/>
    </row>
    <row r="167" spans="1:47" s="72" customFormat="1" hidden="1" x14ac:dyDescent="0.25">
      <c r="A167" s="71"/>
      <c r="B167" s="88" t="s">
        <v>45</v>
      </c>
      <c r="C167" s="89">
        <v>45547</v>
      </c>
      <c r="D167" s="90">
        <v>24078</v>
      </c>
      <c r="E167" s="91" t="s">
        <v>111</v>
      </c>
      <c r="F167" s="90">
        <v>2409121448</v>
      </c>
      <c r="G167" s="90" t="s">
        <v>74</v>
      </c>
      <c r="H167" s="90" t="s">
        <v>67</v>
      </c>
      <c r="I167" s="90" t="s">
        <v>49</v>
      </c>
      <c r="J167" s="8" t="s">
        <v>66</v>
      </c>
      <c r="K167" s="16" t="s">
        <v>317</v>
      </c>
      <c r="L167" s="89">
        <v>45770</v>
      </c>
      <c r="M167" s="381">
        <f t="shared" si="25"/>
        <v>9</v>
      </c>
      <c r="N167" s="98" t="s">
        <v>62</v>
      </c>
      <c r="O167" s="92">
        <v>32000001</v>
      </c>
      <c r="P167" s="24" t="str">
        <f>VLOOKUP(O167,[1]Feuil2!$A:$M,5,FALSE)</f>
        <v>M24 PASSION NOIR 6C BOITE LAGUIOLE HERITAGE</v>
      </c>
      <c r="Q167" s="90">
        <v>3600</v>
      </c>
      <c r="R167" s="93">
        <v>7.23</v>
      </c>
      <c r="S167" s="94">
        <f t="shared" si="22"/>
        <v>26028</v>
      </c>
      <c r="T167" s="95">
        <f t="shared" si="28"/>
        <v>279786.72000000003</v>
      </c>
      <c r="U167" s="138"/>
      <c r="V167" s="96">
        <f t="shared" si="23"/>
        <v>279786.72000000003</v>
      </c>
      <c r="W167" s="4">
        <f>VLOOKUP(O167,[1]Feuil2!$A:$M,6,FALSE)</f>
        <v>6</v>
      </c>
      <c r="X167" s="5">
        <f>VLOOKUP(O167,[1]Feuil2!$A:$M,13,FALSE)</f>
        <v>2.3789999999999999E-2</v>
      </c>
      <c r="Y167" s="6">
        <f t="shared" si="26"/>
        <v>14.273999999999999</v>
      </c>
      <c r="Z167" s="97">
        <f t="shared" si="24"/>
        <v>143.77948600000005</v>
      </c>
      <c r="AA167" s="69" t="s">
        <v>57</v>
      </c>
      <c r="AB167" s="23" t="s">
        <v>48</v>
      </c>
      <c r="AC167" s="125" t="s">
        <v>55</v>
      </c>
      <c r="AD167" s="21" t="s">
        <v>57</v>
      </c>
      <c r="AE167" s="20">
        <v>45750</v>
      </c>
      <c r="AF167" s="47" t="s">
        <v>198</v>
      </c>
      <c r="AG167" s="21" t="s">
        <v>57</v>
      </c>
      <c r="AH167" s="98"/>
      <c r="AI167" s="135">
        <v>45731</v>
      </c>
      <c r="AJ167" s="145">
        <f t="shared" si="27"/>
        <v>33</v>
      </c>
      <c r="AK167" s="100">
        <f>VLOOKUP(AP167,'[3]CONTENEUR PLEIN'!$F:$L,3,FALSE)</f>
        <v>45764</v>
      </c>
      <c r="AL167" s="99">
        <f>VLOOKUP(AP167,'[3]CONTENEUR PLEIN'!$F:$L,5,FALSE)</f>
        <v>45812</v>
      </c>
      <c r="AM167" s="18">
        <f>VLOOKUP(AP167,'[3]CONTENEUR PLEIN'!$F:$L,7,FALSE)</f>
        <v>45825.333333333336</v>
      </c>
      <c r="AN167" s="90" t="s">
        <v>63</v>
      </c>
      <c r="AO167" s="129" t="s">
        <v>211</v>
      </c>
      <c r="AP167" s="129" t="s">
        <v>210</v>
      </c>
      <c r="AQ167" s="129" t="s">
        <v>257</v>
      </c>
      <c r="AR167" s="129" t="e">
        <f>VLOOKUP(AP167,'[2]CONTENEUR PLEIN'!$F:$L,2,FALSE)</f>
        <v>#N/A</v>
      </c>
      <c r="AS167" s="129" t="s">
        <v>51</v>
      </c>
      <c r="AT167" s="98"/>
    </row>
    <row r="168" spans="1:47" s="72" customFormat="1" hidden="1" x14ac:dyDescent="0.25">
      <c r="A168" s="71"/>
      <c r="B168" s="88" t="s">
        <v>45</v>
      </c>
      <c r="C168" s="89">
        <v>45547</v>
      </c>
      <c r="D168" s="90">
        <v>24078</v>
      </c>
      <c r="E168" s="91" t="s">
        <v>111</v>
      </c>
      <c r="F168" s="90">
        <v>2409121448</v>
      </c>
      <c r="G168" s="90" t="s">
        <v>74</v>
      </c>
      <c r="H168" s="90" t="s">
        <v>67</v>
      </c>
      <c r="I168" s="90" t="s">
        <v>49</v>
      </c>
      <c r="J168" s="8" t="s">
        <v>66</v>
      </c>
      <c r="K168" s="16" t="s">
        <v>317</v>
      </c>
      <c r="L168" s="89">
        <v>45770</v>
      </c>
      <c r="M168" s="381">
        <f t="shared" si="25"/>
        <v>9</v>
      </c>
      <c r="N168" s="98" t="s">
        <v>62</v>
      </c>
      <c r="O168" s="92">
        <v>32000002</v>
      </c>
      <c r="P168" s="24" t="str">
        <f>VLOOKUP(O168,[1]Feuil2!$A:$M,5,FALSE)</f>
        <v>M24 PASSION BLANC BOITE LAGUIOLE HERITAGE</v>
      </c>
      <c r="Q168" s="90">
        <v>3600</v>
      </c>
      <c r="R168" s="93">
        <v>7.23</v>
      </c>
      <c r="S168" s="94">
        <f t="shared" si="22"/>
        <v>26028</v>
      </c>
      <c r="T168" s="95">
        <f t="shared" si="28"/>
        <v>279786.72000000003</v>
      </c>
      <c r="U168" s="138"/>
      <c r="V168" s="96">
        <f t="shared" si="23"/>
        <v>279786.72000000003</v>
      </c>
      <c r="W168" s="4">
        <f>VLOOKUP(O168,[1]Feuil2!$A:$M,6,FALSE)</f>
        <v>6</v>
      </c>
      <c r="X168" s="5">
        <f>VLOOKUP(O168,[1]Feuil2!$A:$M,13,FALSE)</f>
        <v>2.3789999999999999E-2</v>
      </c>
      <c r="Y168" s="6">
        <f t="shared" si="26"/>
        <v>14.273999999999999</v>
      </c>
      <c r="Z168" s="97">
        <f t="shared" si="24"/>
        <v>143.77948600000005</v>
      </c>
      <c r="AA168" s="69" t="s">
        <v>57</v>
      </c>
      <c r="AB168" s="23" t="s">
        <v>48</v>
      </c>
      <c r="AC168" s="125" t="s">
        <v>55</v>
      </c>
      <c r="AD168" s="21" t="s">
        <v>57</v>
      </c>
      <c r="AE168" s="20">
        <v>45750</v>
      </c>
      <c r="AF168" s="47" t="s">
        <v>197</v>
      </c>
      <c r="AG168" s="21" t="s">
        <v>57</v>
      </c>
      <c r="AH168" s="98"/>
      <c r="AI168" s="135">
        <v>45731</v>
      </c>
      <c r="AJ168" s="145">
        <f t="shared" si="27"/>
        <v>33</v>
      </c>
      <c r="AK168" s="100">
        <f>VLOOKUP(AP168,'[3]CONTENEUR PLEIN'!$F:$L,3,FALSE)</f>
        <v>45764</v>
      </c>
      <c r="AL168" s="99">
        <f>VLOOKUP(AP168,'[3]CONTENEUR PLEIN'!$F:$L,5,FALSE)</f>
        <v>45812</v>
      </c>
      <c r="AM168" s="18">
        <f>VLOOKUP(AP168,'[3]CONTENEUR PLEIN'!$F:$L,7,FALSE)</f>
        <v>45825.333333333336</v>
      </c>
      <c r="AN168" s="90" t="s">
        <v>63</v>
      </c>
      <c r="AO168" s="129" t="s">
        <v>211</v>
      </c>
      <c r="AP168" s="129" t="s">
        <v>210</v>
      </c>
      <c r="AQ168" s="129" t="s">
        <v>257</v>
      </c>
      <c r="AR168" s="129" t="e">
        <f>VLOOKUP(AP168,'[2]CONTENEUR PLEIN'!$F:$L,2,FALSE)</f>
        <v>#N/A</v>
      </c>
      <c r="AS168" s="129" t="s">
        <v>51</v>
      </c>
      <c r="AT168" s="98"/>
    </row>
    <row r="169" spans="1:47" s="72" customFormat="1" hidden="1" x14ac:dyDescent="0.25">
      <c r="A169" s="71"/>
      <c r="B169" s="88" t="s">
        <v>45</v>
      </c>
      <c r="C169" s="89">
        <v>45547</v>
      </c>
      <c r="D169" s="90">
        <v>24078</v>
      </c>
      <c r="E169" s="91" t="s">
        <v>111</v>
      </c>
      <c r="F169" s="90">
        <v>2409121448</v>
      </c>
      <c r="G169" s="90" t="s">
        <v>74</v>
      </c>
      <c r="H169" s="90" t="s">
        <v>50</v>
      </c>
      <c r="I169" s="90" t="s">
        <v>49</v>
      </c>
      <c r="J169" s="90" t="s">
        <v>131</v>
      </c>
      <c r="K169" s="16" t="s">
        <v>390</v>
      </c>
      <c r="L169" s="89">
        <v>45841</v>
      </c>
      <c r="M169" s="381">
        <f t="shared" si="25"/>
        <v>11</v>
      </c>
      <c r="N169" s="98" t="s">
        <v>62</v>
      </c>
      <c r="O169" s="92">
        <v>32000005</v>
      </c>
      <c r="P169" s="24" t="str">
        <f>VLOOKUP(O169,[1]Feuil2!$A:$M,5,FALSE)</f>
        <v>M24 PASSION ROUGE 187C BOITE LAGUIOLE HERITAGE</v>
      </c>
      <c r="Q169" s="90">
        <v>2400</v>
      </c>
      <c r="R169" s="93">
        <v>7.23</v>
      </c>
      <c r="S169" s="94">
        <f t="shared" si="22"/>
        <v>17352</v>
      </c>
      <c r="T169" s="95">
        <f t="shared" si="28"/>
        <v>279786.72000000003</v>
      </c>
      <c r="U169" s="138"/>
      <c r="V169" s="96">
        <f t="shared" si="23"/>
        <v>279786.72000000003</v>
      </c>
      <c r="W169" s="4">
        <f>VLOOKUP(O169,[1]Feuil2!$A:$M,6,FALSE)</f>
        <v>6</v>
      </c>
      <c r="X169" s="5">
        <f>VLOOKUP(O169,[1]Feuil2!$A:$M,13,FALSE)</f>
        <v>2.3789999999999999E-2</v>
      </c>
      <c r="Y169" s="6">
        <f t="shared" si="26"/>
        <v>9.516</v>
      </c>
      <c r="Z169" s="97">
        <f t="shared" si="24"/>
        <v>143.77948600000005</v>
      </c>
      <c r="AA169" s="69" t="s">
        <v>57</v>
      </c>
      <c r="AB169" s="23" t="s">
        <v>48</v>
      </c>
      <c r="AC169" s="125" t="s">
        <v>55</v>
      </c>
      <c r="AD169" s="69" t="s">
        <v>57</v>
      </c>
      <c r="AE169" s="20">
        <v>45798</v>
      </c>
      <c r="AF169" s="47" t="s">
        <v>264</v>
      </c>
      <c r="AG169" s="21" t="s">
        <v>57</v>
      </c>
      <c r="AH169" s="98"/>
      <c r="AI169" s="135">
        <v>45797</v>
      </c>
      <c r="AJ169" s="145">
        <f t="shared" si="27"/>
        <v>23</v>
      </c>
      <c r="AK169" s="100">
        <f>VLOOKUP(AP169,'[3]CONTENEUR PLEIN'!$F:$L,3,FALSE)</f>
        <v>45820</v>
      </c>
      <c r="AL169" s="99">
        <f>VLOOKUP(AP169,'[3]CONTENEUR PLEIN'!$F:$L,5,FALSE)</f>
        <v>45870</v>
      </c>
      <c r="AM169" s="18">
        <f>VLOOKUP(AP169,'[3]CONTENEUR PLEIN'!$F:$L,7,FALSE)</f>
        <v>45883.291666666664</v>
      </c>
      <c r="AN169" s="90" t="s">
        <v>63</v>
      </c>
      <c r="AO169" s="129" t="s">
        <v>290</v>
      </c>
      <c r="AP169" s="129" t="s">
        <v>291</v>
      </c>
      <c r="AQ169" s="129" t="s">
        <v>293</v>
      </c>
      <c r="AR169" s="129" t="e">
        <f>VLOOKUP(AP169,'[2]CONTENEUR PLEIN'!$F:$L,2,FALSE)</f>
        <v>#N/A</v>
      </c>
      <c r="AS169" s="129" t="s">
        <v>51</v>
      </c>
      <c r="AT169" s="98"/>
    </row>
    <row r="170" spans="1:47" s="72" customFormat="1" hidden="1" x14ac:dyDescent="0.25">
      <c r="A170" s="71"/>
      <c r="B170" s="88" t="s">
        <v>45</v>
      </c>
      <c r="C170" s="89">
        <v>45547</v>
      </c>
      <c r="D170" s="90">
        <v>24078</v>
      </c>
      <c r="E170" s="91" t="s">
        <v>111</v>
      </c>
      <c r="F170" s="90">
        <v>2409121448</v>
      </c>
      <c r="G170" s="90" t="s">
        <v>74</v>
      </c>
      <c r="H170" s="90" t="s">
        <v>50</v>
      </c>
      <c r="I170" s="90" t="s">
        <v>49</v>
      </c>
      <c r="J170" s="90" t="s">
        <v>131</v>
      </c>
      <c r="K170" s="16" t="s">
        <v>390</v>
      </c>
      <c r="L170" s="89">
        <v>45841</v>
      </c>
      <c r="M170" s="381">
        <f t="shared" si="25"/>
        <v>11</v>
      </c>
      <c r="N170" s="98" t="s">
        <v>62</v>
      </c>
      <c r="O170" s="92">
        <v>32000006</v>
      </c>
      <c r="P170" s="24" t="str">
        <f>VLOOKUP(O170,[1]Feuil2!$A:$M,5,FALSE)</f>
        <v>M24 PASSION VERT 5635C BOITE LAGUIOLE HERITAGE</v>
      </c>
      <c r="Q170" s="90">
        <v>2400</v>
      </c>
      <c r="R170" s="93">
        <v>7.23</v>
      </c>
      <c r="S170" s="94">
        <f t="shared" si="22"/>
        <v>17352</v>
      </c>
      <c r="T170" s="95">
        <f t="shared" si="28"/>
        <v>279786.72000000003</v>
      </c>
      <c r="U170" s="138"/>
      <c r="V170" s="96">
        <f t="shared" si="23"/>
        <v>279786.72000000003</v>
      </c>
      <c r="W170" s="4">
        <f>VLOOKUP(O170,[1]Feuil2!$A:$M,6,FALSE)</f>
        <v>6</v>
      </c>
      <c r="X170" s="5">
        <f>VLOOKUP(O170,[1]Feuil2!$A:$M,13,FALSE)</f>
        <v>2.3789999999999999E-2</v>
      </c>
      <c r="Y170" s="6">
        <f t="shared" si="26"/>
        <v>9.516</v>
      </c>
      <c r="Z170" s="97">
        <f t="shared" si="24"/>
        <v>143.77948600000005</v>
      </c>
      <c r="AA170" s="69" t="s">
        <v>57</v>
      </c>
      <c r="AB170" s="23" t="s">
        <v>48</v>
      </c>
      <c r="AC170" s="125" t="s">
        <v>55</v>
      </c>
      <c r="AD170" s="69" t="s">
        <v>57</v>
      </c>
      <c r="AE170" s="20">
        <v>45798</v>
      </c>
      <c r="AF170" s="47" t="s">
        <v>265</v>
      </c>
      <c r="AG170" s="21" t="s">
        <v>57</v>
      </c>
      <c r="AH170" s="98"/>
      <c r="AI170" s="135">
        <v>45797</v>
      </c>
      <c r="AJ170" s="145">
        <f t="shared" si="27"/>
        <v>23</v>
      </c>
      <c r="AK170" s="100">
        <f>VLOOKUP(AP170,'[3]CONTENEUR PLEIN'!$F:$L,3,FALSE)</f>
        <v>45820</v>
      </c>
      <c r="AL170" s="99">
        <f>VLOOKUP(AP170,'[3]CONTENEUR PLEIN'!$F:$L,5,FALSE)</f>
        <v>45870</v>
      </c>
      <c r="AM170" s="18">
        <f>VLOOKUP(AP170,'[3]CONTENEUR PLEIN'!$F:$L,7,FALSE)</f>
        <v>45883.291666666664</v>
      </c>
      <c r="AN170" s="90" t="s">
        <v>63</v>
      </c>
      <c r="AO170" s="129" t="s">
        <v>290</v>
      </c>
      <c r="AP170" s="129" t="s">
        <v>291</v>
      </c>
      <c r="AQ170" s="129" t="s">
        <v>293</v>
      </c>
      <c r="AR170" s="129" t="e">
        <f>VLOOKUP(AP170,'[2]CONTENEUR PLEIN'!$F:$L,2,FALSE)</f>
        <v>#N/A</v>
      </c>
      <c r="AS170" s="129" t="s">
        <v>51</v>
      </c>
      <c r="AT170" s="98"/>
      <c r="AU170" s="181"/>
    </row>
    <row r="171" spans="1:47" s="72" customFormat="1" hidden="1" x14ac:dyDescent="0.25">
      <c r="A171" s="71"/>
      <c r="B171" s="88" t="s">
        <v>45</v>
      </c>
      <c r="C171" s="89">
        <v>45547</v>
      </c>
      <c r="D171" s="90">
        <v>24078</v>
      </c>
      <c r="E171" s="91" t="s">
        <v>111</v>
      </c>
      <c r="F171" s="90">
        <v>2409121448</v>
      </c>
      <c r="G171" s="90" t="s">
        <v>74</v>
      </c>
      <c r="H171" s="90" t="s">
        <v>50</v>
      </c>
      <c r="I171" s="90" t="s">
        <v>49</v>
      </c>
      <c r="J171" s="90" t="s">
        <v>131</v>
      </c>
      <c r="K171" s="16" t="s">
        <v>390</v>
      </c>
      <c r="L171" s="89">
        <v>45841</v>
      </c>
      <c r="M171" s="381">
        <f t="shared" si="25"/>
        <v>11</v>
      </c>
      <c r="N171" s="98" t="s">
        <v>49</v>
      </c>
      <c r="O171" s="92">
        <v>32000014</v>
      </c>
      <c r="P171" s="24" t="str">
        <f>VLOOKUP(O171,[1]Feuil2!$A:$M,5,FALSE)</f>
        <v>COUTEAU LAGUIOLE PASSION ABS ROUGE 187C + GENCOD</v>
      </c>
      <c r="Q171" s="90">
        <v>2400</v>
      </c>
      <c r="R171" s="93">
        <v>0.3</v>
      </c>
      <c r="S171" s="94">
        <f t="shared" si="22"/>
        <v>720</v>
      </c>
      <c r="T171" s="95">
        <f t="shared" si="28"/>
        <v>279786.72000000003</v>
      </c>
      <c r="U171" s="138"/>
      <c r="V171" s="96">
        <f t="shared" si="23"/>
        <v>279786.72000000003</v>
      </c>
      <c r="W171" s="4">
        <f>VLOOKUP(O171,[1]Feuil2!$A:$M,6,FALSE)</f>
        <v>240</v>
      </c>
      <c r="X171" s="5">
        <f>VLOOKUP(O171,[1]Feuil2!$A:$M,13,FALSE)</f>
        <v>2.9376000000000006E-2</v>
      </c>
      <c r="Y171" s="6">
        <f t="shared" si="26"/>
        <v>0.29376000000000008</v>
      </c>
      <c r="Z171" s="97">
        <f t="shared" si="24"/>
        <v>143.77948600000005</v>
      </c>
      <c r="AA171" s="69" t="s">
        <v>57</v>
      </c>
      <c r="AB171" s="23" t="s">
        <v>48</v>
      </c>
      <c r="AC171" s="125" t="s">
        <v>55</v>
      </c>
      <c r="AD171" s="21" t="s">
        <v>57</v>
      </c>
      <c r="AE171" s="20">
        <v>45799</v>
      </c>
      <c r="AF171" s="47" t="s">
        <v>270</v>
      </c>
      <c r="AG171" s="21" t="s">
        <v>57</v>
      </c>
      <c r="AH171" s="102" t="s">
        <v>423</v>
      </c>
      <c r="AI171" s="135">
        <v>45797</v>
      </c>
      <c r="AJ171" s="145">
        <f t="shared" si="27"/>
        <v>23</v>
      </c>
      <c r="AK171" s="100">
        <f>VLOOKUP(AP171,'[3]CONTENEUR PLEIN'!$F:$L,3,FALSE)</f>
        <v>45820</v>
      </c>
      <c r="AL171" s="99">
        <f>VLOOKUP(AP171,'[3]CONTENEUR PLEIN'!$F:$L,5,FALSE)</f>
        <v>45870</v>
      </c>
      <c r="AM171" s="18">
        <f>VLOOKUP(AP171,'[3]CONTENEUR PLEIN'!$F:$L,7,FALSE)</f>
        <v>45883.291666666664</v>
      </c>
      <c r="AN171" s="90" t="s">
        <v>63</v>
      </c>
      <c r="AO171" s="129" t="s">
        <v>290</v>
      </c>
      <c r="AP171" s="129" t="s">
        <v>291</v>
      </c>
      <c r="AQ171" s="129" t="s">
        <v>293</v>
      </c>
      <c r="AR171" s="129" t="e">
        <f>VLOOKUP(AP171,'[2]CONTENEUR PLEIN'!$F:$L,2,FALSE)</f>
        <v>#N/A</v>
      </c>
      <c r="AS171" s="129" t="s">
        <v>51</v>
      </c>
      <c r="AT171" s="98"/>
    </row>
    <row r="172" spans="1:47" s="72" customFormat="1" hidden="1" x14ac:dyDescent="0.25">
      <c r="A172" s="71"/>
      <c r="B172" s="88" t="s">
        <v>45</v>
      </c>
      <c r="C172" s="89">
        <v>45547</v>
      </c>
      <c r="D172" s="90">
        <v>24078</v>
      </c>
      <c r="E172" s="91" t="s">
        <v>111</v>
      </c>
      <c r="F172" s="90">
        <v>2409121448</v>
      </c>
      <c r="G172" s="90" t="s">
        <v>74</v>
      </c>
      <c r="H172" s="90" t="s">
        <v>50</v>
      </c>
      <c r="I172" s="90" t="s">
        <v>49</v>
      </c>
      <c r="J172" s="90" t="s">
        <v>131</v>
      </c>
      <c r="K172" s="16" t="s">
        <v>390</v>
      </c>
      <c r="L172" s="89">
        <v>45841</v>
      </c>
      <c r="M172" s="381">
        <f t="shared" si="25"/>
        <v>11</v>
      </c>
      <c r="N172" s="98" t="s">
        <v>49</v>
      </c>
      <c r="O172" s="92">
        <v>32000015</v>
      </c>
      <c r="P172" s="24" t="str">
        <f>VLOOKUP(O172,[1]Feuil2!$A:$M,5,FALSE)</f>
        <v>FOURCHETTE LAGUIOLE PASSION ABS ROUGE 187C + GENCOD</v>
      </c>
      <c r="Q172" s="90">
        <v>2400</v>
      </c>
      <c r="R172" s="93">
        <v>0.315</v>
      </c>
      <c r="S172" s="94">
        <f t="shared" si="22"/>
        <v>756</v>
      </c>
      <c r="T172" s="95">
        <f t="shared" si="28"/>
        <v>279786.72000000003</v>
      </c>
      <c r="U172" s="138"/>
      <c r="V172" s="96">
        <f t="shared" si="23"/>
        <v>279786.72000000003</v>
      </c>
      <c r="W172" s="4">
        <f>VLOOKUP(O172,[1]Feuil2!$A:$M,6,FALSE)</f>
        <v>240</v>
      </c>
      <c r="X172" s="5">
        <f>VLOOKUP(O172,[1]Feuil2!$A:$M,13,FALSE)</f>
        <v>2.9791999999999999E-2</v>
      </c>
      <c r="Y172" s="6">
        <f t="shared" si="26"/>
        <v>0.29791999999999996</v>
      </c>
      <c r="Z172" s="97">
        <f t="shared" si="24"/>
        <v>143.77948600000005</v>
      </c>
      <c r="AA172" s="69" t="s">
        <v>57</v>
      </c>
      <c r="AB172" s="23" t="s">
        <v>48</v>
      </c>
      <c r="AC172" s="125" t="s">
        <v>55</v>
      </c>
      <c r="AD172" s="21" t="s">
        <v>57</v>
      </c>
      <c r="AE172" s="20">
        <v>45799</v>
      </c>
      <c r="AF172" s="47" t="s">
        <v>271</v>
      </c>
      <c r="AG172" s="21" t="s">
        <v>57</v>
      </c>
      <c r="AH172" s="102" t="s">
        <v>424</v>
      </c>
      <c r="AI172" s="135">
        <v>45797</v>
      </c>
      <c r="AJ172" s="145">
        <f t="shared" si="27"/>
        <v>23</v>
      </c>
      <c r="AK172" s="100">
        <f>VLOOKUP(AP172,'[3]CONTENEUR PLEIN'!$F:$L,3,FALSE)</f>
        <v>45820</v>
      </c>
      <c r="AL172" s="99">
        <f>VLOOKUP(AP172,'[3]CONTENEUR PLEIN'!$F:$L,5,FALSE)</f>
        <v>45870</v>
      </c>
      <c r="AM172" s="18">
        <f>VLOOKUP(AP172,'[3]CONTENEUR PLEIN'!$F:$L,7,FALSE)</f>
        <v>45883.291666666664</v>
      </c>
      <c r="AN172" s="90" t="s">
        <v>63</v>
      </c>
      <c r="AO172" s="129" t="s">
        <v>290</v>
      </c>
      <c r="AP172" s="129" t="s">
        <v>291</v>
      </c>
      <c r="AQ172" s="129" t="s">
        <v>293</v>
      </c>
      <c r="AR172" s="129" t="e">
        <f>VLOOKUP(AP172,'[2]CONTENEUR PLEIN'!$F:$L,2,FALSE)</f>
        <v>#N/A</v>
      </c>
      <c r="AS172" s="129" t="s">
        <v>51</v>
      </c>
      <c r="AT172" s="98"/>
      <c r="AU172" s="181"/>
    </row>
    <row r="173" spans="1:47" s="72" customFormat="1" hidden="1" x14ac:dyDescent="0.25">
      <c r="A173" s="71"/>
      <c r="B173" s="88" t="s">
        <v>45</v>
      </c>
      <c r="C173" s="89">
        <v>45547</v>
      </c>
      <c r="D173" s="90">
        <v>24078</v>
      </c>
      <c r="E173" s="91" t="s">
        <v>111</v>
      </c>
      <c r="F173" s="90">
        <v>2409121448</v>
      </c>
      <c r="G173" s="90" t="s">
        <v>74</v>
      </c>
      <c r="H173" s="90" t="s">
        <v>50</v>
      </c>
      <c r="I173" s="90" t="s">
        <v>49</v>
      </c>
      <c r="J173" s="90" t="s">
        <v>131</v>
      </c>
      <c r="K173" s="16" t="s">
        <v>390</v>
      </c>
      <c r="L173" s="89">
        <v>45841</v>
      </c>
      <c r="M173" s="381">
        <f t="shared" si="25"/>
        <v>11</v>
      </c>
      <c r="N173" s="98" t="s">
        <v>49</v>
      </c>
      <c r="O173" s="92">
        <v>32000016</v>
      </c>
      <c r="P173" s="24" t="str">
        <f>VLOOKUP(O173,[1]Feuil2!$A:$M,5,FALSE)</f>
        <v>CUILLERE LAGUIOLE PASSION ABS ROUGE 187C + GENCOD</v>
      </c>
      <c r="Q173" s="90">
        <v>1920</v>
      </c>
      <c r="R173" s="93">
        <v>0.314</v>
      </c>
      <c r="S173" s="94">
        <f t="shared" si="22"/>
        <v>602.88</v>
      </c>
      <c r="T173" s="95">
        <f t="shared" si="28"/>
        <v>279786.72000000003</v>
      </c>
      <c r="U173" s="138"/>
      <c r="V173" s="96">
        <f t="shared" si="23"/>
        <v>279786.72000000003</v>
      </c>
      <c r="W173" s="4">
        <f>VLOOKUP(O173,[1]Feuil2!$A:$M,6,FALSE)</f>
        <v>240</v>
      </c>
      <c r="X173" s="5">
        <f>VLOOKUP(O173,[1]Feuil2!$A:$M,13,FALSE)</f>
        <v>2.9791999999999999E-2</v>
      </c>
      <c r="Y173" s="6">
        <f t="shared" si="26"/>
        <v>0.23833599999999999</v>
      </c>
      <c r="Z173" s="97">
        <f t="shared" si="24"/>
        <v>143.77948600000005</v>
      </c>
      <c r="AA173" s="69" t="s">
        <v>57</v>
      </c>
      <c r="AB173" s="23" t="s">
        <v>48</v>
      </c>
      <c r="AC173" s="125" t="s">
        <v>55</v>
      </c>
      <c r="AD173" s="21" t="s">
        <v>57</v>
      </c>
      <c r="AE173" s="20">
        <v>45799</v>
      </c>
      <c r="AF173" s="47" t="s">
        <v>272</v>
      </c>
      <c r="AG173" s="21" t="s">
        <v>57</v>
      </c>
      <c r="AH173" s="102" t="s">
        <v>425</v>
      </c>
      <c r="AI173" s="135">
        <v>45797</v>
      </c>
      <c r="AJ173" s="145">
        <f t="shared" si="27"/>
        <v>23</v>
      </c>
      <c r="AK173" s="100">
        <f>VLOOKUP(AP173,'[3]CONTENEUR PLEIN'!$F:$L,3,FALSE)</f>
        <v>45820</v>
      </c>
      <c r="AL173" s="99">
        <f>VLOOKUP(AP173,'[3]CONTENEUR PLEIN'!$F:$L,5,FALSE)</f>
        <v>45870</v>
      </c>
      <c r="AM173" s="18">
        <f>VLOOKUP(AP173,'[3]CONTENEUR PLEIN'!$F:$L,7,FALSE)</f>
        <v>45883.291666666664</v>
      </c>
      <c r="AN173" s="90" t="s">
        <v>63</v>
      </c>
      <c r="AO173" s="129" t="s">
        <v>290</v>
      </c>
      <c r="AP173" s="129" t="s">
        <v>291</v>
      </c>
      <c r="AQ173" s="129" t="s">
        <v>293</v>
      </c>
      <c r="AR173" s="129" t="e">
        <f>VLOOKUP(AP173,'[2]CONTENEUR PLEIN'!$F:$L,2,FALSE)</f>
        <v>#N/A</v>
      </c>
      <c r="AS173" s="129" t="s">
        <v>51</v>
      </c>
      <c r="AT173" s="98"/>
    </row>
    <row r="174" spans="1:47" s="72" customFormat="1" hidden="1" x14ac:dyDescent="0.25">
      <c r="A174" s="71"/>
      <c r="B174" s="88" t="s">
        <v>45</v>
      </c>
      <c r="C174" s="89">
        <v>45547</v>
      </c>
      <c r="D174" s="90">
        <v>24078</v>
      </c>
      <c r="E174" s="91" t="s">
        <v>111</v>
      </c>
      <c r="F174" s="90">
        <v>2409121448</v>
      </c>
      <c r="G174" s="90" t="s">
        <v>74</v>
      </c>
      <c r="H174" s="90" t="s">
        <v>50</v>
      </c>
      <c r="I174" s="90" t="s">
        <v>49</v>
      </c>
      <c r="J174" s="90" t="s">
        <v>131</v>
      </c>
      <c r="K174" s="16" t="s">
        <v>390</v>
      </c>
      <c r="L174" s="89">
        <v>45841</v>
      </c>
      <c r="M174" s="381">
        <f t="shared" si="25"/>
        <v>11</v>
      </c>
      <c r="N174" s="98" t="s">
        <v>49</v>
      </c>
      <c r="O174" s="92">
        <v>32000017</v>
      </c>
      <c r="P174" s="24" t="str">
        <f>VLOOKUP(O174,[1]Feuil2!$A:$M,5,FALSE)</f>
        <v>CAFE LAGUIOLE PASSION ABS ROUGE 187C + GENCOD</v>
      </c>
      <c r="Q174" s="90">
        <v>3360</v>
      </c>
      <c r="R174" s="93">
        <v>0.28000000000000003</v>
      </c>
      <c r="S174" s="94">
        <f t="shared" si="22"/>
        <v>940.80000000000007</v>
      </c>
      <c r="T174" s="95">
        <f t="shared" si="28"/>
        <v>279786.72000000003</v>
      </c>
      <c r="U174" s="138"/>
      <c r="V174" s="96">
        <f t="shared" si="23"/>
        <v>279786.72000000003</v>
      </c>
      <c r="W174" s="4">
        <f>VLOOKUP(O174,[1]Feuil2!$A:$M,6,FALSE)</f>
        <v>240</v>
      </c>
      <c r="X174" s="5">
        <f>VLOOKUP(O174,[1]Feuil2!$A:$M,13,FALSE)</f>
        <v>2.052E-2</v>
      </c>
      <c r="Y174" s="6">
        <f t="shared" ref="Y174:Y191" si="29">(Q174/W174)*X174</f>
        <v>0.28727999999999998</v>
      </c>
      <c r="Z174" s="97">
        <f t="shared" si="24"/>
        <v>143.77948600000005</v>
      </c>
      <c r="AA174" s="69" t="s">
        <v>57</v>
      </c>
      <c r="AB174" s="23" t="s">
        <v>48</v>
      </c>
      <c r="AC174" s="125" t="s">
        <v>55</v>
      </c>
      <c r="AD174" s="21" t="s">
        <v>57</v>
      </c>
      <c r="AE174" s="20">
        <v>45799</v>
      </c>
      <c r="AF174" s="47" t="s">
        <v>273</v>
      </c>
      <c r="AG174" s="21" t="s">
        <v>57</v>
      </c>
      <c r="AH174" s="98"/>
      <c r="AI174" s="135">
        <v>45797</v>
      </c>
      <c r="AJ174" s="145">
        <f t="shared" si="27"/>
        <v>23</v>
      </c>
      <c r="AK174" s="100">
        <f>VLOOKUP(AP174,'[3]CONTENEUR PLEIN'!$F:$L,3,FALSE)</f>
        <v>45820</v>
      </c>
      <c r="AL174" s="99">
        <f>VLOOKUP(AP174,'[3]CONTENEUR PLEIN'!$F:$L,5,FALSE)</f>
        <v>45870</v>
      </c>
      <c r="AM174" s="18">
        <f>VLOOKUP(AP174,'[3]CONTENEUR PLEIN'!$F:$L,7,FALSE)</f>
        <v>45883.291666666664</v>
      </c>
      <c r="AN174" s="90" t="s">
        <v>63</v>
      </c>
      <c r="AO174" s="129" t="s">
        <v>290</v>
      </c>
      <c r="AP174" s="129" t="s">
        <v>291</v>
      </c>
      <c r="AQ174" s="129" t="s">
        <v>293</v>
      </c>
      <c r="AR174" s="129" t="e">
        <f>VLOOKUP(AP174,'[2]CONTENEUR PLEIN'!$F:$L,2,FALSE)</f>
        <v>#N/A</v>
      </c>
      <c r="AS174" s="129" t="s">
        <v>51</v>
      </c>
      <c r="AT174" s="98"/>
      <c r="AU174" s="181"/>
    </row>
    <row r="175" spans="1:47" s="72" customFormat="1" hidden="1" x14ac:dyDescent="0.25">
      <c r="A175" s="71"/>
      <c r="B175" s="88" t="s">
        <v>45</v>
      </c>
      <c r="C175" s="89">
        <v>45547</v>
      </c>
      <c r="D175" s="90">
        <v>24078</v>
      </c>
      <c r="E175" s="91" t="s">
        <v>111</v>
      </c>
      <c r="F175" s="90">
        <v>2409121448</v>
      </c>
      <c r="G175" s="90" t="s">
        <v>74</v>
      </c>
      <c r="H175" s="90" t="s">
        <v>50</v>
      </c>
      <c r="I175" s="90" t="s">
        <v>49</v>
      </c>
      <c r="J175" s="90" t="s">
        <v>131</v>
      </c>
      <c r="K175" s="16" t="s">
        <v>390</v>
      </c>
      <c r="L175" s="89">
        <v>45841</v>
      </c>
      <c r="M175" s="381">
        <f t="shared" si="25"/>
        <v>11</v>
      </c>
      <c r="N175" s="98" t="s">
        <v>49</v>
      </c>
      <c r="O175" s="92">
        <v>32000018</v>
      </c>
      <c r="P175" s="24" t="str">
        <f>VLOOKUP(O175,[1]Feuil2!$A:$M,5,FALSE)</f>
        <v>COUTEAU LAGUIOLE PASSION ABS VERT 5635C + GENCOD</v>
      </c>
      <c r="Q175" s="90">
        <v>2400</v>
      </c>
      <c r="R175" s="93">
        <v>0.3</v>
      </c>
      <c r="S175" s="94">
        <f t="shared" si="22"/>
        <v>720</v>
      </c>
      <c r="T175" s="95">
        <f t="shared" si="28"/>
        <v>279786.72000000003</v>
      </c>
      <c r="U175" s="138"/>
      <c r="V175" s="96">
        <f t="shared" si="23"/>
        <v>279786.72000000003</v>
      </c>
      <c r="W175" s="4">
        <f>VLOOKUP(O175,[1]Feuil2!$A:$M,6,FALSE)</f>
        <v>240</v>
      </c>
      <c r="X175" s="5">
        <f>VLOOKUP(O175,[1]Feuil2!$A:$M,13,FALSE)</f>
        <v>2.9376000000000006E-2</v>
      </c>
      <c r="Y175" s="6">
        <f t="shared" si="29"/>
        <v>0.29376000000000008</v>
      </c>
      <c r="Z175" s="97">
        <f t="shared" si="24"/>
        <v>143.77948600000005</v>
      </c>
      <c r="AA175" s="69" t="s">
        <v>57</v>
      </c>
      <c r="AB175" s="23" t="s">
        <v>48</v>
      </c>
      <c r="AC175" s="125" t="s">
        <v>55</v>
      </c>
      <c r="AD175" s="21" t="s">
        <v>57</v>
      </c>
      <c r="AE175" s="20">
        <v>45799</v>
      </c>
      <c r="AF175" s="47" t="s">
        <v>274</v>
      </c>
      <c r="AG175" s="21" t="s">
        <v>57</v>
      </c>
      <c r="AH175" s="98"/>
      <c r="AI175" s="135">
        <v>45797</v>
      </c>
      <c r="AJ175" s="145">
        <f t="shared" si="27"/>
        <v>23</v>
      </c>
      <c r="AK175" s="100">
        <f>VLOOKUP(AP175,'[3]CONTENEUR PLEIN'!$F:$L,3,FALSE)</f>
        <v>45820</v>
      </c>
      <c r="AL175" s="99">
        <f>VLOOKUP(AP175,'[3]CONTENEUR PLEIN'!$F:$L,5,FALSE)</f>
        <v>45870</v>
      </c>
      <c r="AM175" s="18">
        <f>VLOOKUP(AP175,'[3]CONTENEUR PLEIN'!$F:$L,7,FALSE)</f>
        <v>45883.291666666664</v>
      </c>
      <c r="AN175" s="90" t="s">
        <v>63</v>
      </c>
      <c r="AO175" s="129" t="s">
        <v>290</v>
      </c>
      <c r="AP175" s="129" t="s">
        <v>291</v>
      </c>
      <c r="AQ175" s="129" t="s">
        <v>293</v>
      </c>
      <c r="AR175" s="129" t="e">
        <f>VLOOKUP(AP175,'[2]CONTENEUR PLEIN'!$F:$L,2,FALSE)</f>
        <v>#N/A</v>
      </c>
      <c r="AS175" s="129" t="s">
        <v>51</v>
      </c>
      <c r="AT175" s="98"/>
    </row>
    <row r="176" spans="1:47" s="72" customFormat="1" hidden="1" x14ac:dyDescent="0.25">
      <c r="A176" s="71"/>
      <c r="B176" s="88" t="s">
        <v>45</v>
      </c>
      <c r="C176" s="89">
        <v>45547</v>
      </c>
      <c r="D176" s="90">
        <v>24078</v>
      </c>
      <c r="E176" s="91" t="s">
        <v>111</v>
      </c>
      <c r="F176" s="90">
        <v>2409121448</v>
      </c>
      <c r="G176" s="90" t="s">
        <v>74</v>
      </c>
      <c r="H176" s="90" t="s">
        <v>50</v>
      </c>
      <c r="I176" s="90" t="s">
        <v>49</v>
      </c>
      <c r="J176" s="90" t="s">
        <v>131</v>
      </c>
      <c r="K176" s="16" t="s">
        <v>390</v>
      </c>
      <c r="L176" s="89">
        <v>45841</v>
      </c>
      <c r="M176" s="381">
        <f t="shared" si="25"/>
        <v>11</v>
      </c>
      <c r="N176" s="98" t="s">
        <v>49</v>
      </c>
      <c r="O176" s="92">
        <v>32000019</v>
      </c>
      <c r="P176" s="24" t="str">
        <f>VLOOKUP(O176,[1]Feuil2!$A:$M,5,FALSE)</f>
        <v>FOURCHETTE LAGUIOLE PASSION ABS VERT 5635C + GENCOD</v>
      </c>
      <c r="Q176" s="90">
        <v>2400</v>
      </c>
      <c r="R176" s="93">
        <v>0.315</v>
      </c>
      <c r="S176" s="94">
        <f t="shared" si="22"/>
        <v>756</v>
      </c>
      <c r="T176" s="95">
        <f t="shared" si="28"/>
        <v>279786.72000000003</v>
      </c>
      <c r="U176" s="138"/>
      <c r="V176" s="96">
        <f t="shared" si="23"/>
        <v>279786.72000000003</v>
      </c>
      <c r="W176" s="4">
        <f>VLOOKUP(O176,[1]Feuil2!$A:$M,6,FALSE)</f>
        <v>240</v>
      </c>
      <c r="X176" s="5">
        <f>VLOOKUP(O176,[1]Feuil2!$A:$M,13,FALSE)</f>
        <v>2.9791999999999999E-2</v>
      </c>
      <c r="Y176" s="6">
        <f t="shared" si="29"/>
        <v>0.29791999999999996</v>
      </c>
      <c r="Z176" s="97">
        <f t="shared" si="24"/>
        <v>143.77948600000005</v>
      </c>
      <c r="AA176" s="69" t="s">
        <v>57</v>
      </c>
      <c r="AB176" s="23" t="s">
        <v>48</v>
      </c>
      <c r="AC176" s="125" t="s">
        <v>55</v>
      </c>
      <c r="AD176" s="21" t="s">
        <v>57</v>
      </c>
      <c r="AE176" s="20">
        <v>45799</v>
      </c>
      <c r="AF176" s="47" t="s">
        <v>275</v>
      </c>
      <c r="AG176" s="21" t="s">
        <v>57</v>
      </c>
      <c r="AH176" s="98"/>
      <c r="AI176" s="135">
        <v>45797</v>
      </c>
      <c r="AJ176" s="145">
        <f t="shared" si="27"/>
        <v>23</v>
      </c>
      <c r="AK176" s="100">
        <f>VLOOKUP(AP176,'[3]CONTENEUR PLEIN'!$F:$L,3,FALSE)</f>
        <v>45820</v>
      </c>
      <c r="AL176" s="99">
        <f>VLOOKUP(AP176,'[3]CONTENEUR PLEIN'!$F:$L,5,FALSE)</f>
        <v>45870</v>
      </c>
      <c r="AM176" s="18">
        <f>VLOOKUP(AP176,'[3]CONTENEUR PLEIN'!$F:$L,7,FALSE)</f>
        <v>45883.291666666664</v>
      </c>
      <c r="AN176" s="90" t="s">
        <v>63</v>
      </c>
      <c r="AO176" s="129" t="s">
        <v>290</v>
      </c>
      <c r="AP176" s="129" t="s">
        <v>291</v>
      </c>
      <c r="AQ176" s="129" t="s">
        <v>293</v>
      </c>
      <c r="AR176" s="129" t="e">
        <f>VLOOKUP(AP176,'[2]CONTENEUR PLEIN'!$F:$L,2,FALSE)</f>
        <v>#N/A</v>
      </c>
      <c r="AS176" s="129" t="s">
        <v>51</v>
      </c>
      <c r="AT176" s="98"/>
      <c r="AU176" s="181"/>
    </row>
    <row r="177" spans="1:47" s="72" customFormat="1" hidden="1" x14ac:dyDescent="0.25">
      <c r="A177" s="71"/>
      <c r="B177" s="88" t="s">
        <v>45</v>
      </c>
      <c r="C177" s="89">
        <v>45547</v>
      </c>
      <c r="D177" s="90">
        <v>24078</v>
      </c>
      <c r="E177" s="91" t="s">
        <v>111</v>
      </c>
      <c r="F177" s="90">
        <v>2409121448</v>
      </c>
      <c r="G177" s="90" t="s">
        <v>74</v>
      </c>
      <c r="H177" s="90" t="s">
        <v>50</v>
      </c>
      <c r="I177" s="90" t="s">
        <v>49</v>
      </c>
      <c r="J177" s="90" t="s">
        <v>131</v>
      </c>
      <c r="K177" s="16" t="s">
        <v>390</v>
      </c>
      <c r="L177" s="89">
        <v>45841</v>
      </c>
      <c r="M177" s="381">
        <f t="shared" si="25"/>
        <v>11</v>
      </c>
      <c r="N177" s="98" t="s">
        <v>49</v>
      </c>
      <c r="O177" s="92">
        <v>32000020</v>
      </c>
      <c r="P177" s="24" t="str">
        <f>VLOOKUP(O177,[1]Feuil2!$A:$M,5,FALSE)</f>
        <v>CUILLERE LAGUIOLE PASSION ABS VERT 5635C + GENCOD</v>
      </c>
      <c r="Q177" s="90">
        <v>1920</v>
      </c>
      <c r="R177" s="93">
        <v>0.314</v>
      </c>
      <c r="S177" s="94">
        <f t="shared" si="22"/>
        <v>602.88</v>
      </c>
      <c r="T177" s="95">
        <f t="shared" si="28"/>
        <v>279786.72000000003</v>
      </c>
      <c r="U177" s="138"/>
      <c r="V177" s="96">
        <f t="shared" si="23"/>
        <v>279786.72000000003</v>
      </c>
      <c r="W177" s="4">
        <f>VLOOKUP(O177,[1]Feuil2!$A:$M,6,FALSE)</f>
        <v>240</v>
      </c>
      <c r="X177" s="5">
        <f>VLOOKUP(O177,[1]Feuil2!$A:$M,13,FALSE)</f>
        <v>2.9791999999999999E-2</v>
      </c>
      <c r="Y177" s="6">
        <f t="shared" si="29"/>
        <v>0.23833599999999999</v>
      </c>
      <c r="Z177" s="97">
        <f t="shared" si="24"/>
        <v>143.77948600000005</v>
      </c>
      <c r="AA177" s="69" t="s">
        <v>57</v>
      </c>
      <c r="AB177" s="23" t="s">
        <v>48</v>
      </c>
      <c r="AC177" s="125" t="s">
        <v>55</v>
      </c>
      <c r="AD177" s="21" t="s">
        <v>57</v>
      </c>
      <c r="AE177" s="20">
        <v>45799</v>
      </c>
      <c r="AF177" s="47" t="s">
        <v>276</v>
      </c>
      <c r="AG177" s="21" t="s">
        <v>57</v>
      </c>
      <c r="AH177" s="98"/>
      <c r="AI177" s="135">
        <v>45797</v>
      </c>
      <c r="AJ177" s="145">
        <f t="shared" si="27"/>
        <v>23</v>
      </c>
      <c r="AK177" s="100">
        <f>VLOOKUP(AP177,'[3]CONTENEUR PLEIN'!$F:$L,3,FALSE)</f>
        <v>45820</v>
      </c>
      <c r="AL177" s="99">
        <f>VLOOKUP(AP177,'[3]CONTENEUR PLEIN'!$F:$L,5,FALSE)</f>
        <v>45870</v>
      </c>
      <c r="AM177" s="18">
        <f>VLOOKUP(AP177,'[3]CONTENEUR PLEIN'!$F:$L,7,FALSE)</f>
        <v>45883.291666666664</v>
      </c>
      <c r="AN177" s="90" t="s">
        <v>63</v>
      </c>
      <c r="AO177" s="129" t="s">
        <v>290</v>
      </c>
      <c r="AP177" s="129" t="s">
        <v>291</v>
      </c>
      <c r="AQ177" s="129" t="s">
        <v>293</v>
      </c>
      <c r="AR177" s="129" t="e">
        <f>VLOOKUP(AP177,'[2]CONTENEUR PLEIN'!$F:$L,2,FALSE)</f>
        <v>#N/A</v>
      </c>
      <c r="AS177" s="129" t="s">
        <v>51</v>
      </c>
      <c r="AT177" s="98"/>
      <c r="AU177" s="181"/>
    </row>
    <row r="178" spans="1:47" s="278" customFormat="1" hidden="1" x14ac:dyDescent="0.25">
      <c r="A178" s="71"/>
      <c r="B178" s="88" t="s">
        <v>45</v>
      </c>
      <c r="C178" s="89">
        <v>45547</v>
      </c>
      <c r="D178" s="90">
        <v>24078</v>
      </c>
      <c r="E178" s="91" t="s">
        <v>111</v>
      </c>
      <c r="F178" s="90">
        <v>2409121448</v>
      </c>
      <c r="G178" s="90" t="s">
        <v>74</v>
      </c>
      <c r="H178" s="90" t="s">
        <v>50</v>
      </c>
      <c r="I178" s="90" t="s">
        <v>49</v>
      </c>
      <c r="J178" s="90" t="s">
        <v>131</v>
      </c>
      <c r="K178" s="16" t="s">
        <v>390</v>
      </c>
      <c r="L178" s="89">
        <v>45841</v>
      </c>
      <c r="M178" s="381">
        <f t="shared" si="25"/>
        <v>11</v>
      </c>
      <c r="N178" s="98" t="s">
        <v>49</v>
      </c>
      <c r="O178" s="92">
        <v>32000021</v>
      </c>
      <c r="P178" s="24" t="str">
        <f>VLOOKUP(O178,[1]Feuil2!$A:$M,5,FALSE)</f>
        <v>CAFE LAGUIOLE PASSION ABS VERT 5635C + GENCOD</v>
      </c>
      <c r="Q178" s="90">
        <v>3360</v>
      </c>
      <c r="R178" s="93">
        <v>0.28000000000000003</v>
      </c>
      <c r="S178" s="94">
        <f t="shared" si="22"/>
        <v>940.80000000000007</v>
      </c>
      <c r="T178" s="95">
        <f t="shared" si="28"/>
        <v>279786.72000000003</v>
      </c>
      <c r="U178" s="138"/>
      <c r="V178" s="96">
        <f t="shared" si="23"/>
        <v>279786.72000000003</v>
      </c>
      <c r="W178" s="4">
        <f>VLOOKUP(O178,[1]Feuil2!$A:$M,6,FALSE)</f>
        <v>240</v>
      </c>
      <c r="X178" s="5">
        <f>VLOOKUP(O178,[1]Feuil2!$A:$M,13,FALSE)</f>
        <v>2.052E-2</v>
      </c>
      <c r="Y178" s="6">
        <f t="shared" si="29"/>
        <v>0.28727999999999998</v>
      </c>
      <c r="Z178" s="97">
        <f t="shared" si="24"/>
        <v>143.77948600000005</v>
      </c>
      <c r="AA178" s="69" t="s">
        <v>57</v>
      </c>
      <c r="AB178" s="23" t="s">
        <v>48</v>
      </c>
      <c r="AC178" s="125" t="s">
        <v>55</v>
      </c>
      <c r="AD178" s="21" t="s">
        <v>57</v>
      </c>
      <c r="AE178" s="20">
        <v>45800</v>
      </c>
      <c r="AF178" s="47" t="s">
        <v>280</v>
      </c>
      <c r="AG178" s="21" t="s">
        <v>57</v>
      </c>
      <c r="AH178" s="98"/>
      <c r="AI178" s="135">
        <v>45797</v>
      </c>
      <c r="AJ178" s="145">
        <f t="shared" si="27"/>
        <v>23</v>
      </c>
      <c r="AK178" s="100">
        <f>VLOOKUP(AP178,'[3]CONTENEUR PLEIN'!$F:$L,3,FALSE)</f>
        <v>45820</v>
      </c>
      <c r="AL178" s="99">
        <f>VLOOKUP(AP178,'[3]CONTENEUR PLEIN'!$F:$L,5,FALSE)</f>
        <v>45870</v>
      </c>
      <c r="AM178" s="18">
        <f>VLOOKUP(AP178,'[3]CONTENEUR PLEIN'!$F:$L,7,FALSE)</f>
        <v>45883.291666666664</v>
      </c>
      <c r="AN178" s="90" t="s">
        <v>63</v>
      </c>
      <c r="AO178" s="129" t="s">
        <v>290</v>
      </c>
      <c r="AP178" s="129" t="s">
        <v>291</v>
      </c>
      <c r="AQ178" s="129" t="s">
        <v>293</v>
      </c>
      <c r="AR178" s="129" t="e">
        <f>VLOOKUP(AP178,'[2]CONTENEUR PLEIN'!$F:$L,2,FALSE)</f>
        <v>#N/A</v>
      </c>
      <c r="AS178" s="129" t="s">
        <v>51</v>
      </c>
      <c r="AT178" s="98"/>
      <c r="AU178" s="72"/>
    </row>
    <row r="179" spans="1:47" s="72" customFormat="1" hidden="1" x14ac:dyDescent="0.25">
      <c r="A179" s="71"/>
      <c r="B179" s="88" t="s">
        <v>45</v>
      </c>
      <c r="C179" s="89">
        <v>45547</v>
      </c>
      <c r="D179" s="90">
        <v>24078</v>
      </c>
      <c r="E179" s="91" t="s">
        <v>111</v>
      </c>
      <c r="F179" s="90">
        <v>2409121448</v>
      </c>
      <c r="G179" s="90" t="s">
        <v>74</v>
      </c>
      <c r="H179" s="90" t="s">
        <v>50</v>
      </c>
      <c r="I179" s="90" t="s">
        <v>49</v>
      </c>
      <c r="J179" s="8" t="s">
        <v>66</v>
      </c>
      <c r="K179" s="16" t="s">
        <v>387</v>
      </c>
      <c r="L179" s="89">
        <v>45826</v>
      </c>
      <c r="M179" s="381">
        <f t="shared" si="25"/>
        <v>10</v>
      </c>
      <c r="N179" s="98" t="s">
        <v>62</v>
      </c>
      <c r="O179" s="92">
        <v>32000004</v>
      </c>
      <c r="P179" s="24" t="str">
        <f>VLOOKUP(O179,[1]Feuil2!$A:$M,5,FALSE)</f>
        <v>M24 PASSION BLEU 432C BOITE LAGUIOLE HERITAGE</v>
      </c>
      <c r="Q179" s="90">
        <v>2400</v>
      </c>
      <c r="R179" s="93">
        <v>7.23</v>
      </c>
      <c r="S179" s="94">
        <f t="shared" si="22"/>
        <v>17352</v>
      </c>
      <c r="T179" s="95">
        <f t="shared" si="28"/>
        <v>279786.72000000003</v>
      </c>
      <c r="U179" s="138"/>
      <c r="V179" s="96">
        <f t="shared" si="23"/>
        <v>279786.72000000003</v>
      </c>
      <c r="W179" s="4">
        <f>VLOOKUP(O179,[1]Feuil2!$A:$M,6,FALSE)</f>
        <v>6</v>
      </c>
      <c r="X179" s="5">
        <f>VLOOKUP(O179,[1]Feuil2!$A:$M,13,FALSE)</f>
        <v>2.3789999999999999E-2</v>
      </c>
      <c r="Y179" s="6">
        <f t="shared" si="29"/>
        <v>9.516</v>
      </c>
      <c r="Z179" s="97">
        <f t="shared" si="24"/>
        <v>143.77948600000005</v>
      </c>
      <c r="AA179" s="69" t="s">
        <v>57</v>
      </c>
      <c r="AB179" s="23" t="s">
        <v>48</v>
      </c>
      <c r="AC179" s="125" t="s">
        <v>55</v>
      </c>
      <c r="AD179" s="21" t="s">
        <v>57</v>
      </c>
      <c r="AE179" s="20">
        <v>45785</v>
      </c>
      <c r="AF179" s="47" t="s">
        <v>244</v>
      </c>
      <c r="AG179" s="21" t="s">
        <v>57</v>
      </c>
      <c r="AH179" s="98"/>
      <c r="AI179" s="135">
        <v>45797</v>
      </c>
      <c r="AJ179" s="145">
        <f t="shared" si="27"/>
        <v>18</v>
      </c>
      <c r="AK179" s="100">
        <f>VLOOKUP(AP179,'[3]CONTENEUR PLEIN'!$F:$L,3,FALSE)</f>
        <v>45815</v>
      </c>
      <c r="AL179" s="99">
        <f>VLOOKUP(AP179,'[3]CONTENEUR PLEIN'!$F:$L,5,FALSE)</f>
        <v>45863</v>
      </c>
      <c r="AM179" s="18">
        <f>VLOOKUP(AP179,'[3]CONTENEUR PLEIN'!$F:$L,7,FALSE)</f>
        <v>45869.291666666664</v>
      </c>
      <c r="AN179" s="90" t="s">
        <v>63</v>
      </c>
      <c r="AO179" s="129" t="s">
        <v>285</v>
      </c>
      <c r="AP179" s="129" t="s">
        <v>286</v>
      </c>
      <c r="AQ179" s="129" t="s">
        <v>288</v>
      </c>
      <c r="AR179" s="129" t="e">
        <f>VLOOKUP(AP179,'[2]CONTENEUR PLEIN'!$F:$L,2,FALSE)</f>
        <v>#N/A</v>
      </c>
      <c r="AS179" s="129" t="s">
        <v>51</v>
      </c>
      <c r="AT179" s="98"/>
      <c r="AU179" s="181"/>
    </row>
    <row r="180" spans="1:47" s="72" customFormat="1" hidden="1" x14ac:dyDescent="0.25">
      <c r="B180" s="88" t="s">
        <v>45</v>
      </c>
      <c r="C180" s="89">
        <v>45547</v>
      </c>
      <c r="D180" s="90">
        <v>24078</v>
      </c>
      <c r="E180" s="91" t="s">
        <v>111</v>
      </c>
      <c r="F180" s="90">
        <v>2409121448</v>
      </c>
      <c r="G180" s="90" t="s">
        <v>74</v>
      </c>
      <c r="H180" s="90" t="s">
        <v>50</v>
      </c>
      <c r="I180" s="90" t="s">
        <v>49</v>
      </c>
      <c r="J180" s="90" t="s">
        <v>131</v>
      </c>
      <c r="K180" s="16" t="s">
        <v>387</v>
      </c>
      <c r="L180" s="89">
        <v>45826</v>
      </c>
      <c r="M180" s="381">
        <f t="shared" si="25"/>
        <v>10</v>
      </c>
      <c r="N180" s="98" t="s">
        <v>49</v>
      </c>
      <c r="O180" s="92">
        <v>32000030</v>
      </c>
      <c r="P180" s="24" t="str">
        <f>VLOOKUP(O180,[1]Feuil2!$A:$M,5,FALSE)</f>
        <v>COUTEAU LAGUIOLE PASSION ABS BLEU 432C + GENCOD</v>
      </c>
      <c r="Q180" s="90">
        <v>2400</v>
      </c>
      <c r="R180" s="93">
        <v>0.3</v>
      </c>
      <c r="S180" s="94">
        <f t="shared" si="22"/>
        <v>720</v>
      </c>
      <c r="T180" s="95">
        <f t="shared" si="28"/>
        <v>279786.72000000003</v>
      </c>
      <c r="U180" s="138"/>
      <c r="V180" s="96">
        <f t="shared" si="23"/>
        <v>279786.72000000003</v>
      </c>
      <c r="W180" s="4">
        <f>VLOOKUP(O180,[1]Feuil2!$A:$M,6,FALSE)</f>
        <v>240</v>
      </c>
      <c r="X180" s="5">
        <f>VLOOKUP(O180,[1]Feuil2!$A:$M,13,FALSE)</f>
        <v>2.9376000000000006E-2</v>
      </c>
      <c r="Y180" s="6">
        <f t="shared" si="29"/>
        <v>0.29376000000000008</v>
      </c>
      <c r="Z180" s="97">
        <f t="shared" si="24"/>
        <v>143.77948600000005</v>
      </c>
      <c r="AA180" s="69" t="s">
        <v>57</v>
      </c>
      <c r="AB180" s="23" t="s">
        <v>48</v>
      </c>
      <c r="AC180" s="125" t="s">
        <v>55</v>
      </c>
      <c r="AD180" s="21" t="s">
        <v>57</v>
      </c>
      <c r="AE180" s="20">
        <v>45785</v>
      </c>
      <c r="AF180" s="47" t="s">
        <v>242</v>
      </c>
      <c r="AG180" s="21" t="s">
        <v>57</v>
      </c>
      <c r="AH180" s="196" t="s">
        <v>421</v>
      </c>
      <c r="AI180" s="135">
        <v>45797</v>
      </c>
      <c r="AJ180" s="145">
        <f t="shared" si="27"/>
        <v>18</v>
      </c>
      <c r="AK180" s="100">
        <f>VLOOKUP(AP180,'[3]CONTENEUR PLEIN'!$F:$L,3,FALSE)</f>
        <v>45815</v>
      </c>
      <c r="AL180" s="99">
        <f>VLOOKUP(AP180,'[3]CONTENEUR PLEIN'!$F:$L,5,FALSE)</f>
        <v>45863</v>
      </c>
      <c r="AM180" s="18">
        <f>VLOOKUP(AP180,'[3]CONTENEUR PLEIN'!$F:$L,7,FALSE)</f>
        <v>45869.291666666664</v>
      </c>
      <c r="AN180" s="90" t="s">
        <v>63</v>
      </c>
      <c r="AO180" s="129" t="s">
        <v>285</v>
      </c>
      <c r="AP180" s="129" t="s">
        <v>286</v>
      </c>
      <c r="AQ180" s="129" t="s">
        <v>288</v>
      </c>
      <c r="AR180" s="129" t="e">
        <f>VLOOKUP(AP180,'[2]CONTENEUR PLEIN'!$F:$L,2,FALSE)</f>
        <v>#N/A</v>
      </c>
      <c r="AS180" s="129" t="s">
        <v>51</v>
      </c>
      <c r="AT180" s="98"/>
      <c r="AU180" s="181"/>
    </row>
    <row r="181" spans="1:47" s="72" customFormat="1" hidden="1" x14ac:dyDescent="0.25">
      <c r="B181" s="88" t="s">
        <v>45</v>
      </c>
      <c r="C181" s="89">
        <v>45547</v>
      </c>
      <c r="D181" s="90">
        <v>24078</v>
      </c>
      <c r="E181" s="91" t="s">
        <v>111</v>
      </c>
      <c r="F181" s="90">
        <v>2409121448</v>
      </c>
      <c r="G181" s="90" t="s">
        <v>74</v>
      </c>
      <c r="H181" s="90" t="s">
        <v>50</v>
      </c>
      <c r="I181" s="90" t="s">
        <v>49</v>
      </c>
      <c r="J181" s="90" t="s">
        <v>131</v>
      </c>
      <c r="K181" s="16" t="s">
        <v>387</v>
      </c>
      <c r="L181" s="89">
        <v>45826</v>
      </c>
      <c r="M181" s="381">
        <f t="shared" si="25"/>
        <v>10</v>
      </c>
      <c r="N181" s="98" t="s">
        <v>49</v>
      </c>
      <c r="O181" s="92">
        <v>32000031</v>
      </c>
      <c r="P181" s="24" t="str">
        <f>VLOOKUP(O181,[1]Feuil2!$A:$M,5,FALSE)</f>
        <v>FOURCHETTE LAGUIOLE PASSION ABS BLEU 432C + GENCOD</v>
      </c>
      <c r="Q181" s="90">
        <v>2400</v>
      </c>
      <c r="R181" s="93">
        <v>0.315</v>
      </c>
      <c r="S181" s="94">
        <f t="shared" si="22"/>
        <v>756</v>
      </c>
      <c r="T181" s="95">
        <f t="shared" si="28"/>
        <v>279786.72000000003</v>
      </c>
      <c r="U181" s="138"/>
      <c r="V181" s="96">
        <f t="shared" si="23"/>
        <v>279786.72000000003</v>
      </c>
      <c r="W181" s="4">
        <f>VLOOKUP(O181,[1]Feuil2!$A:$M,6,FALSE)</f>
        <v>240</v>
      </c>
      <c r="X181" s="5">
        <f>VLOOKUP(O181,[1]Feuil2!$A:$M,13,FALSE)</f>
        <v>2.9791999999999999E-2</v>
      </c>
      <c r="Y181" s="6">
        <f t="shared" si="29"/>
        <v>0.29791999999999996</v>
      </c>
      <c r="Z181" s="97">
        <f t="shared" si="24"/>
        <v>143.77948600000005</v>
      </c>
      <c r="AA181" s="69" t="s">
        <v>57</v>
      </c>
      <c r="AB181" s="23" t="s">
        <v>48</v>
      </c>
      <c r="AC181" s="125" t="s">
        <v>55</v>
      </c>
      <c r="AD181" s="21" t="s">
        <v>57</v>
      </c>
      <c r="AE181" s="20">
        <v>45785</v>
      </c>
      <c r="AF181" s="47" t="s">
        <v>243</v>
      </c>
      <c r="AG181" s="21" t="s">
        <v>57</v>
      </c>
      <c r="AH181" s="102"/>
      <c r="AI181" s="135">
        <v>45797</v>
      </c>
      <c r="AJ181" s="145">
        <f t="shared" si="27"/>
        <v>18</v>
      </c>
      <c r="AK181" s="100">
        <f>VLOOKUP(AP181,'[3]CONTENEUR PLEIN'!$F:$L,3,FALSE)</f>
        <v>45815</v>
      </c>
      <c r="AL181" s="99">
        <f>VLOOKUP(AP181,'[3]CONTENEUR PLEIN'!$F:$L,5,FALSE)</f>
        <v>45863</v>
      </c>
      <c r="AM181" s="18">
        <f>VLOOKUP(AP181,'[3]CONTENEUR PLEIN'!$F:$L,7,FALSE)</f>
        <v>45869.291666666664</v>
      </c>
      <c r="AN181" s="90" t="s">
        <v>63</v>
      </c>
      <c r="AO181" s="129" t="s">
        <v>285</v>
      </c>
      <c r="AP181" s="129" t="s">
        <v>286</v>
      </c>
      <c r="AQ181" s="129" t="s">
        <v>288</v>
      </c>
      <c r="AR181" s="129" t="e">
        <f>VLOOKUP(AP181,'[2]CONTENEUR PLEIN'!$F:$L,2,FALSE)</f>
        <v>#N/A</v>
      </c>
      <c r="AS181" s="129" t="s">
        <v>51</v>
      </c>
      <c r="AT181" s="98"/>
    </row>
    <row r="182" spans="1:47" s="278" customFormat="1" hidden="1" x14ac:dyDescent="0.25">
      <c r="A182" s="72"/>
      <c r="B182" s="88" t="s">
        <v>45</v>
      </c>
      <c r="C182" s="89">
        <v>45547</v>
      </c>
      <c r="D182" s="90">
        <v>24078</v>
      </c>
      <c r="E182" s="91" t="s">
        <v>111</v>
      </c>
      <c r="F182" s="90">
        <v>2409121448</v>
      </c>
      <c r="G182" s="90" t="s">
        <v>74</v>
      </c>
      <c r="H182" s="90" t="s">
        <v>50</v>
      </c>
      <c r="I182" s="90" t="s">
        <v>49</v>
      </c>
      <c r="J182" s="90" t="s">
        <v>131</v>
      </c>
      <c r="K182" s="16" t="s">
        <v>387</v>
      </c>
      <c r="L182" s="89">
        <v>45826</v>
      </c>
      <c r="M182" s="381">
        <f t="shared" si="25"/>
        <v>10</v>
      </c>
      <c r="N182" s="98" t="s">
        <v>49</v>
      </c>
      <c r="O182" s="92">
        <v>32000032</v>
      </c>
      <c r="P182" s="24" t="str">
        <f>VLOOKUP(O182,[1]Feuil2!$A:$M,5,FALSE)</f>
        <v>CUILLERE LAGUIOLE PASSION ABS BLEU 432C + GENCOD</v>
      </c>
      <c r="Q182" s="90">
        <v>1920</v>
      </c>
      <c r="R182" s="93">
        <v>0.314</v>
      </c>
      <c r="S182" s="94">
        <f t="shared" si="22"/>
        <v>602.88</v>
      </c>
      <c r="T182" s="95">
        <f t="shared" si="28"/>
        <v>279786.72000000003</v>
      </c>
      <c r="U182" s="138"/>
      <c r="V182" s="96">
        <f t="shared" si="23"/>
        <v>279786.72000000003</v>
      </c>
      <c r="W182" s="4">
        <f>VLOOKUP(O182,[1]Feuil2!$A:$M,6,FALSE)</f>
        <v>240</v>
      </c>
      <c r="X182" s="5">
        <f>VLOOKUP(O182,[1]Feuil2!$A:$M,13,FALSE)</f>
        <v>2.9791999999999999E-2</v>
      </c>
      <c r="Y182" s="6">
        <f t="shared" si="29"/>
        <v>0.23833599999999999</v>
      </c>
      <c r="Z182" s="97">
        <f t="shared" si="24"/>
        <v>143.77948600000005</v>
      </c>
      <c r="AA182" s="69" t="s">
        <v>57</v>
      </c>
      <c r="AB182" s="23" t="s">
        <v>48</v>
      </c>
      <c r="AC182" s="125" t="s">
        <v>55</v>
      </c>
      <c r="AD182" s="21" t="s">
        <v>57</v>
      </c>
      <c r="AE182" s="20">
        <v>45785</v>
      </c>
      <c r="AF182" s="47" t="s">
        <v>245</v>
      </c>
      <c r="AG182" s="21" t="s">
        <v>57</v>
      </c>
      <c r="AH182" s="102" t="s">
        <v>422</v>
      </c>
      <c r="AI182" s="135">
        <v>45797</v>
      </c>
      <c r="AJ182" s="145">
        <f t="shared" si="27"/>
        <v>18</v>
      </c>
      <c r="AK182" s="100">
        <f>VLOOKUP(AP182,'[3]CONTENEUR PLEIN'!$F:$L,3,FALSE)</f>
        <v>45815</v>
      </c>
      <c r="AL182" s="99">
        <f>VLOOKUP(AP182,'[3]CONTENEUR PLEIN'!$F:$L,5,FALSE)</f>
        <v>45863</v>
      </c>
      <c r="AM182" s="18">
        <f>VLOOKUP(AP182,'[3]CONTENEUR PLEIN'!$F:$L,7,FALSE)</f>
        <v>45869.291666666664</v>
      </c>
      <c r="AN182" s="90" t="s">
        <v>63</v>
      </c>
      <c r="AO182" s="129" t="s">
        <v>285</v>
      </c>
      <c r="AP182" s="129" t="s">
        <v>286</v>
      </c>
      <c r="AQ182" s="129" t="s">
        <v>288</v>
      </c>
      <c r="AR182" s="129" t="e">
        <f>VLOOKUP(AP182,'[2]CONTENEUR PLEIN'!$F:$L,2,FALSE)</f>
        <v>#N/A</v>
      </c>
      <c r="AS182" s="129" t="s">
        <v>51</v>
      </c>
      <c r="AT182" s="98"/>
      <c r="AU182" s="72"/>
    </row>
    <row r="183" spans="1:47" s="72" customFormat="1" hidden="1" x14ac:dyDescent="0.25">
      <c r="B183" s="88" t="s">
        <v>45</v>
      </c>
      <c r="C183" s="89">
        <v>45547</v>
      </c>
      <c r="D183" s="90">
        <v>24078</v>
      </c>
      <c r="E183" s="91" t="s">
        <v>111</v>
      </c>
      <c r="F183" s="90">
        <v>2409121448</v>
      </c>
      <c r="G183" s="90" t="s">
        <v>74</v>
      </c>
      <c r="H183" s="90" t="s">
        <v>50</v>
      </c>
      <c r="I183" s="90" t="s">
        <v>49</v>
      </c>
      <c r="J183" s="90" t="s">
        <v>131</v>
      </c>
      <c r="K183" s="16" t="s">
        <v>387</v>
      </c>
      <c r="L183" s="89">
        <v>45826</v>
      </c>
      <c r="M183" s="381">
        <f t="shared" si="25"/>
        <v>10</v>
      </c>
      <c r="N183" s="98" t="s">
        <v>49</v>
      </c>
      <c r="O183" s="92">
        <v>32000033</v>
      </c>
      <c r="P183" s="24" t="str">
        <f>VLOOKUP(O183,[1]Feuil2!$A:$M,5,FALSE)</f>
        <v>CAFE LAGUIOLE PASSION ABS BLEU 432C + GENCOD</v>
      </c>
      <c r="Q183" s="90">
        <v>3360</v>
      </c>
      <c r="R183" s="93">
        <v>0.28000000000000003</v>
      </c>
      <c r="S183" s="94">
        <f t="shared" si="22"/>
        <v>940.80000000000007</v>
      </c>
      <c r="T183" s="95">
        <f t="shared" si="28"/>
        <v>279786.72000000003</v>
      </c>
      <c r="U183" s="138"/>
      <c r="V183" s="96">
        <f t="shared" si="23"/>
        <v>279786.72000000003</v>
      </c>
      <c r="W183" s="4">
        <f>VLOOKUP(O183,[1]Feuil2!$A:$M,6,FALSE)</f>
        <v>240</v>
      </c>
      <c r="X183" s="5">
        <f>VLOOKUP(O183,[1]Feuil2!$A:$M,13,FALSE)</f>
        <v>2.052E-2</v>
      </c>
      <c r="Y183" s="6">
        <f t="shared" si="29"/>
        <v>0.28727999999999998</v>
      </c>
      <c r="Z183" s="97">
        <f t="shared" si="24"/>
        <v>143.77948600000005</v>
      </c>
      <c r="AA183" s="69" t="s">
        <v>57</v>
      </c>
      <c r="AB183" s="23" t="s">
        <v>48</v>
      </c>
      <c r="AC183" s="125" t="s">
        <v>55</v>
      </c>
      <c r="AD183" s="21" t="s">
        <v>57</v>
      </c>
      <c r="AE183" s="20">
        <v>45785</v>
      </c>
      <c r="AF183" s="47" t="s">
        <v>246</v>
      </c>
      <c r="AG183" s="21" t="s">
        <v>57</v>
      </c>
      <c r="AH183" s="102"/>
      <c r="AI183" s="135">
        <v>45797</v>
      </c>
      <c r="AJ183" s="145">
        <f t="shared" si="27"/>
        <v>18</v>
      </c>
      <c r="AK183" s="100">
        <f>VLOOKUP(AP183,'[3]CONTENEUR PLEIN'!$F:$L,3,FALSE)</f>
        <v>45815</v>
      </c>
      <c r="AL183" s="99">
        <f>VLOOKUP(AP183,'[3]CONTENEUR PLEIN'!$F:$L,5,FALSE)</f>
        <v>45863</v>
      </c>
      <c r="AM183" s="18">
        <f>VLOOKUP(AP183,'[3]CONTENEUR PLEIN'!$F:$L,7,FALSE)</f>
        <v>45869.291666666664</v>
      </c>
      <c r="AN183" s="90" t="s">
        <v>63</v>
      </c>
      <c r="AO183" s="129" t="s">
        <v>285</v>
      </c>
      <c r="AP183" s="129" t="s">
        <v>286</v>
      </c>
      <c r="AQ183" s="129" t="s">
        <v>288</v>
      </c>
      <c r="AR183" s="129" t="e">
        <f>VLOOKUP(AP183,'[2]CONTENEUR PLEIN'!$F:$L,2,FALSE)</f>
        <v>#N/A</v>
      </c>
      <c r="AS183" s="129" t="s">
        <v>51</v>
      </c>
      <c r="AT183" s="98"/>
    </row>
    <row r="184" spans="1:47" s="72" customFormat="1" ht="15" hidden="1" customHeight="1" x14ac:dyDescent="0.25">
      <c r="A184" s="71"/>
      <c r="B184" s="88" t="s">
        <v>45</v>
      </c>
      <c r="C184" s="89">
        <v>45547</v>
      </c>
      <c r="D184" s="90">
        <v>24078</v>
      </c>
      <c r="E184" s="91" t="s">
        <v>111</v>
      </c>
      <c r="F184" s="90">
        <v>2409121448</v>
      </c>
      <c r="G184" s="90" t="s">
        <v>74</v>
      </c>
      <c r="H184" s="90" t="s">
        <v>67</v>
      </c>
      <c r="I184" s="90" t="s">
        <v>49</v>
      </c>
      <c r="J184" s="90" t="s">
        <v>131</v>
      </c>
      <c r="K184" s="8" t="s">
        <v>289</v>
      </c>
      <c r="L184" s="89">
        <v>45741</v>
      </c>
      <c r="M184" s="381">
        <f t="shared" si="25"/>
        <v>8</v>
      </c>
      <c r="N184" s="98" t="s">
        <v>49</v>
      </c>
      <c r="O184" s="92">
        <v>32000022</v>
      </c>
      <c r="P184" s="24" t="str">
        <f>VLOOKUP(O184,[1]Feuil2!$A:$M,5,FALSE)</f>
        <v>COUTEAU LAGUIOLE PASSION ABS NOIR 6C + GENCOD</v>
      </c>
      <c r="Q184" s="90">
        <v>12000</v>
      </c>
      <c r="R184" s="93">
        <v>0.3</v>
      </c>
      <c r="S184" s="94">
        <f t="shared" si="22"/>
        <v>3600</v>
      </c>
      <c r="T184" s="95">
        <f t="shared" si="28"/>
        <v>279786.72000000003</v>
      </c>
      <c r="U184" s="138"/>
      <c r="V184" s="96">
        <f t="shared" si="23"/>
        <v>279786.72000000003</v>
      </c>
      <c r="W184" s="4">
        <f>VLOOKUP(O184,[1]Feuil2!$A:$M,6,FALSE)</f>
        <v>240</v>
      </c>
      <c r="X184" s="5">
        <f>VLOOKUP(O184,[1]Feuil2!$A:$M,13,FALSE)</f>
        <v>2.9376000000000006E-2</v>
      </c>
      <c r="Y184" s="6">
        <f t="shared" si="29"/>
        <v>1.4688000000000003</v>
      </c>
      <c r="Z184" s="97">
        <f t="shared" si="24"/>
        <v>143.77948600000005</v>
      </c>
      <c r="AA184" s="69" t="s">
        <v>57</v>
      </c>
      <c r="AB184" s="24" t="s">
        <v>48</v>
      </c>
      <c r="AC184" s="125" t="s">
        <v>55</v>
      </c>
      <c r="AD184" s="21" t="s">
        <v>57</v>
      </c>
      <c r="AE184" s="20">
        <v>45733</v>
      </c>
      <c r="AF184" s="47" t="s">
        <v>179</v>
      </c>
      <c r="AG184" s="21" t="s">
        <v>57</v>
      </c>
      <c r="AH184" s="98"/>
      <c r="AI184" s="135">
        <v>45731</v>
      </c>
      <c r="AJ184" s="145">
        <f t="shared" si="27"/>
        <v>12</v>
      </c>
      <c r="AK184" s="100">
        <f>VLOOKUP(AP184,'[3]CONTENEUR PLEIN'!$F:$L,3,FALSE)</f>
        <v>45743</v>
      </c>
      <c r="AL184" s="99">
        <f>VLOOKUP(AP184,'[3]CONTENEUR PLEIN'!$F:$L,5,FALSE)</f>
        <v>45789</v>
      </c>
      <c r="AM184" s="18">
        <f>VLOOKUP(AP184,'[3]CONTENEUR PLEIN'!$F:$L,7,FALSE)</f>
        <v>45799.333333333336</v>
      </c>
      <c r="AN184" s="90" t="s">
        <v>63</v>
      </c>
      <c r="AO184" s="150" t="s">
        <v>184</v>
      </c>
      <c r="AP184" s="150" t="s">
        <v>185</v>
      </c>
      <c r="AQ184" s="150"/>
      <c r="AR184" s="129" t="e">
        <f>VLOOKUP(AP184,'[2]CONTENEUR PLEIN'!$F:$L,2,FALSE)</f>
        <v>#N/A</v>
      </c>
      <c r="AS184" s="129" t="s">
        <v>51</v>
      </c>
      <c r="AT184" s="98"/>
    </row>
    <row r="185" spans="1:47" s="72" customFormat="1" hidden="1" x14ac:dyDescent="0.25">
      <c r="A185" s="71"/>
      <c r="B185" s="88" t="s">
        <v>45</v>
      </c>
      <c r="C185" s="89">
        <v>45547</v>
      </c>
      <c r="D185" s="90">
        <v>24078</v>
      </c>
      <c r="E185" s="91" t="s">
        <v>111</v>
      </c>
      <c r="F185" s="90">
        <v>2409121448</v>
      </c>
      <c r="G185" s="90" t="s">
        <v>74</v>
      </c>
      <c r="H185" s="90" t="s">
        <v>67</v>
      </c>
      <c r="I185" s="90" t="s">
        <v>49</v>
      </c>
      <c r="J185" s="90" t="s">
        <v>131</v>
      </c>
      <c r="K185" s="8" t="s">
        <v>289</v>
      </c>
      <c r="L185" s="89">
        <v>45741</v>
      </c>
      <c r="M185" s="381">
        <f t="shared" si="25"/>
        <v>8</v>
      </c>
      <c r="N185" s="98" t="s">
        <v>49</v>
      </c>
      <c r="O185" s="92">
        <v>32000023</v>
      </c>
      <c r="P185" s="24" t="str">
        <f>VLOOKUP(O185,[1]Feuil2!$A:$M,5,FALSE)</f>
        <v>FOURCHETTE LAGUIOLE PASSION ABS NOIR 6C + GENCOD</v>
      </c>
      <c r="Q185" s="90">
        <v>12000</v>
      </c>
      <c r="R185" s="93">
        <v>0.315</v>
      </c>
      <c r="S185" s="94">
        <f t="shared" si="22"/>
        <v>3780</v>
      </c>
      <c r="T185" s="95">
        <f t="shared" si="28"/>
        <v>279786.72000000003</v>
      </c>
      <c r="U185" s="138"/>
      <c r="V185" s="96">
        <f t="shared" si="23"/>
        <v>279786.72000000003</v>
      </c>
      <c r="W185" s="4">
        <f>VLOOKUP(O185,[1]Feuil2!$A:$M,6,FALSE)</f>
        <v>240</v>
      </c>
      <c r="X185" s="5">
        <f>VLOOKUP(O185,[1]Feuil2!$A:$M,13,FALSE)</f>
        <v>2.9791999999999999E-2</v>
      </c>
      <c r="Y185" s="6">
        <f t="shared" si="29"/>
        <v>1.4896</v>
      </c>
      <c r="Z185" s="97">
        <f t="shared" si="24"/>
        <v>143.77948600000005</v>
      </c>
      <c r="AA185" s="21" t="s">
        <v>57</v>
      </c>
      <c r="AB185" s="23" t="s">
        <v>48</v>
      </c>
      <c r="AC185" s="125" t="s">
        <v>55</v>
      </c>
      <c r="AD185" s="21" t="s">
        <v>57</v>
      </c>
      <c r="AE185" s="20">
        <v>45733</v>
      </c>
      <c r="AF185" s="47" t="s">
        <v>178</v>
      </c>
      <c r="AG185" s="21" t="s">
        <v>57</v>
      </c>
      <c r="AH185" s="98"/>
      <c r="AI185" s="135">
        <v>45731</v>
      </c>
      <c r="AJ185" s="145">
        <f t="shared" si="27"/>
        <v>12</v>
      </c>
      <c r="AK185" s="100">
        <f>VLOOKUP(AP185,'[3]CONTENEUR PLEIN'!$F:$L,3,FALSE)</f>
        <v>45743</v>
      </c>
      <c r="AL185" s="99">
        <f>VLOOKUP(AP185,'[3]CONTENEUR PLEIN'!$F:$L,5,FALSE)</f>
        <v>45789</v>
      </c>
      <c r="AM185" s="18">
        <f>VLOOKUP(AP185,'[3]CONTENEUR PLEIN'!$F:$L,7,FALSE)</f>
        <v>45799.333333333336</v>
      </c>
      <c r="AN185" s="90" t="s">
        <v>63</v>
      </c>
      <c r="AO185" s="150" t="s">
        <v>184</v>
      </c>
      <c r="AP185" s="150" t="s">
        <v>185</v>
      </c>
      <c r="AQ185" s="150"/>
      <c r="AR185" s="129" t="e">
        <f>VLOOKUP(AP185,'[2]CONTENEUR PLEIN'!$F:$L,2,FALSE)</f>
        <v>#N/A</v>
      </c>
      <c r="AS185" s="129" t="s">
        <v>51</v>
      </c>
      <c r="AT185" s="98"/>
    </row>
    <row r="186" spans="1:47" s="72" customFormat="1" hidden="1" x14ac:dyDescent="0.25">
      <c r="A186" s="71"/>
      <c r="B186" s="88" t="s">
        <v>45</v>
      </c>
      <c r="C186" s="89">
        <v>45547</v>
      </c>
      <c r="D186" s="90">
        <v>24078</v>
      </c>
      <c r="E186" s="91" t="s">
        <v>111</v>
      </c>
      <c r="F186" s="90">
        <v>2409121448</v>
      </c>
      <c r="G186" s="90" t="s">
        <v>74</v>
      </c>
      <c r="H186" s="90" t="s">
        <v>67</v>
      </c>
      <c r="I186" s="90" t="s">
        <v>49</v>
      </c>
      <c r="J186" s="90" t="s">
        <v>131</v>
      </c>
      <c r="K186" s="8" t="s">
        <v>289</v>
      </c>
      <c r="L186" s="89">
        <v>45741</v>
      </c>
      <c r="M186" s="381">
        <f t="shared" si="25"/>
        <v>8</v>
      </c>
      <c r="N186" s="98" t="s">
        <v>49</v>
      </c>
      <c r="O186" s="92">
        <v>32000024</v>
      </c>
      <c r="P186" s="24" t="str">
        <f>VLOOKUP(O186,[1]Feuil2!$A:$M,5,FALSE)</f>
        <v>CUILLERE LAGUIOLE PASSION ABS NOIR 6C + GENCOD</v>
      </c>
      <c r="Q186" s="90">
        <v>6000</v>
      </c>
      <c r="R186" s="93">
        <v>0.314</v>
      </c>
      <c r="S186" s="94">
        <f t="shared" si="22"/>
        <v>1884</v>
      </c>
      <c r="T186" s="95">
        <f t="shared" si="28"/>
        <v>279786.72000000003</v>
      </c>
      <c r="U186" s="138"/>
      <c r="V186" s="96">
        <f t="shared" si="23"/>
        <v>279786.72000000003</v>
      </c>
      <c r="W186" s="4">
        <f>VLOOKUP(O186,[1]Feuil2!$A:$M,6,FALSE)</f>
        <v>240</v>
      </c>
      <c r="X186" s="5">
        <f>VLOOKUP(O186,[1]Feuil2!$A:$M,13,FALSE)</f>
        <v>2.9791999999999999E-2</v>
      </c>
      <c r="Y186" s="6">
        <f t="shared" si="29"/>
        <v>0.74480000000000002</v>
      </c>
      <c r="Z186" s="97">
        <f t="shared" si="24"/>
        <v>143.77948600000005</v>
      </c>
      <c r="AA186" s="21" t="s">
        <v>57</v>
      </c>
      <c r="AB186" s="23" t="s">
        <v>48</v>
      </c>
      <c r="AC186" s="125" t="s">
        <v>55</v>
      </c>
      <c r="AD186" s="21" t="s">
        <v>57</v>
      </c>
      <c r="AE186" s="20">
        <v>45733</v>
      </c>
      <c r="AF186" s="47" t="s">
        <v>181</v>
      </c>
      <c r="AG186" s="21" t="s">
        <v>57</v>
      </c>
      <c r="AH186" s="98"/>
      <c r="AI186" s="135">
        <v>45731</v>
      </c>
      <c r="AJ186" s="145">
        <f t="shared" si="27"/>
        <v>12</v>
      </c>
      <c r="AK186" s="100">
        <f>VLOOKUP(AP186,'[3]CONTENEUR PLEIN'!$F:$L,3,FALSE)</f>
        <v>45743</v>
      </c>
      <c r="AL186" s="99">
        <f>VLOOKUP(AP186,'[3]CONTENEUR PLEIN'!$F:$L,5,FALSE)</f>
        <v>45789</v>
      </c>
      <c r="AM186" s="18">
        <f>VLOOKUP(AP186,'[3]CONTENEUR PLEIN'!$F:$L,7,FALSE)</f>
        <v>45799.333333333336</v>
      </c>
      <c r="AN186" s="90" t="s">
        <v>63</v>
      </c>
      <c r="AO186" s="150" t="s">
        <v>184</v>
      </c>
      <c r="AP186" s="150" t="s">
        <v>185</v>
      </c>
      <c r="AQ186" s="150"/>
      <c r="AR186" s="129" t="e">
        <f>VLOOKUP(AP186,'[2]CONTENEUR PLEIN'!$F:$L,2,FALSE)</f>
        <v>#N/A</v>
      </c>
      <c r="AS186" s="129" t="s">
        <v>51</v>
      </c>
      <c r="AT186" s="98"/>
    </row>
    <row r="187" spans="1:47" s="72" customFormat="1" hidden="1" x14ac:dyDescent="0.25">
      <c r="A187" s="71"/>
      <c r="B187" s="88" t="s">
        <v>45</v>
      </c>
      <c r="C187" s="89">
        <v>45547</v>
      </c>
      <c r="D187" s="90">
        <v>24078</v>
      </c>
      <c r="E187" s="91" t="s">
        <v>111</v>
      </c>
      <c r="F187" s="90">
        <v>2409121448</v>
      </c>
      <c r="G187" s="90" t="s">
        <v>74</v>
      </c>
      <c r="H187" s="90" t="s">
        <v>67</v>
      </c>
      <c r="I187" s="90" t="s">
        <v>49</v>
      </c>
      <c r="J187" s="90" t="s">
        <v>131</v>
      </c>
      <c r="K187" s="8" t="s">
        <v>289</v>
      </c>
      <c r="L187" s="89">
        <v>45741</v>
      </c>
      <c r="M187" s="381">
        <f t="shared" si="25"/>
        <v>8</v>
      </c>
      <c r="N187" s="98" t="s">
        <v>49</v>
      </c>
      <c r="O187" s="92">
        <v>32000026</v>
      </c>
      <c r="P187" s="24" t="str">
        <f>VLOOKUP(O187,[1]Feuil2!$A:$M,5,FALSE)</f>
        <v>COUTEAU LAGUIOLE PASSION ABS BLANC + GENCOD</v>
      </c>
      <c r="Q187" s="90">
        <v>9840</v>
      </c>
      <c r="R187" s="93">
        <v>0.3</v>
      </c>
      <c r="S187" s="94">
        <f t="shared" si="22"/>
        <v>2952</v>
      </c>
      <c r="T187" s="95">
        <f t="shared" si="28"/>
        <v>279786.72000000003</v>
      </c>
      <c r="U187" s="138"/>
      <c r="V187" s="96">
        <f t="shared" si="23"/>
        <v>279786.72000000003</v>
      </c>
      <c r="W187" s="4">
        <f>VLOOKUP(O187,[1]Feuil2!$A:$M,6,FALSE)</f>
        <v>240</v>
      </c>
      <c r="X187" s="5">
        <f>VLOOKUP(O187,[1]Feuil2!$A:$M,13,FALSE)</f>
        <v>2.9376000000000006E-2</v>
      </c>
      <c r="Y187" s="6">
        <f t="shared" si="29"/>
        <v>1.2044160000000002</v>
      </c>
      <c r="Z187" s="97">
        <f t="shared" si="24"/>
        <v>143.77948600000005</v>
      </c>
      <c r="AA187" s="21" t="s">
        <v>57</v>
      </c>
      <c r="AB187" s="23" t="s">
        <v>48</v>
      </c>
      <c r="AC187" s="125" t="s">
        <v>55</v>
      </c>
      <c r="AD187" s="21" t="s">
        <v>57</v>
      </c>
      <c r="AE187" s="20">
        <v>45733</v>
      </c>
      <c r="AF187" s="47" t="s">
        <v>180</v>
      </c>
      <c r="AG187" s="21" t="s">
        <v>57</v>
      </c>
      <c r="AH187" s="98"/>
      <c r="AI187" s="135">
        <v>45731</v>
      </c>
      <c r="AJ187" s="145">
        <f t="shared" si="27"/>
        <v>12</v>
      </c>
      <c r="AK187" s="100">
        <f>VLOOKUP(AP187,'[3]CONTENEUR PLEIN'!$F:$L,3,FALSE)</f>
        <v>45743</v>
      </c>
      <c r="AL187" s="99">
        <f>VLOOKUP(AP187,'[3]CONTENEUR PLEIN'!$F:$L,5,FALSE)</f>
        <v>45789</v>
      </c>
      <c r="AM187" s="18">
        <f>VLOOKUP(AP187,'[3]CONTENEUR PLEIN'!$F:$L,7,FALSE)</f>
        <v>45799.333333333336</v>
      </c>
      <c r="AN187" s="90" t="s">
        <v>63</v>
      </c>
      <c r="AO187" s="150" t="s">
        <v>184</v>
      </c>
      <c r="AP187" s="150" t="s">
        <v>185</v>
      </c>
      <c r="AQ187" s="150"/>
      <c r="AR187" s="129" t="e">
        <f>VLOOKUP(AP187,'[2]CONTENEUR PLEIN'!$F:$L,2,FALSE)</f>
        <v>#N/A</v>
      </c>
      <c r="AS187" s="129" t="s">
        <v>51</v>
      </c>
      <c r="AT187" s="98"/>
    </row>
    <row r="188" spans="1:47" hidden="1" x14ac:dyDescent="0.25">
      <c r="A188" s="71"/>
      <c r="B188" s="88" t="s">
        <v>45</v>
      </c>
      <c r="C188" s="89">
        <v>45547</v>
      </c>
      <c r="D188" s="90">
        <v>24078</v>
      </c>
      <c r="E188" s="91" t="s">
        <v>111</v>
      </c>
      <c r="F188" s="90">
        <v>2409121448</v>
      </c>
      <c r="G188" s="90" t="s">
        <v>74</v>
      </c>
      <c r="H188" s="90" t="s">
        <v>67</v>
      </c>
      <c r="I188" s="90" t="s">
        <v>49</v>
      </c>
      <c r="J188" s="90" t="s">
        <v>131</v>
      </c>
      <c r="K188" s="8" t="s">
        <v>289</v>
      </c>
      <c r="L188" s="89">
        <v>45741</v>
      </c>
      <c r="M188" s="381">
        <f t="shared" si="25"/>
        <v>8</v>
      </c>
      <c r="N188" s="98" t="s">
        <v>49</v>
      </c>
      <c r="O188" s="92">
        <v>32000027</v>
      </c>
      <c r="P188" s="24" t="str">
        <f>VLOOKUP(O188,[1]Feuil2!$A:$M,5,FALSE)</f>
        <v>FOURCHETTE LAGUIOLE PASSION ABS BLANC + GENCOD</v>
      </c>
      <c r="Q188" s="90">
        <v>12000</v>
      </c>
      <c r="R188" s="93">
        <v>0.315</v>
      </c>
      <c r="S188" s="94">
        <f t="shared" si="22"/>
        <v>3780</v>
      </c>
      <c r="T188" s="95">
        <f t="shared" si="28"/>
        <v>279786.72000000003</v>
      </c>
      <c r="U188" s="138"/>
      <c r="V188" s="96">
        <f t="shared" si="23"/>
        <v>279786.72000000003</v>
      </c>
      <c r="W188" s="4">
        <f>VLOOKUP(O188,[1]Feuil2!$A:$M,6,FALSE)</f>
        <v>240</v>
      </c>
      <c r="X188" s="5">
        <f>VLOOKUP(O188,[1]Feuil2!$A:$M,13,FALSE)</f>
        <v>2.9791999999999999E-2</v>
      </c>
      <c r="Y188" s="6">
        <f t="shared" si="29"/>
        <v>1.4896</v>
      </c>
      <c r="Z188" s="97">
        <f t="shared" si="24"/>
        <v>143.77948600000005</v>
      </c>
      <c r="AA188" s="21" t="s">
        <v>57</v>
      </c>
      <c r="AB188" s="23" t="s">
        <v>48</v>
      </c>
      <c r="AC188" s="125" t="s">
        <v>55</v>
      </c>
      <c r="AD188" s="21" t="s">
        <v>57</v>
      </c>
      <c r="AE188" s="20">
        <v>45733</v>
      </c>
      <c r="AF188" s="47" t="s">
        <v>182</v>
      </c>
      <c r="AG188" s="21" t="s">
        <v>57</v>
      </c>
      <c r="AH188" s="98"/>
      <c r="AI188" s="135">
        <v>45731</v>
      </c>
      <c r="AJ188" s="145">
        <f t="shared" si="27"/>
        <v>12</v>
      </c>
      <c r="AK188" s="100">
        <f>VLOOKUP(AP188,'[3]CONTENEUR PLEIN'!$F:$L,3,FALSE)</f>
        <v>45743</v>
      </c>
      <c r="AL188" s="99">
        <f>VLOOKUP(AP188,'[3]CONTENEUR PLEIN'!$F:$L,5,FALSE)</f>
        <v>45789</v>
      </c>
      <c r="AM188" s="18">
        <f>VLOOKUP(AP188,'[3]CONTENEUR PLEIN'!$F:$L,7,FALSE)</f>
        <v>45799.333333333336</v>
      </c>
      <c r="AN188" s="90" t="s">
        <v>63</v>
      </c>
      <c r="AO188" s="150" t="s">
        <v>184</v>
      </c>
      <c r="AP188" s="150" t="s">
        <v>185</v>
      </c>
      <c r="AQ188" s="150"/>
      <c r="AR188" s="129" t="e">
        <f>VLOOKUP(AP188,'[2]CONTENEUR PLEIN'!$F:$L,2,FALSE)</f>
        <v>#N/A</v>
      </c>
      <c r="AS188" s="129" t="s">
        <v>51</v>
      </c>
      <c r="AT188" s="98"/>
      <c r="AU188" s="72"/>
    </row>
    <row r="189" spans="1:47" s="72" customFormat="1" hidden="1" x14ac:dyDescent="0.25">
      <c r="A189" s="71"/>
      <c r="B189" s="88" t="s">
        <v>45</v>
      </c>
      <c r="C189" s="89">
        <v>45547</v>
      </c>
      <c r="D189" s="90">
        <v>24078</v>
      </c>
      <c r="E189" s="91" t="s">
        <v>111</v>
      </c>
      <c r="F189" s="90">
        <v>2409121448</v>
      </c>
      <c r="G189" s="90" t="s">
        <v>74</v>
      </c>
      <c r="H189" s="90" t="s">
        <v>67</v>
      </c>
      <c r="I189" s="90" t="s">
        <v>49</v>
      </c>
      <c r="J189" s="90" t="s">
        <v>131</v>
      </c>
      <c r="K189" s="8" t="s">
        <v>289</v>
      </c>
      <c r="L189" s="89">
        <v>45741</v>
      </c>
      <c r="M189" s="381">
        <f t="shared" si="25"/>
        <v>8</v>
      </c>
      <c r="N189" s="98" t="s">
        <v>49</v>
      </c>
      <c r="O189" s="92">
        <v>32000028</v>
      </c>
      <c r="P189" s="24" t="str">
        <f>VLOOKUP(O189,[1]Feuil2!$A:$M,5,FALSE)</f>
        <v>CUILLERE LAGUIOLE PASSION ABS BLANC + GENCOD</v>
      </c>
      <c r="Q189" s="90">
        <v>4560</v>
      </c>
      <c r="R189" s="93">
        <v>0.314</v>
      </c>
      <c r="S189" s="94">
        <f t="shared" si="22"/>
        <v>1431.84</v>
      </c>
      <c r="T189" s="95">
        <f t="shared" si="28"/>
        <v>279786.72000000003</v>
      </c>
      <c r="U189" s="138"/>
      <c r="V189" s="96">
        <f t="shared" si="23"/>
        <v>279786.72000000003</v>
      </c>
      <c r="W189" s="4">
        <f>VLOOKUP(O189,[1]Feuil2!$A:$M,6,FALSE)</f>
        <v>240</v>
      </c>
      <c r="X189" s="5">
        <f>VLOOKUP(O189,[1]Feuil2!$A:$M,13,FALSE)</f>
        <v>2.9791999999999999E-2</v>
      </c>
      <c r="Y189" s="6">
        <f t="shared" si="29"/>
        <v>0.566048</v>
      </c>
      <c r="Z189" s="97">
        <f t="shared" si="24"/>
        <v>143.77948600000005</v>
      </c>
      <c r="AA189" s="21" t="s">
        <v>57</v>
      </c>
      <c r="AB189" s="23" t="s">
        <v>48</v>
      </c>
      <c r="AC189" s="125" t="s">
        <v>55</v>
      </c>
      <c r="AD189" s="21" t="s">
        <v>57</v>
      </c>
      <c r="AE189" s="20">
        <v>45733</v>
      </c>
      <c r="AF189" s="47" t="s">
        <v>183</v>
      </c>
      <c r="AG189" s="21" t="s">
        <v>57</v>
      </c>
      <c r="AH189" s="98"/>
      <c r="AI189" s="135">
        <v>45731</v>
      </c>
      <c r="AJ189" s="145">
        <f t="shared" si="27"/>
        <v>12</v>
      </c>
      <c r="AK189" s="100">
        <f>VLOOKUP(AP189,'[3]CONTENEUR PLEIN'!$F:$L,3,FALSE)</f>
        <v>45743</v>
      </c>
      <c r="AL189" s="99">
        <f>VLOOKUP(AP189,'[3]CONTENEUR PLEIN'!$F:$L,5,FALSE)</f>
        <v>45789</v>
      </c>
      <c r="AM189" s="18">
        <f>VLOOKUP(AP189,'[3]CONTENEUR PLEIN'!$F:$L,7,FALSE)</f>
        <v>45799.333333333336</v>
      </c>
      <c r="AN189" s="90" t="s">
        <v>63</v>
      </c>
      <c r="AO189" s="150" t="s">
        <v>184</v>
      </c>
      <c r="AP189" s="150" t="s">
        <v>185</v>
      </c>
      <c r="AQ189" s="150"/>
      <c r="AR189" s="129" t="e">
        <f>VLOOKUP(AP189,'[2]CONTENEUR PLEIN'!$F:$L,2,FALSE)</f>
        <v>#N/A</v>
      </c>
      <c r="AS189" s="129" t="s">
        <v>51</v>
      </c>
      <c r="AT189" s="98"/>
    </row>
    <row r="190" spans="1:47" hidden="1" x14ac:dyDescent="0.25">
      <c r="A190" s="71"/>
      <c r="B190" s="88" t="s">
        <v>45</v>
      </c>
      <c r="C190" s="89">
        <v>45547</v>
      </c>
      <c r="D190" s="90">
        <v>24078</v>
      </c>
      <c r="E190" s="91" t="s">
        <v>111</v>
      </c>
      <c r="F190" s="90">
        <v>2409121448</v>
      </c>
      <c r="G190" s="90" t="s">
        <v>74</v>
      </c>
      <c r="H190" s="495" t="s">
        <v>305</v>
      </c>
      <c r="I190" s="90" t="s">
        <v>49</v>
      </c>
      <c r="J190" s="90" t="s">
        <v>131</v>
      </c>
      <c r="K190" s="16" t="s">
        <v>991</v>
      </c>
      <c r="L190" s="89">
        <v>45841</v>
      </c>
      <c r="M190" s="381">
        <f t="shared" si="25"/>
        <v>17</v>
      </c>
      <c r="N190" s="98" t="s">
        <v>49</v>
      </c>
      <c r="O190" s="92">
        <v>32000015</v>
      </c>
      <c r="P190" s="24" t="str">
        <f>VLOOKUP(O190,[1]Feuil2!$A:$M,5,FALSE)</f>
        <v>FOURCHETTE LAGUIOLE PASSION ABS ROUGE 187C + GENCOD</v>
      </c>
      <c r="Q190" s="90">
        <v>2400</v>
      </c>
      <c r="R190" s="93">
        <v>0</v>
      </c>
      <c r="S190" s="94">
        <f t="shared" si="22"/>
        <v>0</v>
      </c>
      <c r="T190" s="95">
        <f t="shared" si="28"/>
        <v>279786.72000000003</v>
      </c>
      <c r="U190" s="138"/>
      <c r="V190" s="96">
        <f t="shared" si="23"/>
        <v>279786.72000000003</v>
      </c>
      <c r="W190" s="4">
        <f>VLOOKUP(O190,[1]Feuil2!$A:$M,6,FALSE)</f>
        <v>240</v>
      </c>
      <c r="X190" s="5">
        <f>VLOOKUP(O190,[1]Feuil2!$A:$M,13,FALSE)</f>
        <v>2.9791999999999999E-2</v>
      </c>
      <c r="Y190" s="6">
        <f t="shared" si="29"/>
        <v>0.29791999999999996</v>
      </c>
      <c r="Z190" s="97">
        <f t="shared" si="24"/>
        <v>143.77948600000005</v>
      </c>
      <c r="AA190" s="21" t="s">
        <v>57</v>
      </c>
      <c r="AB190" s="24" t="s">
        <v>48</v>
      </c>
      <c r="AC190" s="125"/>
      <c r="AD190" s="133" t="s">
        <v>61</v>
      </c>
      <c r="AE190" s="20">
        <v>45954</v>
      </c>
      <c r="AF190" s="21" t="s">
        <v>564</v>
      </c>
      <c r="AG190" s="21" t="s">
        <v>57</v>
      </c>
      <c r="AH190" s="110" t="s">
        <v>48</v>
      </c>
      <c r="AI190" s="160">
        <v>45797</v>
      </c>
      <c r="AJ190" s="145">
        <f t="shared" si="27"/>
        <v>206</v>
      </c>
      <c r="AK190" s="100">
        <f>VLOOKUP(AP190,'[2]CONTENEUR PLEIN'!$F:$L,3,FALSE)</f>
        <v>46003</v>
      </c>
      <c r="AL190" s="99">
        <f>VLOOKUP(AP190,'[2]CONTENEUR PLEIN'!$F:$L,5,FALSE)</f>
        <v>46060</v>
      </c>
      <c r="AM190" s="18">
        <f>VLOOKUP(AP190,'[2]CONTENEUR PLEIN'!$F:$L,7,FALSE)</f>
        <v>46066.291666666664</v>
      </c>
      <c r="AN190" s="90" t="s">
        <v>63</v>
      </c>
      <c r="AO190" s="290" t="s">
        <v>664</v>
      </c>
      <c r="AP190" s="290" t="s">
        <v>665</v>
      </c>
      <c r="AQ190" s="290" t="s">
        <v>666</v>
      </c>
      <c r="AR190" s="129" t="str">
        <f>VLOOKUP(AP190,'[2]CONTENEUR PLEIN'!$F:$L,2,FALSE)</f>
        <v>CMA CGM SCANDOLA</v>
      </c>
      <c r="AS190" s="290" t="s">
        <v>316</v>
      </c>
      <c r="AT190" s="98"/>
    </row>
    <row r="191" spans="1:47" s="72" customFormat="1" hidden="1" x14ac:dyDescent="0.25">
      <c r="A191" s="71"/>
      <c r="B191" s="88" t="s">
        <v>45</v>
      </c>
      <c r="C191" s="89">
        <v>45547</v>
      </c>
      <c r="D191" s="90">
        <v>24078</v>
      </c>
      <c r="E191" s="91" t="s">
        <v>111</v>
      </c>
      <c r="F191" s="90">
        <v>2409121448</v>
      </c>
      <c r="G191" s="90" t="s">
        <v>74</v>
      </c>
      <c r="H191" s="495" t="s">
        <v>305</v>
      </c>
      <c r="I191" s="90" t="s">
        <v>49</v>
      </c>
      <c r="J191" s="90" t="s">
        <v>131</v>
      </c>
      <c r="K191" s="16" t="s">
        <v>996</v>
      </c>
      <c r="L191" s="89">
        <v>45841</v>
      </c>
      <c r="M191" s="381">
        <f t="shared" si="25"/>
        <v>17</v>
      </c>
      <c r="N191" s="98" t="s">
        <v>49</v>
      </c>
      <c r="O191" s="92">
        <v>32000016</v>
      </c>
      <c r="P191" s="24" t="str">
        <f>VLOOKUP(O191,[1]Feuil2!$A:$M,5,FALSE)</f>
        <v>CUILLERE LAGUIOLE PASSION ABS ROUGE 187C + GENCOD</v>
      </c>
      <c r="Q191" s="90">
        <v>1920</v>
      </c>
      <c r="R191" s="93">
        <v>0</v>
      </c>
      <c r="S191" s="94">
        <f t="shared" si="22"/>
        <v>0</v>
      </c>
      <c r="T191" s="95">
        <f t="shared" si="28"/>
        <v>279786.72000000003</v>
      </c>
      <c r="U191" s="138"/>
      <c r="V191" s="96">
        <f t="shared" si="23"/>
        <v>279786.72000000003</v>
      </c>
      <c r="W191" s="4">
        <f>VLOOKUP(O191,[1]Feuil2!$A:$M,6,FALSE)</f>
        <v>240</v>
      </c>
      <c r="X191" s="5">
        <f>VLOOKUP(O191,[1]Feuil2!$A:$M,13,FALSE)</f>
        <v>2.9791999999999999E-2</v>
      </c>
      <c r="Y191" s="6">
        <f t="shared" si="29"/>
        <v>0.23833599999999999</v>
      </c>
      <c r="Z191" s="97">
        <f t="shared" si="24"/>
        <v>143.77948600000005</v>
      </c>
      <c r="AA191" s="21" t="s">
        <v>57</v>
      </c>
      <c r="AB191" s="24" t="s">
        <v>48</v>
      </c>
      <c r="AC191" s="129" t="s">
        <v>55</v>
      </c>
      <c r="AD191" s="21" t="s">
        <v>57</v>
      </c>
      <c r="AE191" s="20">
        <v>45954</v>
      </c>
      <c r="AF191" s="21" t="s">
        <v>563</v>
      </c>
      <c r="AG191" s="21"/>
      <c r="AH191" s="102"/>
      <c r="AI191" s="160">
        <v>45797</v>
      </c>
      <c r="AJ191" s="145">
        <f t="shared" si="27"/>
        <v>206</v>
      </c>
      <c r="AK191" s="100">
        <f>VLOOKUP(AP191,'[2]CONTENEUR PLEIN'!$F:$L,3,FALSE)</f>
        <v>46003</v>
      </c>
      <c r="AL191" s="100">
        <f>VLOOKUP(AP191,'[2]CONTENEUR PLEIN'!$F:$L,5,FALSE)</f>
        <v>46060</v>
      </c>
      <c r="AM191" s="174">
        <f>VLOOKUP(AP191,'[2]CONTENEUR PLEIN'!$F:$L,7,FALSE)</f>
        <v>46069.333333333336</v>
      </c>
      <c r="AN191" s="90" t="s">
        <v>63</v>
      </c>
      <c r="AO191" s="290" t="s">
        <v>673</v>
      </c>
      <c r="AP191" s="290" t="s">
        <v>674</v>
      </c>
      <c r="AQ191" s="290" t="s">
        <v>679</v>
      </c>
      <c r="AR191" s="129" t="str">
        <f>VLOOKUP(AP191,'[2]CONTENEUR PLEIN'!$F:$L,2,FALSE)</f>
        <v>CMA CGM SCANDOLA</v>
      </c>
      <c r="AS191" s="290" t="s">
        <v>316</v>
      </c>
      <c r="AT191" s="98"/>
    </row>
    <row r="192" spans="1:47" s="72" customFormat="1" hidden="1" x14ac:dyDescent="0.25">
      <c r="A192" s="71"/>
      <c r="B192" s="88" t="s">
        <v>45</v>
      </c>
      <c r="C192" s="89">
        <v>45621</v>
      </c>
      <c r="D192" s="90">
        <v>24099</v>
      </c>
      <c r="E192" s="91" t="s">
        <v>116</v>
      </c>
      <c r="F192" s="90">
        <v>2410091632</v>
      </c>
      <c r="G192" s="90" t="s">
        <v>64</v>
      </c>
      <c r="H192" s="90" t="s">
        <v>113</v>
      </c>
      <c r="I192" s="90" t="s">
        <v>49</v>
      </c>
      <c r="J192" s="90" t="s">
        <v>46</v>
      </c>
      <c r="K192" s="16" t="s">
        <v>862</v>
      </c>
      <c r="L192" s="89">
        <v>45995</v>
      </c>
      <c r="M192" s="381">
        <f t="shared" ref="M192:M226" si="30">DATEDIF(C192,AM192,"M")</f>
        <v>13</v>
      </c>
      <c r="N192" s="98" t="s">
        <v>62</v>
      </c>
      <c r="O192" s="92">
        <v>402660</v>
      </c>
      <c r="P192" s="24" t="str">
        <f>VLOOKUP(O192,[1]Feuil2!$A:$M,5,FALSE)</f>
        <v>LOT 6 CUILL MAZAGRAN CLEO</v>
      </c>
      <c r="Q192" s="90">
        <v>9200</v>
      </c>
      <c r="R192" s="93">
        <v>0.27200000000000002</v>
      </c>
      <c r="S192" s="94">
        <f t="shared" ref="S192:S226" si="31">Q192*R192</f>
        <v>2502.4</v>
      </c>
      <c r="T192" s="95">
        <f t="shared" ref="T192:T226" si="32">SUMIF($E$5:$E$9257,E192,$S$5:$S$9257)</f>
        <v>40301.824000000001</v>
      </c>
      <c r="U192" s="138"/>
      <c r="V192" s="96">
        <f t="shared" ref="V192:V226" si="33">U192+T192</f>
        <v>40301.824000000001</v>
      </c>
      <c r="W192" s="4">
        <f>VLOOKUP(O192,[1]Feuil2!$A:$M,6,FALSE)</f>
        <v>200</v>
      </c>
      <c r="X192" s="5">
        <f>VLOOKUP(O192,[1]Feuil2!$A:$M,13,FALSE)</f>
        <v>1.4804999999999999E-2</v>
      </c>
      <c r="Y192" s="6">
        <f t="shared" ref="Y192:Y226" si="34">(Q192/W192)*X192</f>
        <v>0.68102999999999991</v>
      </c>
      <c r="Z192" s="97">
        <f t="shared" ref="Z192:Z226" si="35">SUMIF($E:$E,E192,$Y:$Y)</f>
        <v>18.975457374999994</v>
      </c>
      <c r="AA192" s="19" t="s">
        <v>57</v>
      </c>
      <c r="AB192" s="67" t="s">
        <v>48</v>
      </c>
      <c r="AC192" s="87" t="s">
        <v>55</v>
      </c>
      <c r="AD192" s="21" t="s">
        <v>57</v>
      </c>
      <c r="AE192" s="20">
        <v>45972</v>
      </c>
      <c r="AF192" s="21" t="s">
        <v>606</v>
      </c>
      <c r="AG192" s="21"/>
      <c r="AH192" s="98"/>
      <c r="AI192" s="160">
        <v>45777</v>
      </c>
      <c r="AJ192" s="145">
        <f>DATEDIF(AI192,$AK192,"D")</f>
        <v>207</v>
      </c>
      <c r="AK192" s="100">
        <f>VLOOKUP(AP192,'[2]CONTENEUR PLEIN'!$F:$L,3,FALSE)</f>
        <v>45984</v>
      </c>
      <c r="AL192" s="99">
        <f>VLOOKUP(AP192,'[2]CONTENEUR PLEIN'!$F:$L,5,FALSE)</f>
        <v>46030</v>
      </c>
      <c r="AM192" s="18">
        <f>VLOOKUP(AP192,'[2]CONTENEUR PLEIN'!$F:$L,7,FALSE)</f>
        <v>46036.333333333336</v>
      </c>
      <c r="AN192" s="90" t="s">
        <v>63</v>
      </c>
      <c r="AO192" s="351" t="s">
        <v>577</v>
      </c>
      <c r="AP192" s="351" t="s">
        <v>578</v>
      </c>
      <c r="AQ192" s="351" t="s">
        <v>581</v>
      </c>
      <c r="AR192" s="90" t="str">
        <f>VLOOKUP(AP192,'[2]CONTENEUR PLEIN'!$F:$L,2,FALSE)</f>
        <v>CMA CGM GRACE BAY</v>
      </c>
      <c r="AS192" s="351" t="s">
        <v>316</v>
      </c>
      <c r="AT192" s="98"/>
    </row>
    <row r="193" spans="1:47" s="72" customFormat="1" hidden="1" x14ac:dyDescent="0.25">
      <c r="A193" s="71"/>
      <c r="B193" s="29" t="s">
        <v>45</v>
      </c>
      <c r="C193" s="48">
        <v>45621</v>
      </c>
      <c r="D193" s="49">
        <v>24099</v>
      </c>
      <c r="E193" s="50" t="s">
        <v>116</v>
      </c>
      <c r="F193" s="49">
        <v>2410091632</v>
      </c>
      <c r="G193" s="49" t="s">
        <v>64</v>
      </c>
      <c r="H193" s="49" t="s">
        <v>113</v>
      </c>
      <c r="I193" s="49" t="s">
        <v>49</v>
      </c>
      <c r="J193" s="49" t="s">
        <v>46</v>
      </c>
      <c r="K193" s="107" t="s">
        <v>71</v>
      </c>
      <c r="L193" s="49" t="s">
        <v>47</v>
      </c>
      <c r="M193" s="382" t="e">
        <f t="shared" si="30"/>
        <v>#VALUE!</v>
      </c>
      <c r="N193" s="57" t="s">
        <v>62</v>
      </c>
      <c r="O193" s="51">
        <v>20160008</v>
      </c>
      <c r="P193" s="30" t="str">
        <f>VLOOKUP(O193,[1]Feuil2!$A:$M,5,FALSE)</f>
        <v>LOT 6 FOURCHETTE DESSERT OSLO BRILLANT CLASSIQUE +SUSPENSION</v>
      </c>
      <c r="Q193" s="49">
        <v>720</v>
      </c>
      <c r="R193" s="52">
        <v>0</v>
      </c>
      <c r="S193" s="53">
        <f t="shared" si="31"/>
        <v>0</v>
      </c>
      <c r="T193" s="31">
        <f t="shared" si="32"/>
        <v>40301.824000000001</v>
      </c>
      <c r="U193" s="140"/>
      <c r="V193" s="32">
        <f t="shared" si="33"/>
        <v>40301.824000000001</v>
      </c>
      <c r="W193" s="33">
        <f>VLOOKUP(O193,[1]Feuil2!$A:$M,6,FALSE)</f>
        <v>72</v>
      </c>
      <c r="X193" s="34">
        <f>VLOOKUP(O193,[1]Feuil2!$A:$M,13,FALSE)</f>
        <v>2.3099999999999999E-2</v>
      </c>
      <c r="Y193" s="35">
        <f t="shared" si="34"/>
        <v>0.23099999999999998</v>
      </c>
      <c r="Z193" s="36">
        <f t="shared" si="35"/>
        <v>18.975457374999994</v>
      </c>
      <c r="AA193" s="30" t="s">
        <v>48</v>
      </c>
      <c r="AB193" s="58" t="s">
        <v>57</v>
      </c>
      <c r="AC193" s="37" t="s">
        <v>46</v>
      </c>
      <c r="AD193" s="54" t="s">
        <v>61</v>
      </c>
      <c r="AE193" s="37" t="s">
        <v>46</v>
      </c>
      <c r="AF193" s="38" t="s">
        <v>46</v>
      </c>
      <c r="AG193" s="37" t="s">
        <v>46</v>
      </c>
      <c r="AH193" s="39" t="s">
        <v>46</v>
      </c>
      <c r="AI193" s="136">
        <v>45777</v>
      </c>
      <c r="AJ193" s="137" t="s">
        <v>49</v>
      </c>
      <c r="AK193" s="56" t="s">
        <v>46</v>
      </c>
      <c r="AL193" s="37" t="s">
        <v>46</v>
      </c>
      <c r="AM193" s="37" t="s">
        <v>46</v>
      </c>
      <c r="AN193" s="49" t="s">
        <v>63</v>
      </c>
      <c r="AO193" s="37" t="s">
        <v>46</v>
      </c>
      <c r="AP193" s="37" t="s">
        <v>46</v>
      </c>
      <c r="AQ193" s="37" t="s">
        <v>46</v>
      </c>
      <c r="AR193" s="37" t="s">
        <v>46</v>
      </c>
      <c r="AS193" s="37" t="s">
        <v>46</v>
      </c>
      <c r="AT193" s="39" t="s">
        <v>46</v>
      </c>
    </row>
    <row r="194" spans="1:47" s="72" customFormat="1" hidden="1" x14ac:dyDescent="0.25">
      <c r="A194" s="71"/>
      <c r="B194" s="232" t="s">
        <v>45</v>
      </c>
      <c r="C194" s="194">
        <v>45621</v>
      </c>
      <c r="D194" s="191">
        <v>24099</v>
      </c>
      <c r="E194" s="195" t="s">
        <v>116</v>
      </c>
      <c r="F194" s="191">
        <v>2410091632</v>
      </c>
      <c r="G194" s="191" t="s">
        <v>64</v>
      </c>
      <c r="H194" s="191" t="s">
        <v>113</v>
      </c>
      <c r="I194" s="191" t="s">
        <v>49</v>
      </c>
      <c r="J194" s="191" t="s">
        <v>46</v>
      </c>
      <c r="K194" s="16" t="s">
        <v>594</v>
      </c>
      <c r="L194" s="89">
        <v>45926</v>
      </c>
      <c r="M194" s="381">
        <f t="shared" si="30"/>
        <v>11</v>
      </c>
      <c r="N194" s="98" t="s">
        <v>62</v>
      </c>
      <c r="O194" s="92">
        <v>20160009</v>
      </c>
      <c r="P194" s="24" t="str">
        <f>VLOOKUP(O194,[1]Feuil2!$A:$M,5,FALSE)</f>
        <v>M24 OSLO BRILLANT CLASSIQUE BOITE CADEAU LISA</v>
      </c>
      <c r="Q194" s="90">
        <v>1374</v>
      </c>
      <c r="R194" s="93">
        <v>4.3</v>
      </c>
      <c r="S194" s="94">
        <f t="shared" si="31"/>
        <v>5908.2</v>
      </c>
      <c r="T194" s="95">
        <f t="shared" si="32"/>
        <v>40301.824000000001</v>
      </c>
      <c r="U194" s="138"/>
      <c r="V194" s="96">
        <f t="shared" si="33"/>
        <v>40301.824000000001</v>
      </c>
      <c r="W194" s="4">
        <f>VLOOKUP(O194,[1]Feuil2!$A:$M,6,FALSE)</f>
        <v>6</v>
      </c>
      <c r="X194" s="5">
        <f>VLOOKUP(O194,[1]Feuil2!$A:$M,13,FALSE)</f>
        <v>2.5514999999999999E-2</v>
      </c>
      <c r="Y194" s="6">
        <f t="shared" si="34"/>
        <v>5.8429349999999998</v>
      </c>
      <c r="Z194" s="97">
        <f t="shared" si="35"/>
        <v>18.975457374999994</v>
      </c>
      <c r="AA194" s="24" t="s">
        <v>48</v>
      </c>
      <c r="AB194" s="21" t="s">
        <v>57</v>
      </c>
      <c r="AC194" s="191" t="s">
        <v>55</v>
      </c>
      <c r="AD194" s="21" t="s">
        <v>57</v>
      </c>
      <c r="AE194" s="20">
        <v>45882</v>
      </c>
      <c r="AF194" s="21" t="s">
        <v>393</v>
      </c>
      <c r="AG194" s="21"/>
      <c r="AH194" s="98"/>
      <c r="AI194" s="160">
        <v>45777</v>
      </c>
      <c r="AJ194" s="145">
        <f>DATEDIF(AI194,AK194,"D")</f>
        <v>136</v>
      </c>
      <c r="AK194" s="100">
        <f>VLOOKUP(AP194,'[3]CONTENEUR PLEIN'!$F:$L,3,FALSE)</f>
        <v>45913</v>
      </c>
      <c r="AL194" s="99">
        <f>VLOOKUP(AP194,'[3]CONTENEUR PLEIN'!$F:$L,5,FALSE)</f>
        <v>45971</v>
      </c>
      <c r="AM194" s="18">
        <f>VLOOKUP(AP194,'[3]CONTENEUR PLEIN'!$F:$L,7,FALSE)</f>
        <v>45979.53125</v>
      </c>
      <c r="AN194" s="90" t="s">
        <v>63</v>
      </c>
      <c r="AO194" s="191" t="s">
        <v>428</v>
      </c>
      <c r="AP194" s="191" t="s">
        <v>429</v>
      </c>
      <c r="AQ194" s="90">
        <v>2410091632</v>
      </c>
      <c r="AR194" s="191" t="e">
        <f>VLOOKUP(AP194,'[2]CONTENEUR PLEIN'!$F:$L,2,FALSE)</f>
        <v>#N/A</v>
      </c>
      <c r="AS194" s="191" t="s">
        <v>316</v>
      </c>
      <c r="AT194" s="98"/>
      <c r="AU194" s="181"/>
    </row>
    <row r="195" spans="1:47" s="72" customFormat="1" hidden="1" x14ac:dyDescent="0.25">
      <c r="A195" s="71"/>
      <c r="B195" s="116" t="s">
        <v>45</v>
      </c>
      <c r="C195" s="20">
        <v>45621</v>
      </c>
      <c r="D195" s="67">
        <v>24099</v>
      </c>
      <c r="E195" s="117" t="s">
        <v>116</v>
      </c>
      <c r="F195" s="67">
        <v>2410091632</v>
      </c>
      <c r="G195" s="67" t="s">
        <v>64</v>
      </c>
      <c r="H195" s="67" t="s">
        <v>113</v>
      </c>
      <c r="I195" s="67" t="s">
        <v>49</v>
      </c>
      <c r="J195" s="67" t="s">
        <v>46</v>
      </c>
      <c r="K195" s="16" t="s">
        <v>898</v>
      </c>
      <c r="L195" s="89">
        <v>46014</v>
      </c>
      <c r="M195" s="381">
        <f t="shared" si="30"/>
        <v>14</v>
      </c>
      <c r="N195" s="98" t="s">
        <v>62</v>
      </c>
      <c r="O195" s="92">
        <v>20480007</v>
      </c>
      <c r="P195" s="24" t="str">
        <f>VLOOKUP(O195,[1]Feuil2!$A:$M,5,FALSE)</f>
        <v>96 MOKA CLEO EN TUBO</v>
      </c>
      <c r="Q195" s="90">
        <v>2028</v>
      </c>
      <c r="R195" s="93">
        <v>3.45</v>
      </c>
      <c r="S195" s="94">
        <f t="shared" si="31"/>
        <v>6996.6</v>
      </c>
      <c r="T195" s="95">
        <f t="shared" si="32"/>
        <v>40301.824000000001</v>
      </c>
      <c r="U195" s="138"/>
      <c r="V195" s="96">
        <f t="shared" si="33"/>
        <v>40301.824000000001</v>
      </c>
      <c r="W195" s="4">
        <f>VLOOKUP(O195,[1]Feuil2!$A:$M,6,FALSE)</f>
        <v>6</v>
      </c>
      <c r="X195" s="5">
        <f>VLOOKUP(O195,[1]Feuil2!$A:$M,13,FALSE)</f>
        <v>7.3500000000000006E-3</v>
      </c>
      <c r="Y195" s="6">
        <f t="shared" si="34"/>
        <v>2.4843000000000002</v>
      </c>
      <c r="Z195" s="97">
        <f t="shared" si="35"/>
        <v>18.975457374999994</v>
      </c>
      <c r="AA195" s="19" t="s">
        <v>57</v>
      </c>
      <c r="AB195" s="68" t="s">
        <v>48</v>
      </c>
      <c r="AC195" s="87" t="s">
        <v>55</v>
      </c>
      <c r="AD195" s="21" t="s">
        <v>57</v>
      </c>
      <c r="AE195" s="20">
        <v>45972</v>
      </c>
      <c r="AF195" s="21" t="s">
        <v>607</v>
      </c>
      <c r="AG195" s="21"/>
      <c r="AH195" s="98"/>
      <c r="AI195" s="160">
        <v>45777</v>
      </c>
      <c r="AJ195" s="145">
        <f>DATEDIF(AI195,$AK195,"D")</f>
        <v>221</v>
      </c>
      <c r="AK195" s="100">
        <f>VLOOKUP(AP195,'[2]CONTENEUR PLEIN'!$F:$L,3,FALSE)</f>
        <v>45998</v>
      </c>
      <c r="AL195" s="99">
        <f>VLOOKUP(AP195,'[2]CONTENEUR PLEIN'!$F:$L,5,FALSE)</f>
        <v>46040</v>
      </c>
      <c r="AM195" s="18">
        <f>VLOOKUP(AP195,'[2]CONTENEUR PLEIN'!$F:$L,7,FALSE)</f>
        <v>46049.333333333336</v>
      </c>
      <c r="AN195" s="90" t="s">
        <v>63</v>
      </c>
      <c r="AO195" s="290" t="s">
        <v>657</v>
      </c>
      <c r="AP195" s="290" t="s">
        <v>658</v>
      </c>
      <c r="AQ195" s="290" t="s">
        <v>662</v>
      </c>
      <c r="AR195" s="90" t="str">
        <f>VLOOKUP(AP195,'[2]CONTENEUR PLEIN'!$F:$L,2,FALSE)</f>
        <v>CMA CGM IGUACU</v>
      </c>
      <c r="AS195" s="290" t="s">
        <v>316</v>
      </c>
      <c r="AT195" s="98"/>
    </row>
    <row r="196" spans="1:47" s="72" customFormat="1" hidden="1" x14ac:dyDescent="0.25">
      <c r="A196" s="71"/>
      <c r="B196" s="88" t="s">
        <v>45</v>
      </c>
      <c r="C196" s="89">
        <v>45621</v>
      </c>
      <c r="D196" s="90">
        <v>24099</v>
      </c>
      <c r="E196" s="91" t="s">
        <v>116</v>
      </c>
      <c r="F196" s="90">
        <v>2410091632</v>
      </c>
      <c r="G196" s="90" t="s">
        <v>64</v>
      </c>
      <c r="H196" s="90" t="s">
        <v>113</v>
      </c>
      <c r="I196" s="90" t="s">
        <v>49</v>
      </c>
      <c r="J196" s="90" t="s">
        <v>46</v>
      </c>
      <c r="K196" s="16" t="s">
        <v>862</v>
      </c>
      <c r="L196" s="89">
        <v>45995</v>
      </c>
      <c r="M196" s="381">
        <f t="shared" si="30"/>
        <v>13</v>
      </c>
      <c r="N196" s="98" t="s">
        <v>62</v>
      </c>
      <c r="O196" s="92">
        <v>20890008</v>
      </c>
      <c r="P196" s="24" t="str">
        <f>VLOOKUP(O196,[1]Feuil2!$A:$M,5,FALSE)</f>
        <v>CUILLERE ECORCE PROMOCASH</v>
      </c>
      <c r="Q196" s="90">
        <v>4392</v>
      </c>
      <c r="R196" s="93">
        <v>0.22500000000000001</v>
      </c>
      <c r="S196" s="94">
        <f t="shared" si="31"/>
        <v>988.2</v>
      </c>
      <c r="T196" s="95">
        <f t="shared" si="32"/>
        <v>40301.824000000001</v>
      </c>
      <c r="U196" s="138"/>
      <c r="V196" s="96">
        <f t="shared" si="33"/>
        <v>40301.824000000001</v>
      </c>
      <c r="W196" s="4">
        <f>VLOOKUP(O196,[1]Feuil2!$A:$M,6,FALSE)</f>
        <v>72</v>
      </c>
      <c r="X196" s="5">
        <f>VLOOKUP(O196,[1]Feuil2!$A:$M,13,FALSE)</f>
        <v>5.9500000000000004E-3</v>
      </c>
      <c r="Y196" s="6">
        <f t="shared" si="34"/>
        <v>0.36295000000000005</v>
      </c>
      <c r="Z196" s="97">
        <f t="shared" si="35"/>
        <v>18.975457374999994</v>
      </c>
      <c r="AA196" s="133" t="s">
        <v>61</v>
      </c>
      <c r="AB196" s="167" t="s">
        <v>61</v>
      </c>
      <c r="AC196" s="87" t="s">
        <v>55</v>
      </c>
      <c r="AD196" s="21" t="s">
        <v>57</v>
      </c>
      <c r="AE196" s="20">
        <v>45918</v>
      </c>
      <c r="AF196" s="352" t="s">
        <v>528</v>
      </c>
      <c r="AG196" s="21"/>
      <c r="AH196" s="98"/>
      <c r="AI196" s="160">
        <v>45777</v>
      </c>
      <c r="AJ196" s="145">
        <f>DATEDIF(AI196,$AK196,"D")</f>
        <v>207</v>
      </c>
      <c r="AK196" s="100">
        <f>VLOOKUP(AP196,'[2]CONTENEUR PLEIN'!$F:$L,3,FALSE)</f>
        <v>45984</v>
      </c>
      <c r="AL196" s="99">
        <f>VLOOKUP(AP196,'[2]CONTENEUR PLEIN'!$F:$L,5,FALSE)</f>
        <v>46030</v>
      </c>
      <c r="AM196" s="18">
        <f>VLOOKUP(AP196,'[2]CONTENEUR PLEIN'!$F:$L,7,FALSE)</f>
        <v>46036.333333333336</v>
      </c>
      <c r="AN196" s="90" t="s">
        <v>63</v>
      </c>
      <c r="AO196" s="351" t="s">
        <v>577</v>
      </c>
      <c r="AP196" s="351" t="s">
        <v>578</v>
      </c>
      <c r="AQ196" s="351" t="s">
        <v>581</v>
      </c>
      <c r="AR196" s="90" t="str">
        <f>VLOOKUP(AP196,'[2]CONTENEUR PLEIN'!$F:$L,2,FALSE)</f>
        <v>CMA CGM GRACE BAY</v>
      </c>
      <c r="AS196" s="351" t="s">
        <v>316</v>
      </c>
      <c r="AT196" s="98"/>
    </row>
    <row r="197" spans="1:47" hidden="1" x14ac:dyDescent="0.25">
      <c r="A197" s="71"/>
      <c r="B197" s="88" t="s">
        <v>45</v>
      </c>
      <c r="C197" s="89">
        <v>45621</v>
      </c>
      <c r="D197" s="90">
        <v>24099</v>
      </c>
      <c r="E197" s="91" t="s">
        <v>116</v>
      </c>
      <c r="F197" s="90">
        <v>2410091632</v>
      </c>
      <c r="G197" s="90" t="s">
        <v>64</v>
      </c>
      <c r="H197" s="90" t="s">
        <v>113</v>
      </c>
      <c r="I197" s="90" t="s">
        <v>49</v>
      </c>
      <c r="J197" s="90" t="s">
        <v>46</v>
      </c>
      <c r="K197" s="16" t="s">
        <v>176</v>
      </c>
      <c r="L197" s="89">
        <v>45692</v>
      </c>
      <c r="M197" s="381">
        <f t="shared" si="30"/>
        <v>3</v>
      </c>
      <c r="N197" s="98" t="s">
        <v>49</v>
      </c>
      <c r="O197" s="92">
        <v>21150004</v>
      </c>
      <c r="P197" s="24" t="str">
        <f>VLOOKUP(O197,[1]Feuil2!$A:$M,5,FALSE)</f>
        <v>CUILLERE OLA + GENCOD</v>
      </c>
      <c r="Q197" s="90">
        <v>2160</v>
      </c>
      <c r="R197" s="93">
        <v>0.255</v>
      </c>
      <c r="S197" s="94">
        <f t="shared" si="31"/>
        <v>550.79999999999995</v>
      </c>
      <c r="T197" s="95">
        <f t="shared" si="32"/>
        <v>40301.824000000001</v>
      </c>
      <c r="U197" s="138"/>
      <c r="V197" s="96">
        <f t="shared" si="33"/>
        <v>40301.824000000001</v>
      </c>
      <c r="W197" s="4">
        <f>VLOOKUP(O197,[1]Feuil2!$A:$M,6,FALSE)</f>
        <v>240</v>
      </c>
      <c r="X197" s="5">
        <f>VLOOKUP(O197,[1]Feuil2!$A:$M,13,FALSE)</f>
        <v>2.8125000000000001E-2</v>
      </c>
      <c r="Y197" s="6">
        <f t="shared" si="34"/>
        <v>0.25312499999999999</v>
      </c>
      <c r="Z197" s="97">
        <f t="shared" si="35"/>
        <v>18.975457374999994</v>
      </c>
      <c r="AA197" s="24" t="s">
        <v>48</v>
      </c>
      <c r="AB197" s="23" t="s">
        <v>48</v>
      </c>
      <c r="AC197" s="90" t="s">
        <v>55</v>
      </c>
      <c r="AD197" s="21" t="s">
        <v>57</v>
      </c>
      <c r="AE197" s="20">
        <v>45663</v>
      </c>
      <c r="AF197" s="21" t="s">
        <v>147</v>
      </c>
      <c r="AG197" s="21"/>
      <c r="AH197" s="98"/>
      <c r="AI197" s="135">
        <v>45777</v>
      </c>
      <c r="AJ197" s="145" t="s">
        <v>49</v>
      </c>
      <c r="AK197" s="100">
        <f>VLOOKUP(AP197,'[3]CONTENEUR PLEIN'!$F:$L,3,FALSE)</f>
        <v>45673</v>
      </c>
      <c r="AL197" s="99">
        <f>VLOOKUP(AP197,'[3]CONTENEUR PLEIN'!$F:$L,5,FALSE)</f>
        <v>45717</v>
      </c>
      <c r="AM197" s="18">
        <f>VLOOKUP(AP197,'[3]CONTENEUR PLEIN'!$F:$L,7,FALSE)</f>
        <v>45727.53125</v>
      </c>
      <c r="AN197" s="90" t="s">
        <v>63</v>
      </c>
      <c r="AO197" s="90" t="s">
        <v>132</v>
      </c>
      <c r="AP197" s="90" t="s">
        <v>133</v>
      </c>
      <c r="AQ197" s="90"/>
      <c r="AR197" s="90" t="e">
        <f>VLOOKUP(AP197,'[2]CONTENEUR PLEIN'!$F:$L,2,FALSE)</f>
        <v>#N/A</v>
      </c>
      <c r="AS197" s="90" t="s">
        <v>51</v>
      </c>
      <c r="AT197" s="98"/>
    </row>
    <row r="198" spans="1:47" s="72" customFormat="1" hidden="1" x14ac:dyDescent="0.25">
      <c r="A198" s="197"/>
      <c r="B198" s="232" t="s">
        <v>45</v>
      </c>
      <c r="C198" s="194">
        <v>45621</v>
      </c>
      <c r="D198" s="191">
        <v>24099</v>
      </c>
      <c r="E198" s="195" t="s">
        <v>116</v>
      </c>
      <c r="F198" s="191">
        <v>2410091632</v>
      </c>
      <c r="G198" s="191" t="s">
        <v>64</v>
      </c>
      <c r="H198" s="191" t="s">
        <v>113</v>
      </c>
      <c r="I198" s="191" t="s">
        <v>49</v>
      </c>
      <c r="J198" s="191" t="s">
        <v>46</v>
      </c>
      <c r="K198" s="16" t="s">
        <v>449</v>
      </c>
      <c r="L198" s="194">
        <v>45870</v>
      </c>
      <c r="M198" s="381">
        <f t="shared" si="30"/>
        <v>9</v>
      </c>
      <c r="N198" s="209" t="s">
        <v>49</v>
      </c>
      <c r="O198" s="223">
        <v>21150005</v>
      </c>
      <c r="P198" s="24" t="str">
        <f>VLOOKUP(O198,[1]Feuil2!$A:$M,5,FALSE)</f>
        <v>CAFE OLA + GENCOD</v>
      </c>
      <c r="Q198" s="191">
        <v>13680</v>
      </c>
      <c r="R198" s="224">
        <v>0.16700000000000001</v>
      </c>
      <c r="S198" s="225">
        <f t="shared" si="31"/>
        <v>2284.56</v>
      </c>
      <c r="T198" s="226">
        <f t="shared" si="32"/>
        <v>40301.824000000001</v>
      </c>
      <c r="U198" s="227"/>
      <c r="V198" s="228">
        <f t="shared" si="33"/>
        <v>40301.824000000001</v>
      </c>
      <c r="W198" s="4">
        <f>VLOOKUP(O198,[1]Feuil2!$A:$M,6,FALSE)</f>
        <v>240</v>
      </c>
      <c r="X198" s="5">
        <f>VLOOKUP(O198,[1]Feuil2!$A:$M,13,FALSE)</f>
        <v>1.8315000000000001E-2</v>
      </c>
      <c r="Y198" s="6">
        <f t="shared" si="34"/>
        <v>1.0439550000000002</v>
      </c>
      <c r="Z198" s="229">
        <f t="shared" si="35"/>
        <v>18.975457374999994</v>
      </c>
      <c r="AA198" s="24" t="s">
        <v>48</v>
      </c>
      <c r="AB198" s="21" t="s">
        <v>57</v>
      </c>
      <c r="AC198" s="191" t="s">
        <v>55</v>
      </c>
      <c r="AD198" s="21" t="s">
        <v>57</v>
      </c>
      <c r="AE198" s="20">
        <v>45833</v>
      </c>
      <c r="AF198" s="21" t="s">
        <v>330</v>
      </c>
      <c r="AG198" s="21"/>
      <c r="AH198" s="209"/>
      <c r="AI198" s="160">
        <v>45777</v>
      </c>
      <c r="AJ198" s="145">
        <f>DATEDIF(AI198,$AK198,"D")</f>
        <v>95</v>
      </c>
      <c r="AK198" s="100">
        <f>VLOOKUP(AP198,'[3]CONTENEUR PLEIN'!$F:$L,3,FALSE)</f>
        <v>45872</v>
      </c>
      <c r="AL198" s="99">
        <f>VLOOKUP(AP198,'[3]CONTENEUR PLEIN'!$F:$L,5,FALSE)</f>
        <v>45907</v>
      </c>
      <c r="AM198" s="18">
        <f>VLOOKUP(AP198,'[3]CONTENEUR PLEIN'!$F:$L,7,FALSE)</f>
        <v>45918.53125</v>
      </c>
      <c r="AN198" s="191" t="s">
        <v>63</v>
      </c>
      <c r="AO198" s="191" t="s">
        <v>371</v>
      </c>
      <c r="AP198" s="191" t="s">
        <v>372</v>
      </c>
      <c r="AQ198" s="191" t="s">
        <v>375</v>
      </c>
      <c r="AR198" s="191" t="e">
        <f>VLOOKUP(AP198,'[2]CONTENEUR PLEIN'!$F:$L,2,FALSE)</f>
        <v>#N/A</v>
      </c>
      <c r="AS198" s="191" t="s">
        <v>316</v>
      </c>
      <c r="AT198" s="209"/>
    </row>
    <row r="199" spans="1:47" s="72" customFormat="1" hidden="1" x14ac:dyDescent="0.25">
      <c r="A199" s="71"/>
      <c r="B199" s="88" t="s">
        <v>45</v>
      </c>
      <c r="C199" s="89">
        <v>45621</v>
      </c>
      <c r="D199" s="90">
        <v>24099</v>
      </c>
      <c r="E199" s="91" t="s">
        <v>116</v>
      </c>
      <c r="F199" s="90">
        <v>2410091632</v>
      </c>
      <c r="G199" s="90" t="s">
        <v>64</v>
      </c>
      <c r="H199" s="90" t="s">
        <v>113</v>
      </c>
      <c r="I199" s="90" t="s">
        <v>49</v>
      </c>
      <c r="J199" s="90" t="s">
        <v>46</v>
      </c>
      <c r="K199" s="16" t="s">
        <v>862</v>
      </c>
      <c r="L199" s="89">
        <v>45995</v>
      </c>
      <c r="M199" s="381">
        <f t="shared" si="30"/>
        <v>13</v>
      </c>
      <c r="N199" s="98" t="s">
        <v>62</v>
      </c>
      <c r="O199" s="92">
        <v>21440001</v>
      </c>
      <c r="P199" s="24" t="str">
        <f>VLOOKUP(O199,[1]Feuil2!$A:$M,5,FALSE)</f>
        <v>COUTEAU GUINGUETTE EN BOITE PEGB TB COLLECTION</v>
      </c>
      <c r="Q199" s="90">
        <v>1728</v>
      </c>
      <c r="R199" s="93">
        <v>0.45700000000000002</v>
      </c>
      <c r="S199" s="94">
        <f t="shared" si="31"/>
        <v>789.69600000000003</v>
      </c>
      <c r="T199" s="95">
        <f t="shared" si="32"/>
        <v>40301.824000000001</v>
      </c>
      <c r="U199" s="138"/>
      <c r="V199" s="96">
        <f t="shared" si="33"/>
        <v>40301.824000000001</v>
      </c>
      <c r="W199" s="4">
        <f>VLOOKUP(O199,[1]Feuil2!$A:$M,6,FALSE)</f>
        <v>72</v>
      </c>
      <c r="X199" s="5">
        <f>VLOOKUP(O199,[1]Feuil2!$A:$M,13,FALSE)</f>
        <v>1.177125E-2</v>
      </c>
      <c r="Y199" s="6">
        <f t="shared" si="34"/>
        <v>0.28251000000000004</v>
      </c>
      <c r="Z199" s="97">
        <f t="shared" si="35"/>
        <v>18.975457374999994</v>
      </c>
      <c r="AA199" s="19" t="s">
        <v>57</v>
      </c>
      <c r="AB199" s="67" t="s">
        <v>48</v>
      </c>
      <c r="AC199" s="87" t="s">
        <v>55</v>
      </c>
      <c r="AD199" s="21" t="s">
        <v>57</v>
      </c>
      <c r="AE199" s="20">
        <v>45960</v>
      </c>
      <c r="AF199" s="21" t="s">
        <v>624</v>
      </c>
      <c r="AG199" s="21" t="s">
        <v>57</v>
      </c>
      <c r="AH199" s="503" t="s">
        <v>48</v>
      </c>
      <c r="AI199" s="160">
        <v>45777</v>
      </c>
      <c r="AJ199" s="145">
        <f>DATEDIF(AI199,$AK199,"D")</f>
        <v>207</v>
      </c>
      <c r="AK199" s="100">
        <f>VLOOKUP(AP199,'[2]CONTENEUR PLEIN'!$F:$L,3,FALSE)</f>
        <v>45984</v>
      </c>
      <c r="AL199" s="99">
        <f>VLOOKUP(AP199,'[2]CONTENEUR PLEIN'!$F:$L,5,FALSE)</f>
        <v>46030</v>
      </c>
      <c r="AM199" s="18">
        <f>VLOOKUP(AP199,'[2]CONTENEUR PLEIN'!$F:$L,7,FALSE)</f>
        <v>46036.333333333336</v>
      </c>
      <c r="AN199" s="90" t="s">
        <v>63</v>
      </c>
      <c r="AO199" s="351" t="s">
        <v>577</v>
      </c>
      <c r="AP199" s="351" t="s">
        <v>578</v>
      </c>
      <c r="AQ199" s="351" t="s">
        <v>581</v>
      </c>
      <c r="AR199" s="90" t="str">
        <f>VLOOKUP(AP199,'[2]CONTENEUR PLEIN'!$F:$L,2,FALSE)</f>
        <v>CMA CGM GRACE BAY</v>
      </c>
      <c r="AS199" s="351" t="s">
        <v>316</v>
      </c>
      <c r="AT199" s="98"/>
    </row>
    <row r="200" spans="1:47" hidden="1" x14ac:dyDescent="0.25">
      <c r="A200" s="71"/>
      <c r="B200" s="232" t="s">
        <v>45</v>
      </c>
      <c r="C200" s="194">
        <v>45621</v>
      </c>
      <c r="D200" s="191">
        <v>24099</v>
      </c>
      <c r="E200" s="195" t="s">
        <v>116</v>
      </c>
      <c r="F200" s="191">
        <v>2410091632</v>
      </c>
      <c r="G200" s="191" t="s">
        <v>64</v>
      </c>
      <c r="H200" s="191" t="s">
        <v>113</v>
      </c>
      <c r="I200" s="191" t="s">
        <v>49</v>
      </c>
      <c r="J200" s="191" t="s">
        <v>46</v>
      </c>
      <c r="K200" s="16" t="s">
        <v>594</v>
      </c>
      <c r="L200" s="89">
        <v>45926</v>
      </c>
      <c r="M200" s="381">
        <f t="shared" si="30"/>
        <v>11</v>
      </c>
      <c r="N200" s="98" t="s">
        <v>62</v>
      </c>
      <c r="O200" s="92">
        <v>21440004</v>
      </c>
      <c r="P200" s="24" t="str">
        <f>VLOOKUP(O200,[1]Feuil2!$A:$M,5,FALSE)</f>
        <v>CAFE GUINGUETTE EN BOITE PEGB TB COLLECTION</v>
      </c>
      <c r="Q200" s="90">
        <v>1368</v>
      </c>
      <c r="R200" s="93">
        <v>0.27</v>
      </c>
      <c r="S200" s="94">
        <f t="shared" si="31"/>
        <v>369.36</v>
      </c>
      <c r="T200" s="95">
        <f t="shared" si="32"/>
        <v>40301.824000000001</v>
      </c>
      <c r="U200" s="138"/>
      <c r="V200" s="96">
        <f t="shared" si="33"/>
        <v>40301.824000000001</v>
      </c>
      <c r="W200" s="4">
        <f>VLOOKUP(O200,[1]Feuil2!$A:$M,6,FALSE)</f>
        <v>72</v>
      </c>
      <c r="X200" s="5">
        <f>VLOOKUP(O200,[1]Feuil2!$A:$M,13,FALSE)</f>
        <v>8.2500000000000004E-3</v>
      </c>
      <c r="Y200" s="6">
        <f t="shared" si="34"/>
        <v>0.15675</v>
      </c>
      <c r="Z200" s="97">
        <f t="shared" si="35"/>
        <v>18.975457374999994</v>
      </c>
      <c r="AA200" s="133" t="s">
        <v>61</v>
      </c>
      <c r="AB200" s="133" t="s">
        <v>61</v>
      </c>
      <c r="AC200" s="191" t="s">
        <v>55</v>
      </c>
      <c r="AD200" s="21" t="s">
        <v>57</v>
      </c>
      <c r="AE200" s="20">
        <v>45888</v>
      </c>
      <c r="AF200" s="21" t="s">
        <v>403</v>
      </c>
      <c r="AG200" s="21"/>
      <c r="AH200" s="98"/>
      <c r="AI200" s="160">
        <v>45777</v>
      </c>
      <c r="AJ200" s="145">
        <f>DATEDIF(AI200,AK200,"D")</f>
        <v>136</v>
      </c>
      <c r="AK200" s="100">
        <f>VLOOKUP(AP200,'[3]CONTENEUR PLEIN'!$F:$L,3,FALSE)</f>
        <v>45913</v>
      </c>
      <c r="AL200" s="99">
        <f>VLOOKUP(AP200,'[3]CONTENEUR PLEIN'!$F:$L,5,FALSE)</f>
        <v>45971</v>
      </c>
      <c r="AM200" s="18">
        <f>VLOOKUP(AP200,'[3]CONTENEUR PLEIN'!$F:$L,7,FALSE)</f>
        <v>45979.53125</v>
      </c>
      <c r="AN200" s="90" t="s">
        <v>63</v>
      </c>
      <c r="AO200" s="191" t="s">
        <v>428</v>
      </c>
      <c r="AP200" s="191" t="s">
        <v>429</v>
      </c>
      <c r="AQ200" s="90">
        <v>2410091632</v>
      </c>
      <c r="AR200" s="191" t="e">
        <f>VLOOKUP(AP200,'[2]CONTENEUR PLEIN'!$F:$L,2,FALSE)</f>
        <v>#N/A</v>
      </c>
      <c r="AS200" s="191" t="s">
        <v>316</v>
      </c>
      <c r="AT200" s="98"/>
      <c r="AU200" s="72"/>
    </row>
    <row r="201" spans="1:47" hidden="1" x14ac:dyDescent="0.25">
      <c r="A201" s="71"/>
      <c r="B201" s="29" t="s">
        <v>45</v>
      </c>
      <c r="C201" s="48">
        <v>45621</v>
      </c>
      <c r="D201" s="49">
        <v>24099</v>
      </c>
      <c r="E201" s="50" t="s">
        <v>116</v>
      </c>
      <c r="F201" s="49">
        <v>2410091632</v>
      </c>
      <c r="G201" s="49" t="s">
        <v>64</v>
      </c>
      <c r="H201" s="49" t="s">
        <v>113</v>
      </c>
      <c r="I201" s="49" t="s">
        <v>49</v>
      </c>
      <c r="J201" s="49" t="s">
        <v>46</v>
      </c>
      <c r="K201" s="107" t="s">
        <v>71</v>
      </c>
      <c r="L201" s="49" t="s">
        <v>47</v>
      </c>
      <c r="M201" s="382" t="e">
        <f t="shared" si="30"/>
        <v>#N/A</v>
      </c>
      <c r="N201" s="57" t="s">
        <v>62</v>
      </c>
      <c r="O201" s="51">
        <v>21450002</v>
      </c>
      <c r="P201" s="30" t="str">
        <f>VLOOKUP(O201,[1]Feuil2!$A:$M,5,FALSE)</f>
        <v>FOURCHETTE RIVAGE EN BOITE PEGBOARDABLE</v>
      </c>
      <c r="Q201" s="49">
        <v>6192</v>
      </c>
      <c r="R201" s="52">
        <v>0.315</v>
      </c>
      <c r="S201" s="53">
        <f t="shared" si="31"/>
        <v>1950.48</v>
      </c>
      <c r="T201" s="31">
        <f t="shared" si="32"/>
        <v>40301.824000000001</v>
      </c>
      <c r="U201" s="140"/>
      <c r="V201" s="32">
        <f t="shared" si="33"/>
        <v>40301.824000000001</v>
      </c>
      <c r="W201" s="33">
        <f>VLOOKUP(O201,[1]Feuil2!$A:$M,6,FALSE)</f>
        <v>72</v>
      </c>
      <c r="X201" s="34">
        <f>VLOOKUP(O201,[1]Feuil2!$A:$M,13,FALSE)</f>
        <v>1.1220000000000001E-2</v>
      </c>
      <c r="Y201" s="35">
        <f t="shared" si="34"/>
        <v>0.96492000000000011</v>
      </c>
      <c r="Z201" s="36">
        <f t="shared" si="35"/>
        <v>18.975457374999994</v>
      </c>
      <c r="AA201" s="55" t="s">
        <v>61</v>
      </c>
      <c r="AB201" s="55" t="s">
        <v>61</v>
      </c>
      <c r="AC201" s="49"/>
      <c r="AD201" s="55" t="s">
        <v>61</v>
      </c>
      <c r="AE201" s="48"/>
      <c r="AF201" s="55"/>
      <c r="AG201" s="55"/>
      <c r="AH201" s="57"/>
      <c r="AI201" s="182">
        <v>45777</v>
      </c>
      <c r="AJ201" s="137" t="s">
        <v>49</v>
      </c>
      <c r="AK201" s="56" t="e">
        <f>VLOOKUP(AP201,'[2]CONTENEUR PLEIN'!$F:$L,3,FALSE)</f>
        <v>#N/A</v>
      </c>
      <c r="AL201" s="37" t="e">
        <f>VLOOKUP(AP201,'[2]CONTENEUR PLEIN'!$F:$L,5,FALSE)</f>
        <v>#N/A</v>
      </c>
      <c r="AM201" s="38" t="e">
        <f>VLOOKUP(AP201,'[2]CONTENEUR PLEIN'!$F:$L,7,FALSE)</f>
        <v>#N/A</v>
      </c>
      <c r="AN201" s="49" t="s">
        <v>63</v>
      </c>
      <c r="AO201" s="49"/>
      <c r="AP201" s="49"/>
      <c r="AQ201" s="49"/>
      <c r="AR201" s="49" t="e">
        <f>VLOOKUP(AP201,'[2]CONTENEUR PLEIN'!$F:$L,2,FALSE)</f>
        <v>#N/A</v>
      </c>
      <c r="AS201" s="49"/>
      <c r="AT201" s="57"/>
      <c r="AU201" s="72"/>
    </row>
    <row r="202" spans="1:47" s="72" customFormat="1" hidden="1" x14ac:dyDescent="0.25">
      <c r="A202" s="71"/>
      <c r="B202" s="29" t="s">
        <v>45</v>
      </c>
      <c r="C202" s="48">
        <v>45621</v>
      </c>
      <c r="D202" s="49">
        <v>24099</v>
      </c>
      <c r="E202" s="50" t="s">
        <v>116</v>
      </c>
      <c r="F202" s="49">
        <v>2410091632</v>
      </c>
      <c r="G202" s="49" t="s">
        <v>64</v>
      </c>
      <c r="H202" s="49" t="s">
        <v>113</v>
      </c>
      <c r="I202" s="49" t="s">
        <v>49</v>
      </c>
      <c r="J202" s="49" t="s">
        <v>46</v>
      </c>
      <c r="K202" s="107" t="s">
        <v>71</v>
      </c>
      <c r="L202" s="49" t="s">
        <v>47</v>
      </c>
      <c r="M202" s="382" t="e">
        <f t="shared" si="30"/>
        <v>#N/A</v>
      </c>
      <c r="N202" s="57" t="s">
        <v>62</v>
      </c>
      <c r="O202" s="51">
        <v>21450003</v>
      </c>
      <c r="P202" s="30" t="str">
        <f>VLOOKUP(O202,[1]Feuil2!$A:$M,5,FALSE)</f>
        <v>CUILLERE RIVAGE EN BOITE PEGBOARDABLE</v>
      </c>
      <c r="Q202" s="49">
        <f>2016-1008</f>
        <v>1008</v>
      </c>
      <c r="R202" s="52">
        <v>0.34</v>
      </c>
      <c r="S202" s="53">
        <f t="shared" si="31"/>
        <v>342.72</v>
      </c>
      <c r="T202" s="31">
        <f t="shared" si="32"/>
        <v>40301.824000000001</v>
      </c>
      <c r="U202" s="140"/>
      <c r="V202" s="32">
        <f t="shared" si="33"/>
        <v>40301.824000000001</v>
      </c>
      <c r="W202" s="33">
        <f>VLOOKUP(O202,[1]Feuil2!$A:$M,6,FALSE)</f>
        <v>72</v>
      </c>
      <c r="X202" s="34">
        <f>VLOOKUP(O202,[1]Feuil2!$A:$M,13,FALSE)</f>
        <v>1.4255999999999998E-2</v>
      </c>
      <c r="Y202" s="35">
        <f t="shared" si="34"/>
        <v>0.19958399999999998</v>
      </c>
      <c r="Z202" s="36">
        <f t="shared" si="35"/>
        <v>18.975457374999994</v>
      </c>
      <c r="AA202" s="235" t="s">
        <v>61</v>
      </c>
      <c r="AB202" s="55" t="s">
        <v>61</v>
      </c>
      <c r="AC202" s="49"/>
      <c r="AD202" s="55" t="s">
        <v>61</v>
      </c>
      <c r="AE202" s="48"/>
      <c r="AF202" s="55"/>
      <c r="AG202" s="55"/>
      <c r="AH202" s="57"/>
      <c r="AI202" s="182">
        <v>45777</v>
      </c>
      <c r="AJ202" s="137" t="s">
        <v>49</v>
      </c>
      <c r="AK202" s="56" t="e">
        <f>VLOOKUP(AP202,'[2]CONTENEUR PLEIN'!$F:$L,3,FALSE)</f>
        <v>#N/A</v>
      </c>
      <c r="AL202" s="37" t="e">
        <f>VLOOKUP(AP202,'[2]CONTENEUR PLEIN'!$F:$L,5,FALSE)</f>
        <v>#N/A</v>
      </c>
      <c r="AM202" s="38" t="e">
        <f>VLOOKUP(AP202,'[2]CONTENEUR PLEIN'!$F:$L,7,FALSE)</f>
        <v>#N/A</v>
      </c>
      <c r="AN202" s="49" t="s">
        <v>63</v>
      </c>
      <c r="AO202" s="49"/>
      <c r="AP202" s="49"/>
      <c r="AQ202" s="49"/>
      <c r="AR202" s="49" t="e">
        <f>VLOOKUP(AP202,'[2]CONTENEUR PLEIN'!$F:$L,2,FALSE)</f>
        <v>#N/A</v>
      </c>
      <c r="AS202" s="49"/>
      <c r="AT202" s="57"/>
    </row>
    <row r="203" spans="1:47" hidden="1" x14ac:dyDescent="0.25">
      <c r="A203" s="197"/>
      <c r="B203" s="232" t="s">
        <v>45</v>
      </c>
      <c r="C203" s="194">
        <v>45621</v>
      </c>
      <c r="D203" s="191">
        <v>24099</v>
      </c>
      <c r="E203" s="195" t="s">
        <v>116</v>
      </c>
      <c r="F203" s="191">
        <v>2410091632</v>
      </c>
      <c r="G203" s="191" t="s">
        <v>64</v>
      </c>
      <c r="H203" s="191" t="s">
        <v>113</v>
      </c>
      <c r="I203" s="191" t="s">
        <v>49</v>
      </c>
      <c r="J203" s="191" t="s">
        <v>46</v>
      </c>
      <c r="K203" s="16" t="s">
        <v>449</v>
      </c>
      <c r="L203" s="194">
        <v>45870</v>
      </c>
      <c r="M203" s="381">
        <f t="shared" si="30"/>
        <v>9</v>
      </c>
      <c r="N203" s="209" t="s">
        <v>62</v>
      </c>
      <c r="O203" s="223">
        <v>21450003</v>
      </c>
      <c r="P203" s="24" t="str">
        <f>VLOOKUP(O203,[1]Feuil2!$A:$M,5,FALSE)</f>
        <v>CUILLERE RIVAGE EN BOITE PEGBOARDABLE</v>
      </c>
      <c r="Q203" s="191">
        <v>1008</v>
      </c>
      <c r="R203" s="224">
        <v>0.34</v>
      </c>
      <c r="S203" s="225">
        <f t="shared" si="31"/>
        <v>342.72</v>
      </c>
      <c r="T203" s="226">
        <f t="shared" si="32"/>
        <v>40301.824000000001</v>
      </c>
      <c r="U203" s="227"/>
      <c r="V203" s="228">
        <f t="shared" si="33"/>
        <v>40301.824000000001</v>
      </c>
      <c r="W203" s="4">
        <f>VLOOKUP(O203,[1]Feuil2!$A:$M,6,FALSE)</f>
        <v>72</v>
      </c>
      <c r="X203" s="5">
        <f>VLOOKUP(O203,[1]Feuil2!$A:$M,13,FALSE)</f>
        <v>1.4255999999999998E-2</v>
      </c>
      <c r="Y203" s="6">
        <f t="shared" si="34"/>
        <v>0.19958399999999998</v>
      </c>
      <c r="Z203" s="229">
        <f t="shared" si="35"/>
        <v>18.975457374999994</v>
      </c>
      <c r="AA203" s="167" t="s">
        <v>61</v>
      </c>
      <c r="AB203" s="133" t="s">
        <v>61</v>
      </c>
      <c r="AC203" s="210" t="s">
        <v>55</v>
      </c>
      <c r="AD203" s="19" t="s">
        <v>57</v>
      </c>
      <c r="AE203" s="20">
        <v>45800</v>
      </c>
      <c r="AF203" s="47" t="s">
        <v>278</v>
      </c>
      <c r="AG203" s="21"/>
      <c r="AH203" s="209"/>
      <c r="AI203" s="160">
        <v>45777</v>
      </c>
      <c r="AJ203" s="145">
        <f>DATEDIF(AI203,$AK203,"D")</f>
        <v>95</v>
      </c>
      <c r="AK203" s="100">
        <f>VLOOKUP(AP203,'[3]CONTENEUR PLEIN'!$F:$L,3,FALSE)</f>
        <v>45872</v>
      </c>
      <c r="AL203" s="99">
        <f>VLOOKUP(AP203,'[3]CONTENEUR PLEIN'!$F:$L,5,FALSE)</f>
        <v>45907</v>
      </c>
      <c r="AM203" s="18">
        <f>VLOOKUP(AP203,'[3]CONTENEUR PLEIN'!$F:$L,7,FALSE)</f>
        <v>45918.53125</v>
      </c>
      <c r="AN203" s="191" t="s">
        <v>63</v>
      </c>
      <c r="AO203" s="191" t="s">
        <v>371</v>
      </c>
      <c r="AP203" s="191" t="s">
        <v>372</v>
      </c>
      <c r="AQ203" s="191" t="s">
        <v>375</v>
      </c>
      <c r="AR203" s="191" t="e">
        <f>VLOOKUP(AP203,'[2]CONTENEUR PLEIN'!$F:$L,2,FALSE)</f>
        <v>#N/A</v>
      </c>
      <c r="AS203" s="191" t="s">
        <v>316</v>
      </c>
      <c r="AT203" s="209"/>
    </row>
    <row r="204" spans="1:47" s="72" customFormat="1" ht="15" hidden="1" customHeight="1" x14ac:dyDescent="0.25">
      <c r="A204" s="71"/>
      <c r="B204" s="29" t="s">
        <v>45</v>
      </c>
      <c r="C204" s="48">
        <v>45621</v>
      </c>
      <c r="D204" s="49">
        <v>24099</v>
      </c>
      <c r="E204" s="50" t="s">
        <v>116</v>
      </c>
      <c r="F204" s="49">
        <v>2410091632</v>
      </c>
      <c r="G204" s="49" t="s">
        <v>64</v>
      </c>
      <c r="H204" s="49" t="s">
        <v>113</v>
      </c>
      <c r="I204" s="49" t="s">
        <v>49</v>
      </c>
      <c r="J204" s="49" t="s">
        <v>46</v>
      </c>
      <c r="K204" s="107" t="s">
        <v>71</v>
      </c>
      <c r="L204" s="49" t="s">
        <v>47</v>
      </c>
      <c r="M204" s="382" t="e">
        <f t="shared" si="30"/>
        <v>#N/A</v>
      </c>
      <c r="N204" s="57" t="s">
        <v>62</v>
      </c>
      <c r="O204" s="51">
        <v>21450004</v>
      </c>
      <c r="P204" s="30" t="str">
        <f>VLOOKUP(O204,[1]Feuil2!$A:$M,5,FALSE)</f>
        <v>CAFE RIVAGE EN BOITE PEGBOARDABLE</v>
      </c>
      <c r="Q204" s="49">
        <f>4752-1440</f>
        <v>3312</v>
      </c>
      <c r="R204" s="52">
        <v>0.192</v>
      </c>
      <c r="S204" s="53">
        <f t="shared" si="31"/>
        <v>635.904</v>
      </c>
      <c r="T204" s="31">
        <f t="shared" si="32"/>
        <v>40301.824000000001</v>
      </c>
      <c r="U204" s="140"/>
      <c r="V204" s="32">
        <f t="shared" si="33"/>
        <v>40301.824000000001</v>
      </c>
      <c r="W204" s="33">
        <f>VLOOKUP(O204,[1]Feuil2!$A:$M,6,FALSE)</f>
        <v>72</v>
      </c>
      <c r="X204" s="34">
        <f>VLOOKUP(O204,[1]Feuil2!$A:$M,13,FALSE)</f>
        <v>6.9540000000000001E-3</v>
      </c>
      <c r="Y204" s="35">
        <f t="shared" si="34"/>
        <v>0.319884</v>
      </c>
      <c r="Z204" s="36">
        <f t="shared" si="35"/>
        <v>18.975457374999994</v>
      </c>
      <c r="AA204" s="235" t="s">
        <v>61</v>
      </c>
      <c r="AB204" s="55" t="s">
        <v>61</v>
      </c>
      <c r="AC204" s="49"/>
      <c r="AD204" s="55" t="s">
        <v>61</v>
      </c>
      <c r="AE204" s="48"/>
      <c r="AF204" s="55"/>
      <c r="AG204" s="55"/>
      <c r="AH204" s="57"/>
      <c r="AI204" s="182">
        <v>45777</v>
      </c>
      <c r="AJ204" s="137" t="s">
        <v>49</v>
      </c>
      <c r="AK204" s="56" t="e">
        <f>VLOOKUP(AP204,'[2]CONTENEUR PLEIN'!$F:$L,3,FALSE)</f>
        <v>#N/A</v>
      </c>
      <c r="AL204" s="37" t="e">
        <f>VLOOKUP(AP204,'[2]CONTENEUR PLEIN'!$F:$L,5,FALSE)</f>
        <v>#N/A</v>
      </c>
      <c r="AM204" s="38" t="e">
        <f>VLOOKUP(AP204,'[2]CONTENEUR PLEIN'!$F:$L,7,FALSE)</f>
        <v>#N/A</v>
      </c>
      <c r="AN204" s="49" t="s">
        <v>63</v>
      </c>
      <c r="AO204" s="49"/>
      <c r="AP204" s="49"/>
      <c r="AQ204" s="49"/>
      <c r="AR204" s="49" t="e">
        <f>VLOOKUP(AP204,'[2]CONTENEUR PLEIN'!$F:$L,2,FALSE)</f>
        <v>#N/A</v>
      </c>
      <c r="AS204" s="49"/>
      <c r="AT204" s="57"/>
    </row>
    <row r="205" spans="1:47" s="72" customFormat="1" hidden="1" x14ac:dyDescent="0.25">
      <c r="A205" s="197"/>
      <c r="B205" s="232" t="s">
        <v>45</v>
      </c>
      <c r="C205" s="194">
        <v>45621</v>
      </c>
      <c r="D205" s="191">
        <v>24099</v>
      </c>
      <c r="E205" s="195" t="s">
        <v>116</v>
      </c>
      <c r="F205" s="191">
        <v>2410091632</v>
      </c>
      <c r="G205" s="191" t="s">
        <v>64</v>
      </c>
      <c r="H205" s="191" t="s">
        <v>113</v>
      </c>
      <c r="I205" s="191" t="s">
        <v>49</v>
      </c>
      <c r="J205" s="191" t="s">
        <v>46</v>
      </c>
      <c r="K205" s="16" t="s">
        <v>449</v>
      </c>
      <c r="L205" s="194">
        <v>45870</v>
      </c>
      <c r="M205" s="381">
        <f t="shared" si="30"/>
        <v>9</v>
      </c>
      <c r="N205" s="209" t="s">
        <v>62</v>
      </c>
      <c r="O205" s="223">
        <v>21450004</v>
      </c>
      <c r="P205" s="24" t="str">
        <f>VLOOKUP(O205,[1]Feuil2!$A:$M,5,FALSE)</f>
        <v>CAFE RIVAGE EN BOITE PEGBOARDABLE</v>
      </c>
      <c r="Q205" s="191">
        <v>1440</v>
      </c>
      <c r="R205" s="224">
        <v>0.192</v>
      </c>
      <c r="S205" s="225">
        <f t="shared" si="31"/>
        <v>276.48</v>
      </c>
      <c r="T205" s="226">
        <f t="shared" si="32"/>
        <v>40301.824000000001</v>
      </c>
      <c r="U205" s="227"/>
      <c r="V205" s="228">
        <f t="shared" si="33"/>
        <v>40301.824000000001</v>
      </c>
      <c r="W205" s="4">
        <f>VLOOKUP(O205,[1]Feuil2!$A:$M,6,FALSE)</f>
        <v>72</v>
      </c>
      <c r="X205" s="5">
        <f>VLOOKUP(O205,[1]Feuil2!$A:$M,13,FALSE)</f>
        <v>6.9540000000000001E-3</v>
      </c>
      <c r="Y205" s="6">
        <f t="shared" si="34"/>
        <v>0.13908000000000001</v>
      </c>
      <c r="Z205" s="229">
        <f t="shared" si="35"/>
        <v>18.975457374999994</v>
      </c>
      <c r="AA205" s="167" t="s">
        <v>61</v>
      </c>
      <c r="AB205" s="133" t="s">
        <v>61</v>
      </c>
      <c r="AC205" s="210" t="s">
        <v>55</v>
      </c>
      <c r="AD205" s="19" t="s">
        <v>57</v>
      </c>
      <c r="AE205" s="20">
        <v>45800</v>
      </c>
      <c r="AF205" s="47" t="s">
        <v>279</v>
      </c>
      <c r="AG205" s="21"/>
      <c r="AH205" s="209"/>
      <c r="AI205" s="160">
        <v>45777</v>
      </c>
      <c r="AJ205" s="145">
        <f>DATEDIF(AI205,$AK205,"D")</f>
        <v>95</v>
      </c>
      <c r="AK205" s="100">
        <f>VLOOKUP(AP205,'[3]CONTENEUR PLEIN'!$F:$L,3,FALSE)</f>
        <v>45872</v>
      </c>
      <c r="AL205" s="99">
        <f>VLOOKUP(AP205,'[3]CONTENEUR PLEIN'!$F:$L,5,FALSE)</f>
        <v>45907</v>
      </c>
      <c r="AM205" s="18">
        <f>VLOOKUP(AP205,'[3]CONTENEUR PLEIN'!$F:$L,7,FALSE)</f>
        <v>45918.53125</v>
      </c>
      <c r="AN205" s="191" t="s">
        <v>63</v>
      </c>
      <c r="AO205" s="191" t="s">
        <v>371</v>
      </c>
      <c r="AP205" s="191" t="s">
        <v>372</v>
      </c>
      <c r="AQ205" s="191" t="s">
        <v>375</v>
      </c>
      <c r="AR205" s="191" t="e">
        <f>VLOOKUP(AP205,'[2]CONTENEUR PLEIN'!$F:$L,2,FALSE)</f>
        <v>#N/A</v>
      </c>
      <c r="AS205" s="191" t="s">
        <v>316</v>
      </c>
      <c r="AT205" s="209"/>
    </row>
    <row r="206" spans="1:47" s="72" customFormat="1" hidden="1" x14ac:dyDescent="0.25">
      <c r="A206" s="71"/>
      <c r="B206" s="29" t="s">
        <v>45</v>
      </c>
      <c r="C206" s="48">
        <v>45621</v>
      </c>
      <c r="D206" s="49">
        <v>24099</v>
      </c>
      <c r="E206" s="50" t="s">
        <v>116</v>
      </c>
      <c r="F206" s="49">
        <v>2410091632</v>
      </c>
      <c r="G206" s="49" t="s">
        <v>64</v>
      </c>
      <c r="H206" s="49" t="s">
        <v>113</v>
      </c>
      <c r="I206" s="49" t="s">
        <v>49</v>
      </c>
      <c r="J206" s="49" t="s">
        <v>46</v>
      </c>
      <c r="K206" s="107" t="s">
        <v>71</v>
      </c>
      <c r="L206" s="49" t="s">
        <v>47</v>
      </c>
      <c r="M206" s="382" t="e">
        <f t="shared" si="30"/>
        <v>#N/A</v>
      </c>
      <c r="N206" s="57" t="s">
        <v>62</v>
      </c>
      <c r="O206" s="51">
        <v>21450005</v>
      </c>
      <c r="P206" s="30" t="str">
        <f>VLOOKUP(O206,[1]Feuil2!$A:$M,5,FALSE)</f>
        <v>COUTEAU STEAK RIVAGE EN BOITE PEGBOARDABLE</v>
      </c>
      <c r="Q206" s="49">
        <f>3600-1368</f>
        <v>2232</v>
      </c>
      <c r="R206" s="52">
        <v>0.41399999999999998</v>
      </c>
      <c r="S206" s="53">
        <f t="shared" si="31"/>
        <v>924.048</v>
      </c>
      <c r="T206" s="31">
        <f t="shared" si="32"/>
        <v>40301.824000000001</v>
      </c>
      <c r="U206" s="140"/>
      <c r="V206" s="32">
        <f t="shared" si="33"/>
        <v>40301.824000000001</v>
      </c>
      <c r="W206" s="33">
        <f>VLOOKUP(O206,[1]Feuil2!$A:$M,6,FALSE)</f>
        <v>72</v>
      </c>
      <c r="X206" s="34">
        <f>VLOOKUP(O206,[1]Feuil2!$A:$M,13,FALSE)</f>
        <v>1.1071499999999998E-2</v>
      </c>
      <c r="Y206" s="35">
        <f t="shared" si="34"/>
        <v>0.34321649999999992</v>
      </c>
      <c r="Z206" s="36">
        <f t="shared" si="35"/>
        <v>18.975457374999994</v>
      </c>
      <c r="AA206" s="55" t="s">
        <v>61</v>
      </c>
      <c r="AB206" s="55" t="s">
        <v>61</v>
      </c>
      <c r="AC206" s="49"/>
      <c r="AD206" s="55" t="s">
        <v>61</v>
      </c>
      <c r="AE206" s="48"/>
      <c r="AF206" s="55"/>
      <c r="AG206" s="55"/>
      <c r="AH206" s="57"/>
      <c r="AI206" s="182">
        <v>45777</v>
      </c>
      <c r="AJ206" s="137" t="s">
        <v>49</v>
      </c>
      <c r="AK206" s="56" t="e">
        <f>VLOOKUP(AP206,'[2]CONTENEUR PLEIN'!$F:$L,3,FALSE)</f>
        <v>#N/A</v>
      </c>
      <c r="AL206" s="37" t="e">
        <f>VLOOKUP(AP206,'[2]CONTENEUR PLEIN'!$F:$L,5,FALSE)</f>
        <v>#N/A</v>
      </c>
      <c r="AM206" s="38" t="e">
        <f>VLOOKUP(AP206,'[2]CONTENEUR PLEIN'!$F:$L,7,FALSE)</f>
        <v>#N/A</v>
      </c>
      <c r="AN206" s="49" t="s">
        <v>63</v>
      </c>
      <c r="AO206" s="49"/>
      <c r="AP206" s="49"/>
      <c r="AQ206" s="49"/>
      <c r="AR206" s="49" t="e">
        <f>VLOOKUP(AP206,'[2]CONTENEUR PLEIN'!$F:$L,2,FALSE)</f>
        <v>#N/A</v>
      </c>
      <c r="AS206" s="49"/>
      <c r="AT206" s="57"/>
    </row>
    <row r="207" spans="1:47" s="72" customFormat="1" hidden="1" x14ac:dyDescent="0.25">
      <c r="A207" s="197"/>
      <c r="B207" s="232" t="s">
        <v>45</v>
      </c>
      <c r="C207" s="194">
        <v>45621</v>
      </c>
      <c r="D207" s="191">
        <v>24099</v>
      </c>
      <c r="E207" s="195" t="s">
        <v>116</v>
      </c>
      <c r="F207" s="191">
        <v>2410091632</v>
      </c>
      <c r="G207" s="191" t="s">
        <v>64</v>
      </c>
      <c r="H207" s="191" t="s">
        <v>113</v>
      </c>
      <c r="I207" s="191" t="s">
        <v>49</v>
      </c>
      <c r="J207" s="191" t="s">
        <v>46</v>
      </c>
      <c r="K207" s="16" t="s">
        <v>449</v>
      </c>
      <c r="L207" s="194">
        <v>45870</v>
      </c>
      <c r="M207" s="381">
        <f t="shared" si="30"/>
        <v>9</v>
      </c>
      <c r="N207" s="209" t="s">
        <v>62</v>
      </c>
      <c r="O207" s="223">
        <v>21450005</v>
      </c>
      <c r="P207" s="24" t="str">
        <f>VLOOKUP(O207,[1]Feuil2!$A:$M,5,FALSE)</f>
        <v>COUTEAU STEAK RIVAGE EN BOITE PEGBOARDABLE</v>
      </c>
      <c r="Q207" s="191">
        <v>1368</v>
      </c>
      <c r="R207" s="224">
        <v>0.41399999999999998</v>
      </c>
      <c r="S207" s="225">
        <f t="shared" si="31"/>
        <v>566.35199999999998</v>
      </c>
      <c r="T207" s="226">
        <f t="shared" si="32"/>
        <v>40301.824000000001</v>
      </c>
      <c r="U207" s="227"/>
      <c r="V207" s="228">
        <f t="shared" si="33"/>
        <v>40301.824000000001</v>
      </c>
      <c r="W207" s="4">
        <f>VLOOKUP(O207,[1]Feuil2!$A:$M,6,FALSE)</f>
        <v>72</v>
      </c>
      <c r="X207" s="5">
        <f>VLOOKUP(O207,[1]Feuil2!$A:$M,13,FALSE)</f>
        <v>1.1071499999999998E-2</v>
      </c>
      <c r="Y207" s="6">
        <f t="shared" si="34"/>
        <v>0.21035849999999995</v>
      </c>
      <c r="Z207" s="229">
        <f t="shared" si="35"/>
        <v>18.975457374999994</v>
      </c>
      <c r="AA207" s="167" t="s">
        <v>61</v>
      </c>
      <c r="AB207" s="133" t="s">
        <v>61</v>
      </c>
      <c r="AC207" s="210" t="s">
        <v>55</v>
      </c>
      <c r="AD207" s="19" t="s">
        <v>57</v>
      </c>
      <c r="AE207" s="20">
        <v>45800</v>
      </c>
      <c r="AF207" s="47" t="s">
        <v>277</v>
      </c>
      <c r="AG207" s="21"/>
      <c r="AH207" s="209"/>
      <c r="AI207" s="160">
        <v>45777</v>
      </c>
      <c r="AJ207" s="145">
        <f>DATEDIF(AI207,$AK207,"D")</f>
        <v>95</v>
      </c>
      <c r="AK207" s="100">
        <f>VLOOKUP(AP207,'[3]CONTENEUR PLEIN'!$F:$L,3,FALSE)</f>
        <v>45872</v>
      </c>
      <c r="AL207" s="99">
        <f>VLOOKUP(AP207,'[3]CONTENEUR PLEIN'!$F:$L,5,FALSE)</f>
        <v>45907</v>
      </c>
      <c r="AM207" s="18">
        <f>VLOOKUP(AP207,'[3]CONTENEUR PLEIN'!$F:$L,7,FALSE)</f>
        <v>45918.53125</v>
      </c>
      <c r="AN207" s="191" t="s">
        <v>63</v>
      </c>
      <c r="AO207" s="191" t="s">
        <v>371</v>
      </c>
      <c r="AP207" s="191" t="s">
        <v>372</v>
      </c>
      <c r="AQ207" s="191" t="s">
        <v>375</v>
      </c>
      <c r="AR207" s="191" t="e">
        <f>VLOOKUP(AP207,'[2]CONTENEUR PLEIN'!$F:$L,2,FALSE)</f>
        <v>#N/A</v>
      </c>
      <c r="AS207" s="191" t="s">
        <v>316</v>
      </c>
      <c r="AT207" s="209"/>
      <c r="AU207" s="181"/>
    </row>
    <row r="208" spans="1:47" s="72" customFormat="1" hidden="1" x14ac:dyDescent="0.25">
      <c r="A208" s="197"/>
      <c r="B208" s="232" t="s">
        <v>45</v>
      </c>
      <c r="C208" s="194">
        <v>45621</v>
      </c>
      <c r="D208" s="191">
        <v>24099</v>
      </c>
      <c r="E208" s="195" t="s">
        <v>116</v>
      </c>
      <c r="F208" s="191">
        <v>2410091632</v>
      </c>
      <c r="G208" s="191" t="s">
        <v>64</v>
      </c>
      <c r="H208" s="191" t="s">
        <v>113</v>
      </c>
      <c r="I208" s="191" t="s">
        <v>49</v>
      </c>
      <c r="J208" s="191" t="s">
        <v>46</v>
      </c>
      <c r="K208" s="16" t="s">
        <v>449</v>
      </c>
      <c r="L208" s="194">
        <v>45870</v>
      </c>
      <c r="M208" s="381">
        <f t="shared" si="30"/>
        <v>9</v>
      </c>
      <c r="N208" s="209" t="s">
        <v>62</v>
      </c>
      <c r="O208" s="223">
        <v>21460001</v>
      </c>
      <c r="P208" s="24" t="str">
        <f>VLOOKUP(O208,[1]Feuil2!$A:$M,5,FALSE)</f>
        <v>COUTEAU FUSEAU EN BOITE PEGBOARDABLE</v>
      </c>
      <c r="Q208" s="191">
        <v>2088</v>
      </c>
      <c r="R208" s="224">
        <v>0.38900000000000001</v>
      </c>
      <c r="S208" s="225">
        <f t="shared" si="31"/>
        <v>812.23199999999997</v>
      </c>
      <c r="T208" s="226">
        <f t="shared" si="32"/>
        <v>40301.824000000001</v>
      </c>
      <c r="U208" s="227"/>
      <c r="V208" s="228">
        <f t="shared" si="33"/>
        <v>40301.824000000001</v>
      </c>
      <c r="W208" s="4">
        <f>VLOOKUP(O208,[1]Feuil2!$A:$M,6,FALSE)</f>
        <v>72</v>
      </c>
      <c r="X208" s="5">
        <f>VLOOKUP(O208,[1]Feuil2!$A:$M,13,FALSE)</f>
        <v>1.2275999999999999E-2</v>
      </c>
      <c r="Y208" s="6">
        <f t="shared" si="34"/>
        <v>0.35600399999999999</v>
      </c>
      <c r="Z208" s="229">
        <f t="shared" si="35"/>
        <v>18.975457374999994</v>
      </c>
      <c r="AA208" s="24" t="s">
        <v>48</v>
      </c>
      <c r="AB208" s="21" t="s">
        <v>57</v>
      </c>
      <c r="AC208" s="210" t="s">
        <v>55</v>
      </c>
      <c r="AD208" s="19" t="s">
        <v>57</v>
      </c>
      <c r="AE208" s="20">
        <v>45798</v>
      </c>
      <c r="AF208" s="47" t="s">
        <v>267</v>
      </c>
      <c r="AG208" s="21"/>
      <c r="AH208" s="209"/>
      <c r="AI208" s="160">
        <v>45777</v>
      </c>
      <c r="AJ208" s="145">
        <f>DATEDIF(AI208,$AK208,"D")</f>
        <v>95</v>
      </c>
      <c r="AK208" s="100">
        <f>VLOOKUP(AP208,'[3]CONTENEUR PLEIN'!$F:$L,3,FALSE)</f>
        <v>45872</v>
      </c>
      <c r="AL208" s="99">
        <f>VLOOKUP(AP208,'[3]CONTENEUR PLEIN'!$F:$L,5,FALSE)</f>
        <v>45907</v>
      </c>
      <c r="AM208" s="18">
        <f>VLOOKUP(AP208,'[3]CONTENEUR PLEIN'!$F:$L,7,FALSE)</f>
        <v>45918.53125</v>
      </c>
      <c r="AN208" s="191" t="s">
        <v>63</v>
      </c>
      <c r="AO208" s="191" t="s">
        <v>371</v>
      </c>
      <c r="AP208" s="191" t="s">
        <v>372</v>
      </c>
      <c r="AQ208" s="191" t="s">
        <v>375</v>
      </c>
      <c r="AR208" s="191" t="e">
        <f>VLOOKUP(AP208,'[2]CONTENEUR PLEIN'!$F:$L,2,FALSE)</f>
        <v>#N/A</v>
      </c>
      <c r="AS208" s="191" t="s">
        <v>316</v>
      </c>
      <c r="AT208" s="209"/>
    </row>
    <row r="209" spans="1:47" s="72" customFormat="1" ht="15" hidden="1" customHeight="1" x14ac:dyDescent="0.25">
      <c r="A209" s="197"/>
      <c r="B209" s="232" t="s">
        <v>45</v>
      </c>
      <c r="C209" s="194">
        <v>45621</v>
      </c>
      <c r="D209" s="191">
        <v>24099</v>
      </c>
      <c r="E209" s="195" t="s">
        <v>116</v>
      </c>
      <c r="F209" s="191">
        <v>2410091632</v>
      </c>
      <c r="G209" s="191" t="s">
        <v>64</v>
      </c>
      <c r="H209" s="191" t="s">
        <v>113</v>
      </c>
      <c r="I209" s="191" t="s">
        <v>49</v>
      </c>
      <c r="J209" s="191" t="s">
        <v>46</v>
      </c>
      <c r="K209" s="16" t="s">
        <v>449</v>
      </c>
      <c r="L209" s="194">
        <v>45870</v>
      </c>
      <c r="M209" s="381">
        <f t="shared" si="30"/>
        <v>9</v>
      </c>
      <c r="N209" s="209" t="s">
        <v>62</v>
      </c>
      <c r="O209" s="223">
        <v>21460002</v>
      </c>
      <c r="P209" s="24" t="str">
        <f>VLOOKUP(O209,[1]Feuil2!$A:$M,5,FALSE)</f>
        <v>FOURCHETTE FUSEAU EN BOITE PEGBOARDABLE</v>
      </c>
      <c r="Q209" s="191">
        <v>3672</v>
      </c>
      <c r="R209" s="224">
        <v>0.35499999999999998</v>
      </c>
      <c r="S209" s="225">
        <f t="shared" si="31"/>
        <v>1303.56</v>
      </c>
      <c r="T209" s="226">
        <f t="shared" si="32"/>
        <v>40301.824000000001</v>
      </c>
      <c r="U209" s="227"/>
      <c r="V209" s="228">
        <f t="shared" si="33"/>
        <v>40301.824000000001</v>
      </c>
      <c r="W209" s="4">
        <f>VLOOKUP(O209,[1]Feuil2!$A:$M,6,FALSE)</f>
        <v>72</v>
      </c>
      <c r="X209" s="5">
        <f>VLOOKUP(O209,[1]Feuil2!$A:$M,13,FALSE)</f>
        <v>1.2540000000000001E-2</v>
      </c>
      <c r="Y209" s="6">
        <f t="shared" si="34"/>
        <v>0.63954</v>
      </c>
      <c r="Z209" s="229">
        <f t="shared" si="35"/>
        <v>18.975457374999994</v>
      </c>
      <c r="AA209" s="24" t="s">
        <v>48</v>
      </c>
      <c r="AB209" s="21" t="s">
        <v>57</v>
      </c>
      <c r="AC209" s="210" t="s">
        <v>55</v>
      </c>
      <c r="AD209" s="19" t="s">
        <v>57</v>
      </c>
      <c r="AE209" s="20">
        <v>45826</v>
      </c>
      <c r="AF209" s="21" t="s">
        <v>318</v>
      </c>
      <c r="AG209" s="21"/>
      <c r="AH209" s="209"/>
      <c r="AI209" s="160">
        <v>45777</v>
      </c>
      <c r="AJ209" s="145">
        <f>DATEDIF(AI209,$AK209,"D")</f>
        <v>95</v>
      </c>
      <c r="AK209" s="100">
        <f>VLOOKUP(AP209,'[3]CONTENEUR PLEIN'!$F:$L,3,FALSE)</f>
        <v>45872</v>
      </c>
      <c r="AL209" s="99">
        <f>VLOOKUP(AP209,'[3]CONTENEUR PLEIN'!$F:$L,5,FALSE)</f>
        <v>45907</v>
      </c>
      <c r="AM209" s="18">
        <f>VLOOKUP(AP209,'[3]CONTENEUR PLEIN'!$F:$L,7,FALSE)</f>
        <v>45918.53125</v>
      </c>
      <c r="AN209" s="191" t="s">
        <v>63</v>
      </c>
      <c r="AO209" s="191" t="s">
        <v>371</v>
      </c>
      <c r="AP209" s="191" t="s">
        <v>372</v>
      </c>
      <c r="AQ209" s="191" t="s">
        <v>375</v>
      </c>
      <c r="AR209" s="191" t="e">
        <f>VLOOKUP(AP209,'[2]CONTENEUR PLEIN'!$F:$L,2,FALSE)</f>
        <v>#N/A</v>
      </c>
      <c r="AS209" s="191" t="s">
        <v>316</v>
      </c>
      <c r="AT209" s="209"/>
    </row>
    <row r="210" spans="1:47" s="72" customFormat="1" hidden="1" x14ac:dyDescent="0.25">
      <c r="A210" s="197"/>
      <c r="B210" s="232" t="s">
        <v>45</v>
      </c>
      <c r="C210" s="194">
        <v>45621</v>
      </c>
      <c r="D210" s="191">
        <v>24099</v>
      </c>
      <c r="E210" s="195" t="s">
        <v>116</v>
      </c>
      <c r="F210" s="191">
        <v>2410091632</v>
      </c>
      <c r="G210" s="191" t="s">
        <v>64</v>
      </c>
      <c r="H210" s="191" t="s">
        <v>113</v>
      </c>
      <c r="I210" s="191" t="s">
        <v>49</v>
      </c>
      <c r="J210" s="191" t="s">
        <v>46</v>
      </c>
      <c r="K210" s="16" t="s">
        <v>449</v>
      </c>
      <c r="L210" s="194">
        <v>45870</v>
      </c>
      <c r="M210" s="381">
        <f t="shared" si="30"/>
        <v>9</v>
      </c>
      <c r="N210" s="209" t="s">
        <v>62</v>
      </c>
      <c r="O210" s="223">
        <v>21460004</v>
      </c>
      <c r="P210" s="24" t="str">
        <f>VLOOKUP(O210,[1]Feuil2!$A:$M,5,FALSE)</f>
        <v>CAFE FUSEAU EN BOITE PEGBOARDABLE</v>
      </c>
      <c r="Q210" s="191">
        <v>4032</v>
      </c>
      <c r="R210" s="224">
        <v>0.19600000000000001</v>
      </c>
      <c r="S210" s="225">
        <f t="shared" si="31"/>
        <v>790.27200000000005</v>
      </c>
      <c r="T210" s="226">
        <f t="shared" si="32"/>
        <v>40301.824000000001</v>
      </c>
      <c r="U210" s="227"/>
      <c r="V210" s="228">
        <f t="shared" si="33"/>
        <v>40301.824000000001</v>
      </c>
      <c r="W210" s="4">
        <f>VLOOKUP(O210,[1]Feuil2!$A:$M,6,FALSE)</f>
        <v>72</v>
      </c>
      <c r="X210" s="5">
        <f>VLOOKUP(O210,[1]Feuil2!$A:$M,13,FALSE)</f>
        <v>9.4500000000000001E-3</v>
      </c>
      <c r="Y210" s="6">
        <f t="shared" si="34"/>
        <v>0.5292</v>
      </c>
      <c r="Z210" s="229">
        <f t="shared" si="35"/>
        <v>18.975457374999994</v>
      </c>
      <c r="AA210" s="167" t="s">
        <v>61</v>
      </c>
      <c r="AB210" s="167" t="s">
        <v>61</v>
      </c>
      <c r="AC210" s="210" t="s">
        <v>55</v>
      </c>
      <c r="AD210" s="19" t="s">
        <v>57</v>
      </c>
      <c r="AE210" s="20">
        <v>45833</v>
      </c>
      <c r="AF210" s="21" t="s">
        <v>329</v>
      </c>
      <c r="AG210" s="21"/>
      <c r="AH210" s="209"/>
      <c r="AI210" s="160">
        <v>45777</v>
      </c>
      <c r="AJ210" s="145">
        <f>DATEDIF(AI210,$AK210,"D")</f>
        <v>95</v>
      </c>
      <c r="AK210" s="100">
        <f>VLOOKUP(AP210,'[3]CONTENEUR PLEIN'!$F:$L,3,FALSE)</f>
        <v>45872</v>
      </c>
      <c r="AL210" s="99">
        <f>VLOOKUP(AP210,'[3]CONTENEUR PLEIN'!$F:$L,5,FALSE)</f>
        <v>45907</v>
      </c>
      <c r="AM210" s="18">
        <f>VLOOKUP(AP210,'[3]CONTENEUR PLEIN'!$F:$L,7,FALSE)</f>
        <v>45918.53125</v>
      </c>
      <c r="AN210" s="191" t="s">
        <v>63</v>
      </c>
      <c r="AO210" s="191" t="s">
        <v>371</v>
      </c>
      <c r="AP210" s="191" t="s">
        <v>372</v>
      </c>
      <c r="AQ210" s="191" t="s">
        <v>375</v>
      </c>
      <c r="AR210" s="191" t="e">
        <f>VLOOKUP(AP210,'[2]CONTENEUR PLEIN'!$F:$L,2,FALSE)</f>
        <v>#N/A</v>
      </c>
      <c r="AS210" s="191" t="s">
        <v>316</v>
      </c>
      <c r="AT210" s="209"/>
    </row>
    <row r="211" spans="1:47" s="72" customFormat="1" hidden="1" x14ac:dyDescent="0.25">
      <c r="A211" s="71"/>
      <c r="B211" s="29" t="s">
        <v>45</v>
      </c>
      <c r="C211" s="48">
        <v>45621</v>
      </c>
      <c r="D211" s="49">
        <v>24099</v>
      </c>
      <c r="E211" s="50" t="s">
        <v>116</v>
      </c>
      <c r="F211" s="49">
        <v>2410091632</v>
      </c>
      <c r="G211" s="49" t="s">
        <v>64</v>
      </c>
      <c r="H211" s="49" t="s">
        <v>113</v>
      </c>
      <c r="I211" s="49" t="s">
        <v>49</v>
      </c>
      <c r="J211" s="49" t="s">
        <v>46</v>
      </c>
      <c r="K211" s="107" t="s">
        <v>71</v>
      </c>
      <c r="L211" s="49" t="s">
        <v>47</v>
      </c>
      <c r="M211" s="382" t="e">
        <f t="shared" si="30"/>
        <v>#N/A</v>
      </c>
      <c r="N211" s="57" t="s">
        <v>62</v>
      </c>
      <c r="O211" s="51">
        <v>21460005</v>
      </c>
      <c r="P211" s="30" t="str">
        <f>VLOOKUP(O211,[1]Feuil2!$A:$M,5,FALSE)</f>
        <v>COUTEAU DESSERT FUSEAU EN BOITE PEGBOARDABLE</v>
      </c>
      <c r="Q211" s="49">
        <v>1584</v>
      </c>
      <c r="R211" s="52">
        <v>0.371</v>
      </c>
      <c r="S211" s="53">
        <f t="shared" si="31"/>
        <v>587.66399999999999</v>
      </c>
      <c r="T211" s="31">
        <f t="shared" si="32"/>
        <v>40301.824000000001</v>
      </c>
      <c r="U211" s="140"/>
      <c r="V211" s="32">
        <f t="shared" si="33"/>
        <v>40301.824000000001</v>
      </c>
      <c r="W211" s="33">
        <f>VLOOKUP(O211,[1]Feuil2!$A:$M,6,FALSE)</f>
        <v>72</v>
      </c>
      <c r="X211" s="34">
        <f>VLOOKUP(O211,[1]Feuil2!$A:$M,13,FALSE)</f>
        <v>1.1880000000000002E-2</v>
      </c>
      <c r="Y211" s="35">
        <f t="shared" si="34"/>
        <v>0.26136000000000004</v>
      </c>
      <c r="Z211" s="36">
        <f t="shared" si="35"/>
        <v>18.975457374999994</v>
      </c>
      <c r="AA211" s="235" t="s">
        <v>61</v>
      </c>
      <c r="AB211" s="235" t="s">
        <v>61</v>
      </c>
      <c r="AC211" s="49"/>
      <c r="AD211" s="55" t="s">
        <v>61</v>
      </c>
      <c r="AE211" s="48"/>
      <c r="AF211" s="55"/>
      <c r="AG211" s="55"/>
      <c r="AH211" s="57"/>
      <c r="AI211" s="182">
        <v>45777</v>
      </c>
      <c r="AJ211" s="137" t="s">
        <v>49</v>
      </c>
      <c r="AK211" s="56" t="e">
        <f>VLOOKUP(AP211,'[2]CONTENEUR PLEIN'!$F:$L,3,FALSE)</f>
        <v>#N/A</v>
      </c>
      <c r="AL211" s="37" t="e">
        <f>VLOOKUP(AP211,'[2]CONTENEUR PLEIN'!$F:$L,5,FALSE)</f>
        <v>#N/A</v>
      </c>
      <c r="AM211" s="38" t="e">
        <f>VLOOKUP(AP211,'[2]CONTENEUR PLEIN'!$F:$L,7,FALSE)</f>
        <v>#N/A</v>
      </c>
      <c r="AN211" s="49" t="s">
        <v>63</v>
      </c>
      <c r="AO211" s="49"/>
      <c r="AP211" s="49"/>
      <c r="AQ211" s="49"/>
      <c r="AR211" s="49" t="e">
        <f>VLOOKUP(AP211,'[2]CONTENEUR PLEIN'!$F:$L,2,FALSE)</f>
        <v>#N/A</v>
      </c>
      <c r="AS211" s="49"/>
      <c r="AT211" s="57"/>
    </row>
    <row r="212" spans="1:47" s="72" customFormat="1" ht="15" hidden="1" customHeight="1" x14ac:dyDescent="0.25">
      <c r="A212" s="197"/>
      <c r="B212" s="232" t="s">
        <v>45</v>
      </c>
      <c r="C212" s="194">
        <v>45621</v>
      </c>
      <c r="D212" s="191">
        <v>24099</v>
      </c>
      <c r="E212" s="195" t="s">
        <v>116</v>
      </c>
      <c r="F212" s="191">
        <v>2410091632</v>
      </c>
      <c r="G212" s="191" t="s">
        <v>64</v>
      </c>
      <c r="H212" s="191" t="s">
        <v>113</v>
      </c>
      <c r="I212" s="191" t="s">
        <v>49</v>
      </c>
      <c r="J212" s="191" t="s">
        <v>46</v>
      </c>
      <c r="K212" s="16" t="s">
        <v>449</v>
      </c>
      <c r="L212" s="194">
        <v>45870</v>
      </c>
      <c r="M212" s="381">
        <f t="shared" si="30"/>
        <v>9</v>
      </c>
      <c r="N212" s="209" t="s">
        <v>62</v>
      </c>
      <c r="O212" s="223">
        <v>21460006</v>
      </c>
      <c r="P212" s="24" t="str">
        <f>VLOOKUP(O212,[1]Feuil2!$A:$M,5,FALSE)</f>
        <v>FOURCHETTE DESSERT FUSEAU EN BOITE PEGBOARDABLE</v>
      </c>
      <c r="Q212" s="191">
        <v>1152</v>
      </c>
      <c r="R212" s="224">
        <v>0.30499999999999999</v>
      </c>
      <c r="S212" s="225">
        <f t="shared" si="31"/>
        <v>351.36</v>
      </c>
      <c r="T212" s="226">
        <f t="shared" si="32"/>
        <v>40301.824000000001</v>
      </c>
      <c r="U212" s="227"/>
      <c r="V212" s="228">
        <f t="shared" si="33"/>
        <v>40301.824000000001</v>
      </c>
      <c r="W212" s="4">
        <f>VLOOKUP(O212,[1]Feuil2!$A:$M,6,FALSE)</f>
        <v>72</v>
      </c>
      <c r="X212" s="5">
        <f>VLOOKUP(O212,[1]Feuil2!$A:$M,13,FALSE)</f>
        <v>1.4125499999999999E-2</v>
      </c>
      <c r="Y212" s="6">
        <f t="shared" si="34"/>
        <v>0.22600799999999999</v>
      </c>
      <c r="Z212" s="229">
        <f t="shared" si="35"/>
        <v>18.975457374999994</v>
      </c>
      <c r="AA212" s="23" t="s">
        <v>48</v>
      </c>
      <c r="AB212" s="69" t="s">
        <v>57</v>
      </c>
      <c r="AC212" s="210" t="s">
        <v>55</v>
      </c>
      <c r="AD212" s="43" t="s">
        <v>57</v>
      </c>
      <c r="AE212" s="20">
        <v>45826</v>
      </c>
      <c r="AF212" s="21" t="s">
        <v>319</v>
      </c>
      <c r="AG212" s="21"/>
      <c r="AH212" s="209"/>
      <c r="AI212" s="160">
        <v>45777</v>
      </c>
      <c r="AJ212" s="145">
        <f>DATEDIF(AI212,$AK212,"D")</f>
        <v>95</v>
      </c>
      <c r="AK212" s="100">
        <f>VLOOKUP(AP212,'[3]CONTENEUR PLEIN'!$F:$L,3,FALSE)</f>
        <v>45872</v>
      </c>
      <c r="AL212" s="99">
        <f>VLOOKUP(AP212,'[3]CONTENEUR PLEIN'!$F:$L,5,FALSE)</f>
        <v>45907</v>
      </c>
      <c r="AM212" s="18">
        <f>VLOOKUP(AP212,'[3]CONTENEUR PLEIN'!$F:$L,7,FALSE)</f>
        <v>45918.53125</v>
      </c>
      <c r="AN212" s="191" t="s">
        <v>63</v>
      </c>
      <c r="AO212" s="191" t="s">
        <v>371</v>
      </c>
      <c r="AP212" s="191" t="s">
        <v>372</v>
      </c>
      <c r="AQ212" s="191" t="s">
        <v>375</v>
      </c>
      <c r="AR212" s="191" t="e">
        <f>VLOOKUP(AP212,'[2]CONTENEUR PLEIN'!$F:$L,2,FALSE)</f>
        <v>#N/A</v>
      </c>
      <c r="AS212" s="191" t="s">
        <v>316</v>
      </c>
      <c r="AT212" s="209"/>
    </row>
    <row r="213" spans="1:47" s="72" customFormat="1" hidden="1" x14ac:dyDescent="0.25">
      <c r="A213" s="71"/>
      <c r="B213" s="29" t="s">
        <v>45</v>
      </c>
      <c r="C213" s="48">
        <v>45621</v>
      </c>
      <c r="D213" s="49">
        <v>24099</v>
      </c>
      <c r="E213" s="50" t="s">
        <v>116</v>
      </c>
      <c r="F213" s="49">
        <v>2410091632</v>
      </c>
      <c r="G213" s="49" t="s">
        <v>64</v>
      </c>
      <c r="H213" s="49" t="s">
        <v>113</v>
      </c>
      <c r="I213" s="49" t="s">
        <v>49</v>
      </c>
      <c r="J213" s="49" t="s">
        <v>46</v>
      </c>
      <c r="K213" s="107" t="s">
        <v>71</v>
      </c>
      <c r="L213" s="49" t="s">
        <v>47</v>
      </c>
      <c r="M213" s="382" t="e">
        <f t="shared" si="30"/>
        <v>#N/A</v>
      </c>
      <c r="N213" s="57" t="s">
        <v>62</v>
      </c>
      <c r="O213" s="51">
        <v>21460009</v>
      </c>
      <c r="P213" s="30" t="str">
        <f>VLOOKUP(O213,[1]Feuil2!$A:$M,5,FALSE)</f>
        <v>CUILLERE TAPAS FUSEAU EN BOITE PEGBOARDABLE</v>
      </c>
      <c r="Q213" s="49">
        <v>1368</v>
      </c>
      <c r="R213" s="52">
        <v>0.33800000000000002</v>
      </c>
      <c r="S213" s="53">
        <f t="shared" si="31"/>
        <v>462.38400000000001</v>
      </c>
      <c r="T213" s="31">
        <f t="shared" si="32"/>
        <v>40301.824000000001</v>
      </c>
      <c r="U213" s="140"/>
      <c r="V213" s="32">
        <f t="shared" si="33"/>
        <v>40301.824000000001</v>
      </c>
      <c r="W213" s="33">
        <f>VLOOKUP(O213,[1]Feuil2!$A:$M,6,FALSE)</f>
        <v>72</v>
      </c>
      <c r="X213" s="34">
        <f>VLOOKUP(O213,[1]Feuil2!$A:$M,13,FALSE)</f>
        <v>8.7749999999999998E-3</v>
      </c>
      <c r="Y213" s="35">
        <f t="shared" si="34"/>
        <v>0.16672499999999998</v>
      </c>
      <c r="Z213" s="36">
        <f t="shared" si="35"/>
        <v>18.975457374999994</v>
      </c>
      <c r="AA213" s="235" t="s">
        <v>61</v>
      </c>
      <c r="AB213" s="55" t="s">
        <v>61</v>
      </c>
      <c r="AC213" s="49"/>
      <c r="AD213" s="235" t="s">
        <v>61</v>
      </c>
      <c r="AE213" s="48"/>
      <c r="AF213" s="55"/>
      <c r="AG213" s="55"/>
      <c r="AH213" s="57"/>
      <c r="AI213" s="182">
        <v>45777</v>
      </c>
      <c r="AJ213" s="137" t="s">
        <v>49</v>
      </c>
      <c r="AK213" s="56" t="e">
        <f>VLOOKUP(AP213,'[2]CONTENEUR PLEIN'!$F:$L,3,FALSE)</f>
        <v>#N/A</v>
      </c>
      <c r="AL213" s="37" t="e">
        <f>VLOOKUP(AP213,'[2]CONTENEUR PLEIN'!$F:$L,5,FALSE)</f>
        <v>#N/A</v>
      </c>
      <c r="AM213" s="38" t="e">
        <f>VLOOKUP(AP213,'[2]CONTENEUR PLEIN'!$F:$L,7,FALSE)</f>
        <v>#N/A</v>
      </c>
      <c r="AN213" s="49" t="s">
        <v>63</v>
      </c>
      <c r="AO213" s="49"/>
      <c r="AP213" s="49"/>
      <c r="AQ213" s="49"/>
      <c r="AR213" s="49" t="e">
        <f>VLOOKUP(AP213,'[2]CONTENEUR PLEIN'!$F:$L,2,FALSE)</f>
        <v>#N/A</v>
      </c>
      <c r="AS213" s="49"/>
      <c r="AT213" s="57"/>
    </row>
    <row r="214" spans="1:47" s="72" customFormat="1" ht="15" hidden="1" customHeight="1" x14ac:dyDescent="0.25">
      <c r="A214" s="71"/>
      <c r="B214" s="29" t="s">
        <v>45</v>
      </c>
      <c r="C214" s="48">
        <v>45621</v>
      </c>
      <c r="D214" s="49">
        <v>24099</v>
      </c>
      <c r="E214" s="50" t="s">
        <v>116</v>
      </c>
      <c r="F214" s="49">
        <v>2410091632</v>
      </c>
      <c r="G214" s="49" t="s">
        <v>64</v>
      </c>
      <c r="H214" s="49" t="s">
        <v>113</v>
      </c>
      <c r="I214" s="49" t="s">
        <v>49</v>
      </c>
      <c r="J214" s="49" t="s">
        <v>46</v>
      </c>
      <c r="K214" s="107" t="s">
        <v>71</v>
      </c>
      <c r="L214" s="49" t="s">
        <v>47</v>
      </c>
      <c r="M214" s="382" t="e">
        <f t="shared" si="30"/>
        <v>#VALUE!</v>
      </c>
      <c r="N214" s="57" t="s">
        <v>49</v>
      </c>
      <c r="O214" s="51">
        <v>21600002</v>
      </c>
      <c r="P214" s="30" t="str">
        <f>VLOOKUP(O214,[1]Feuil2!$A:$M,5,FALSE)</f>
        <v>COUTEAU ARABESQUE FINITION MIROIR VRAC+GENCOD</v>
      </c>
      <c r="Q214" s="49">
        <v>3480</v>
      </c>
      <c r="R214" s="52">
        <v>0</v>
      </c>
      <c r="S214" s="53">
        <f t="shared" si="31"/>
        <v>0</v>
      </c>
      <c r="T214" s="31">
        <f t="shared" si="32"/>
        <v>40301.824000000001</v>
      </c>
      <c r="U214" s="140"/>
      <c r="V214" s="32">
        <f t="shared" si="33"/>
        <v>40301.824000000001</v>
      </c>
      <c r="W214" s="33">
        <f>VLOOKUP(O214,[1]Feuil2!$A:$M,6,FALSE)</f>
        <v>120</v>
      </c>
      <c r="X214" s="34">
        <f>VLOOKUP(O214,[1]Feuil2!$A:$M,13,FALSE)</f>
        <v>1.0951874999999998E-2</v>
      </c>
      <c r="Y214" s="35">
        <f t="shared" si="34"/>
        <v>0.31760437499999994</v>
      </c>
      <c r="Z214" s="36">
        <f t="shared" si="35"/>
        <v>18.975457374999994</v>
      </c>
      <c r="AA214" s="235" t="s">
        <v>61</v>
      </c>
      <c r="AB214" s="235" t="s">
        <v>61</v>
      </c>
      <c r="AC214" s="49"/>
      <c r="AD214" s="235" t="s">
        <v>61</v>
      </c>
      <c r="AE214" s="48"/>
      <c r="AF214" s="55"/>
      <c r="AG214" s="55"/>
      <c r="AH214" s="57"/>
      <c r="AI214" s="136">
        <v>45777</v>
      </c>
      <c r="AJ214" s="137" t="s">
        <v>49</v>
      </c>
      <c r="AK214" s="56" t="s">
        <v>46</v>
      </c>
      <c r="AL214" s="37" t="s">
        <v>46</v>
      </c>
      <c r="AM214" s="37" t="s">
        <v>46</v>
      </c>
      <c r="AN214" s="49" t="s">
        <v>63</v>
      </c>
      <c r="AO214" s="37" t="s">
        <v>46</v>
      </c>
      <c r="AP214" s="37" t="s">
        <v>46</v>
      </c>
      <c r="AQ214" s="37" t="s">
        <v>46</v>
      </c>
      <c r="AR214" s="37" t="s">
        <v>46</v>
      </c>
      <c r="AS214" s="37" t="s">
        <v>46</v>
      </c>
      <c r="AT214" s="39" t="s">
        <v>46</v>
      </c>
      <c r="AU214" s="181"/>
    </row>
    <row r="215" spans="1:47" s="72" customFormat="1" ht="15" hidden="1" customHeight="1" x14ac:dyDescent="0.25">
      <c r="A215" s="71"/>
      <c r="B215" s="88" t="s">
        <v>45</v>
      </c>
      <c r="C215" s="89">
        <v>45621</v>
      </c>
      <c r="D215" s="90">
        <v>24099</v>
      </c>
      <c r="E215" s="91" t="s">
        <v>116</v>
      </c>
      <c r="F215" s="90">
        <v>2410091632</v>
      </c>
      <c r="G215" s="90" t="s">
        <v>64</v>
      </c>
      <c r="H215" s="90" t="s">
        <v>113</v>
      </c>
      <c r="I215" s="90" t="s">
        <v>49</v>
      </c>
      <c r="J215" s="90" t="s">
        <v>46</v>
      </c>
      <c r="K215" s="16" t="s">
        <v>862</v>
      </c>
      <c r="L215" s="89">
        <v>45995</v>
      </c>
      <c r="M215" s="381">
        <f t="shared" si="30"/>
        <v>13</v>
      </c>
      <c r="N215" s="98" t="s">
        <v>49</v>
      </c>
      <c r="O215" s="92">
        <v>21600004</v>
      </c>
      <c r="P215" s="24" t="str">
        <f>VLOOKUP(O215,[1]Feuil2!$A:$M,5,FALSE)</f>
        <v>CUILLERE ARABESQUE FINITION MIROIR VRAC+GENCOD</v>
      </c>
      <c r="Q215" s="90">
        <v>2880</v>
      </c>
      <c r="R215" s="93">
        <v>0.28499999999999998</v>
      </c>
      <c r="S215" s="94">
        <f t="shared" si="31"/>
        <v>820.8</v>
      </c>
      <c r="T215" s="95">
        <f t="shared" si="32"/>
        <v>40301.824000000001</v>
      </c>
      <c r="U215" s="138"/>
      <c r="V215" s="96">
        <f t="shared" si="33"/>
        <v>40301.824000000001</v>
      </c>
      <c r="W215" s="4">
        <f>VLOOKUP(O215,[1]Feuil2!$A:$M,6,FALSE)</f>
        <v>240</v>
      </c>
      <c r="X215" s="5">
        <f>VLOOKUP(O215,[1]Feuil2!$A:$M,13,FALSE)</f>
        <v>1.9507500000000001E-2</v>
      </c>
      <c r="Y215" s="6">
        <f t="shared" si="34"/>
        <v>0.23409000000000002</v>
      </c>
      <c r="Z215" s="97">
        <f t="shared" si="35"/>
        <v>18.975457374999994</v>
      </c>
      <c r="AA215" s="43" t="s">
        <v>57</v>
      </c>
      <c r="AB215" s="68" t="s">
        <v>48</v>
      </c>
      <c r="AC215" s="87" t="s">
        <v>55</v>
      </c>
      <c r="AD215" s="21" t="s">
        <v>57</v>
      </c>
      <c r="AE215" s="20">
        <v>45959</v>
      </c>
      <c r="AF215" s="21" t="s">
        <v>620</v>
      </c>
      <c r="AG215" s="21" t="s">
        <v>57</v>
      </c>
      <c r="AH215" s="503" t="s">
        <v>48</v>
      </c>
      <c r="AI215" s="160">
        <v>45777</v>
      </c>
      <c r="AJ215" s="145">
        <f>DATEDIF(AI215,$AK215,"D")</f>
        <v>207</v>
      </c>
      <c r="AK215" s="100">
        <f>VLOOKUP(AP215,'[2]CONTENEUR PLEIN'!$F:$L,3,FALSE)</f>
        <v>45984</v>
      </c>
      <c r="AL215" s="99">
        <f>VLOOKUP(AP215,'[2]CONTENEUR PLEIN'!$F:$L,5,FALSE)</f>
        <v>46030</v>
      </c>
      <c r="AM215" s="18">
        <f>VLOOKUP(AP215,'[2]CONTENEUR PLEIN'!$F:$L,7,FALSE)</f>
        <v>46036.333333333336</v>
      </c>
      <c r="AN215" s="90" t="s">
        <v>63</v>
      </c>
      <c r="AO215" s="351" t="s">
        <v>577</v>
      </c>
      <c r="AP215" s="351" t="s">
        <v>578</v>
      </c>
      <c r="AQ215" s="351" t="s">
        <v>581</v>
      </c>
      <c r="AR215" s="90" t="str">
        <f>VLOOKUP(AP215,'[2]CONTENEUR PLEIN'!$F:$L,2,FALSE)</f>
        <v>CMA CGM GRACE BAY</v>
      </c>
      <c r="AS215" s="351" t="s">
        <v>316</v>
      </c>
      <c r="AT215" s="98"/>
    </row>
    <row r="216" spans="1:47" s="72" customFormat="1" hidden="1" x14ac:dyDescent="0.25">
      <c r="A216" s="71"/>
      <c r="B216" s="232" t="s">
        <v>45</v>
      </c>
      <c r="C216" s="194">
        <v>45621</v>
      </c>
      <c r="D216" s="191">
        <v>24099</v>
      </c>
      <c r="E216" s="195" t="s">
        <v>116</v>
      </c>
      <c r="F216" s="191">
        <v>2410091632</v>
      </c>
      <c r="G216" s="191" t="s">
        <v>64</v>
      </c>
      <c r="H216" s="191" t="s">
        <v>113</v>
      </c>
      <c r="I216" s="191" t="s">
        <v>49</v>
      </c>
      <c r="J216" s="191" t="s">
        <v>46</v>
      </c>
      <c r="K216" s="16" t="s">
        <v>594</v>
      </c>
      <c r="L216" s="89">
        <v>45926</v>
      </c>
      <c r="M216" s="381">
        <f t="shared" si="30"/>
        <v>11</v>
      </c>
      <c r="N216" s="98" t="s">
        <v>49</v>
      </c>
      <c r="O216" s="92">
        <v>21600005</v>
      </c>
      <c r="P216" s="24" t="str">
        <f>VLOOKUP(O216,[1]Feuil2!$A:$M,5,FALSE)</f>
        <v>CAFE ARABESQUE FINITION MIROIR VRAC+GENCOD</v>
      </c>
      <c r="Q216" s="90">
        <v>9600</v>
      </c>
      <c r="R216" s="93">
        <v>0.23699999999999999</v>
      </c>
      <c r="S216" s="94">
        <f t="shared" si="31"/>
        <v>2275.1999999999998</v>
      </c>
      <c r="T216" s="95">
        <f t="shared" si="32"/>
        <v>40301.824000000001</v>
      </c>
      <c r="U216" s="138"/>
      <c r="V216" s="96">
        <f t="shared" si="33"/>
        <v>40301.824000000001</v>
      </c>
      <c r="W216" s="4">
        <f>VLOOKUP(O216,[1]Feuil2!$A:$M,6,FALSE)</f>
        <v>240</v>
      </c>
      <c r="X216" s="5">
        <f>VLOOKUP(O216,[1]Feuil2!$A:$M,13,FALSE)</f>
        <v>1.9507500000000001E-2</v>
      </c>
      <c r="Y216" s="6">
        <f t="shared" si="34"/>
        <v>0.78029999999999999</v>
      </c>
      <c r="Z216" s="97">
        <f t="shared" si="35"/>
        <v>18.975457374999994</v>
      </c>
      <c r="AA216" s="69" t="s">
        <v>57</v>
      </c>
      <c r="AB216" s="167" t="s">
        <v>61</v>
      </c>
      <c r="AC216" s="87" t="s">
        <v>55</v>
      </c>
      <c r="AD216" s="43" t="s">
        <v>57</v>
      </c>
      <c r="AE216" s="20">
        <v>45890</v>
      </c>
      <c r="AF216" s="21" t="s">
        <v>413</v>
      </c>
      <c r="AG216" s="21"/>
      <c r="AH216" s="98"/>
      <c r="AI216" s="160">
        <v>45777</v>
      </c>
      <c r="AJ216" s="145">
        <f>DATEDIF(AI216,AK216,"D")</f>
        <v>136</v>
      </c>
      <c r="AK216" s="100">
        <f>VLOOKUP(AP216,'[3]CONTENEUR PLEIN'!$F:$L,3,FALSE)</f>
        <v>45913</v>
      </c>
      <c r="AL216" s="99">
        <f>VLOOKUP(AP216,'[3]CONTENEUR PLEIN'!$F:$L,5,FALSE)</f>
        <v>45971</v>
      </c>
      <c r="AM216" s="18">
        <f>VLOOKUP(AP216,'[3]CONTENEUR PLEIN'!$F:$L,7,FALSE)</f>
        <v>45979.53125</v>
      </c>
      <c r="AN216" s="90" t="s">
        <v>63</v>
      </c>
      <c r="AO216" s="191" t="s">
        <v>428</v>
      </c>
      <c r="AP216" s="191" t="s">
        <v>429</v>
      </c>
      <c r="AQ216" s="90">
        <v>2410091632</v>
      </c>
      <c r="AR216" s="191" t="e">
        <f>VLOOKUP(AP216,'[2]CONTENEUR PLEIN'!$F:$L,2,FALSE)</f>
        <v>#N/A</v>
      </c>
      <c r="AS216" s="191" t="s">
        <v>316</v>
      </c>
      <c r="AT216" s="98"/>
      <c r="AU216" s="181"/>
    </row>
    <row r="217" spans="1:47" s="72" customFormat="1" hidden="1" x14ac:dyDescent="0.25">
      <c r="A217" s="71"/>
      <c r="B217" s="88" t="s">
        <v>45</v>
      </c>
      <c r="C217" s="89">
        <v>45621</v>
      </c>
      <c r="D217" s="90">
        <v>24099</v>
      </c>
      <c r="E217" s="91" t="s">
        <v>116</v>
      </c>
      <c r="F217" s="90">
        <v>2410091632</v>
      </c>
      <c r="G217" s="90" t="s">
        <v>64</v>
      </c>
      <c r="H217" s="90" t="s">
        <v>113</v>
      </c>
      <c r="I217" s="90" t="s">
        <v>49</v>
      </c>
      <c r="J217" s="90" t="s">
        <v>46</v>
      </c>
      <c r="K217" s="16" t="s">
        <v>862</v>
      </c>
      <c r="L217" s="89">
        <v>45995</v>
      </c>
      <c r="M217" s="381">
        <f t="shared" si="30"/>
        <v>13</v>
      </c>
      <c r="N217" s="98" t="s">
        <v>49</v>
      </c>
      <c r="O217" s="92">
        <v>21870003</v>
      </c>
      <c r="P217" s="24" t="str">
        <f>VLOOKUP(O217,[1]Feuil2!$A:$M,5,FALSE)</f>
        <v>CUILLERE BUFFET EN BOITE BLANCHE</v>
      </c>
      <c r="Q217" s="90">
        <v>4752</v>
      </c>
      <c r="R217" s="93">
        <v>9.0999999999999998E-2</v>
      </c>
      <c r="S217" s="94">
        <f t="shared" si="31"/>
        <v>432.43200000000002</v>
      </c>
      <c r="T217" s="95">
        <f t="shared" si="32"/>
        <v>40301.824000000001</v>
      </c>
      <c r="U217" s="138"/>
      <c r="V217" s="96">
        <f t="shared" si="33"/>
        <v>40301.824000000001</v>
      </c>
      <c r="W217" s="4">
        <f>VLOOKUP(O217,[1]Feuil2!$A:$M,6,FALSE)</f>
        <v>72</v>
      </c>
      <c r="X217" s="5">
        <f>VLOOKUP(O217,[1]Feuil2!$A:$M,13,FALSE)</f>
        <v>3.2999999999999995E-3</v>
      </c>
      <c r="Y217" s="6">
        <f t="shared" si="34"/>
        <v>0.21779999999999997</v>
      </c>
      <c r="Z217" s="97">
        <f t="shared" si="35"/>
        <v>18.975457374999994</v>
      </c>
      <c r="AA217" s="43" t="s">
        <v>57</v>
      </c>
      <c r="AB217" s="68" t="s">
        <v>48</v>
      </c>
      <c r="AC217" s="87" t="s">
        <v>55</v>
      </c>
      <c r="AD217" s="69" t="s">
        <v>57</v>
      </c>
      <c r="AE217" s="20">
        <v>45950</v>
      </c>
      <c r="AF217" s="47" t="s">
        <v>554</v>
      </c>
      <c r="AG217" s="21"/>
      <c r="AH217" s="98"/>
      <c r="AI217" s="160">
        <v>45777</v>
      </c>
      <c r="AJ217" s="145">
        <f>DATEDIF(AI217,$AK217,"D")</f>
        <v>207</v>
      </c>
      <c r="AK217" s="100">
        <f>VLOOKUP(AP217,'[2]CONTENEUR PLEIN'!$F:$L,3,FALSE)</f>
        <v>45984</v>
      </c>
      <c r="AL217" s="99">
        <f>VLOOKUP(AP217,'[2]CONTENEUR PLEIN'!$F:$L,5,FALSE)</f>
        <v>46030</v>
      </c>
      <c r="AM217" s="18">
        <f>VLOOKUP(AP217,'[2]CONTENEUR PLEIN'!$F:$L,7,FALSE)</f>
        <v>46036.333333333336</v>
      </c>
      <c r="AN217" s="90" t="s">
        <v>63</v>
      </c>
      <c r="AO217" s="351" t="s">
        <v>577</v>
      </c>
      <c r="AP217" s="351" t="s">
        <v>578</v>
      </c>
      <c r="AQ217" s="351" t="s">
        <v>581</v>
      </c>
      <c r="AR217" s="90" t="str">
        <f>VLOOKUP(AP217,'[2]CONTENEUR PLEIN'!$F:$L,2,FALSE)</f>
        <v>CMA CGM GRACE BAY</v>
      </c>
      <c r="AS217" s="351" t="s">
        <v>316</v>
      </c>
      <c r="AT217" s="98"/>
    </row>
    <row r="218" spans="1:47" s="72" customFormat="1" hidden="1" x14ac:dyDescent="0.25">
      <c r="A218" s="71"/>
      <c r="B218" s="148" t="s">
        <v>45</v>
      </c>
      <c r="C218" s="146">
        <v>45621</v>
      </c>
      <c r="D218" s="147">
        <v>24099</v>
      </c>
      <c r="E218" s="149" t="s">
        <v>116</v>
      </c>
      <c r="F218" s="147">
        <v>2410091632</v>
      </c>
      <c r="G218" s="147" t="s">
        <v>64</v>
      </c>
      <c r="H218" s="147" t="s">
        <v>113</v>
      </c>
      <c r="I218" s="147" t="s">
        <v>49</v>
      </c>
      <c r="J218" s="147" t="s">
        <v>46</v>
      </c>
      <c r="K218" s="329" t="s">
        <v>68</v>
      </c>
      <c r="L218" s="89">
        <v>46048</v>
      </c>
      <c r="M218" s="379">
        <f t="shared" si="30"/>
        <v>15</v>
      </c>
      <c r="N218" s="77" t="s">
        <v>49</v>
      </c>
      <c r="O218" s="78">
        <v>21870003</v>
      </c>
      <c r="P218" s="42" t="str">
        <f>VLOOKUP(O218,[1]Feuil2!$A:$M,5,FALSE)</f>
        <v>CUILLERE BUFFET EN BOITE BLANCHE</v>
      </c>
      <c r="Q218" s="75">
        <f>6264-4752</f>
        <v>1512</v>
      </c>
      <c r="R218" s="79">
        <v>9.0999999999999998E-2</v>
      </c>
      <c r="S218" s="80">
        <f t="shared" si="31"/>
        <v>137.59199999999998</v>
      </c>
      <c r="T218" s="81">
        <f t="shared" si="32"/>
        <v>40301.824000000001</v>
      </c>
      <c r="U218" s="139"/>
      <c r="V218" s="82">
        <f t="shared" si="33"/>
        <v>40301.824000000001</v>
      </c>
      <c r="W218" s="9">
        <f>VLOOKUP(O218,[1]Feuil2!$A:$M,6,FALSE)</f>
        <v>72</v>
      </c>
      <c r="X218" s="10">
        <f>VLOOKUP(O218,[1]Feuil2!$A:$M,13,FALSE)</f>
        <v>3.2999999999999995E-3</v>
      </c>
      <c r="Y218" s="11">
        <f t="shared" si="34"/>
        <v>6.9299999999999987E-2</v>
      </c>
      <c r="Z218" s="83">
        <f t="shared" si="35"/>
        <v>18.975457374999994</v>
      </c>
      <c r="AA218" s="41" t="s">
        <v>57</v>
      </c>
      <c r="AB218" s="27" t="s">
        <v>48</v>
      </c>
      <c r="AC218" s="87" t="s">
        <v>55</v>
      </c>
      <c r="AD218" s="13" t="s">
        <v>57</v>
      </c>
      <c r="AE218" s="14">
        <v>45950</v>
      </c>
      <c r="AF218" s="263" t="s">
        <v>554</v>
      </c>
      <c r="AG218" s="13"/>
      <c r="AH218" s="84"/>
      <c r="AI218" s="328">
        <v>45777</v>
      </c>
      <c r="AJ218" s="144">
        <f>DATEDIF(AI218,$AK218,"D")</f>
        <v>249</v>
      </c>
      <c r="AK218" s="85">
        <f>VLOOKUP(AP218,'[2]CONTENEUR PLEIN'!$F:$L,3,FALSE)</f>
        <v>46026</v>
      </c>
      <c r="AL218" s="86">
        <f>VLOOKUP(AP218,'[2]CONTENEUR PLEIN'!$F:$L,5,FALSE)</f>
        <v>46081</v>
      </c>
      <c r="AM218" s="18">
        <f>VLOOKUP(AP218,'[2]CONTENEUR PLEIN'!$F:$L,7,FALSE)</f>
        <v>46099.333333333336</v>
      </c>
      <c r="AN218" s="75" t="s">
        <v>63</v>
      </c>
      <c r="AO218" s="325" t="s">
        <v>795</v>
      </c>
      <c r="AP218" s="325" t="s">
        <v>796</v>
      </c>
      <c r="AQ218" s="75">
        <v>2410091632</v>
      </c>
      <c r="AR218" s="75" t="str">
        <f>VLOOKUP(AP218,'[2]CONTENEUR PLEIN'!$F:$L,2,FALSE)</f>
        <v>ZEPHYR LUMOS</v>
      </c>
      <c r="AS218" s="325" t="s">
        <v>316</v>
      </c>
      <c r="AT218" s="84"/>
    </row>
    <row r="219" spans="1:47" s="72" customFormat="1" hidden="1" x14ac:dyDescent="0.25">
      <c r="A219" s="71"/>
      <c r="B219" s="232" t="s">
        <v>45</v>
      </c>
      <c r="C219" s="194">
        <v>45621</v>
      </c>
      <c r="D219" s="191">
        <v>24099</v>
      </c>
      <c r="E219" s="195" t="s">
        <v>116</v>
      </c>
      <c r="F219" s="191">
        <v>2410091632</v>
      </c>
      <c r="G219" s="191" t="s">
        <v>64</v>
      </c>
      <c r="H219" s="191" t="s">
        <v>113</v>
      </c>
      <c r="I219" s="191" t="s">
        <v>49</v>
      </c>
      <c r="J219" s="191" t="s">
        <v>46</v>
      </c>
      <c r="K219" s="16" t="s">
        <v>594</v>
      </c>
      <c r="L219" s="89">
        <v>45926</v>
      </c>
      <c r="M219" s="381">
        <f t="shared" si="30"/>
        <v>11</v>
      </c>
      <c r="N219" s="98" t="s">
        <v>49</v>
      </c>
      <c r="O219" s="92">
        <v>22150003</v>
      </c>
      <c r="P219" s="24" t="str">
        <f>VLOOKUP(O219,[1]Feuil2!$A:$M,5,FALSE)</f>
        <v>FOURCHETTE DOTS CARREFOUR HOME</v>
      </c>
      <c r="Q219" s="90">
        <f>8280-2160</f>
        <v>6120</v>
      </c>
      <c r="R219" s="93">
        <v>0.23300000000000001</v>
      </c>
      <c r="S219" s="94">
        <f t="shared" si="31"/>
        <v>1425.96</v>
      </c>
      <c r="T219" s="95">
        <f t="shared" si="32"/>
        <v>40301.824000000001</v>
      </c>
      <c r="U219" s="138"/>
      <c r="V219" s="96">
        <f t="shared" si="33"/>
        <v>40301.824000000001</v>
      </c>
      <c r="W219" s="4">
        <f>VLOOKUP(O219,[1]Feuil2!$A:$M,6,FALSE)</f>
        <v>120</v>
      </c>
      <c r="X219" s="5">
        <f>VLOOKUP(O219,[1]Feuil2!$A:$M,13,FALSE)</f>
        <v>7.3320000000000008E-3</v>
      </c>
      <c r="Y219" s="6">
        <f t="shared" si="34"/>
        <v>0.37393200000000004</v>
      </c>
      <c r="Z219" s="97">
        <f t="shared" si="35"/>
        <v>18.975457374999994</v>
      </c>
      <c r="AA219" s="69" t="s">
        <v>57</v>
      </c>
      <c r="AB219" s="21" t="s">
        <v>57</v>
      </c>
      <c r="AC219" s="90" t="s">
        <v>55</v>
      </c>
      <c r="AD219" s="21" t="s">
        <v>57</v>
      </c>
      <c r="AE219" s="20">
        <v>45874</v>
      </c>
      <c r="AF219" s="47" t="s">
        <v>378</v>
      </c>
      <c r="AG219" s="21"/>
      <c r="AH219" s="98"/>
      <c r="AI219" s="160">
        <v>45777</v>
      </c>
      <c r="AJ219" s="145">
        <f>DATEDIF(AI219,AK219,"D")</f>
        <v>136</v>
      </c>
      <c r="AK219" s="100">
        <f>VLOOKUP(AP219,'[3]CONTENEUR PLEIN'!$F:$L,3,FALSE)</f>
        <v>45913</v>
      </c>
      <c r="AL219" s="99">
        <f>VLOOKUP(AP219,'[3]CONTENEUR PLEIN'!$F:$L,5,FALSE)</f>
        <v>45971</v>
      </c>
      <c r="AM219" s="18">
        <f>VLOOKUP(AP219,'[3]CONTENEUR PLEIN'!$F:$L,7,FALSE)</f>
        <v>45979.53125</v>
      </c>
      <c r="AN219" s="90" t="s">
        <v>63</v>
      </c>
      <c r="AO219" s="191" t="s">
        <v>428</v>
      </c>
      <c r="AP219" s="191" t="s">
        <v>429</v>
      </c>
      <c r="AQ219" s="90">
        <v>2410091632</v>
      </c>
      <c r="AR219" s="191" t="e">
        <f>VLOOKUP(AP219,'[2]CONTENEUR PLEIN'!$F:$L,2,FALSE)</f>
        <v>#N/A</v>
      </c>
      <c r="AS219" s="191" t="s">
        <v>316</v>
      </c>
      <c r="AT219" s="98"/>
      <c r="AU219" s="241"/>
    </row>
    <row r="220" spans="1:47" s="72" customFormat="1" hidden="1" x14ac:dyDescent="0.25">
      <c r="A220" s="197"/>
      <c r="B220" s="232" t="s">
        <v>45</v>
      </c>
      <c r="C220" s="194">
        <v>45621</v>
      </c>
      <c r="D220" s="191">
        <v>24099</v>
      </c>
      <c r="E220" s="195" t="s">
        <v>116</v>
      </c>
      <c r="F220" s="191">
        <v>2410091632</v>
      </c>
      <c r="G220" s="191" t="s">
        <v>64</v>
      </c>
      <c r="H220" s="191" t="s">
        <v>113</v>
      </c>
      <c r="I220" s="191" t="s">
        <v>49</v>
      </c>
      <c r="J220" s="191" t="s">
        <v>46</v>
      </c>
      <c r="K220" s="16" t="s">
        <v>449</v>
      </c>
      <c r="L220" s="194">
        <v>45870</v>
      </c>
      <c r="M220" s="381">
        <f t="shared" si="30"/>
        <v>9</v>
      </c>
      <c r="N220" s="209" t="s">
        <v>49</v>
      </c>
      <c r="O220" s="223">
        <v>22150003</v>
      </c>
      <c r="P220" s="24" t="str">
        <f>VLOOKUP(O220,[1]Feuil2!$A:$M,5,FALSE)</f>
        <v>FOURCHETTE DOTS CARREFOUR HOME</v>
      </c>
      <c r="Q220" s="191">
        <v>2160</v>
      </c>
      <c r="R220" s="224">
        <v>0.23300000000000001</v>
      </c>
      <c r="S220" s="225">
        <f t="shared" si="31"/>
        <v>503.28000000000003</v>
      </c>
      <c r="T220" s="226">
        <f t="shared" si="32"/>
        <v>40301.824000000001</v>
      </c>
      <c r="U220" s="227"/>
      <c r="V220" s="228">
        <f t="shared" si="33"/>
        <v>40301.824000000001</v>
      </c>
      <c r="W220" s="4">
        <f>VLOOKUP(O220,[1]Feuil2!$A:$M,6,FALSE)</f>
        <v>120</v>
      </c>
      <c r="X220" s="5">
        <f>VLOOKUP(O220,[1]Feuil2!$A:$M,13,FALSE)</f>
        <v>7.3320000000000008E-3</v>
      </c>
      <c r="Y220" s="6">
        <f t="shared" si="34"/>
        <v>0.13197600000000001</v>
      </c>
      <c r="Z220" s="229">
        <f t="shared" si="35"/>
        <v>18.975457374999994</v>
      </c>
      <c r="AA220" s="69" t="s">
        <v>57</v>
      </c>
      <c r="AB220" s="21" t="s">
        <v>57</v>
      </c>
      <c r="AC220" s="191" t="s">
        <v>55</v>
      </c>
      <c r="AD220" s="21" t="s">
        <v>57</v>
      </c>
      <c r="AE220" s="20">
        <v>45826</v>
      </c>
      <c r="AF220" s="21" t="s">
        <v>320</v>
      </c>
      <c r="AG220" s="21"/>
      <c r="AH220" s="191"/>
      <c r="AI220" s="160">
        <v>45777</v>
      </c>
      <c r="AJ220" s="145">
        <f>DATEDIF(AI220,$AK220,"D")</f>
        <v>95</v>
      </c>
      <c r="AK220" s="100">
        <f>VLOOKUP(AP220,'[3]CONTENEUR PLEIN'!$F:$L,3,FALSE)</f>
        <v>45872</v>
      </c>
      <c r="AL220" s="99">
        <f>VLOOKUP(AP220,'[3]CONTENEUR PLEIN'!$F:$L,5,FALSE)</f>
        <v>45907</v>
      </c>
      <c r="AM220" s="18">
        <f>VLOOKUP(AP220,'[3]CONTENEUR PLEIN'!$F:$L,7,FALSE)</f>
        <v>45918.53125</v>
      </c>
      <c r="AN220" s="223" t="s">
        <v>63</v>
      </c>
      <c r="AO220" s="223" t="s">
        <v>371</v>
      </c>
      <c r="AP220" s="223" t="s">
        <v>372</v>
      </c>
      <c r="AQ220" s="191" t="s">
        <v>375</v>
      </c>
      <c r="AR220" s="191" t="e">
        <f>VLOOKUP(AP220,'[2]CONTENEUR PLEIN'!$F:$L,2,FALSE)</f>
        <v>#N/A</v>
      </c>
      <c r="AS220" s="191" t="s">
        <v>316</v>
      </c>
      <c r="AT220" s="209"/>
    </row>
    <row r="221" spans="1:47" s="72" customFormat="1" hidden="1" x14ac:dyDescent="0.25">
      <c r="A221" s="71"/>
      <c r="B221" s="232" t="s">
        <v>45</v>
      </c>
      <c r="C221" s="194">
        <v>45621</v>
      </c>
      <c r="D221" s="191">
        <v>24099</v>
      </c>
      <c r="E221" s="195" t="s">
        <v>116</v>
      </c>
      <c r="F221" s="191">
        <v>2410091632</v>
      </c>
      <c r="G221" s="191" t="s">
        <v>64</v>
      </c>
      <c r="H221" s="191" t="s">
        <v>113</v>
      </c>
      <c r="I221" s="191" t="s">
        <v>49</v>
      </c>
      <c r="J221" s="191" t="s">
        <v>46</v>
      </c>
      <c r="K221" s="16" t="s">
        <v>594</v>
      </c>
      <c r="L221" s="89">
        <v>45926</v>
      </c>
      <c r="M221" s="381">
        <f t="shared" si="30"/>
        <v>11</v>
      </c>
      <c r="N221" s="98" t="s">
        <v>49</v>
      </c>
      <c r="O221" s="92">
        <v>22150004</v>
      </c>
      <c r="P221" s="24" t="str">
        <f>VLOOKUP(O221,[1]Feuil2!$A:$M,5,FALSE)</f>
        <v>CUILLERE DOTS CARREFOUR HOME</v>
      </c>
      <c r="Q221" s="90">
        <v>4560</v>
      </c>
      <c r="R221" s="93">
        <v>0.23300000000000001</v>
      </c>
      <c r="S221" s="94">
        <f t="shared" si="31"/>
        <v>1062.48</v>
      </c>
      <c r="T221" s="226">
        <f t="shared" si="32"/>
        <v>40301.824000000001</v>
      </c>
      <c r="U221" s="138"/>
      <c r="V221" s="96">
        <f t="shared" si="33"/>
        <v>40301.824000000001</v>
      </c>
      <c r="W221" s="4">
        <f>VLOOKUP(O221,[1]Feuil2!$A:$M,6,FALSE)</f>
        <v>120</v>
      </c>
      <c r="X221" s="5">
        <f>VLOOKUP(O221,[1]Feuil2!$A:$M,13,FALSE)</f>
        <v>7.3320000000000008E-3</v>
      </c>
      <c r="Y221" s="6">
        <f t="shared" si="34"/>
        <v>0.27861600000000003</v>
      </c>
      <c r="Z221" s="97">
        <f t="shared" si="35"/>
        <v>18.975457374999994</v>
      </c>
      <c r="AA221" s="23" t="s">
        <v>48</v>
      </c>
      <c r="AB221" s="21" t="s">
        <v>57</v>
      </c>
      <c r="AC221" s="191" t="s">
        <v>55</v>
      </c>
      <c r="AD221" s="21" t="s">
        <v>57</v>
      </c>
      <c r="AE221" s="20">
        <v>45860</v>
      </c>
      <c r="AF221" s="21" t="s">
        <v>364</v>
      </c>
      <c r="AG221" s="21"/>
      <c r="AH221" s="98"/>
      <c r="AI221" s="160">
        <v>45777</v>
      </c>
      <c r="AJ221" s="145">
        <f>DATEDIF(AI221,AK221,"D")</f>
        <v>136</v>
      </c>
      <c r="AK221" s="100">
        <f>VLOOKUP(AP221,'[3]CONTENEUR PLEIN'!$F:$L,3,FALSE)</f>
        <v>45913</v>
      </c>
      <c r="AL221" s="99">
        <f>VLOOKUP(AP221,'[3]CONTENEUR PLEIN'!$F:$L,5,FALSE)</f>
        <v>45971</v>
      </c>
      <c r="AM221" s="18">
        <f>VLOOKUP(AP221,'[3]CONTENEUR PLEIN'!$F:$L,7,FALSE)</f>
        <v>45979.53125</v>
      </c>
      <c r="AN221" s="92" t="s">
        <v>63</v>
      </c>
      <c r="AO221" s="191" t="s">
        <v>428</v>
      </c>
      <c r="AP221" s="191" t="s">
        <v>429</v>
      </c>
      <c r="AQ221" s="90">
        <v>2410091632</v>
      </c>
      <c r="AR221" s="191" t="e">
        <f>VLOOKUP(AP221,'[2]CONTENEUR PLEIN'!$F:$L,2,FALSE)</f>
        <v>#N/A</v>
      </c>
      <c r="AS221" s="191" t="s">
        <v>316</v>
      </c>
      <c r="AT221" s="98"/>
      <c r="AU221" s="241"/>
    </row>
    <row r="222" spans="1:47" s="72" customFormat="1" hidden="1" x14ac:dyDescent="0.25">
      <c r="A222" s="71"/>
      <c r="B222" s="232" t="s">
        <v>45</v>
      </c>
      <c r="C222" s="194">
        <v>45621</v>
      </c>
      <c r="D222" s="191">
        <v>24099</v>
      </c>
      <c r="E222" s="195" t="s">
        <v>116</v>
      </c>
      <c r="F222" s="191">
        <v>2410091632</v>
      </c>
      <c r="G222" s="191" t="s">
        <v>64</v>
      </c>
      <c r="H222" s="191" t="s">
        <v>113</v>
      </c>
      <c r="I222" s="191" t="s">
        <v>49</v>
      </c>
      <c r="J222" s="191" t="s">
        <v>46</v>
      </c>
      <c r="K222" s="16" t="s">
        <v>594</v>
      </c>
      <c r="L222" s="238">
        <v>45926</v>
      </c>
      <c r="M222" s="381">
        <f t="shared" si="30"/>
        <v>11</v>
      </c>
      <c r="N222" s="98" t="s">
        <v>49</v>
      </c>
      <c r="O222" s="92">
        <v>22150005</v>
      </c>
      <c r="P222" s="24" t="str">
        <f>VLOOKUP(O222,[1]Feuil2!$A:$M,5,FALSE)</f>
        <v>CAFE DOTS CARREFOUR HOME</v>
      </c>
      <c r="Q222" s="90">
        <v>7920</v>
      </c>
      <c r="R222" s="93">
        <v>0.183</v>
      </c>
      <c r="S222" s="94">
        <f t="shared" si="31"/>
        <v>1449.36</v>
      </c>
      <c r="T222" s="95">
        <f t="shared" si="32"/>
        <v>40301.824000000001</v>
      </c>
      <c r="U222" s="138"/>
      <c r="V222" s="96">
        <f t="shared" si="33"/>
        <v>40301.824000000001</v>
      </c>
      <c r="W222" s="4">
        <f>VLOOKUP(O222,[1]Feuil2!$A:$M,6,FALSE)</f>
        <v>120</v>
      </c>
      <c r="X222" s="5">
        <f>VLOOKUP(O222,[1]Feuil2!$A:$M,13,FALSE)</f>
        <v>4.6800000000000001E-3</v>
      </c>
      <c r="Y222" s="6">
        <f t="shared" si="34"/>
        <v>0.30887999999999999</v>
      </c>
      <c r="Z222" s="97">
        <f t="shared" si="35"/>
        <v>18.975457374999994</v>
      </c>
      <c r="AA222" s="69" t="s">
        <v>57</v>
      </c>
      <c r="AB222" s="67" t="s">
        <v>48</v>
      </c>
      <c r="AC222" s="191" t="s">
        <v>55</v>
      </c>
      <c r="AD222" s="21" t="s">
        <v>57</v>
      </c>
      <c r="AE222" s="20">
        <v>45882</v>
      </c>
      <c r="AF222" s="21" t="s">
        <v>392</v>
      </c>
      <c r="AG222" s="21"/>
      <c r="AH222" s="98"/>
      <c r="AI222" s="160">
        <v>45777</v>
      </c>
      <c r="AJ222" s="145">
        <f>DATEDIF(AI222,AK222,"D")</f>
        <v>136</v>
      </c>
      <c r="AK222" s="100">
        <f>VLOOKUP(AP222,'[3]CONTENEUR PLEIN'!$F:$L,3,FALSE)</f>
        <v>45913</v>
      </c>
      <c r="AL222" s="99">
        <f>VLOOKUP(AP222,'[3]CONTENEUR PLEIN'!$F:$L,5,FALSE)</f>
        <v>45971</v>
      </c>
      <c r="AM222" s="18">
        <f>VLOOKUP(AP222,'[3]CONTENEUR PLEIN'!$F:$L,7,FALSE)</f>
        <v>45979.53125</v>
      </c>
      <c r="AN222" s="92" t="s">
        <v>63</v>
      </c>
      <c r="AO222" s="223" t="s">
        <v>428</v>
      </c>
      <c r="AP222" s="223" t="s">
        <v>429</v>
      </c>
      <c r="AQ222" s="90">
        <v>2410091632</v>
      </c>
      <c r="AR222" s="223" t="e">
        <f>VLOOKUP(AP222,'[2]CONTENEUR PLEIN'!$F:$L,2,FALSE)</f>
        <v>#N/A</v>
      </c>
      <c r="AS222" s="223" t="s">
        <v>316</v>
      </c>
      <c r="AT222" s="92"/>
      <c r="AU222" s="241"/>
    </row>
    <row r="223" spans="1:47" s="72" customFormat="1" hidden="1" x14ac:dyDescent="0.25">
      <c r="A223" s="71"/>
      <c r="B223" s="29" t="s">
        <v>45</v>
      </c>
      <c r="C223" s="48">
        <v>45621</v>
      </c>
      <c r="D223" s="49">
        <v>24099</v>
      </c>
      <c r="E223" s="50" t="s">
        <v>116</v>
      </c>
      <c r="F223" s="49">
        <v>2410091632</v>
      </c>
      <c r="G223" s="49" t="s">
        <v>64</v>
      </c>
      <c r="H223" s="49" t="s">
        <v>113</v>
      </c>
      <c r="I223" s="49" t="s">
        <v>49</v>
      </c>
      <c r="J223" s="49" t="s">
        <v>46</v>
      </c>
      <c r="K223" s="107" t="s">
        <v>71</v>
      </c>
      <c r="L223" s="49" t="s">
        <v>47</v>
      </c>
      <c r="M223" s="382" t="e">
        <f t="shared" si="30"/>
        <v>#N/A</v>
      </c>
      <c r="N223" s="57" t="s">
        <v>62</v>
      </c>
      <c r="O223" s="51">
        <v>41460001</v>
      </c>
      <c r="P223" s="30" t="str">
        <f>VLOOKUP(O223,[1]Feuil2!$A:$M,5,FALSE)</f>
        <v>TARTINEUR TAPAS FUSEAU EN BOITE PEGBOARDABLE</v>
      </c>
      <c r="Q223" s="49">
        <v>3096</v>
      </c>
      <c r="R223" s="52">
        <v>0.193</v>
      </c>
      <c r="S223" s="53">
        <f t="shared" si="31"/>
        <v>597.52800000000002</v>
      </c>
      <c r="T223" s="31">
        <f t="shared" si="32"/>
        <v>40301.824000000001</v>
      </c>
      <c r="U223" s="140"/>
      <c r="V223" s="32">
        <f t="shared" si="33"/>
        <v>40301.824000000001</v>
      </c>
      <c r="W223" s="33">
        <f>VLOOKUP(O223,[1]Feuil2!$A:$M,6,FALSE)</f>
        <v>72</v>
      </c>
      <c r="X223" s="34">
        <f>VLOOKUP(O223,[1]Feuil2!$A:$M,13,FALSE)</f>
        <v>8.5800000000000008E-3</v>
      </c>
      <c r="Y223" s="35">
        <f t="shared" si="34"/>
        <v>0.36894000000000005</v>
      </c>
      <c r="Z223" s="36">
        <f t="shared" si="35"/>
        <v>18.975457374999994</v>
      </c>
      <c r="AA223" s="235" t="s">
        <v>57</v>
      </c>
      <c r="AB223" s="55" t="s">
        <v>57</v>
      </c>
      <c r="AC223" s="49"/>
      <c r="AD223" s="55" t="s">
        <v>61</v>
      </c>
      <c r="AE223" s="48"/>
      <c r="AF223" s="55"/>
      <c r="AG223" s="55"/>
      <c r="AH223" s="49"/>
      <c r="AI223" s="182">
        <v>45777</v>
      </c>
      <c r="AJ223" s="137" t="s">
        <v>49</v>
      </c>
      <c r="AK223" s="56" t="e">
        <f>VLOOKUP(AP223,'[2]CONTENEUR PLEIN'!$F:$L,3,FALSE)</f>
        <v>#N/A</v>
      </c>
      <c r="AL223" s="37" t="e">
        <f>VLOOKUP(AP223,'[2]CONTENEUR PLEIN'!$F:$L,5,FALSE)</f>
        <v>#N/A</v>
      </c>
      <c r="AM223" s="38" t="e">
        <f>VLOOKUP(AP223,'[2]CONTENEUR PLEIN'!$F:$L,7,FALSE)</f>
        <v>#N/A</v>
      </c>
      <c r="AN223" s="51" t="s">
        <v>63</v>
      </c>
      <c r="AO223" s="51"/>
      <c r="AP223" s="51"/>
      <c r="AQ223" s="51"/>
      <c r="AR223" s="51" t="e">
        <f>VLOOKUP(AP223,'[2]CONTENEUR PLEIN'!$F:$L,2,FALSE)</f>
        <v>#N/A</v>
      </c>
      <c r="AS223" s="51"/>
      <c r="AT223" s="57"/>
    </row>
    <row r="224" spans="1:47" s="72" customFormat="1" hidden="1" x14ac:dyDescent="0.25">
      <c r="A224" s="71"/>
      <c r="B224" s="88" t="s">
        <v>45</v>
      </c>
      <c r="C224" s="89">
        <v>45621</v>
      </c>
      <c r="D224" s="90">
        <v>24099</v>
      </c>
      <c r="E224" s="91" t="s">
        <v>116</v>
      </c>
      <c r="F224" s="90">
        <v>2410091632</v>
      </c>
      <c r="G224" s="90" t="s">
        <v>64</v>
      </c>
      <c r="H224" s="90" t="s">
        <v>113</v>
      </c>
      <c r="I224" s="90" t="s">
        <v>49</v>
      </c>
      <c r="J224" s="90" t="s">
        <v>46</v>
      </c>
      <c r="K224" s="16" t="s">
        <v>201</v>
      </c>
      <c r="L224" s="89">
        <v>45700</v>
      </c>
      <c r="M224" s="381">
        <f t="shared" si="30"/>
        <v>4</v>
      </c>
      <c r="N224" s="98" t="s">
        <v>62</v>
      </c>
      <c r="O224" s="92" t="s">
        <v>117</v>
      </c>
      <c r="P224" s="24" t="str">
        <f>VLOOKUP(O224,[1]Feuil2!$A:$M,5,FALSE)</f>
        <v>BOITE VIDE NEUTRE LAGUIOLE HERITAGE + FACADE GRISE</v>
      </c>
      <c r="Q224" s="90">
        <v>1600</v>
      </c>
      <c r="R224" s="93">
        <v>0.495</v>
      </c>
      <c r="S224" s="94">
        <f t="shared" si="31"/>
        <v>792</v>
      </c>
      <c r="T224" s="95">
        <f t="shared" si="32"/>
        <v>40301.824000000001</v>
      </c>
      <c r="U224" s="138"/>
      <c r="V224" s="96">
        <f t="shared" si="33"/>
        <v>40301.824000000001</v>
      </c>
      <c r="W224" s="4">
        <f>VLOOKUP(O224,[1]Feuil2!$A:$M,6,FALSE)</f>
        <v>120</v>
      </c>
      <c r="X224" s="5">
        <f>VLOOKUP(O224,[1]Feuil2!$A:$M,13,FALSE)</f>
        <v>0</v>
      </c>
      <c r="Y224" s="6">
        <f t="shared" si="34"/>
        <v>0</v>
      </c>
      <c r="Z224" s="97">
        <f t="shared" si="35"/>
        <v>18.975457374999994</v>
      </c>
      <c r="AA224" s="68" t="s">
        <v>48</v>
      </c>
      <c r="AB224" s="67" t="s">
        <v>48</v>
      </c>
      <c r="AC224" s="191" t="s">
        <v>55</v>
      </c>
      <c r="AD224" s="21" t="s">
        <v>57</v>
      </c>
      <c r="AE224" s="20"/>
      <c r="AF224" s="21"/>
      <c r="AG224" s="21"/>
      <c r="AH224" s="90"/>
      <c r="AI224" s="135">
        <v>45777</v>
      </c>
      <c r="AJ224" s="145" t="s">
        <v>49</v>
      </c>
      <c r="AK224" s="100">
        <f>VLOOKUP(AP224,'[3]CONTENEUR PLEIN'!$F:$L,3,FALSE)</f>
        <v>45689</v>
      </c>
      <c r="AL224" s="99">
        <f>VLOOKUP(AP224,'[3]CONTENEUR PLEIN'!$F:$L,5,FALSE)</f>
        <v>45737</v>
      </c>
      <c r="AM224" s="18">
        <f>VLOOKUP(AP224,'[3]CONTENEUR PLEIN'!$F:$L,7,FALSE)</f>
        <v>45754.333333333336</v>
      </c>
      <c r="AN224" s="92" t="s">
        <v>63</v>
      </c>
      <c r="AO224" s="598" t="s">
        <v>141</v>
      </c>
      <c r="AP224" s="598" t="s">
        <v>142</v>
      </c>
      <c r="AQ224" s="598"/>
      <c r="AR224" s="118" t="e">
        <f>VLOOKUP(AP224,'[2]CONTENEUR PLEIN'!$F:$L,2,FALSE)</f>
        <v>#N/A</v>
      </c>
      <c r="AS224" s="106" t="s">
        <v>51</v>
      </c>
      <c r="AT224" s="98"/>
      <c r="AU224" s="181"/>
    </row>
    <row r="225" spans="1:47" s="72" customFormat="1" hidden="1" x14ac:dyDescent="0.25">
      <c r="A225" s="71"/>
      <c r="B225" s="88" t="s">
        <v>45</v>
      </c>
      <c r="C225" s="89">
        <v>45621</v>
      </c>
      <c r="D225" s="90">
        <v>24099</v>
      </c>
      <c r="E225" s="91" t="s">
        <v>116</v>
      </c>
      <c r="F225" s="90">
        <v>2410091632</v>
      </c>
      <c r="G225" s="90" t="s">
        <v>64</v>
      </c>
      <c r="H225" s="90" t="s">
        <v>113</v>
      </c>
      <c r="I225" s="90" t="s">
        <v>49</v>
      </c>
      <c r="J225" s="90" t="s">
        <v>46</v>
      </c>
      <c r="K225" s="16" t="s">
        <v>201</v>
      </c>
      <c r="L225" s="89">
        <v>45700</v>
      </c>
      <c r="M225" s="381">
        <f t="shared" si="30"/>
        <v>4</v>
      </c>
      <c r="N225" s="98" t="s">
        <v>62</v>
      </c>
      <c r="O225" s="92" t="s">
        <v>118</v>
      </c>
      <c r="P225" s="24" t="str">
        <f>VLOOKUP(O225,[1]Feuil2!$A:$M,5,FALSE)</f>
        <v>BOITE VIDE LAGUIOLE HERITAGE EMOTION FINITION MIROIR</v>
      </c>
      <c r="Q225" s="90">
        <v>1080</v>
      </c>
      <c r="R225" s="93">
        <v>0.495</v>
      </c>
      <c r="S225" s="94">
        <f t="shared" si="31"/>
        <v>534.6</v>
      </c>
      <c r="T225" s="95">
        <f t="shared" si="32"/>
        <v>40301.824000000001</v>
      </c>
      <c r="U225" s="138"/>
      <c r="V225" s="96">
        <f t="shared" si="33"/>
        <v>40301.824000000001</v>
      </c>
      <c r="W225" s="4">
        <f>VLOOKUP(O225,[1]Feuil2!$A:$M,6,FALSE)</f>
        <v>120</v>
      </c>
      <c r="X225" s="5">
        <f>VLOOKUP(O225,[1]Feuil2!$A:$M,13,FALSE)</f>
        <v>0</v>
      </c>
      <c r="Y225" s="6">
        <f t="shared" si="34"/>
        <v>0</v>
      </c>
      <c r="Z225" s="97">
        <f t="shared" si="35"/>
        <v>18.975457374999994</v>
      </c>
      <c r="AA225" s="68" t="s">
        <v>48</v>
      </c>
      <c r="AB225" s="67" t="s">
        <v>48</v>
      </c>
      <c r="AC225" s="191" t="s">
        <v>55</v>
      </c>
      <c r="AD225" s="21" t="s">
        <v>57</v>
      </c>
      <c r="AE225" s="20"/>
      <c r="AF225" s="21"/>
      <c r="AG225" s="21"/>
      <c r="AH225" s="90"/>
      <c r="AI225" s="135">
        <v>45777</v>
      </c>
      <c r="AJ225" s="145" t="s">
        <v>49</v>
      </c>
      <c r="AK225" s="100">
        <f>VLOOKUP(AP225,'[3]CONTENEUR PLEIN'!$F:$L,3,FALSE)</f>
        <v>45689</v>
      </c>
      <c r="AL225" s="99">
        <f>VLOOKUP(AP225,'[3]CONTENEUR PLEIN'!$F:$L,5,FALSE)</f>
        <v>45737</v>
      </c>
      <c r="AM225" s="18">
        <f>VLOOKUP(AP225,'[3]CONTENEUR PLEIN'!$F:$L,7,FALSE)</f>
        <v>45754.333333333336</v>
      </c>
      <c r="AN225" s="92" t="s">
        <v>63</v>
      </c>
      <c r="AO225" s="598" t="s">
        <v>141</v>
      </c>
      <c r="AP225" s="598" t="s">
        <v>142</v>
      </c>
      <c r="AQ225" s="598"/>
      <c r="AR225" s="118" t="e">
        <f>VLOOKUP(AP225,'[2]CONTENEUR PLEIN'!$F:$L,2,FALSE)</f>
        <v>#N/A</v>
      </c>
      <c r="AS225" s="106" t="s">
        <v>51</v>
      </c>
      <c r="AT225" s="98"/>
    </row>
    <row r="226" spans="1:47" s="72" customFormat="1" hidden="1" x14ac:dyDescent="0.25">
      <c r="A226" s="71"/>
      <c r="B226" s="88" t="s">
        <v>45</v>
      </c>
      <c r="C226" s="89">
        <v>45621</v>
      </c>
      <c r="D226" s="90">
        <v>24099</v>
      </c>
      <c r="E226" s="91" t="s">
        <v>116</v>
      </c>
      <c r="F226" s="90">
        <v>2410091632</v>
      </c>
      <c r="G226" s="90" t="s">
        <v>64</v>
      </c>
      <c r="H226" s="90" t="s">
        <v>113</v>
      </c>
      <c r="I226" s="90" t="s">
        <v>49</v>
      </c>
      <c r="J226" s="90" t="s">
        <v>46</v>
      </c>
      <c r="K226" s="16" t="s">
        <v>201</v>
      </c>
      <c r="L226" s="89">
        <v>45700</v>
      </c>
      <c r="M226" s="381">
        <f t="shared" si="30"/>
        <v>4</v>
      </c>
      <c r="N226" s="98" t="s">
        <v>62</v>
      </c>
      <c r="O226" s="92" t="s">
        <v>119</v>
      </c>
      <c r="P226" s="24" t="str">
        <f>VLOOKUP(O226,[1]Feuil2!$A:$M,5,FALSE)</f>
        <v>BOITE VIDE LAGUIOLE HERITAGE EMOTION FINITION SATINE</v>
      </c>
      <c r="Q226" s="90">
        <v>1080</v>
      </c>
      <c r="R226" s="93">
        <v>0.495</v>
      </c>
      <c r="S226" s="94">
        <f t="shared" si="31"/>
        <v>534.6</v>
      </c>
      <c r="T226" s="95">
        <f t="shared" si="32"/>
        <v>40301.824000000001</v>
      </c>
      <c r="U226" s="138"/>
      <c r="V226" s="96">
        <f t="shared" si="33"/>
        <v>40301.824000000001</v>
      </c>
      <c r="W226" s="4">
        <f>VLOOKUP(O226,[1]Feuil2!$A:$M,6,FALSE)</f>
        <v>120</v>
      </c>
      <c r="X226" s="5">
        <f>VLOOKUP(O226,[1]Feuil2!$A:$M,13,FALSE)</f>
        <v>0</v>
      </c>
      <c r="Y226" s="6">
        <f t="shared" si="34"/>
        <v>0</v>
      </c>
      <c r="Z226" s="97">
        <f t="shared" si="35"/>
        <v>18.975457374999994</v>
      </c>
      <c r="AA226" s="68" t="s">
        <v>48</v>
      </c>
      <c r="AB226" s="67" t="s">
        <v>48</v>
      </c>
      <c r="AC226" s="191" t="s">
        <v>55</v>
      </c>
      <c r="AD226" s="21" t="s">
        <v>57</v>
      </c>
      <c r="AE226" s="20"/>
      <c r="AF226" s="21"/>
      <c r="AG226" s="21"/>
      <c r="AH226" s="90"/>
      <c r="AI226" s="135">
        <v>45777</v>
      </c>
      <c r="AJ226" s="145" t="s">
        <v>49</v>
      </c>
      <c r="AK226" s="100">
        <f>VLOOKUP(AP226,'[3]CONTENEUR PLEIN'!$F:$L,3,FALSE)</f>
        <v>45689</v>
      </c>
      <c r="AL226" s="99">
        <f>VLOOKUP(AP226,'[3]CONTENEUR PLEIN'!$F:$L,5,FALSE)</f>
        <v>45737</v>
      </c>
      <c r="AM226" s="18">
        <f>VLOOKUP(AP226,'[3]CONTENEUR PLEIN'!$F:$L,7,FALSE)</f>
        <v>45754.333333333336</v>
      </c>
      <c r="AN226" s="92" t="s">
        <v>63</v>
      </c>
      <c r="AO226" s="598" t="s">
        <v>141</v>
      </c>
      <c r="AP226" s="598" t="s">
        <v>142</v>
      </c>
      <c r="AQ226" s="598"/>
      <c r="AR226" s="118" t="e">
        <f>VLOOKUP(AP226,'[2]CONTENEUR PLEIN'!$F:$L,2,FALSE)</f>
        <v>#N/A</v>
      </c>
      <c r="AS226" s="598" t="s">
        <v>51</v>
      </c>
      <c r="AT226" s="98"/>
    </row>
    <row r="227" spans="1:47" s="72" customFormat="1" hidden="1" x14ac:dyDescent="0.25">
      <c r="A227" s="71"/>
      <c r="B227" s="29" t="s">
        <v>45</v>
      </c>
      <c r="C227" s="48">
        <v>45621</v>
      </c>
      <c r="D227" s="49">
        <v>24100</v>
      </c>
      <c r="E227" s="50" t="s">
        <v>115</v>
      </c>
      <c r="F227" s="49">
        <v>2410251538</v>
      </c>
      <c r="G227" s="49" t="s">
        <v>64</v>
      </c>
      <c r="H227" s="49" t="s">
        <v>114</v>
      </c>
      <c r="I227" s="49" t="s">
        <v>49</v>
      </c>
      <c r="J227" s="49" t="s">
        <v>46</v>
      </c>
      <c r="K227" s="107" t="s">
        <v>71</v>
      </c>
      <c r="L227" s="49" t="s">
        <v>47</v>
      </c>
      <c r="M227" s="382" t="e">
        <f t="shared" ref="M227:M263" si="36">DATEDIF(C227,AM227,"M")</f>
        <v>#N/A</v>
      </c>
      <c r="N227" s="57" t="s">
        <v>49</v>
      </c>
      <c r="O227" s="51">
        <v>21460014</v>
      </c>
      <c r="P227" s="30" t="str">
        <f>VLOOKUP(O227,[1]Feuil2!$A:$M,5,FALSE)</f>
        <v>COUTEAU DESSERT FUSEAU + GENCOD</v>
      </c>
      <c r="Q227" s="49">
        <v>1152</v>
      </c>
      <c r="R227" s="52">
        <v>0.5</v>
      </c>
      <c r="S227" s="53">
        <f t="shared" ref="S227:S260" si="37">Q227*R227</f>
        <v>576</v>
      </c>
      <c r="T227" s="31">
        <f t="shared" ref="T227:T279" si="38">SUMIF($E$5:$E$9257,E227,$S$5:$S$9257)</f>
        <v>29953.206000000002</v>
      </c>
      <c r="U227" s="140"/>
      <c r="V227" s="32">
        <f t="shared" ref="V227:V260" si="39">U227+T227</f>
        <v>29953.206000000002</v>
      </c>
      <c r="W227" s="33">
        <f>VLOOKUP(O227,[1]Feuil2!$A:$M,6,FALSE)</f>
        <v>144</v>
      </c>
      <c r="X227" s="34">
        <f>VLOOKUP(O227,[1]Feuil2!$A:$M,13,FALSE)</f>
        <v>9.6937499999999992E-3</v>
      </c>
      <c r="Y227" s="35">
        <f t="shared" ref="Y227:Y237" si="40">(Q227/W227)*X227</f>
        <v>7.7549999999999994E-2</v>
      </c>
      <c r="Z227" s="36">
        <f t="shared" ref="Z227:Z260" si="41">SUMIF($E:$E,E227,$Y:$Y)</f>
        <v>20.528477249999998</v>
      </c>
      <c r="AA227" s="235" t="s">
        <v>61</v>
      </c>
      <c r="AB227" s="55" t="s">
        <v>61</v>
      </c>
      <c r="AC227" s="49"/>
      <c r="AD227" s="55" t="s">
        <v>61</v>
      </c>
      <c r="AE227" s="48"/>
      <c r="AF227" s="55"/>
      <c r="AG227" s="55"/>
      <c r="AH227" s="57"/>
      <c r="AI227" s="182">
        <v>45736</v>
      </c>
      <c r="AJ227" s="137" t="s">
        <v>49</v>
      </c>
      <c r="AK227" s="56" t="e">
        <f>VLOOKUP(AP227,'[2]CONTENEUR PLEIN'!$F:$L,3,FALSE)</f>
        <v>#N/A</v>
      </c>
      <c r="AL227" s="37" t="e">
        <f>VLOOKUP(AP227,'[2]CONTENEUR PLEIN'!$F:$L,5,FALSE)</f>
        <v>#N/A</v>
      </c>
      <c r="AM227" s="38" t="e">
        <f>VLOOKUP(AP227,'[2]CONTENEUR PLEIN'!$F:$L,7,FALSE)</f>
        <v>#N/A</v>
      </c>
      <c r="AN227" s="49" t="s">
        <v>63</v>
      </c>
      <c r="AO227" s="49"/>
      <c r="AP227" s="49"/>
      <c r="AQ227" s="49"/>
      <c r="AR227" s="49" t="e">
        <f>VLOOKUP(AP227,'[2]CONTENEUR PLEIN'!$F:$L,2,FALSE)</f>
        <v>#N/A</v>
      </c>
      <c r="AS227" s="49"/>
      <c r="AT227" s="57"/>
    </row>
    <row r="228" spans="1:47" s="72" customFormat="1" hidden="1" x14ac:dyDescent="0.25">
      <c r="A228" s="71"/>
      <c r="B228" s="88" t="s">
        <v>45</v>
      </c>
      <c r="C228" s="89">
        <v>45621</v>
      </c>
      <c r="D228" s="90">
        <v>24100</v>
      </c>
      <c r="E228" s="91" t="s">
        <v>115</v>
      </c>
      <c r="F228" s="90">
        <v>2410251538</v>
      </c>
      <c r="G228" s="90" t="s">
        <v>64</v>
      </c>
      <c r="H228" s="90" t="s">
        <v>114</v>
      </c>
      <c r="I228" s="90" t="s">
        <v>49</v>
      </c>
      <c r="J228" s="90" t="s">
        <v>46</v>
      </c>
      <c r="K228" s="16" t="s">
        <v>594</v>
      </c>
      <c r="L228" s="89">
        <v>45926</v>
      </c>
      <c r="M228" s="381">
        <f t="shared" si="36"/>
        <v>11</v>
      </c>
      <c r="N228" s="98" t="s">
        <v>49</v>
      </c>
      <c r="O228" s="92">
        <v>21460013</v>
      </c>
      <c r="P228" s="24" t="str">
        <f>VLOOKUP(O228,[1]Feuil2!$A:$M,5,FALSE)</f>
        <v>CAFE FUSEAU + GENCOD</v>
      </c>
      <c r="Q228" s="90">
        <v>9648</v>
      </c>
      <c r="R228" s="93">
        <v>0.187</v>
      </c>
      <c r="S228" s="94">
        <f t="shared" si="37"/>
        <v>1804.1759999999999</v>
      </c>
      <c r="T228" s="95">
        <f t="shared" si="38"/>
        <v>29953.206000000002</v>
      </c>
      <c r="U228" s="138"/>
      <c r="V228" s="96">
        <f t="shared" si="39"/>
        <v>29953.206000000002</v>
      </c>
      <c r="W228" s="4">
        <f>VLOOKUP(O228,[1]Feuil2!$A:$M,6,FALSE)</f>
        <v>144</v>
      </c>
      <c r="X228" s="5">
        <f>VLOOKUP(O228,[1]Feuil2!$A:$M,13,FALSE)</f>
        <v>5.94E-3</v>
      </c>
      <c r="Y228" s="6">
        <f t="shared" si="40"/>
        <v>0.39798</v>
      </c>
      <c r="Z228" s="97">
        <f t="shared" si="41"/>
        <v>20.528477249999998</v>
      </c>
      <c r="AA228" s="167" t="s">
        <v>61</v>
      </c>
      <c r="AB228" s="133" t="s">
        <v>61</v>
      </c>
      <c r="AC228" s="191" t="s">
        <v>55</v>
      </c>
      <c r="AD228" s="21" t="s">
        <v>57</v>
      </c>
      <c r="AE228" s="20">
        <v>45883</v>
      </c>
      <c r="AF228" s="21" t="s">
        <v>394</v>
      </c>
      <c r="AG228" s="21"/>
      <c r="AH228" s="98"/>
      <c r="AI228" s="160">
        <v>45736</v>
      </c>
      <c r="AJ228" s="145">
        <f ca="1">DATEDIF(AI228,$AJ$1,"D")</f>
        <v>362</v>
      </c>
      <c r="AK228" s="100">
        <f>VLOOKUP(AP228,'[3]CONTENEUR PLEIN'!$F:$L,3,FALSE)</f>
        <v>45913</v>
      </c>
      <c r="AL228" s="99">
        <f>VLOOKUP(AP228,'[3]CONTENEUR PLEIN'!$F:$L,5,FALSE)</f>
        <v>45971</v>
      </c>
      <c r="AM228" s="18">
        <f>VLOOKUP(AP228,'[3]CONTENEUR PLEIN'!$F:$L,7,FALSE)</f>
        <v>45979.53125</v>
      </c>
      <c r="AN228" s="90" t="s">
        <v>63</v>
      </c>
      <c r="AO228" s="191" t="s">
        <v>428</v>
      </c>
      <c r="AP228" s="191" t="s">
        <v>429</v>
      </c>
      <c r="AQ228" s="90">
        <v>2410251538</v>
      </c>
      <c r="AR228" s="191" t="e">
        <f>VLOOKUP(AP228,'[2]CONTENEUR PLEIN'!$F:$L,2,FALSE)</f>
        <v>#N/A</v>
      </c>
      <c r="AS228" s="191" t="s">
        <v>316</v>
      </c>
      <c r="AT228" s="98"/>
    </row>
    <row r="229" spans="1:47" s="72" customFormat="1" hidden="1" x14ac:dyDescent="0.25">
      <c r="A229" s="71"/>
      <c r="B229" s="88" t="s">
        <v>45</v>
      </c>
      <c r="C229" s="89">
        <v>45621</v>
      </c>
      <c r="D229" s="90">
        <v>24100</v>
      </c>
      <c r="E229" s="91" t="s">
        <v>115</v>
      </c>
      <c r="F229" s="90">
        <v>2410251538</v>
      </c>
      <c r="G229" s="90" t="s">
        <v>64</v>
      </c>
      <c r="H229" s="90" t="s">
        <v>114</v>
      </c>
      <c r="I229" s="90" t="s">
        <v>49</v>
      </c>
      <c r="J229" s="90" t="s">
        <v>46</v>
      </c>
      <c r="K229" s="16" t="s">
        <v>594</v>
      </c>
      <c r="L229" s="89">
        <v>45926</v>
      </c>
      <c r="M229" s="381">
        <f t="shared" si="36"/>
        <v>11</v>
      </c>
      <c r="N229" s="98" t="s">
        <v>62</v>
      </c>
      <c r="O229" s="92">
        <v>21610001</v>
      </c>
      <c r="P229" s="24" t="str">
        <f>VLOOKUP(O229,[1]Feuil2!$A:$M,5,FALSE)</f>
        <v>M16 DAMIER FINITION MIROIR BOITE TB COLLECTION</v>
      </c>
      <c r="Q229" s="90">
        <v>1002</v>
      </c>
      <c r="R229" s="93">
        <v>5.1050000000000004</v>
      </c>
      <c r="S229" s="94">
        <f t="shared" si="37"/>
        <v>5115.21</v>
      </c>
      <c r="T229" s="95">
        <f t="shared" si="38"/>
        <v>29953.206000000002</v>
      </c>
      <c r="U229" s="138"/>
      <c r="V229" s="96">
        <f t="shared" si="39"/>
        <v>29953.206000000002</v>
      </c>
      <c r="W229" s="4">
        <f>VLOOKUP(O229,[1]Feuil2!$A:$M,6,FALSE)</f>
        <v>6</v>
      </c>
      <c r="X229" s="5">
        <f>VLOOKUP(O229,[1]Feuil2!$A:$M,13,FALSE)</f>
        <v>2.6427500000000003E-2</v>
      </c>
      <c r="Y229" s="6">
        <f t="shared" si="40"/>
        <v>4.4133925000000005</v>
      </c>
      <c r="Z229" s="97">
        <f t="shared" si="41"/>
        <v>20.528477249999998</v>
      </c>
      <c r="AA229" s="167" t="s">
        <v>61</v>
      </c>
      <c r="AB229" s="133" t="s">
        <v>61</v>
      </c>
      <c r="AC229" s="191" t="s">
        <v>55</v>
      </c>
      <c r="AD229" s="21" t="s">
        <v>57</v>
      </c>
      <c r="AE229" s="20">
        <v>45888</v>
      </c>
      <c r="AF229" s="21" t="s">
        <v>404</v>
      </c>
      <c r="AG229" s="21"/>
      <c r="AH229" s="98"/>
      <c r="AI229" s="160">
        <v>45736</v>
      </c>
      <c r="AJ229" s="145">
        <f ca="1">DATEDIF(AI229,$AJ$1,"D")</f>
        <v>362</v>
      </c>
      <c r="AK229" s="100">
        <f>VLOOKUP(AP229,'[3]CONTENEUR PLEIN'!$F:$L,3,FALSE)</f>
        <v>45913</v>
      </c>
      <c r="AL229" s="99">
        <f>VLOOKUP(AP229,'[3]CONTENEUR PLEIN'!$F:$L,5,FALSE)</f>
        <v>45971</v>
      </c>
      <c r="AM229" s="18">
        <f>VLOOKUP(AP229,'[3]CONTENEUR PLEIN'!$F:$L,7,FALSE)</f>
        <v>45979.53125</v>
      </c>
      <c r="AN229" s="90" t="s">
        <v>63</v>
      </c>
      <c r="AO229" s="191" t="s">
        <v>428</v>
      </c>
      <c r="AP229" s="191" t="s">
        <v>429</v>
      </c>
      <c r="AQ229" s="90">
        <v>2410251538</v>
      </c>
      <c r="AR229" s="191" t="e">
        <f>VLOOKUP(AP229,'[2]CONTENEUR PLEIN'!$F:$L,2,FALSE)</f>
        <v>#N/A</v>
      </c>
      <c r="AS229" s="191" t="s">
        <v>316</v>
      </c>
      <c r="AT229" s="98"/>
    </row>
    <row r="230" spans="1:47" s="72" customFormat="1" hidden="1" x14ac:dyDescent="0.25">
      <c r="A230" s="71"/>
      <c r="B230" s="88" t="s">
        <v>45</v>
      </c>
      <c r="C230" s="89">
        <v>45621</v>
      </c>
      <c r="D230" s="90">
        <v>24100</v>
      </c>
      <c r="E230" s="91" t="s">
        <v>115</v>
      </c>
      <c r="F230" s="90">
        <v>2410251538</v>
      </c>
      <c r="G230" s="90" t="s">
        <v>64</v>
      </c>
      <c r="H230" s="90" t="s">
        <v>114</v>
      </c>
      <c r="I230" s="90" t="s">
        <v>49</v>
      </c>
      <c r="J230" s="90" t="s">
        <v>46</v>
      </c>
      <c r="K230" s="16" t="s">
        <v>309</v>
      </c>
      <c r="L230" s="89">
        <v>45770</v>
      </c>
      <c r="M230" s="381">
        <f t="shared" si="36"/>
        <v>6</v>
      </c>
      <c r="N230" s="98" t="s">
        <v>49</v>
      </c>
      <c r="O230" s="92">
        <v>20890018</v>
      </c>
      <c r="P230" s="24" t="str">
        <f>VLOOKUP(O230,[1]Feuil2!$A:$M,5,FALSE)</f>
        <v>FOURCHETTE ECORCE PVD CUIVRE+GENCOD</v>
      </c>
      <c r="Q230" s="90">
        <v>1200</v>
      </c>
      <c r="R230" s="93">
        <v>0.315</v>
      </c>
      <c r="S230" s="94">
        <f t="shared" si="37"/>
        <v>378</v>
      </c>
      <c r="T230" s="95">
        <f t="shared" si="38"/>
        <v>29953.206000000002</v>
      </c>
      <c r="U230" s="138"/>
      <c r="V230" s="96">
        <f t="shared" si="39"/>
        <v>29953.206000000002</v>
      </c>
      <c r="W230" s="4">
        <f>VLOOKUP(O230,[1]Feuil2!$A:$M,6,FALSE)</f>
        <v>120</v>
      </c>
      <c r="X230" s="5">
        <f>VLOOKUP(O230,[1]Feuil2!$A:$M,13,FALSE)</f>
        <v>6.5550000000000009E-3</v>
      </c>
      <c r="Y230" s="6">
        <f t="shared" si="40"/>
        <v>6.5550000000000011E-2</v>
      </c>
      <c r="Z230" s="97">
        <f t="shared" si="41"/>
        <v>20.528477249999998</v>
      </c>
      <c r="AA230" s="167" t="s">
        <v>61</v>
      </c>
      <c r="AB230" s="133" t="s">
        <v>61</v>
      </c>
      <c r="AC230" s="90" t="s">
        <v>55</v>
      </c>
      <c r="AD230" s="21" t="s">
        <v>57</v>
      </c>
      <c r="AE230" s="20">
        <v>45724</v>
      </c>
      <c r="AF230" s="21" t="s">
        <v>173</v>
      </c>
      <c r="AG230" s="21"/>
      <c r="AH230" s="98"/>
      <c r="AI230" s="135">
        <v>45736</v>
      </c>
      <c r="AJ230" s="145">
        <f t="shared" ref="AJ230:AJ258" si="42">DATEDIF(AI230,$AK230,"D")</f>
        <v>28</v>
      </c>
      <c r="AK230" s="100">
        <f>VLOOKUP(AP230,'[3]CONTENEUR PLEIN'!$F:$L,3,FALSE)</f>
        <v>45764</v>
      </c>
      <c r="AL230" s="99">
        <f>VLOOKUP(AP230,'[3]CONTENEUR PLEIN'!$F:$L,5,FALSE)</f>
        <v>45812</v>
      </c>
      <c r="AM230" s="18">
        <f>VLOOKUP(AP230,'[3]CONTENEUR PLEIN'!$F:$L,7,FALSE)</f>
        <v>45824.53125</v>
      </c>
      <c r="AN230" s="90" t="s">
        <v>63</v>
      </c>
      <c r="AO230" s="129" t="s">
        <v>212</v>
      </c>
      <c r="AP230" s="129" t="s">
        <v>213</v>
      </c>
      <c r="AQ230" s="129" t="s">
        <v>260</v>
      </c>
      <c r="AR230" s="129" t="e">
        <f>VLOOKUP(AP230,'[2]CONTENEUR PLEIN'!$F:$L,2,FALSE)</f>
        <v>#N/A</v>
      </c>
      <c r="AS230" s="129" t="s">
        <v>51</v>
      </c>
      <c r="AT230" s="98"/>
    </row>
    <row r="231" spans="1:47" s="72" customFormat="1" hidden="1" x14ac:dyDescent="0.25">
      <c r="A231" s="71"/>
      <c r="B231" s="88" t="s">
        <v>45</v>
      </c>
      <c r="C231" s="89">
        <v>45621</v>
      </c>
      <c r="D231" s="90">
        <v>24100</v>
      </c>
      <c r="E231" s="91" t="s">
        <v>115</v>
      </c>
      <c r="F231" s="90">
        <v>2410251538</v>
      </c>
      <c r="G231" s="90" t="s">
        <v>64</v>
      </c>
      <c r="H231" s="90" t="s">
        <v>114</v>
      </c>
      <c r="I231" s="90" t="s">
        <v>49</v>
      </c>
      <c r="J231" s="90" t="s">
        <v>46</v>
      </c>
      <c r="K231" s="16" t="s">
        <v>309</v>
      </c>
      <c r="L231" s="89">
        <v>45770</v>
      </c>
      <c r="M231" s="381">
        <f t="shared" si="36"/>
        <v>6</v>
      </c>
      <c r="N231" s="98" t="s">
        <v>62</v>
      </c>
      <c r="O231" s="92">
        <v>21130001</v>
      </c>
      <c r="P231" s="24" t="str">
        <f>VLOOKUP(O231,[1]Feuil2!$A:$M,5,FALSE)</f>
        <v>M24 BOREAL EN BOITE TB COLLECTION</v>
      </c>
      <c r="Q231" s="90">
        <v>1308</v>
      </c>
      <c r="R231" s="93">
        <v>5.5019999999999998</v>
      </c>
      <c r="S231" s="94">
        <f t="shared" si="37"/>
        <v>7196.616</v>
      </c>
      <c r="T231" s="95">
        <f t="shared" si="38"/>
        <v>29953.206000000002</v>
      </c>
      <c r="U231" s="138"/>
      <c r="V231" s="96">
        <f t="shared" si="39"/>
        <v>29953.206000000002</v>
      </c>
      <c r="W231" s="4">
        <f>VLOOKUP(O231,[1]Feuil2!$A:$M,6,FALSE)</f>
        <v>6</v>
      </c>
      <c r="X231" s="5">
        <f>VLOOKUP(O231,[1]Feuil2!$A:$M,13,FALSE)</f>
        <v>2.5947000000000001E-2</v>
      </c>
      <c r="Y231" s="6">
        <f t="shared" si="40"/>
        <v>5.6564459999999999</v>
      </c>
      <c r="Z231" s="97">
        <f t="shared" si="41"/>
        <v>20.528477249999998</v>
      </c>
      <c r="AA231" s="23" t="s">
        <v>48</v>
      </c>
      <c r="AB231" s="21" t="s">
        <v>57</v>
      </c>
      <c r="AC231" s="90" t="s">
        <v>55</v>
      </c>
      <c r="AD231" s="21" t="s">
        <v>57</v>
      </c>
      <c r="AE231" s="20">
        <v>45750</v>
      </c>
      <c r="AF231" s="47" t="s">
        <v>199</v>
      </c>
      <c r="AG231" s="21"/>
      <c r="AH231" s="98"/>
      <c r="AI231" s="135">
        <v>45736</v>
      </c>
      <c r="AJ231" s="145">
        <f t="shared" si="42"/>
        <v>28</v>
      </c>
      <c r="AK231" s="100">
        <f>VLOOKUP(AP231,'[3]CONTENEUR PLEIN'!$F:$L,3,FALSE)</f>
        <v>45764</v>
      </c>
      <c r="AL231" s="99">
        <f>VLOOKUP(AP231,'[3]CONTENEUR PLEIN'!$F:$L,5,FALSE)</f>
        <v>45812</v>
      </c>
      <c r="AM231" s="18">
        <f>VLOOKUP(AP231,'[3]CONTENEUR PLEIN'!$F:$L,7,FALSE)</f>
        <v>45824.53125</v>
      </c>
      <c r="AN231" s="90" t="s">
        <v>63</v>
      </c>
      <c r="AO231" s="129" t="s">
        <v>212</v>
      </c>
      <c r="AP231" s="129" t="s">
        <v>213</v>
      </c>
      <c r="AQ231" s="129" t="s">
        <v>260</v>
      </c>
      <c r="AR231" s="129" t="e">
        <f>VLOOKUP(AP231,'[2]CONTENEUR PLEIN'!$F:$L,2,FALSE)</f>
        <v>#N/A</v>
      </c>
      <c r="AS231" s="129" t="s">
        <v>51</v>
      </c>
      <c r="AT231" s="98"/>
    </row>
    <row r="232" spans="1:47" s="166" customFormat="1" hidden="1" x14ac:dyDescent="0.25">
      <c r="A232" s="71"/>
      <c r="B232" s="88" t="s">
        <v>45</v>
      </c>
      <c r="C232" s="89">
        <v>45621</v>
      </c>
      <c r="D232" s="90">
        <v>24100</v>
      </c>
      <c r="E232" s="91" t="s">
        <v>115</v>
      </c>
      <c r="F232" s="90">
        <v>2410251538</v>
      </c>
      <c r="G232" s="90" t="s">
        <v>64</v>
      </c>
      <c r="H232" s="90" t="s">
        <v>114</v>
      </c>
      <c r="I232" s="90" t="s">
        <v>49</v>
      </c>
      <c r="J232" s="90" t="s">
        <v>46</v>
      </c>
      <c r="K232" s="16" t="s">
        <v>862</v>
      </c>
      <c r="L232" s="89">
        <v>45995</v>
      </c>
      <c r="M232" s="381">
        <f t="shared" si="36"/>
        <v>13</v>
      </c>
      <c r="N232" s="98" t="s">
        <v>62</v>
      </c>
      <c r="O232" s="92">
        <v>21300001</v>
      </c>
      <c r="P232" s="24" t="str">
        <f>VLOOKUP(O232,[1]Feuil2!$A:$M,5,FALSE)</f>
        <v>M24 EMPREINTE BOITE TB COLLECTION</v>
      </c>
      <c r="Q232" s="90">
        <v>1002</v>
      </c>
      <c r="R232" s="93">
        <v>7.2</v>
      </c>
      <c r="S232" s="94">
        <f t="shared" si="37"/>
        <v>7214.4000000000005</v>
      </c>
      <c r="T232" s="95">
        <f t="shared" si="38"/>
        <v>29953.206000000002</v>
      </c>
      <c r="U232" s="138"/>
      <c r="V232" s="96">
        <f t="shared" si="39"/>
        <v>29953.206000000002</v>
      </c>
      <c r="W232" s="4">
        <f>VLOOKUP(O232,[1]Feuil2!$A:$M,6,FALSE)</f>
        <v>6</v>
      </c>
      <c r="X232" s="5">
        <f>VLOOKUP(O232,[1]Feuil2!$A:$M,13,FALSE)</f>
        <v>2.6001249999999997E-2</v>
      </c>
      <c r="Y232" s="6">
        <f t="shared" si="40"/>
        <v>4.3422087499999993</v>
      </c>
      <c r="Z232" s="97">
        <f t="shared" si="41"/>
        <v>20.528477249999998</v>
      </c>
      <c r="AA232" s="68" t="s">
        <v>48</v>
      </c>
      <c r="AB232" s="21" t="s">
        <v>462</v>
      </c>
      <c r="AC232" s="87" t="s">
        <v>55</v>
      </c>
      <c r="AD232" s="19" t="s">
        <v>57</v>
      </c>
      <c r="AE232" s="20">
        <v>45960</v>
      </c>
      <c r="AF232" s="47" t="s">
        <v>626</v>
      </c>
      <c r="AG232" s="21" t="s">
        <v>57</v>
      </c>
      <c r="AH232" s="503" t="s">
        <v>48</v>
      </c>
      <c r="AI232" s="160">
        <v>45736</v>
      </c>
      <c r="AJ232" s="145">
        <f t="shared" si="42"/>
        <v>248</v>
      </c>
      <c r="AK232" s="100">
        <f>VLOOKUP(AP232,'[2]CONTENEUR PLEIN'!$F:$L,3,FALSE)</f>
        <v>45984</v>
      </c>
      <c r="AL232" s="99">
        <f>VLOOKUP(AP232,'[2]CONTENEUR PLEIN'!$F:$L,5,FALSE)</f>
        <v>46030</v>
      </c>
      <c r="AM232" s="18">
        <f>VLOOKUP(AP232,'[2]CONTENEUR PLEIN'!$F:$L,7,FALSE)</f>
        <v>46036.333333333336</v>
      </c>
      <c r="AN232" s="90" t="s">
        <v>63</v>
      </c>
      <c r="AO232" s="351" t="s">
        <v>577</v>
      </c>
      <c r="AP232" s="351" t="s">
        <v>578</v>
      </c>
      <c r="AQ232" s="351" t="s">
        <v>582</v>
      </c>
      <c r="AR232" s="90" t="str">
        <f>VLOOKUP(AP232,'[2]CONTENEUR PLEIN'!$F:$L,2,FALSE)</f>
        <v>CMA CGM GRACE BAY</v>
      </c>
      <c r="AS232" s="351" t="s">
        <v>316</v>
      </c>
      <c r="AT232" s="98"/>
      <c r="AU232" s="72"/>
    </row>
    <row r="233" spans="1:47" s="72" customFormat="1" hidden="1" x14ac:dyDescent="0.25">
      <c r="A233" s="71"/>
      <c r="B233" s="88" t="s">
        <v>45</v>
      </c>
      <c r="C233" s="89">
        <v>45621</v>
      </c>
      <c r="D233" s="90">
        <v>24100</v>
      </c>
      <c r="E233" s="91" t="s">
        <v>115</v>
      </c>
      <c r="F233" s="90">
        <v>2410251538</v>
      </c>
      <c r="G233" s="90" t="s">
        <v>64</v>
      </c>
      <c r="H233" s="90" t="s">
        <v>114</v>
      </c>
      <c r="I233" s="90" t="s">
        <v>49</v>
      </c>
      <c r="J233" s="90" t="s">
        <v>46</v>
      </c>
      <c r="K233" s="16" t="s">
        <v>862</v>
      </c>
      <c r="L233" s="89">
        <v>45995</v>
      </c>
      <c r="M233" s="381">
        <f t="shared" si="36"/>
        <v>13</v>
      </c>
      <c r="N233" s="98" t="s">
        <v>62</v>
      </c>
      <c r="O233" s="92">
        <v>21600001</v>
      </c>
      <c r="P233" s="24" t="str">
        <f>VLOOKUP(O233,[1]Feuil2!$A:$M,5,FALSE)</f>
        <v>M16 ARABESQUE FINITION MIROIR BOITE TB COLLECTION</v>
      </c>
      <c r="Q233" s="90">
        <v>798</v>
      </c>
      <c r="R233" s="93">
        <v>5.8630000000000004</v>
      </c>
      <c r="S233" s="94">
        <f t="shared" si="37"/>
        <v>4678.674</v>
      </c>
      <c r="T233" s="95">
        <f t="shared" si="38"/>
        <v>29953.206000000002</v>
      </c>
      <c r="U233" s="138"/>
      <c r="V233" s="96">
        <f t="shared" si="39"/>
        <v>29953.206000000002</v>
      </c>
      <c r="W233" s="4">
        <f>VLOOKUP(O233,[1]Feuil2!$A:$M,6,FALSE)</f>
        <v>6</v>
      </c>
      <c r="X233" s="5">
        <f>VLOOKUP(O233,[1]Feuil2!$A:$M,13,FALSE)</f>
        <v>2.5575000000000001E-2</v>
      </c>
      <c r="Y233" s="6">
        <f t="shared" si="40"/>
        <v>3.401475</v>
      </c>
      <c r="Z233" s="97">
        <f t="shared" si="41"/>
        <v>20.528477249999998</v>
      </c>
      <c r="AA233" s="69" t="s">
        <v>57</v>
      </c>
      <c r="AB233" s="68" t="s">
        <v>48</v>
      </c>
      <c r="AC233" s="87" t="s">
        <v>55</v>
      </c>
      <c r="AD233" s="19" t="s">
        <v>57</v>
      </c>
      <c r="AE233" s="20">
        <v>45960</v>
      </c>
      <c r="AF233" s="47" t="s">
        <v>627</v>
      </c>
      <c r="AG233" s="21" t="s">
        <v>57</v>
      </c>
      <c r="AH233" s="503" t="s">
        <v>48</v>
      </c>
      <c r="AI233" s="160">
        <v>45736</v>
      </c>
      <c r="AJ233" s="145">
        <f t="shared" si="42"/>
        <v>248</v>
      </c>
      <c r="AK233" s="100">
        <f>VLOOKUP(AP233,'[2]CONTENEUR PLEIN'!$F:$L,3,FALSE)</f>
        <v>45984</v>
      </c>
      <c r="AL233" s="99">
        <f>VLOOKUP(AP233,'[2]CONTENEUR PLEIN'!$F:$L,5,FALSE)</f>
        <v>46030</v>
      </c>
      <c r="AM233" s="18">
        <f>VLOOKUP(AP233,'[2]CONTENEUR PLEIN'!$F:$L,7,FALSE)</f>
        <v>46036.333333333336</v>
      </c>
      <c r="AN233" s="90" t="s">
        <v>63</v>
      </c>
      <c r="AO233" s="351" t="s">
        <v>577</v>
      </c>
      <c r="AP233" s="351" t="s">
        <v>578</v>
      </c>
      <c r="AQ233" s="351" t="s">
        <v>582</v>
      </c>
      <c r="AR233" s="90" t="str">
        <f>VLOOKUP(AP233,'[2]CONTENEUR PLEIN'!$F:$L,2,FALSE)</f>
        <v>CMA CGM GRACE BAY</v>
      </c>
      <c r="AS233" s="351" t="s">
        <v>316</v>
      </c>
      <c r="AT233" s="98"/>
    </row>
    <row r="234" spans="1:47" s="72" customFormat="1" hidden="1" x14ac:dyDescent="0.25">
      <c r="A234" s="71"/>
      <c r="B234" s="88" t="s">
        <v>45</v>
      </c>
      <c r="C234" s="89">
        <v>45621</v>
      </c>
      <c r="D234" s="90">
        <v>24100</v>
      </c>
      <c r="E234" s="91" t="s">
        <v>115</v>
      </c>
      <c r="F234" s="90">
        <v>2410251538</v>
      </c>
      <c r="G234" s="90" t="s">
        <v>64</v>
      </c>
      <c r="H234" s="90" t="s">
        <v>114</v>
      </c>
      <c r="I234" s="90" t="s">
        <v>49</v>
      </c>
      <c r="J234" s="90" t="s">
        <v>46</v>
      </c>
      <c r="K234" s="8" t="s">
        <v>970</v>
      </c>
      <c r="L234" s="128">
        <v>46041</v>
      </c>
      <c r="M234" s="381">
        <f t="shared" si="36"/>
        <v>14</v>
      </c>
      <c r="N234" s="98" t="s">
        <v>62</v>
      </c>
      <c r="O234" s="92">
        <v>21600001</v>
      </c>
      <c r="P234" s="24" t="str">
        <f>VLOOKUP(O234,[1]Feuil2!$A:$M,5,FALSE)</f>
        <v>M16 ARABESQUE FINITION MIROIR BOITE TB COLLECTION</v>
      </c>
      <c r="Q234" s="90">
        <f>1308-798</f>
        <v>510</v>
      </c>
      <c r="R234" s="93">
        <v>5.8630000000000004</v>
      </c>
      <c r="S234" s="94">
        <f t="shared" si="37"/>
        <v>2990.13</v>
      </c>
      <c r="T234" s="95">
        <f t="shared" si="38"/>
        <v>29953.206000000002</v>
      </c>
      <c r="U234" s="138"/>
      <c r="V234" s="96">
        <f t="shared" si="39"/>
        <v>29953.206000000002</v>
      </c>
      <c r="W234" s="4">
        <f>VLOOKUP(O234,[1]Feuil2!$A:$M,6,FALSE)</f>
        <v>6</v>
      </c>
      <c r="X234" s="5">
        <f>VLOOKUP(O234,[1]Feuil2!$A:$M,13,FALSE)</f>
        <v>2.5575000000000001E-2</v>
      </c>
      <c r="Y234" s="6">
        <f t="shared" si="40"/>
        <v>2.1738750000000002</v>
      </c>
      <c r="Z234" s="97">
        <f t="shared" si="41"/>
        <v>20.528477249999998</v>
      </c>
      <c r="AA234" s="69" t="s">
        <v>57</v>
      </c>
      <c r="AB234" s="67" t="s">
        <v>48</v>
      </c>
      <c r="AC234" s="87" t="s">
        <v>55</v>
      </c>
      <c r="AD234" s="19" t="s">
        <v>57</v>
      </c>
      <c r="AE234" s="20">
        <v>45960</v>
      </c>
      <c r="AF234" s="47" t="s">
        <v>627</v>
      </c>
      <c r="AG234" s="21" t="s">
        <v>57</v>
      </c>
      <c r="AH234" s="503" t="s">
        <v>48</v>
      </c>
      <c r="AI234" s="485">
        <v>45736</v>
      </c>
      <c r="AJ234" s="145">
        <f t="shared" si="42"/>
        <v>274</v>
      </c>
      <c r="AK234" s="100">
        <f>VLOOKUP(AP234,'[2]CONTENEUR PLEIN'!$F:$L,3,FALSE)</f>
        <v>46010</v>
      </c>
      <c r="AL234" s="99">
        <f>VLOOKUP(AP234,'[2]CONTENEUR PLEIN'!$F:$L,5,FALSE)</f>
        <v>46052</v>
      </c>
      <c r="AM234" s="18">
        <f>VLOOKUP(AP234,'[2]CONTENEUR PLEIN'!$F:$L,7,FALSE)</f>
        <v>46058.53125</v>
      </c>
      <c r="AN234" s="90" t="s">
        <v>63</v>
      </c>
      <c r="AO234" s="486" t="s">
        <v>734</v>
      </c>
      <c r="AP234" s="486" t="s">
        <v>735</v>
      </c>
      <c r="AQ234" s="486" t="s">
        <v>739</v>
      </c>
      <c r="AR234" s="90" t="str">
        <f>VLOOKUP(AP234,'[2]CONTENEUR PLEIN'!$F:$L,2,FALSE)</f>
        <v>CMA CGM KIMBERLEY</v>
      </c>
      <c r="AS234" s="486" t="s">
        <v>316</v>
      </c>
      <c r="AT234" s="98"/>
    </row>
    <row r="235" spans="1:47" s="72" customFormat="1" hidden="1" x14ac:dyDescent="0.25">
      <c r="A235" s="71"/>
      <c r="B235" s="88" t="s">
        <v>45</v>
      </c>
      <c r="C235" s="89">
        <v>45665</v>
      </c>
      <c r="D235" s="90">
        <v>25004</v>
      </c>
      <c r="E235" s="91" t="s">
        <v>127</v>
      </c>
      <c r="F235" s="90">
        <v>2412231105</v>
      </c>
      <c r="G235" s="90" t="s">
        <v>74</v>
      </c>
      <c r="H235" s="90" t="s">
        <v>125</v>
      </c>
      <c r="I235" s="90" t="s">
        <v>49</v>
      </c>
      <c r="J235" s="90" t="s">
        <v>46</v>
      </c>
      <c r="K235" s="16" t="s">
        <v>864</v>
      </c>
      <c r="L235" s="89">
        <v>45993</v>
      </c>
      <c r="M235" s="381">
        <f t="shared" si="36"/>
        <v>11</v>
      </c>
      <c r="N235" s="98" t="s">
        <v>49</v>
      </c>
      <c r="O235" s="92">
        <v>10020116</v>
      </c>
      <c r="P235" s="24" t="str">
        <f>VLOOKUP(O235,[1]Feuil2!$A:$M,5,FALSE)</f>
        <v>FROMAGE ACIDULE COLLECTION COULEUR 2.9</v>
      </c>
      <c r="Q235" s="90">
        <v>10080</v>
      </c>
      <c r="R235" s="93">
        <v>0.16200000000000001</v>
      </c>
      <c r="S235" s="94">
        <f t="shared" si="37"/>
        <v>1632.96</v>
      </c>
      <c r="T235" s="95">
        <f t="shared" si="38"/>
        <v>26806.326000000005</v>
      </c>
      <c r="U235" s="138"/>
      <c r="V235" s="96">
        <f t="shared" si="39"/>
        <v>26806.326000000005</v>
      </c>
      <c r="W235" s="4">
        <f>VLOOKUP(O235,[1]Feuil2!$A:$M,6,FALSE)</f>
        <v>144</v>
      </c>
      <c r="X235" s="5">
        <f>VLOOKUP(O235,[1]Feuil2!$A:$M,13,FALSE)</f>
        <v>2.0418749999999999E-2</v>
      </c>
      <c r="Y235" s="6">
        <f t="shared" si="40"/>
        <v>1.4293125</v>
      </c>
      <c r="Z235" s="97">
        <f t="shared" si="41"/>
        <v>18.820402750000003</v>
      </c>
      <c r="AA235" s="23" t="s">
        <v>48</v>
      </c>
      <c r="AB235" s="24" t="s">
        <v>48</v>
      </c>
      <c r="AC235" s="129" t="s">
        <v>55</v>
      </c>
      <c r="AD235" s="21" t="s">
        <v>57</v>
      </c>
      <c r="AE235" s="20">
        <v>45948</v>
      </c>
      <c r="AF235" s="21" t="s">
        <v>549</v>
      </c>
      <c r="AG235" s="21"/>
      <c r="AH235" s="98"/>
      <c r="AI235" s="160">
        <v>45772</v>
      </c>
      <c r="AJ235" s="145">
        <f t="shared" si="42"/>
        <v>189</v>
      </c>
      <c r="AK235" s="100">
        <f>VLOOKUP(AP235,'[2]CONTENEUR PLEIN'!$F:$L,3,FALSE)</f>
        <v>45961</v>
      </c>
      <c r="AL235" s="99">
        <f>VLOOKUP(AP235,'[2]CONTENEUR PLEIN'!$F:$L,5,FALSE)</f>
        <v>46006</v>
      </c>
      <c r="AM235" s="18">
        <f>VLOOKUP(AP235,'[2]CONTENEUR PLEIN'!$F:$L,7,FALSE)</f>
        <v>46028.333333333336</v>
      </c>
      <c r="AN235" s="90" t="s">
        <v>63</v>
      </c>
      <c r="AO235" s="353" t="s">
        <v>540</v>
      </c>
      <c r="AP235" s="353" t="s">
        <v>541</v>
      </c>
      <c r="AQ235" s="353" t="s">
        <v>548</v>
      </c>
      <c r="AR235" s="90" t="str">
        <f>VLOOKUP(AP235,'[2]CONTENEUR PLEIN'!$F:$L,2,FALSE)</f>
        <v>APL CHANGI</v>
      </c>
      <c r="AS235" s="353" t="s">
        <v>316</v>
      </c>
      <c r="AT235" s="98"/>
    </row>
    <row r="236" spans="1:47" s="72" customFormat="1" hidden="1" x14ac:dyDescent="0.25">
      <c r="A236" s="71"/>
      <c r="B236" s="88" t="s">
        <v>45</v>
      </c>
      <c r="C236" s="89">
        <v>45665</v>
      </c>
      <c r="D236" s="90">
        <v>25004</v>
      </c>
      <c r="E236" s="91" t="s">
        <v>127</v>
      </c>
      <c r="F236" s="90">
        <v>2412231105</v>
      </c>
      <c r="G236" s="90" t="s">
        <v>74</v>
      </c>
      <c r="H236" s="90" t="s">
        <v>125</v>
      </c>
      <c r="I236" s="90" t="s">
        <v>49</v>
      </c>
      <c r="J236" s="90" t="s">
        <v>46</v>
      </c>
      <c r="K236" s="8" t="s">
        <v>420</v>
      </c>
      <c r="L236" s="89">
        <v>45841</v>
      </c>
      <c r="M236" s="381">
        <f t="shared" si="36"/>
        <v>7</v>
      </c>
      <c r="N236" s="98" t="s">
        <v>49</v>
      </c>
      <c r="O236" s="92">
        <v>10020114</v>
      </c>
      <c r="P236" s="24" t="str">
        <f>VLOOKUP(O236,[1]Feuil2!$A:$M,5,FALSE)</f>
        <v>TARTINEUR ACIDULE COLLECTION COULEUR 2.9</v>
      </c>
      <c r="Q236" s="90">
        <v>9648</v>
      </c>
      <c r="R236" s="93">
        <v>0.29499999999999998</v>
      </c>
      <c r="S236" s="94">
        <f t="shared" si="37"/>
        <v>2846.16</v>
      </c>
      <c r="T236" s="95">
        <f t="shared" si="38"/>
        <v>26806.326000000005</v>
      </c>
      <c r="U236" s="138"/>
      <c r="V236" s="96">
        <f t="shared" si="39"/>
        <v>26806.326000000005</v>
      </c>
      <c r="W236" s="4">
        <f>VLOOKUP(O236,[1]Feuil2!$A:$M,6,FALSE)</f>
        <v>144</v>
      </c>
      <c r="X236" s="5">
        <f>VLOOKUP(O236,[1]Feuil2!$A:$M,13,FALSE)</f>
        <v>1.312E-2</v>
      </c>
      <c r="Y236" s="6">
        <f t="shared" si="40"/>
        <v>0.87903999999999993</v>
      </c>
      <c r="Z236" s="97">
        <f t="shared" si="41"/>
        <v>18.820402750000003</v>
      </c>
      <c r="AA236" s="69" t="s">
        <v>57</v>
      </c>
      <c r="AB236" s="90" t="s">
        <v>48</v>
      </c>
      <c r="AC236" s="129" t="s">
        <v>55</v>
      </c>
      <c r="AD236" s="21" t="s">
        <v>57</v>
      </c>
      <c r="AE236" s="20">
        <v>45814</v>
      </c>
      <c r="AF236" s="21" t="s">
        <v>299</v>
      </c>
      <c r="AG236" s="21"/>
      <c r="AH236" s="98"/>
      <c r="AI236" s="135">
        <v>45772</v>
      </c>
      <c r="AJ236" s="145">
        <f t="shared" si="42"/>
        <v>57</v>
      </c>
      <c r="AK236" s="100">
        <f>VLOOKUP(AP236,'[3]CONTENEUR PLEIN'!$F:$L,3,FALSE)</f>
        <v>45829</v>
      </c>
      <c r="AL236" s="99">
        <f>VLOOKUP(AP236,'[3]CONTENEUR PLEIN'!$F:$L,5,FALSE)</f>
        <v>45882</v>
      </c>
      <c r="AM236" s="18">
        <f>VLOOKUP(AP236,'[3]CONTENEUR PLEIN'!$F:$L,7,FALSE)</f>
        <v>45890.291666666664</v>
      </c>
      <c r="AN236" s="90" t="s">
        <v>63</v>
      </c>
      <c r="AO236" s="129" t="s">
        <v>307</v>
      </c>
      <c r="AP236" s="129" t="s">
        <v>306</v>
      </c>
      <c r="AQ236" s="129" t="s">
        <v>308</v>
      </c>
      <c r="AR236" s="129" t="e">
        <f>VLOOKUP(AP236,'[2]CONTENEUR PLEIN'!$F:$L,2,FALSE)</f>
        <v>#N/A</v>
      </c>
      <c r="AS236" s="129" t="s">
        <v>51</v>
      </c>
      <c r="AT236" s="98"/>
    </row>
    <row r="237" spans="1:47" s="72" customFormat="1" hidden="1" x14ac:dyDescent="0.25">
      <c r="A237" s="71"/>
      <c r="B237" s="88" t="s">
        <v>45</v>
      </c>
      <c r="C237" s="89">
        <v>45665</v>
      </c>
      <c r="D237" s="90">
        <v>25004</v>
      </c>
      <c r="E237" s="91" t="s">
        <v>127</v>
      </c>
      <c r="F237" s="90">
        <v>2412231105</v>
      </c>
      <c r="G237" s="90" t="s">
        <v>74</v>
      </c>
      <c r="H237" s="90" t="s">
        <v>125</v>
      </c>
      <c r="I237" s="90" t="s">
        <v>49</v>
      </c>
      <c r="J237" s="90" t="s">
        <v>46</v>
      </c>
      <c r="K237" s="8" t="s">
        <v>420</v>
      </c>
      <c r="L237" s="89">
        <v>45841</v>
      </c>
      <c r="M237" s="381">
        <f t="shared" si="36"/>
        <v>7</v>
      </c>
      <c r="N237" s="98" t="s">
        <v>62</v>
      </c>
      <c r="O237" s="92">
        <v>31260023</v>
      </c>
      <c r="P237" s="24" t="str">
        <f>VLOOKUP(O237,[1]Feuil2!$A:$M,5,FALSE)</f>
        <v>M16 COTTAGE IVOIRE P1013 BOITE TB COLLECTION</v>
      </c>
      <c r="Q237" s="90">
        <f>1002-342</f>
        <v>660</v>
      </c>
      <c r="R237" s="93">
        <v>3.56</v>
      </c>
      <c r="S237" s="94">
        <f t="shared" si="37"/>
        <v>2349.6</v>
      </c>
      <c r="T237" s="95">
        <f t="shared" si="38"/>
        <v>26806.326000000005</v>
      </c>
      <c r="U237" s="138"/>
      <c r="V237" s="96">
        <f t="shared" si="39"/>
        <v>26806.326000000005</v>
      </c>
      <c r="W237" s="4">
        <f>VLOOKUP(O237,[1]Feuil2!$A:$M,6,FALSE)</f>
        <v>6</v>
      </c>
      <c r="X237" s="5">
        <f>VLOOKUP(O237,[1]Feuil2!$A:$M,13,FALSE)</f>
        <v>2.5920000000000002E-2</v>
      </c>
      <c r="Y237" s="6">
        <f t="shared" si="40"/>
        <v>2.8512000000000004</v>
      </c>
      <c r="Z237" s="97">
        <f t="shared" si="41"/>
        <v>18.820402750000003</v>
      </c>
      <c r="AA237" s="69" t="s">
        <v>57</v>
      </c>
      <c r="AB237" s="90" t="s">
        <v>48</v>
      </c>
      <c r="AC237" s="129" t="s">
        <v>55</v>
      </c>
      <c r="AD237" s="21" t="s">
        <v>57</v>
      </c>
      <c r="AE237" s="20">
        <v>45786</v>
      </c>
      <c r="AF237" s="21" t="s">
        <v>255</v>
      </c>
      <c r="AG237" s="21"/>
      <c r="AH237" s="98"/>
      <c r="AI237" s="135">
        <v>45772</v>
      </c>
      <c r="AJ237" s="145">
        <f t="shared" si="42"/>
        <v>57</v>
      </c>
      <c r="AK237" s="100">
        <f>VLOOKUP(AP237,'[3]CONTENEUR PLEIN'!$F:$L,3,FALSE)</f>
        <v>45829</v>
      </c>
      <c r="AL237" s="99">
        <f>VLOOKUP(AP237,'[3]CONTENEUR PLEIN'!$F:$L,5,FALSE)</f>
        <v>45882</v>
      </c>
      <c r="AM237" s="18">
        <f>VLOOKUP(AP237,'[3]CONTENEUR PLEIN'!$F:$L,7,FALSE)</f>
        <v>45890.291666666664</v>
      </c>
      <c r="AN237" s="90" t="s">
        <v>63</v>
      </c>
      <c r="AO237" s="129" t="s">
        <v>307</v>
      </c>
      <c r="AP237" s="129" t="s">
        <v>306</v>
      </c>
      <c r="AQ237" s="129" t="s">
        <v>308</v>
      </c>
      <c r="AR237" s="129" t="e">
        <f>VLOOKUP(AP237,'[2]CONTENEUR PLEIN'!$F:$L,2,FALSE)</f>
        <v>#N/A</v>
      </c>
      <c r="AS237" s="129" t="s">
        <v>51</v>
      </c>
      <c r="AT237" s="98"/>
    </row>
    <row r="238" spans="1:47" s="72" customFormat="1" hidden="1" x14ac:dyDescent="0.25">
      <c r="A238" s="71"/>
      <c r="B238" s="88" t="s">
        <v>45</v>
      </c>
      <c r="C238" s="89">
        <v>45665</v>
      </c>
      <c r="D238" s="90">
        <v>25004</v>
      </c>
      <c r="E238" s="91" t="s">
        <v>127</v>
      </c>
      <c r="F238" s="90">
        <v>2412231105</v>
      </c>
      <c r="G238" s="90" t="s">
        <v>74</v>
      </c>
      <c r="H238" s="90" t="s">
        <v>125</v>
      </c>
      <c r="I238" s="90" t="s">
        <v>49</v>
      </c>
      <c r="J238" s="90" t="s">
        <v>46</v>
      </c>
      <c r="K238" s="16" t="s">
        <v>390</v>
      </c>
      <c r="L238" s="89">
        <v>45841</v>
      </c>
      <c r="M238" s="381">
        <f t="shared" si="36"/>
        <v>7</v>
      </c>
      <c r="N238" s="98" t="s">
        <v>62</v>
      </c>
      <c r="O238" s="92">
        <v>31260023</v>
      </c>
      <c r="P238" s="24" t="str">
        <f>VLOOKUP(O238,[1]Feuil2!$A:$M,5,FALSE)</f>
        <v>M16 COTTAGE IVOIRE P1013 BOITE TB COLLECTION</v>
      </c>
      <c r="Q238" s="90">
        <v>342</v>
      </c>
      <c r="R238" s="93">
        <v>3.56</v>
      </c>
      <c r="S238" s="94">
        <f t="shared" si="37"/>
        <v>1217.52</v>
      </c>
      <c r="T238" s="95">
        <f t="shared" si="38"/>
        <v>26806.326000000005</v>
      </c>
      <c r="U238" s="138"/>
      <c r="V238" s="96">
        <f t="shared" si="39"/>
        <v>26806.326000000005</v>
      </c>
      <c r="W238" s="4">
        <f>VLOOKUP(O238,[1]Feuil2!$A:$M,6,FALSE)</f>
        <v>6</v>
      </c>
      <c r="X238" s="5">
        <f>VLOOKUP(O238,[1]Feuil2!$A:$M,13,FALSE)</f>
        <v>2.5920000000000002E-2</v>
      </c>
      <c r="Y238" s="6">
        <f t="shared" ref="Y238:Y269" si="43">(Q238/W238)*X238</f>
        <v>1.4774400000000001</v>
      </c>
      <c r="Z238" s="97">
        <f t="shared" si="41"/>
        <v>18.820402750000003</v>
      </c>
      <c r="AA238" s="69" t="s">
        <v>57</v>
      </c>
      <c r="AB238" s="90" t="s">
        <v>48</v>
      </c>
      <c r="AC238" s="129" t="s">
        <v>55</v>
      </c>
      <c r="AD238" s="21" t="s">
        <v>57</v>
      </c>
      <c r="AE238" s="20">
        <v>45786</v>
      </c>
      <c r="AF238" s="21" t="s">
        <v>255</v>
      </c>
      <c r="AG238" s="21"/>
      <c r="AH238" s="98"/>
      <c r="AI238" s="135">
        <v>45772</v>
      </c>
      <c r="AJ238" s="145">
        <f t="shared" si="42"/>
        <v>48</v>
      </c>
      <c r="AK238" s="100">
        <f>VLOOKUP(AP238,'[3]CONTENEUR PLEIN'!$F:$L,3,FALSE)</f>
        <v>45820</v>
      </c>
      <c r="AL238" s="99">
        <f>VLOOKUP(AP238,'[3]CONTENEUR PLEIN'!$F:$L,5,FALSE)</f>
        <v>45870</v>
      </c>
      <c r="AM238" s="18">
        <f>VLOOKUP(AP238,'[3]CONTENEUR PLEIN'!$F:$L,7,FALSE)</f>
        <v>45883.291666666664</v>
      </c>
      <c r="AN238" s="90" t="s">
        <v>63</v>
      </c>
      <c r="AO238" s="129" t="s">
        <v>290</v>
      </c>
      <c r="AP238" s="129" t="s">
        <v>291</v>
      </c>
      <c r="AQ238" s="129" t="s">
        <v>292</v>
      </c>
      <c r="AR238" s="129" t="e">
        <f>VLOOKUP(AP238,'[2]CONTENEUR PLEIN'!$F:$L,2,FALSE)</f>
        <v>#N/A</v>
      </c>
      <c r="AS238" s="129" t="s">
        <v>51</v>
      </c>
      <c r="AT238" s="98"/>
    </row>
    <row r="239" spans="1:47" s="72" customFormat="1" hidden="1" x14ac:dyDescent="0.25">
      <c r="A239" s="71"/>
      <c r="B239" s="88" t="s">
        <v>45</v>
      </c>
      <c r="C239" s="89">
        <v>45665</v>
      </c>
      <c r="D239" s="90">
        <v>25004</v>
      </c>
      <c r="E239" s="91" t="s">
        <v>127</v>
      </c>
      <c r="F239" s="90">
        <v>2412231105</v>
      </c>
      <c r="G239" s="90" t="s">
        <v>74</v>
      </c>
      <c r="H239" s="90" t="s">
        <v>125</v>
      </c>
      <c r="I239" s="90" t="s">
        <v>49</v>
      </c>
      <c r="J239" s="90" t="s">
        <v>46</v>
      </c>
      <c r="K239" s="16" t="s">
        <v>387</v>
      </c>
      <c r="L239" s="89">
        <v>45826</v>
      </c>
      <c r="M239" s="381">
        <f t="shared" si="36"/>
        <v>6</v>
      </c>
      <c r="N239" s="98" t="s">
        <v>49</v>
      </c>
      <c r="O239" s="92">
        <v>21630002</v>
      </c>
      <c r="P239" s="24" t="str">
        <f>VLOOKUP(O239,[1]Feuil2!$A:$M,5,FALSE)</f>
        <v>COUTEAU MANDOLINE VRAC + GENCOD</v>
      </c>
      <c r="Q239" s="90">
        <v>1296</v>
      </c>
      <c r="R239" s="93">
        <v>0.496</v>
      </c>
      <c r="S239" s="94">
        <f t="shared" si="37"/>
        <v>642.81600000000003</v>
      </c>
      <c r="T239" s="95">
        <f t="shared" si="38"/>
        <v>26806.326000000005</v>
      </c>
      <c r="U239" s="138"/>
      <c r="V239" s="96">
        <f t="shared" si="39"/>
        <v>26806.326000000005</v>
      </c>
      <c r="W239" s="4">
        <f>VLOOKUP(O239,[1]Feuil2!$A:$M,6,FALSE)</f>
        <v>144</v>
      </c>
      <c r="X239" s="5">
        <f>VLOOKUP(O239,[1]Feuil2!$A:$M,13,FALSE)</f>
        <v>1.4044999999999998E-2</v>
      </c>
      <c r="Y239" s="6">
        <f t="shared" si="43"/>
        <v>0.12640499999999999</v>
      </c>
      <c r="Z239" s="97">
        <f t="shared" si="41"/>
        <v>18.820402750000003</v>
      </c>
      <c r="AA239" s="69" t="s">
        <v>57</v>
      </c>
      <c r="AB239" s="90" t="s">
        <v>48</v>
      </c>
      <c r="AC239" s="129" t="s">
        <v>55</v>
      </c>
      <c r="AD239" s="21" t="s">
        <v>57</v>
      </c>
      <c r="AE239" s="20">
        <v>45786</v>
      </c>
      <c r="AF239" s="21" t="s">
        <v>249</v>
      </c>
      <c r="AG239" s="21"/>
      <c r="AH239" s="98"/>
      <c r="AI239" s="135">
        <v>45772</v>
      </c>
      <c r="AJ239" s="145">
        <f t="shared" si="42"/>
        <v>43</v>
      </c>
      <c r="AK239" s="100">
        <f>VLOOKUP(AP239,'[3]CONTENEUR PLEIN'!$F:$L,3,FALSE)</f>
        <v>45815</v>
      </c>
      <c r="AL239" s="99">
        <f>VLOOKUP(AP239,'[3]CONTENEUR PLEIN'!$F:$L,5,FALSE)</f>
        <v>45863</v>
      </c>
      <c r="AM239" s="18">
        <f>VLOOKUP(AP239,'[3]CONTENEUR PLEIN'!$F:$L,7,FALSE)</f>
        <v>45869.291666666664</v>
      </c>
      <c r="AN239" s="90" t="s">
        <v>63</v>
      </c>
      <c r="AO239" s="129" t="s">
        <v>285</v>
      </c>
      <c r="AP239" s="129" t="s">
        <v>286</v>
      </c>
      <c r="AQ239" s="129" t="s">
        <v>287</v>
      </c>
      <c r="AR239" s="129" t="e">
        <f>VLOOKUP(AP239,'[2]CONTENEUR PLEIN'!$F:$L,2,FALSE)</f>
        <v>#N/A</v>
      </c>
      <c r="AS239" s="129" t="s">
        <v>51</v>
      </c>
      <c r="AT239" s="98"/>
    </row>
    <row r="240" spans="1:47" s="72" customFormat="1" hidden="1" x14ac:dyDescent="0.25">
      <c r="A240" s="71"/>
      <c r="B240" s="88" t="s">
        <v>45</v>
      </c>
      <c r="C240" s="89">
        <v>45665</v>
      </c>
      <c r="D240" s="90">
        <v>25004</v>
      </c>
      <c r="E240" s="91" t="s">
        <v>127</v>
      </c>
      <c r="F240" s="90">
        <v>2412231105</v>
      </c>
      <c r="G240" s="90" t="s">
        <v>74</v>
      </c>
      <c r="H240" s="90" t="s">
        <v>125</v>
      </c>
      <c r="I240" s="90" t="s">
        <v>49</v>
      </c>
      <c r="J240" s="90" t="s">
        <v>46</v>
      </c>
      <c r="K240" s="16" t="s">
        <v>387</v>
      </c>
      <c r="L240" s="89">
        <v>45826</v>
      </c>
      <c r="M240" s="381">
        <f t="shared" si="36"/>
        <v>6</v>
      </c>
      <c r="N240" s="98" t="s">
        <v>62</v>
      </c>
      <c r="O240" s="92">
        <v>31750002</v>
      </c>
      <c r="P240" s="24" t="str">
        <f>VLOOKUP(O240,[1]Feuil2!$A:$M,5,FALSE)</f>
        <v>M24 STUDIO TERRACOTTA PANTONE 1807C</v>
      </c>
      <c r="Q240" s="90">
        <v>1002</v>
      </c>
      <c r="R240" s="93">
        <v>2.5350000000000001</v>
      </c>
      <c r="S240" s="94">
        <f t="shared" si="37"/>
        <v>2540.0700000000002</v>
      </c>
      <c r="T240" s="95">
        <f t="shared" si="38"/>
        <v>26806.326000000005</v>
      </c>
      <c r="U240" s="138"/>
      <c r="V240" s="96">
        <f t="shared" si="39"/>
        <v>26806.326000000005</v>
      </c>
      <c r="W240" s="4">
        <f>VLOOKUP(O240,[1]Feuil2!$A:$M,6,FALSE)</f>
        <v>6</v>
      </c>
      <c r="X240" s="5">
        <f>VLOOKUP(O240,[1]Feuil2!$A:$M,13,FALSE)</f>
        <v>1.3500000000000002E-2</v>
      </c>
      <c r="Y240" s="6">
        <f t="shared" si="43"/>
        <v>2.2545000000000002</v>
      </c>
      <c r="Z240" s="97">
        <f t="shared" si="41"/>
        <v>18.820402750000003</v>
      </c>
      <c r="AA240" s="69" t="s">
        <v>57</v>
      </c>
      <c r="AB240" s="90" t="s">
        <v>48</v>
      </c>
      <c r="AC240" s="129" t="s">
        <v>55</v>
      </c>
      <c r="AD240" s="21" t="s">
        <v>57</v>
      </c>
      <c r="AE240" s="20">
        <v>45786</v>
      </c>
      <c r="AF240" s="47" t="s">
        <v>250</v>
      </c>
      <c r="AG240" s="21"/>
      <c r="AH240" s="98"/>
      <c r="AI240" s="135">
        <v>45772</v>
      </c>
      <c r="AJ240" s="145">
        <f t="shared" si="42"/>
        <v>43</v>
      </c>
      <c r="AK240" s="100">
        <f>VLOOKUP(AP240,'[3]CONTENEUR PLEIN'!$F:$L,3,FALSE)</f>
        <v>45815</v>
      </c>
      <c r="AL240" s="99">
        <f>VLOOKUP(AP240,'[3]CONTENEUR PLEIN'!$F:$L,5,FALSE)</f>
        <v>45863</v>
      </c>
      <c r="AM240" s="18">
        <f>VLOOKUP(AP240,'[3]CONTENEUR PLEIN'!$F:$L,7,FALSE)</f>
        <v>45869.291666666664</v>
      </c>
      <c r="AN240" s="90" t="s">
        <v>63</v>
      </c>
      <c r="AO240" s="129" t="s">
        <v>285</v>
      </c>
      <c r="AP240" s="129" t="s">
        <v>286</v>
      </c>
      <c r="AQ240" s="129" t="s">
        <v>287</v>
      </c>
      <c r="AR240" s="129" t="e">
        <f>VLOOKUP(AP240,'[2]CONTENEUR PLEIN'!$F:$L,2,FALSE)</f>
        <v>#N/A</v>
      </c>
      <c r="AS240" s="129" t="s">
        <v>51</v>
      </c>
      <c r="AT240" s="98"/>
    </row>
    <row r="241" spans="1:47" s="72" customFormat="1" hidden="1" x14ac:dyDescent="0.25">
      <c r="A241" s="71"/>
      <c r="B241" s="88" t="s">
        <v>45</v>
      </c>
      <c r="C241" s="89">
        <v>45665</v>
      </c>
      <c r="D241" s="90">
        <v>25004</v>
      </c>
      <c r="E241" s="91" t="s">
        <v>127</v>
      </c>
      <c r="F241" s="90">
        <v>2412231105</v>
      </c>
      <c r="G241" s="90" t="s">
        <v>74</v>
      </c>
      <c r="H241" s="90" t="s">
        <v>125</v>
      </c>
      <c r="I241" s="90" t="s">
        <v>49</v>
      </c>
      <c r="J241" s="90" t="s">
        <v>46</v>
      </c>
      <c r="K241" s="16" t="s">
        <v>387</v>
      </c>
      <c r="L241" s="89">
        <v>45826</v>
      </c>
      <c r="M241" s="381">
        <f t="shared" si="36"/>
        <v>6</v>
      </c>
      <c r="N241" s="98" t="s">
        <v>62</v>
      </c>
      <c r="O241" s="92">
        <v>32210003</v>
      </c>
      <c r="P241" s="24" t="str">
        <f>VLOOKUP(O241,[1]Feuil2!$A:$M,5,FALSE)</f>
        <v>CUILLERE OPEN UNI COLOR BLEU 2180C CARREFOUR HOME</v>
      </c>
      <c r="Q241" s="90">
        <v>5280</v>
      </c>
      <c r="R241" s="93">
        <v>0.2</v>
      </c>
      <c r="S241" s="94">
        <f t="shared" si="37"/>
        <v>1056</v>
      </c>
      <c r="T241" s="95">
        <f t="shared" si="38"/>
        <v>26806.326000000005</v>
      </c>
      <c r="U241" s="138"/>
      <c r="V241" s="96">
        <f t="shared" si="39"/>
        <v>26806.326000000005</v>
      </c>
      <c r="W241" s="4">
        <f>VLOOKUP(O241,[1]Feuil2!$A:$M,6,FALSE)</f>
        <v>240</v>
      </c>
      <c r="X241" s="5">
        <f>VLOOKUP(O241,[1]Feuil2!$A:$M,13,FALSE)</f>
        <v>2.9183999999999998E-2</v>
      </c>
      <c r="Y241" s="6">
        <f t="shared" si="43"/>
        <v>0.64204799999999995</v>
      </c>
      <c r="Z241" s="97">
        <f t="shared" si="41"/>
        <v>18.820402750000003</v>
      </c>
      <c r="AA241" s="69" t="s">
        <v>57</v>
      </c>
      <c r="AB241" s="90" t="s">
        <v>48</v>
      </c>
      <c r="AC241" s="129" t="s">
        <v>55</v>
      </c>
      <c r="AD241" s="21" t="s">
        <v>57</v>
      </c>
      <c r="AE241" s="20">
        <v>45786</v>
      </c>
      <c r="AF241" s="21" t="s">
        <v>254</v>
      </c>
      <c r="AG241" s="21"/>
      <c r="AH241" s="98"/>
      <c r="AI241" s="135">
        <v>45772</v>
      </c>
      <c r="AJ241" s="145">
        <f t="shared" si="42"/>
        <v>43</v>
      </c>
      <c r="AK241" s="100">
        <f>VLOOKUP(AP241,'[3]CONTENEUR PLEIN'!$F:$L,3,FALSE)</f>
        <v>45815</v>
      </c>
      <c r="AL241" s="99">
        <f>VLOOKUP(AP241,'[3]CONTENEUR PLEIN'!$F:$L,5,FALSE)</f>
        <v>45863</v>
      </c>
      <c r="AM241" s="18">
        <f>VLOOKUP(AP241,'[3]CONTENEUR PLEIN'!$F:$L,7,FALSE)</f>
        <v>45869.291666666664</v>
      </c>
      <c r="AN241" s="90" t="s">
        <v>63</v>
      </c>
      <c r="AO241" s="129" t="s">
        <v>285</v>
      </c>
      <c r="AP241" s="129" t="s">
        <v>286</v>
      </c>
      <c r="AQ241" s="129" t="s">
        <v>287</v>
      </c>
      <c r="AR241" s="129" t="e">
        <f>VLOOKUP(AP241,'[2]CONTENEUR PLEIN'!$F:$L,2,FALSE)</f>
        <v>#N/A</v>
      </c>
      <c r="AS241" s="129" t="s">
        <v>51</v>
      </c>
      <c r="AT241" s="98"/>
    </row>
    <row r="242" spans="1:47" s="72" customFormat="1" hidden="1" x14ac:dyDescent="0.25">
      <c r="A242" s="71"/>
      <c r="B242" s="88" t="s">
        <v>45</v>
      </c>
      <c r="C242" s="89">
        <v>45665</v>
      </c>
      <c r="D242" s="90">
        <v>25004</v>
      </c>
      <c r="E242" s="91" t="s">
        <v>127</v>
      </c>
      <c r="F242" s="90">
        <v>2412231105</v>
      </c>
      <c r="G242" s="90" t="s">
        <v>74</v>
      </c>
      <c r="H242" s="90" t="s">
        <v>125</v>
      </c>
      <c r="I242" s="90" t="s">
        <v>49</v>
      </c>
      <c r="J242" s="90" t="s">
        <v>46</v>
      </c>
      <c r="K242" s="16" t="s">
        <v>387</v>
      </c>
      <c r="L242" s="89">
        <v>45826</v>
      </c>
      <c r="M242" s="381">
        <f t="shared" si="36"/>
        <v>6</v>
      </c>
      <c r="N242" s="98" t="s">
        <v>62</v>
      </c>
      <c r="O242" s="92">
        <v>32210004</v>
      </c>
      <c r="P242" s="24" t="str">
        <f>VLOOKUP(O242,[1]Feuil2!$A:$M,5,FALSE)</f>
        <v>CAFE OPEN UNI COLOR BLEU 2180C CARREFOUR HOME</v>
      </c>
      <c r="Q242" s="90">
        <v>9360</v>
      </c>
      <c r="R242" s="93">
        <v>0.16500000000000001</v>
      </c>
      <c r="S242" s="94">
        <f t="shared" si="37"/>
        <v>1544.4</v>
      </c>
      <c r="T242" s="95">
        <f t="shared" si="38"/>
        <v>26806.326000000005</v>
      </c>
      <c r="U242" s="138"/>
      <c r="V242" s="96">
        <f t="shared" si="39"/>
        <v>26806.326000000005</v>
      </c>
      <c r="W242" s="4">
        <f>VLOOKUP(O242,[1]Feuil2!$A:$M,6,FALSE)</f>
        <v>240</v>
      </c>
      <c r="X242" s="5">
        <f>VLOOKUP(O242,[1]Feuil2!$A:$M,13,FALSE)</f>
        <v>2.052E-2</v>
      </c>
      <c r="Y242" s="6">
        <f t="shared" si="43"/>
        <v>0.80027999999999999</v>
      </c>
      <c r="Z242" s="97">
        <f t="shared" si="41"/>
        <v>18.820402750000003</v>
      </c>
      <c r="AA242" s="69" t="s">
        <v>57</v>
      </c>
      <c r="AB242" s="92" t="s">
        <v>48</v>
      </c>
      <c r="AC242" s="129" t="s">
        <v>55</v>
      </c>
      <c r="AD242" s="21" t="s">
        <v>57</v>
      </c>
      <c r="AE242" s="20">
        <v>45786</v>
      </c>
      <c r="AF242" s="21" t="s">
        <v>251</v>
      </c>
      <c r="AG242" s="21"/>
      <c r="AH242" s="98"/>
      <c r="AI242" s="135">
        <v>45772</v>
      </c>
      <c r="AJ242" s="145">
        <f t="shared" si="42"/>
        <v>43</v>
      </c>
      <c r="AK242" s="100">
        <f>VLOOKUP(AP242,'[3]CONTENEUR PLEIN'!$F:$L,3,FALSE)</f>
        <v>45815</v>
      </c>
      <c r="AL242" s="99">
        <f>VLOOKUP(AP242,'[3]CONTENEUR PLEIN'!$F:$L,5,FALSE)</f>
        <v>45863</v>
      </c>
      <c r="AM242" s="18">
        <f>VLOOKUP(AP242,'[3]CONTENEUR PLEIN'!$F:$L,7,FALSE)</f>
        <v>45869.291666666664</v>
      </c>
      <c r="AN242" s="90" t="s">
        <v>63</v>
      </c>
      <c r="AO242" s="129" t="s">
        <v>285</v>
      </c>
      <c r="AP242" s="129" t="s">
        <v>286</v>
      </c>
      <c r="AQ242" s="129" t="s">
        <v>287</v>
      </c>
      <c r="AR242" s="129" t="e">
        <f>VLOOKUP(AP242,'[2]CONTENEUR PLEIN'!$F:$L,2,FALSE)</f>
        <v>#N/A</v>
      </c>
      <c r="AS242" s="129" t="s">
        <v>51</v>
      </c>
      <c r="AT242" s="98"/>
      <c r="AU242" s="166"/>
    </row>
    <row r="243" spans="1:47" s="72" customFormat="1" hidden="1" x14ac:dyDescent="0.25">
      <c r="A243" s="71"/>
      <c r="B243" s="88" t="s">
        <v>45</v>
      </c>
      <c r="C243" s="89">
        <v>45665</v>
      </c>
      <c r="D243" s="90">
        <v>25004</v>
      </c>
      <c r="E243" s="91" t="s">
        <v>127</v>
      </c>
      <c r="F243" s="90">
        <v>2412231105</v>
      </c>
      <c r="G243" s="90" t="s">
        <v>74</v>
      </c>
      <c r="H243" s="90" t="s">
        <v>125</v>
      </c>
      <c r="I243" s="90" t="s">
        <v>49</v>
      </c>
      <c r="J243" s="90" t="s">
        <v>46</v>
      </c>
      <c r="K243" s="16" t="s">
        <v>387</v>
      </c>
      <c r="L243" s="89">
        <v>45826</v>
      </c>
      <c r="M243" s="381">
        <f t="shared" si="36"/>
        <v>6</v>
      </c>
      <c r="N243" s="98" t="s">
        <v>62</v>
      </c>
      <c r="O243" s="92">
        <v>32210006</v>
      </c>
      <c r="P243" s="24" t="str">
        <f>VLOOKUP(O243,[1]Feuil2!$A:$M,5,FALSE)</f>
        <v>FOURCHETTE OPEN UNI COLOR GRIS BLEUTE 432C CARREFOUR HOME</v>
      </c>
      <c r="Q243" s="90">
        <v>12000</v>
      </c>
      <c r="R243" s="93">
        <v>0.189</v>
      </c>
      <c r="S243" s="94">
        <f t="shared" si="37"/>
        <v>2268</v>
      </c>
      <c r="T243" s="95">
        <f t="shared" si="38"/>
        <v>26806.326000000005</v>
      </c>
      <c r="U243" s="138"/>
      <c r="V243" s="96">
        <f t="shared" si="39"/>
        <v>26806.326000000005</v>
      </c>
      <c r="W243" s="4">
        <f>VLOOKUP(O243,[1]Feuil2!$A:$M,6,FALSE)</f>
        <v>240</v>
      </c>
      <c r="X243" s="5">
        <f>VLOOKUP(O243,[1]Feuil2!$A:$M,13,FALSE)</f>
        <v>3.2300000000000002E-2</v>
      </c>
      <c r="Y243" s="6">
        <f t="shared" si="43"/>
        <v>1.6150000000000002</v>
      </c>
      <c r="Z243" s="97">
        <f t="shared" si="41"/>
        <v>18.820402750000003</v>
      </c>
      <c r="AA243" s="69" t="s">
        <v>57</v>
      </c>
      <c r="AB243" s="92" t="s">
        <v>48</v>
      </c>
      <c r="AC243" s="129" t="s">
        <v>55</v>
      </c>
      <c r="AD243" s="21" t="s">
        <v>57</v>
      </c>
      <c r="AE243" s="20">
        <v>45786</v>
      </c>
      <c r="AF243" s="21" t="s">
        <v>252</v>
      </c>
      <c r="AG243" s="21"/>
      <c r="AH243" s="102" t="s">
        <v>426</v>
      </c>
      <c r="AI243" s="135">
        <v>45772</v>
      </c>
      <c r="AJ243" s="145">
        <f t="shared" si="42"/>
        <v>43</v>
      </c>
      <c r="AK243" s="100">
        <f>VLOOKUP(AP243,'[3]CONTENEUR PLEIN'!$F:$L,3,FALSE)</f>
        <v>45815</v>
      </c>
      <c r="AL243" s="99">
        <f>VLOOKUP(AP243,'[3]CONTENEUR PLEIN'!$F:$L,5,FALSE)</f>
        <v>45863</v>
      </c>
      <c r="AM243" s="18">
        <f>VLOOKUP(AP243,'[3]CONTENEUR PLEIN'!$F:$L,7,FALSE)</f>
        <v>45869.291666666664</v>
      </c>
      <c r="AN243" s="90" t="s">
        <v>63</v>
      </c>
      <c r="AO243" s="129" t="s">
        <v>285</v>
      </c>
      <c r="AP243" s="129" t="s">
        <v>286</v>
      </c>
      <c r="AQ243" s="129" t="s">
        <v>287</v>
      </c>
      <c r="AR243" s="129" t="e">
        <f>VLOOKUP(AP243,'[2]CONTENEUR PLEIN'!$F:$L,2,FALSE)</f>
        <v>#N/A</v>
      </c>
      <c r="AS243" s="129" t="s">
        <v>51</v>
      </c>
      <c r="AT243" s="98"/>
    </row>
    <row r="244" spans="1:47" s="72" customFormat="1" hidden="1" x14ac:dyDescent="0.25">
      <c r="A244" s="71"/>
      <c r="B244" s="88" t="s">
        <v>45</v>
      </c>
      <c r="C244" s="89">
        <v>45665</v>
      </c>
      <c r="D244" s="90">
        <v>25004</v>
      </c>
      <c r="E244" s="91" t="s">
        <v>127</v>
      </c>
      <c r="F244" s="90">
        <v>2412231105</v>
      </c>
      <c r="G244" s="90" t="s">
        <v>74</v>
      </c>
      <c r="H244" s="90" t="s">
        <v>125</v>
      </c>
      <c r="I244" s="90" t="s">
        <v>49</v>
      </c>
      <c r="J244" s="90" t="s">
        <v>46</v>
      </c>
      <c r="K244" s="16" t="s">
        <v>387</v>
      </c>
      <c r="L244" s="89">
        <v>45826</v>
      </c>
      <c r="M244" s="381">
        <f t="shared" si="36"/>
        <v>6</v>
      </c>
      <c r="N244" s="98" t="s">
        <v>62</v>
      </c>
      <c r="O244" s="92">
        <v>32210009</v>
      </c>
      <c r="P244" s="24" t="str">
        <f>VLOOKUP(O244,[1]Feuil2!$A:$M,5,FALSE)</f>
        <v>COUTEAU OPEN UNI COLOR ROUGE 3517C CARREFOUR HOME</v>
      </c>
      <c r="Q244" s="90">
        <v>3120</v>
      </c>
      <c r="R244" s="93">
        <v>0.191</v>
      </c>
      <c r="S244" s="94">
        <f t="shared" si="37"/>
        <v>595.91999999999996</v>
      </c>
      <c r="T244" s="95">
        <f t="shared" si="38"/>
        <v>26806.326000000005</v>
      </c>
      <c r="U244" s="138"/>
      <c r="V244" s="96">
        <f t="shared" si="39"/>
        <v>26806.326000000005</v>
      </c>
      <c r="W244" s="4">
        <f>VLOOKUP(O244,[1]Feuil2!$A:$M,6,FALSE)</f>
        <v>240</v>
      </c>
      <c r="X244" s="5">
        <f>VLOOKUP(O244,[1]Feuil2!$A:$M,13,FALSE)</f>
        <v>2.6125000000000002E-2</v>
      </c>
      <c r="Y244" s="6">
        <f t="shared" si="43"/>
        <v>0.33962500000000001</v>
      </c>
      <c r="Z244" s="97">
        <f t="shared" si="41"/>
        <v>18.820402750000003</v>
      </c>
      <c r="AA244" s="69" t="s">
        <v>57</v>
      </c>
      <c r="AB244" s="90" t="s">
        <v>48</v>
      </c>
      <c r="AC244" s="129" t="s">
        <v>55</v>
      </c>
      <c r="AD244" s="21" t="s">
        <v>57</v>
      </c>
      <c r="AE244" s="20">
        <v>45786</v>
      </c>
      <c r="AF244" s="47" t="s">
        <v>253</v>
      </c>
      <c r="AG244" s="21"/>
      <c r="AH244" s="102" t="s">
        <v>427</v>
      </c>
      <c r="AI244" s="135">
        <v>45772</v>
      </c>
      <c r="AJ244" s="145">
        <f t="shared" si="42"/>
        <v>43</v>
      </c>
      <c r="AK244" s="100">
        <f>VLOOKUP(AP244,'[3]CONTENEUR PLEIN'!$F:$L,3,FALSE)</f>
        <v>45815</v>
      </c>
      <c r="AL244" s="99">
        <f>VLOOKUP(AP244,'[3]CONTENEUR PLEIN'!$F:$L,5,FALSE)</f>
        <v>45863</v>
      </c>
      <c r="AM244" s="18">
        <f>VLOOKUP(AP244,'[3]CONTENEUR PLEIN'!$F:$L,7,FALSE)</f>
        <v>45869.291666666664</v>
      </c>
      <c r="AN244" s="90" t="s">
        <v>63</v>
      </c>
      <c r="AO244" s="129" t="s">
        <v>285</v>
      </c>
      <c r="AP244" s="129" t="s">
        <v>286</v>
      </c>
      <c r="AQ244" s="129" t="s">
        <v>287</v>
      </c>
      <c r="AR244" s="129" t="e">
        <f>VLOOKUP(AP244,'[2]CONTENEUR PLEIN'!$F:$L,2,FALSE)</f>
        <v>#N/A</v>
      </c>
      <c r="AS244" s="129" t="s">
        <v>51</v>
      </c>
      <c r="AT244" s="98"/>
    </row>
    <row r="245" spans="1:47" s="72" customFormat="1" hidden="1" x14ac:dyDescent="0.25">
      <c r="A245" s="71"/>
      <c r="B245" s="88" t="s">
        <v>45</v>
      </c>
      <c r="C245" s="89">
        <v>45665</v>
      </c>
      <c r="D245" s="90">
        <v>25004</v>
      </c>
      <c r="E245" s="91" t="s">
        <v>127</v>
      </c>
      <c r="F245" s="90">
        <v>2412231105</v>
      </c>
      <c r="G245" s="90" t="s">
        <v>74</v>
      </c>
      <c r="H245" s="90" t="s">
        <v>125</v>
      </c>
      <c r="I245" s="90" t="s">
        <v>49</v>
      </c>
      <c r="J245" s="90" t="s">
        <v>46</v>
      </c>
      <c r="K245" s="16" t="s">
        <v>349</v>
      </c>
      <c r="L245" s="89">
        <v>45790</v>
      </c>
      <c r="M245" s="381">
        <f t="shared" si="36"/>
        <v>5</v>
      </c>
      <c r="N245" s="98" t="s">
        <v>49</v>
      </c>
      <c r="O245" s="92">
        <v>430524</v>
      </c>
      <c r="P245" s="24" t="str">
        <f>VLOOKUP(O245,[1]Feuil2!$A:$M,5,FALSE)</f>
        <v>COUTEAU AMANDE ROUGE+GENCOD</v>
      </c>
      <c r="Q245" s="90">
        <v>8160</v>
      </c>
      <c r="R245" s="93">
        <v>0.19800000000000001</v>
      </c>
      <c r="S245" s="94">
        <f t="shared" si="37"/>
        <v>1615.68</v>
      </c>
      <c r="T245" s="95">
        <f t="shared" si="38"/>
        <v>26806.326000000005</v>
      </c>
      <c r="U245" s="138"/>
      <c r="V245" s="96">
        <f t="shared" si="39"/>
        <v>26806.326000000005</v>
      </c>
      <c r="W245" s="4">
        <f>VLOOKUP(O245,[1]Feuil2!$A:$M,6,FALSE)</f>
        <v>240</v>
      </c>
      <c r="X245" s="5">
        <f>VLOOKUP(O245,[1]Feuil2!$A:$M,13,FALSE)</f>
        <v>2.3237500000000001E-2</v>
      </c>
      <c r="Y245" s="6">
        <f t="shared" si="43"/>
        <v>0.79007500000000008</v>
      </c>
      <c r="Z245" s="97">
        <f t="shared" si="41"/>
        <v>18.820402750000003</v>
      </c>
      <c r="AA245" s="69" t="s">
        <v>57</v>
      </c>
      <c r="AB245" s="90" t="s">
        <v>48</v>
      </c>
      <c r="AC245" s="129" t="s">
        <v>55</v>
      </c>
      <c r="AD245" s="21" t="s">
        <v>57</v>
      </c>
      <c r="AE245" s="20">
        <v>45770</v>
      </c>
      <c r="AF245" s="21" t="s">
        <v>227</v>
      </c>
      <c r="AG245" s="21"/>
      <c r="AH245" s="98"/>
      <c r="AI245" s="135">
        <v>45772</v>
      </c>
      <c r="AJ245" s="145">
        <f t="shared" si="42"/>
        <v>16</v>
      </c>
      <c r="AK245" s="100">
        <f>VLOOKUP(AP245,'[3]CONTENEUR PLEIN'!$F:$L,3,FALSE)</f>
        <v>45788</v>
      </c>
      <c r="AL245" s="99">
        <f>VLOOKUP(AP245,'[3]CONTENEUR PLEIN'!$F:$L,5,FALSE)</f>
        <v>45834</v>
      </c>
      <c r="AM245" s="18">
        <f>VLOOKUP(AP245,'[3]CONTENEUR PLEIN'!$F:$L,7,FALSE)</f>
        <v>45845.291666666664</v>
      </c>
      <c r="AN245" s="90" t="s">
        <v>63</v>
      </c>
      <c r="AO245" s="129" t="s">
        <v>247</v>
      </c>
      <c r="AP245" s="129" t="s">
        <v>248</v>
      </c>
      <c r="AQ245" s="129" t="s">
        <v>263</v>
      </c>
      <c r="AR245" s="129" t="e">
        <f>VLOOKUP(AP245,'[2]CONTENEUR PLEIN'!$F:$L,2,FALSE)</f>
        <v>#N/A</v>
      </c>
      <c r="AS245" s="129" t="s">
        <v>51</v>
      </c>
      <c r="AT245" s="98"/>
    </row>
    <row r="246" spans="1:47" s="72" customFormat="1" hidden="1" x14ac:dyDescent="0.25">
      <c r="A246" s="71"/>
      <c r="B246" s="88" t="s">
        <v>45</v>
      </c>
      <c r="C246" s="89">
        <v>45665</v>
      </c>
      <c r="D246" s="90">
        <v>25004</v>
      </c>
      <c r="E246" s="91" t="s">
        <v>127</v>
      </c>
      <c r="F246" s="90">
        <v>2412231105</v>
      </c>
      <c r="G246" s="90" t="s">
        <v>74</v>
      </c>
      <c r="H246" s="90" t="s">
        <v>125</v>
      </c>
      <c r="I246" s="90" t="s">
        <v>49</v>
      </c>
      <c r="J246" s="90" t="s">
        <v>46</v>
      </c>
      <c r="K246" s="16" t="s">
        <v>349</v>
      </c>
      <c r="L246" s="89">
        <v>45790</v>
      </c>
      <c r="M246" s="381">
        <f t="shared" si="36"/>
        <v>5</v>
      </c>
      <c r="N246" s="98" t="s">
        <v>49</v>
      </c>
      <c r="O246" s="92">
        <v>430526</v>
      </c>
      <c r="P246" s="24" t="str">
        <f>VLOOKUP(O246,[1]Feuil2!$A:$M,5,FALSE)</f>
        <v>COUTEAU AMANDE ANIS+GENCOD</v>
      </c>
      <c r="Q246" s="90">
        <v>4560</v>
      </c>
      <c r="R246" s="93">
        <v>0.19800000000000001</v>
      </c>
      <c r="S246" s="94">
        <f t="shared" si="37"/>
        <v>902.88</v>
      </c>
      <c r="T246" s="95">
        <f t="shared" si="38"/>
        <v>26806.326000000005</v>
      </c>
      <c r="U246" s="138"/>
      <c r="V246" s="96">
        <f t="shared" si="39"/>
        <v>26806.326000000005</v>
      </c>
      <c r="W246" s="4">
        <f>VLOOKUP(O246,[1]Feuil2!$A:$M,6,FALSE)</f>
        <v>240</v>
      </c>
      <c r="X246" s="5">
        <f>VLOOKUP(O246,[1]Feuil2!$A:$M,13,FALSE)</f>
        <v>2.3237500000000001E-2</v>
      </c>
      <c r="Y246" s="6">
        <f t="shared" si="43"/>
        <v>0.44151250000000003</v>
      </c>
      <c r="Z246" s="97">
        <f t="shared" si="41"/>
        <v>18.820402750000003</v>
      </c>
      <c r="AA246" s="69" t="s">
        <v>57</v>
      </c>
      <c r="AB246" s="90" t="s">
        <v>48</v>
      </c>
      <c r="AC246" s="129" t="s">
        <v>55</v>
      </c>
      <c r="AD246" s="21" t="s">
        <v>57</v>
      </c>
      <c r="AE246" s="20">
        <v>45769</v>
      </c>
      <c r="AF246" s="21" t="s">
        <v>223</v>
      </c>
      <c r="AG246" s="21"/>
      <c r="AH246" s="98"/>
      <c r="AI246" s="135">
        <v>45772</v>
      </c>
      <c r="AJ246" s="145">
        <f t="shared" si="42"/>
        <v>16</v>
      </c>
      <c r="AK246" s="100">
        <f>VLOOKUP(AP246,'[3]CONTENEUR PLEIN'!$F:$L,3,FALSE)</f>
        <v>45788</v>
      </c>
      <c r="AL246" s="99">
        <f>VLOOKUP(AP246,'[3]CONTENEUR PLEIN'!$F:$L,5,FALSE)</f>
        <v>45834</v>
      </c>
      <c r="AM246" s="18">
        <f>VLOOKUP(AP246,'[3]CONTENEUR PLEIN'!$F:$L,7,FALSE)</f>
        <v>45845.291666666664</v>
      </c>
      <c r="AN246" s="90" t="s">
        <v>63</v>
      </c>
      <c r="AO246" s="129" t="s">
        <v>247</v>
      </c>
      <c r="AP246" s="129" t="s">
        <v>248</v>
      </c>
      <c r="AQ246" s="129" t="s">
        <v>263</v>
      </c>
      <c r="AR246" s="129" t="e">
        <f>VLOOKUP(AP246,'[2]CONTENEUR PLEIN'!$F:$L,2,FALSE)</f>
        <v>#N/A</v>
      </c>
      <c r="AS246" s="129" t="s">
        <v>51</v>
      </c>
      <c r="AT246" s="98"/>
    </row>
    <row r="247" spans="1:47" s="72" customFormat="1" hidden="1" x14ac:dyDescent="0.25">
      <c r="A247" s="71"/>
      <c r="B247" s="88" t="s">
        <v>45</v>
      </c>
      <c r="C247" s="89">
        <v>45665</v>
      </c>
      <c r="D247" s="90">
        <v>25004</v>
      </c>
      <c r="E247" s="91" t="s">
        <v>127</v>
      </c>
      <c r="F247" s="90">
        <v>2412231105</v>
      </c>
      <c r="G247" s="90" t="s">
        <v>74</v>
      </c>
      <c r="H247" s="90" t="s">
        <v>125</v>
      </c>
      <c r="I247" s="90" t="s">
        <v>49</v>
      </c>
      <c r="J247" s="90" t="s">
        <v>46</v>
      </c>
      <c r="K247" s="16" t="s">
        <v>349</v>
      </c>
      <c r="L247" s="89">
        <v>45790</v>
      </c>
      <c r="M247" s="381">
        <f t="shared" si="36"/>
        <v>5</v>
      </c>
      <c r="N247" s="98" t="s">
        <v>49</v>
      </c>
      <c r="O247" s="92">
        <v>430534</v>
      </c>
      <c r="P247" s="24" t="str">
        <f>VLOOKUP(O247,[1]Feuil2!$A:$M,5,FALSE)</f>
        <v>FETTE AMANDE ROUGE+GENCOD</v>
      </c>
      <c r="Q247" s="90">
        <v>8880</v>
      </c>
      <c r="R247" s="93">
        <v>0.20499999999999999</v>
      </c>
      <c r="S247" s="94">
        <f t="shared" si="37"/>
        <v>1820.3999999999999</v>
      </c>
      <c r="T247" s="95">
        <f t="shared" si="38"/>
        <v>26806.326000000005</v>
      </c>
      <c r="U247" s="138"/>
      <c r="V247" s="96">
        <f t="shared" si="39"/>
        <v>26806.326000000005</v>
      </c>
      <c r="W247" s="4">
        <f>VLOOKUP(O247,[1]Feuil2!$A:$M,6,FALSE)</f>
        <v>240</v>
      </c>
      <c r="X247" s="5">
        <f>VLOOKUP(O247,[1]Feuil2!$A:$M,13,FALSE)</f>
        <v>2.4528000000000005E-2</v>
      </c>
      <c r="Y247" s="6">
        <f t="shared" si="43"/>
        <v>0.90753600000000012</v>
      </c>
      <c r="Z247" s="97">
        <f t="shared" si="41"/>
        <v>18.820402750000003</v>
      </c>
      <c r="AA247" s="69" t="s">
        <v>57</v>
      </c>
      <c r="AB247" s="90" t="s">
        <v>48</v>
      </c>
      <c r="AC247" s="129" t="s">
        <v>55</v>
      </c>
      <c r="AD247" s="21" t="s">
        <v>57</v>
      </c>
      <c r="AE247" s="20">
        <v>45770</v>
      </c>
      <c r="AF247" s="21" t="s">
        <v>224</v>
      </c>
      <c r="AG247" s="21"/>
      <c r="AH247" s="98"/>
      <c r="AI247" s="135">
        <v>45772</v>
      </c>
      <c r="AJ247" s="145">
        <f t="shared" si="42"/>
        <v>16</v>
      </c>
      <c r="AK247" s="100">
        <f>VLOOKUP(AP247,'[3]CONTENEUR PLEIN'!$F:$L,3,FALSE)</f>
        <v>45788</v>
      </c>
      <c r="AL247" s="99">
        <f>VLOOKUP(AP247,'[3]CONTENEUR PLEIN'!$F:$L,5,FALSE)</f>
        <v>45834</v>
      </c>
      <c r="AM247" s="18">
        <f>VLOOKUP(AP247,'[3]CONTENEUR PLEIN'!$F:$L,7,FALSE)</f>
        <v>45845.291666666664</v>
      </c>
      <c r="AN247" s="90" t="s">
        <v>63</v>
      </c>
      <c r="AO247" s="129" t="s">
        <v>247</v>
      </c>
      <c r="AP247" s="129" t="s">
        <v>248</v>
      </c>
      <c r="AQ247" s="129" t="s">
        <v>263</v>
      </c>
      <c r="AR247" s="129" t="e">
        <f>VLOOKUP(AP247,'[2]CONTENEUR PLEIN'!$F:$L,2,FALSE)</f>
        <v>#N/A</v>
      </c>
      <c r="AS247" s="129" t="s">
        <v>51</v>
      </c>
      <c r="AT247" s="98"/>
    </row>
    <row r="248" spans="1:47" s="72" customFormat="1" hidden="1" x14ac:dyDescent="0.25">
      <c r="A248" s="71"/>
      <c r="B248" s="88" t="s">
        <v>45</v>
      </c>
      <c r="C248" s="89">
        <v>45665</v>
      </c>
      <c r="D248" s="90">
        <v>25004</v>
      </c>
      <c r="E248" s="91" t="s">
        <v>127</v>
      </c>
      <c r="F248" s="90">
        <v>2412231105</v>
      </c>
      <c r="G248" s="90" t="s">
        <v>74</v>
      </c>
      <c r="H248" s="90" t="s">
        <v>125</v>
      </c>
      <c r="I248" s="90" t="s">
        <v>49</v>
      </c>
      <c r="J248" s="90" t="s">
        <v>46</v>
      </c>
      <c r="K248" s="16" t="s">
        <v>349</v>
      </c>
      <c r="L248" s="89">
        <v>45790</v>
      </c>
      <c r="M248" s="381">
        <f t="shared" si="36"/>
        <v>5</v>
      </c>
      <c r="N248" s="98" t="s">
        <v>49</v>
      </c>
      <c r="O248" s="92">
        <v>430536</v>
      </c>
      <c r="P248" s="24" t="str">
        <f>VLOOKUP(O248,[1]Feuil2!$A:$M,5,FALSE)</f>
        <v>FETTE AMANDE ANIS+GENCOD</v>
      </c>
      <c r="Q248" s="90">
        <v>4560</v>
      </c>
      <c r="R248" s="93">
        <v>0.20499999999999999</v>
      </c>
      <c r="S248" s="94">
        <f t="shared" si="37"/>
        <v>934.8</v>
      </c>
      <c r="T248" s="95">
        <f t="shared" si="38"/>
        <v>26806.326000000005</v>
      </c>
      <c r="U248" s="138"/>
      <c r="V248" s="96">
        <f t="shared" si="39"/>
        <v>26806.326000000005</v>
      </c>
      <c r="W248" s="4">
        <f>VLOOKUP(O248,[1]Feuil2!$A:$M,6,FALSE)</f>
        <v>240</v>
      </c>
      <c r="X248" s="5">
        <f>VLOOKUP(O248,[1]Feuil2!$A:$M,13,FALSE)</f>
        <v>2.5200000000000004E-2</v>
      </c>
      <c r="Y248" s="6">
        <f t="shared" si="43"/>
        <v>0.47880000000000006</v>
      </c>
      <c r="Z248" s="97">
        <f t="shared" si="41"/>
        <v>18.820402750000003</v>
      </c>
      <c r="AA248" s="69" t="s">
        <v>57</v>
      </c>
      <c r="AB248" s="90" t="s">
        <v>48</v>
      </c>
      <c r="AC248" s="129" t="s">
        <v>55</v>
      </c>
      <c r="AD248" s="21" t="s">
        <v>57</v>
      </c>
      <c r="AE248" s="20">
        <v>45770</v>
      </c>
      <c r="AF248" s="21" t="s">
        <v>225</v>
      </c>
      <c r="AG248" s="21"/>
      <c r="AH248" s="98"/>
      <c r="AI248" s="135">
        <v>45772</v>
      </c>
      <c r="AJ248" s="145">
        <f t="shared" si="42"/>
        <v>16</v>
      </c>
      <c r="AK248" s="100">
        <f>VLOOKUP(AP248,'[3]CONTENEUR PLEIN'!$F:$L,3,FALSE)</f>
        <v>45788</v>
      </c>
      <c r="AL248" s="99">
        <f>VLOOKUP(AP248,'[3]CONTENEUR PLEIN'!$F:$L,5,FALSE)</f>
        <v>45834</v>
      </c>
      <c r="AM248" s="18">
        <f>VLOOKUP(AP248,'[3]CONTENEUR PLEIN'!$F:$L,7,FALSE)</f>
        <v>45845.291666666664</v>
      </c>
      <c r="AN248" s="90" t="s">
        <v>63</v>
      </c>
      <c r="AO248" s="129" t="s">
        <v>247</v>
      </c>
      <c r="AP248" s="129" t="s">
        <v>248</v>
      </c>
      <c r="AQ248" s="129" t="s">
        <v>263</v>
      </c>
      <c r="AR248" s="129" t="e">
        <f>VLOOKUP(AP248,'[2]CONTENEUR PLEIN'!$F:$L,2,FALSE)</f>
        <v>#N/A</v>
      </c>
      <c r="AS248" s="129" t="s">
        <v>51</v>
      </c>
      <c r="AT248" s="98"/>
    </row>
    <row r="249" spans="1:47" s="72" customFormat="1" hidden="1" x14ac:dyDescent="0.25">
      <c r="A249" s="71"/>
      <c r="B249" s="88" t="s">
        <v>45</v>
      </c>
      <c r="C249" s="89">
        <v>45665</v>
      </c>
      <c r="D249" s="90">
        <v>25004</v>
      </c>
      <c r="E249" s="91" t="s">
        <v>127</v>
      </c>
      <c r="F249" s="90">
        <v>2412231105</v>
      </c>
      <c r="G249" s="90" t="s">
        <v>74</v>
      </c>
      <c r="H249" s="90" t="s">
        <v>125</v>
      </c>
      <c r="I249" s="90" t="s">
        <v>49</v>
      </c>
      <c r="J249" s="90" t="s">
        <v>46</v>
      </c>
      <c r="K249" s="16" t="s">
        <v>349</v>
      </c>
      <c r="L249" s="89">
        <v>45790</v>
      </c>
      <c r="M249" s="381">
        <f t="shared" si="36"/>
        <v>5</v>
      </c>
      <c r="N249" s="98" t="s">
        <v>49</v>
      </c>
      <c r="O249" s="92">
        <v>430544</v>
      </c>
      <c r="P249" s="24" t="str">
        <f>VLOOKUP(O249,[1]Feuil2!$A:$M,5,FALSE)</f>
        <v>CUIL. AMANDE ROUGE+GENCOD</v>
      </c>
      <c r="Q249" s="90">
        <v>2400</v>
      </c>
      <c r="R249" s="93">
        <v>0.19800000000000001</v>
      </c>
      <c r="S249" s="94">
        <f t="shared" si="37"/>
        <v>475.20000000000005</v>
      </c>
      <c r="T249" s="95">
        <f t="shared" si="38"/>
        <v>26806.326000000005</v>
      </c>
      <c r="U249" s="138"/>
      <c r="V249" s="96">
        <f t="shared" si="39"/>
        <v>26806.326000000005</v>
      </c>
      <c r="W249" s="4">
        <f>VLOOKUP(O249,[1]Feuil2!$A:$M,6,FALSE)</f>
        <v>240</v>
      </c>
      <c r="X249" s="5">
        <f>VLOOKUP(O249,[1]Feuil2!$A:$M,13,FALSE)</f>
        <v>2.4928749999999996E-2</v>
      </c>
      <c r="Y249" s="6">
        <f t="shared" si="43"/>
        <v>0.24928749999999997</v>
      </c>
      <c r="Z249" s="97">
        <f t="shared" si="41"/>
        <v>18.820402750000003</v>
      </c>
      <c r="AA249" s="69" t="s">
        <v>57</v>
      </c>
      <c r="AB249" s="90" t="s">
        <v>48</v>
      </c>
      <c r="AC249" s="129" t="s">
        <v>55</v>
      </c>
      <c r="AD249" s="21" t="s">
        <v>57</v>
      </c>
      <c r="AE249" s="20">
        <v>45770</v>
      </c>
      <c r="AF249" s="47" t="s">
        <v>228</v>
      </c>
      <c r="AG249" s="21"/>
      <c r="AH249" s="98"/>
      <c r="AI249" s="135">
        <v>45772</v>
      </c>
      <c r="AJ249" s="145">
        <f t="shared" si="42"/>
        <v>16</v>
      </c>
      <c r="AK249" s="100">
        <f>VLOOKUP(AP249,'[3]CONTENEUR PLEIN'!$F:$L,3,FALSE)</f>
        <v>45788</v>
      </c>
      <c r="AL249" s="99">
        <f>VLOOKUP(AP249,'[3]CONTENEUR PLEIN'!$F:$L,5,FALSE)</f>
        <v>45834</v>
      </c>
      <c r="AM249" s="18">
        <f>VLOOKUP(AP249,'[3]CONTENEUR PLEIN'!$F:$L,7,FALSE)</f>
        <v>45845.291666666664</v>
      </c>
      <c r="AN249" s="90" t="s">
        <v>63</v>
      </c>
      <c r="AO249" s="129" t="s">
        <v>247</v>
      </c>
      <c r="AP249" s="129" t="s">
        <v>248</v>
      </c>
      <c r="AQ249" s="129" t="s">
        <v>263</v>
      </c>
      <c r="AR249" s="129" t="e">
        <f>VLOOKUP(AP249,'[2]CONTENEUR PLEIN'!$F:$L,2,FALSE)</f>
        <v>#N/A</v>
      </c>
      <c r="AS249" s="129" t="s">
        <v>51</v>
      </c>
      <c r="AT249" s="98"/>
    </row>
    <row r="250" spans="1:47" s="72" customFormat="1" hidden="1" x14ac:dyDescent="0.25">
      <c r="A250" s="71"/>
      <c r="B250" s="88" t="s">
        <v>45</v>
      </c>
      <c r="C250" s="89">
        <v>45665</v>
      </c>
      <c r="D250" s="90">
        <v>25004</v>
      </c>
      <c r="E250" s="91" t="s">
        <v>127</v>
      </c>
      <c r="F250" s="90">
        <v>2412231105</v>
      </c>
      <c r="G250" s="90" t="s">
        <v>74</v>
      </c>
      <c r="H250" s="90" t="s">
        <v>125</v>
      </c>
      <c r="I250" s="90" t="s">
        <v>49</v>
      </c>
      <c r="J250" s="90" t="s">
        <v>46</v>
      </c>
      <c r="K250" s="16" t="s">
        <v>349</v>
      </c>
      <c r="L250" s="89">
        <v>45790</v>
      </c>
      <c r="M250" s="381">
        <f t="shared" si="36"/>
        <v>5</v>
      </c>
      <c r="N250" s="98" t="s">
        <v>49</v>
      </c>
      <c r="O250" s="92">
        <v>430546</v>
      </c>
      <c r="P250" s="24" t="str">
        <f>VLOOKUP(O250,[1]Feuil2!$A:$M,5,FALSE)</f>
        <v>CUIL. AMANDE ANIS+GENCOD</v>
      </c>
      <c r="Q250" s="90">
        <v>2640</v>
      </c>
      <c r="R250" s="93">
        <v>0.19800000000000001</v>
      </c>
      <c r="S250" s="94">
        <f t="shared" si="37"/>
        <v>522.72</v>
      </c>
      <c r="T250" s="95">
        <f t="shared" si="38"/>
        <v>26806.326000000005</v>
      </c>
      <c r="U250" s="138"/>
      <c r="V250" s="96">
        <f t="shared" si="39"/>
        <v>26806.326000000005</v>
      </c>
      <c r="W250" s="4">
        <f>VLOOKUP(O250,[1]Feuil2!$A:$M,6,FALSE)</f>
        <v>240</v>
      </c>
      <c r="X250" s="5">
        <f>VLOOKUP(O250,[1]Feuil2!$A:$M,13,FALSE)</f>
        <v>2.4928749999999996E-2</v>
      </c>
      <c r="Y250" s="6">
        <f t="shared" si="43"/>
        <v>0.27421624999999994</v>
      </c>
      <c r="Z250" s="97">
        <f t="shared" si="41"/>
        <v>18.820402750000003</v>
      </c>
      <c r="AA250" s="69" t="s">
        <v>57</v>
      </c>
      <c r="AB250" s="90" t="s">
        <v>48</v>
      </c>
      <c r="AC250" s="129" t="s">
        <v>55</v>
      </c>
      <c r="AD250" s="69" t="s">
        <v>57</v>
      </c>
      <c r="AE250" s="20">
        <v>45769</v>
      </c>
      <c r="AF250" s="21" t="s">
        <v>222</v>
      </c>
      <c r="AG250" s="21"/>
      <c r="AH250" s="98"/>
      <c r="AI250" s="135">
        <v>45772</v>
      </c>
      <c r="AJ250" s="145">
        <f t="shared" si="42"/>
        <v>16</v>
      </c>
      <c r="AK250" s="100">
        <f>VLOOKUP(AP250,'[3]CONTENEUR PLEIN'!$F:$L,3,FALSE)</f>
        <v>45788</v>
      </c>
      <c r="AL250" s="99">
        <f>VLOOKUP(AP250,'[3]CONTENEUR PLEIN'!$F:$L,5,FALSE)</f>
        <v>45834</v>
      </c>
      <c r="AM250" s="18">
        <f>VLOOKUP(AP250,'[3]CONTENEUR PLEIN'!$F:$L,7,FALSE)</f>
        <v>45845.291666666664</v>
      </c>
      <c r="AN250" s="90" t="s">
        <v>63</v>
      </c>
      <c r="AO250" s="129" t="s">
        <v>247</v>
      </c>
      <c r="AP250" s="129" t="s">
        <v>248</v>
      </c>
      <c r="AQ250" s="129" t="s">
        <v>263</v>
      </c>
      <c r="AR250" s="129" t="e">
        <f>VLOOKUP(AP250,'[2]CONTENEUR PLEIN'!$F:$L,2,FALSE)</f>
        <v>#N/A</v>
      </c>
      <c r="AS250" s="129" t="s">
        <v>51</v>
      </c>
      <c r="AT250" s="98"/>
    </row>
    <row r="251" spans="1:47" hidden="1" x14ac:dyDescent="0.25">
      <c r="A251" s="71"/>
      <c r="B251" s="88" t="s">
        <v>45</v>
      </c>
      <c r="C251" s="89">
        <v>45665</v>
      </c>
      <c r="D251" s="90">
        <v>25004</v>
      </c>
      <c r="E251" s="91" t="s">
        <v>127</v>
      </c>
      <c r="F251" s="90">
        <v>2412231105</v>
      </c>
      <c r="G251" s="90" t="s">
        <v>74</v>
      </c>
      <c r="H251" s="90" t="s">
        <v>125</v>
      </c>
      <c r="I251" s="90" t="s">
        <v>49</v>
      </c>
      <c r="J251" s="90" t="s">
        <v>46</v>
      </c>
      <c r="K251" s="16" t="s">
        <v>349</v>
      </c>
      <c r="L251" s="89">
        <v>45790</v>
      </c>
      <c r="M251" s="381">
        <f t="shared" si="36"/>
        <v>5</v>
      </c>
      <c r="N251" s="98" t="s">
        <v>49</v>
      </c>
      <c r="O251" s="92">
        <v>430554</v>
      </c>
      <c r="P251" s="24" t="str">
        <f>VLOOKUP(O251,[1]Feuil2!$A:$M,5,FALSE)</f>
        <v>CAFE AMANDE ROUGE+GENCOD</v>
      </c>
      <c r="Q251" s="90">
        <v>14160</v>
      </c>
      <c r="R251" s="93">
        <v>0.16500000000000001</v>
      </c>
      <c r="S251" s="94">
        <f t="shared" si="37"/>
        <v>2336.4</v>
      </c>
      <c r="T251" s="95">
        <f t="shared" si="38"/>
        <v>26806.326000000005</v>
      </c>
      <c r="U251" s="138"/>
      <c r="V251" s="96">
        <f t="shared" si="39"/>
        <v>26806.326000000005</v>
      </c>
      <c r="W251" s="4">
        <f>VLOOKUP(O251,[1]Feuil2!$A:$M,6,FALSE)</f>
        <v>240</v>
      </c>
      <c r="X251" s="5">
        <f>VLOOKUP(O251,[1]Feuil2!$A:$M,13,FALSE)</f>
        <v>1.3499999999999998E-2</v>
      </c>
      <c r="Y251" s="6">
        <f t="shared" si="43"/>
        <v>0.79649999999999987</v>
      </c>
      <c r="Z251" s="97">
        <f t="shared" si="41"/>
        <v>18.820402750000003</v>
      </c>
      <c r="AA251" s="69" t="s">
        <v>57</v>
      </c>
      <c r="AB251" s="90" t="s">
        <v>48</v>
      </c>
      <c r="AC251" s="129" t="s">
        <v>55</v>
      </c>
      <c r="AD251" s="69" t="s">
        <v>57</v>
      </c>
      <c r="AE251" s="20">
        <v>45770</v>
      </c>
      <c r="AF251" s="21" t="s">
        <v>226</v>
      </c>
      <c r="AG251" s="21"/>
      <c r="AH251" s="98"/>
      <c r="AI251" s="135">
        <v>45772</v>
      </c>
      <c r="AJ251" s="145">
        <f t="shared" si="42"/>
        <v>16</v>
      </c>
      <c r="AK251" s="100">
        <f>VLOOKUP(AP251,'[3]CONTENEUR PLEIN'!$F:$L,3,FALSE)</f>
        <v>45788</v>
      </c>
      <c r="AL251" s="99">
        <f>VLOOKUP(AP251,'[3]CONTENEUR PLEIN'!$F:$L,5,FALSE)</f>
        <v>45834</v>
      </c>
      <c r="AM251" s="18">
        <f>VLOOKUP(AP251,'[3]CONTENEUR PLEIN'!$F:$L,7,FALSE)</f>
        <v>45845.291666666664</v>
      </c>
      <c r="AN251" s="90" t="s">
        <v>63</v>
      </c>
      <c r="AO251" s="129" t="s">
        <v>247</v>
      </c>
      <c r="AP251" s="129" t="s">
        <v>248</v>
      </c>
      <c r="AQ251" s="129" t="s">
        <v>263</v>
      </c>
      <c r="AR251" s="129" t="e">
        <f>VLOOKUP(AP251,'[2]CONTENEUR PLEIN'!$F:$L,2,FALSE)</f>
        <v>#N/A</v>
      </c>
      <c r="AS251" s="129" t="s">
        <v>51</v>
      </c>
      <c r="AT251" s="98"/>
      <c r="AU251" s="72"/>
    </row>
    <row r="252" spans="1:47" s="72" customFormat="1" hidden="1" x14ac:dyDescent="0.25">
      <c r="A252" s="71"/>
      <c r="B252" s="88" t="s">
        <v>45</v>
      </c>
      <c r="C252" s="89">
        <v>45665</v>
      </c>
      <c r="D252" s="90">
        <v>25004</v>
      </c>
      <c r="E252" s="91" t="s">
        <v>127</v>
      </c>
      <c r="F252" s="90">
        <v>2412231105</v>
      </c>
      <c r="G252" s="90" t="s">
        <v>74</v>
      </c>
      <c r="H252" s="90" t="s">
        <v>125</v>
      </c>
      <c r="I252" s="90" t="s">
        <v>49</v>
      </c>
      <c r="J252" s="90" t="s">
        <v>46</v>
      </c>
      <c r="K252" s="16" t="s">
        <v>349</v>
      </c>
      <c r="L252" s="89">
        <v>45790</v>
      </c>
      <c r="M252" s="381">
        <f t="shared" si="36"/>
        <v>5</v>
      </c>
      <c r="N252" s="98" t="s">
        <v>49</v>
      </c>
      <c r="O252" s="92">
        <v>430556</v>
      </c>
      <c r="P252" s="24" t="str">
        <f>VLOOKUP(O252,[1]Feuil2!$A:$M,5,FALSE)</f>
        <v>CAFE AMANDE ANIS+GENCOD</v>
      </c>
      <c r="Q252" s="90">
        <v>9120</v>
      </c>
      <c r="R252" s="93">
        <v>0.16500000000000001</v>
      </c>
      <c r="S252" s="94">
        <f t="shared" si="37"/>
        <v>1504.8000000000002</v>
      </c>
      <c r="T252" s="95">
        <f t="shared" si="38"/>
        <v>26806.326000000005</v>
      </c>
      <c r="U252" s="138"/>
      <c r="V252" s="96">
        <f t="shared" si="39"/>
        <v>26806.326000000005</v>
      </c>
      <c r="W252" s="4">
        <f>VLOOKUP(O252,[1]Feuil2!$A:$M,6,FALSE)</f>
        <v>240</v>
      </c>
      <c r="X252" s="5">
        <f>VLOOKUP(O252,[1]Feuil2!$A:$M,13,FALSE)</f>
        <v>1.3499999999999998E-2</v>
      </c>
      <c r="Y252" s="6">
        <f t="shared" si="43"/>
        <v>0.5129999999999999</v>
      </c>
      <c r="Z252" s="97">
        <f t="shared" si="41"/>
        <v>18.820402750000003</v>
      </c>
      <c r="AA252" s="69" t="s">
        <v>57</v>
      </c>
      <c r="AB252" s="90" t="s">
        <v>48</v>
      </c>
      <c r="AC252" s="129" t="s">
        <v>55</v>
      </c>
      <c r="AD252" s="21" t="s">
        <v>57</v>
      </c>
      <c r="AE252" s="20">
        <v>45770</v>
      </c>
      <c r="AF252" s="21" t="s">
        <v>229</v>
      </c>
      <c r="AG252" s="21"/>
      <c r="AH252" s="98"/>
      <c r="AI252" s="135">
        <v>45772</v>
      </c>
      <c r="AJ252" s="145">
        <f t="shared" si="42"/>
        <v>16</v>
      </c>
      <c r="AK252" s="100">
        <f>VLOOKUP(AP252,'[3]CONTENEUR PLEIN'!$F:$L,3,FALSE)</f>
        <v>45788</v>
      </c>
      <c r="AL252" s="99">
        <f>VLOOKUP(AP252,'[3]CONTENEUR PLEIN'!$F:$L,5,FALSE)</f>
        <v>45834</v>
      </c>
      <c r="AM252" s="18">
        <f>VLOOKUP(AP252,'[3]CONTENEUR PLEIN'!$F:$L,7,FALSE)</f>
        <v>45845.291666666664</v>
      </c>
      <c r="AN252" s="90" t="s">
        <v>63</v>
      </c>
      <c r="AO252" s="129" t="s">
        <v>247</v>
      </c>
      <c r="AP252" s="129" t="s">
        <v>248</v>
      </c>
      <c r="AQ252" s="129" t="s">
        <v>263</v>
      </c>
      <c r="AR252" s="129" t="e">
        <f>VLOOKUP(AP252,'[2]CONTENEUR PLEIN'!$F:$L,2,FALSE)</f>
        <v>#N/A</v>
      </c>
      <c r="AS252" s="129" t="s">
        <v>51</v>
      </c>
      <c r="AT252" s="98"/>
    </row>
    <row r="253" spans="1:47" s="211" customFormat="1" ht="15" hidden="1" customHeight="1" x14ac:dyDescent="0.25">
      <c r="A253" s="71"/>
      <c r="B253" s="88" t="s">
        <v>45</v>
      </c>
      <c r="C253" s="89">
        <v>45665</v>
      </c>
      <c r="D253" s="90">
        <v>25004</v>
      </c>
      <c r="E253" s="91" t="s">
        <v>127</v>
      </c>
      <c r="F253" s="90">
        <v>2412231105</v>
      </c>
      <c r="G253" s="90" t="s">
        <v>74</v>
      </c>
      <c r="H253" s="495" t="s">
        <v>305</v>
      </c>
      <c r="I253" s="90" t="s">
        <v>49</v>
      </c>
      <c r="J253" s="90" t="s">
        <v>46</v>
      </c>
      <c r="K253" s="16" t="s">
        <v>996</v>
      </c>
      <c r="L253" s="89">
        <v>45826</v>
      </c>
      <c r="M253" s="381">
        <f t="shared" si="36"/>
        <v>13</v>
      </c>
      <c r="N253" s="98" t="s">
        <v>62</v>
      </c>
      <c r="O253" s="92">
        <v>32210006</v>
      </c>
      <c r="P253" s="24" t="str">
        <f>VLOOKUP(O253,[1]Feuil2!$A:$M,5,FALSE)</f>
        <v>FOURCHETTE OPEN UNI COLOR GRIS BLEUTE 432C CARREFOUR HOME</v>
      </c>
      <c r="Q253" s="90">
        <v>12000</v>
      </c>
      <c r="R253" s="93">
        <v>0</v>
      </c>
      <c r="S253" s="94">
        <f t="shared" si="37"/>
        <v>0</v>
      </c>
      <c r="T253" s="95">
        <f t="shared" si="38"/>
        <v>26806.326000000005</v>
      </c>
      <c r="U253" s="138"/>
      <c r="V253" s="96">
        <f t="shared" si="39"/>
        <v>26806.326000000005</v>
      </c>
      <c r="W253" s="4">
        <f>VLOOKUP(O253,[1]Feuil2!$A:$M,6,FALSE)</f>
        <v>240</v>
      </c>
      <c r="X253" s="5">
        <f>VLOOKUP(O253,[1]Feuil2!$A:$M,13,FALSE)</f>
        <v>3.2300000000000002E-2</v>
      </c>
      <c r="Y253" s="6">
        <f t="shared" si="43"/>
        <v>1.6150000000000002</v>
      </c>
      <c r="Z253" s="97">
        <f t="shared" si="41"/>
        <v>18.820402750000003</v>
      </c>
      <c r="AA253" s="69" t="s">
        <v>57</v>
      </c>
      <c r="AB253" s="92" t="s">
        <v>48</v>
      </c>
      <c r="AC253" s="129" t="s">
        <v>55</v>
      </c>
      <c r="AD253" s="21" t="s">
        <v>57</v>
      </c>
      <c r="AE253" s="20">
        <v>45954</v>
      </c>
      <c r="AF253" s="21" t="s">
        <v>565</v>
      </c>
      <c r="AG253" s="21"/>
      <c r="AH253" s="102"/>
      <c r="AI253" s="160">
        <v>45772</v>
      </c>
      <c r="AJ253" s="145">
        <f t="shared" si="42"/>
        <v>231</v>
      </c>
      <c r="AK253" s="100">
        <f>VLOOKUP(AP253,'[2]CONTENEUR PLEIN'!$F:$L,3,FALSE)</f>
        <v>46003</v>
      </c>
      <c r="AL253" s="99">
        <f>VLOOKUP(AP253,'[2]CONTENEUR PLEIN'!$F:$L,5,FALSE)</f>
        <v>46060</v>
      </c>
      <c r="AM253" s="18">
        <f>VLOOKUP(AP253,'[2]CONTENEUR PLEIN'!$F:$L,7,FALSE)</f>
        <v>46069.333333333336</v>
      </c>
      <c r="AN253" s="90" t="s">
        <v>63</v>
      </c>
      <c r="AO253" s="290" t="s">
        <v>673</v>
      </c>
      <c r="AP253" s="290" t="s">
        <v>674</v>
      </c>
      <c r="AQ253" s="290" t="s">
        <v>676</v>
      </c>
      <c r="AR253" s="129" t="str">
        <f>VLOOKUP(AP253,'[2]CONTENEUR PLEIN'!$F:$L,2,FALSE)</f>
        <v>CMA CGM SCANDOLA</v>
      </c>
      <c r="AS253" s="290" t="s">
        <v>316</v>
      </c>
      <c r="AT253" s="98"/>
      <c r="AU253" s="72"/>
    </row>
    <row r="254" spans="1:47" s="72" customFormat="1" hidden="1" x14ac:dyDescent="0.25">
      <c r="A254" s="71"/>
      <c r="B254" s="88" t="s">
        <v>45</v>
      </c>
      <c r="C254" s="89">
        <v>45665</v>
      </c>
      <c r="D254" s="90">
        <v>25004</v>
      </c>
      <c r="E254" s="91" t="s">
        <v>127</v>
      </c>
      <c r="F254" s="90">
        <v>2412231105</v>
      </c>
      <c r="G254" s="90" t="s">
        <v>74</v>
      </c>
      <c r="H254" s="495" t="s">
        <v>305</v>
      </c>
      <c r="I254" s="90" t="s">
        <v>49</v>
      </c>
      <c r="J254" s="90" t="s">
        <v>46</v>
      </c>
      <c r="K254" s="16" t="s">
        <v>996</v>
      </c>
      <c r="L254" s="89">
        <v>45826</v>
      </c>
      <c r="M254" s="381">
        <f t="shared" si="36"/>
        <v>13</v>
      </c>
      <c r="N254" s="98" t="s">
        <v>62</v>
      </c>
      <c r="O254" s="92">
        <v>32210009</v>
      </c>
      <c r="P254" s="24" t="str">
        <f>VLOOKUP(O254,[1]Feuil2!$A:$M,5,FALSE)</f>
        <v>COUTEAU OPEN UNI COLOR ROUGE 3517C CARREFOUR HOME</v>
      </c>
      <c r="Q254" s="90">
        <v>3120</v>
      </c>
      <c r="R254" s="93">
        <v>0</v>
      </c>
      <c r="S254" s="94">
        <f t="shared" si="37"/>
        <v>0</v>
      </c>
      <c r="T254" s="95">
        <f t="shared" si="38"/>
        <v>26806.326000000005</v>
      </c>
      <c r="U254" s="138"/>
      <c r="V254" s="96">
        <f t="shared" si="39"/>
        <v>26806.326000000005</v>
      </c>
      <c r="W254" s="4">
        <f>VLOOKUP(O254,[1]Feuil2!$A:$M,6,FALSE)</f>
        <v>240</v>
      </c>
      <c r="X254" s="5">
        <f>VLOOKUP(O254,[1]Feuil2!$A:$M,13,FALSE)</f>
        <v>2.6125000000000002E-2</v>
      </c>
      <c r="Y254" s="6">
        <f t="shared" si="43"/>
        <v>0.33962500000000001</v>
      </c>
      <c r="Z254" s="97">
        <f t="shared" si="41"/>
        <v>18.820402750000003</v>
      </c>
      <c r="AA254" s="69" t="s">
        <v>57</v>
      </c>
      <c r="AB254" s="92" t="s">
        <v>48</v>
      </c>
      <c r="AC254" s="129" t="s">
        <v>55</v>
      </c>
      <c r="AD254" s="21" t="s">
        <v>57</v>
      </c>
      <c r="AE254" s="20">
        <v>45954</v>
      </c>
      <c r="AF254" s="21" t="s">
        <v>566</v>
      </c>
      <c r="AG254" s="21"/>
      <c r="AH254" s="102"/>
      <c r="AI254" s="160">
        <v>45772</v>
      </c>
      <c r="AJ254" s="145">
        <f t="shared" si="42"/>
        <v>231</v>
      </c>
      <c r="AK254" s="100">
        <f>VLOOKUP(AP254,'[2]CONTENEUR PLEIN'!$F:$L,3,FALSE)</f>
        <v>46003</v>
      </c>
      <c r="AL254" s="99">
        <f>VLOOKUP(AP254,'[2]CONTENEUR PLEIN'!$F:$L,5,FALSE)</f>
        <v>46060</v>
      </c>
      <c r="AM254" s="18">
        <f>VLOOKUP(AP254,'[2]CONTENEUR PLEIN'!$F:$L,7,FALSE)</f>
        <v>46069.333333333336</v>
      </c>
      <c r="AN254" s="90" t="s">
        <v>63</v>
      </c>
      <c r="AO254" s="290" t="s">
        <v>673</v>
      </c>
      <c r="AP254" s="290" t="s">
        <v>674</v>
      </c>
      <c r="AQ254" s="290" t="s">
        <v>676</v>
      </c>
      <c r="AR254" s="129" t="str">
        <f>VLOOKUP(AP254,'[2]CONTENEUR PLEIN'!$F:$L,2,FALSE)</f>
        <v>CMA CGM SCANDOLA</v>
      </c>
      <c r="AS254" s="290" t="s">
        <v>316</v>
      </c>
      <c r="AT254" s="98"/>
    </row>
    <row r="255" spans="1:47" s="72" customFormat="1" hidden="1" x14ac:dyDescent="0.25">
      <c r="A255" s="197"/>
      <c r="B255" s="232" t="s">
        <v>45</v>
      </c>
      <c r="C255" s="194">
        <v>45665</v>
      </c>
      <c r="D255" s="191">
        <v>25002</v>
      </c>
      <c r="E255" s="195" t="s">
        <v>128</v>
      </c>
      <c r="F255" s="191">
        <v>2412231145</v>
      </c>
      <c r="G255" s="191" t="s">
        <v>64</v>
      </c>
      <c r="H255" s="191" t="s">
        <v>125</v>
      </c>
      <c r="I255" s="191" t="s">
        <v>49</v>
      </c>
      <c r="J255" s="191" t="s">
        <v>46</v>
      </c>
      <c r="K255" s="16" t="s">
        <v>449</v>
      </c>
      <c r="L255" s="194">
        <v>45870</v>
      </c>
      <c r="M255" s="381">
        <f t="shared" si="36"/>
        <v>8</v>
      </c>
      <c r="N255" s="209" t="s">
        <v>49</v>
      </c>
      <c r="O255" s="223">
        <v>433720</v>
      </c>
      <c r="P255" s="24" t="str">
        <f>VLOOKUP(O255,[1]Feuil2!$A:$M,5,FALSE)</f>
        <v>FOURCHETTE SELECT+GENCOD</v>
      </c>
      <c r="Q255" s="191">
        <v>3120</v>
      </c>
      <c r="R255" s="224">
        <v>0.52800000000000002</v>
      </c>
      <c r="S255" s="225">
        <f t="shared" si="37"/>
        <v>1647.3600000000001</v>
      </c>
      <c r="T255" s="226">
        <f t="shared" si="38"/>
        <v>19668.444</v>
      </c>
      <c r="U255" s="227"/>
      <c r="V255" s="228">
        <f t="shared" si="39"/>
        <v>19668.444</v>
      </c>
      <c r="W255" s="4">
        <f>VLOOKUP(O255,[1]Feuil2!$A:$M,6,FALSE)</f>
        <v>240</v>
      </c>
      <c r="X255" s="5">
        <f>VLOOKUP(O255,[1]Feuil2!$A:$M,13,FALSE)</f>
        <v>2.0812500000000001E-2</v>
      </c>
      <c r="Y255" s="6">
        <f t="shared" si="43"/>
        <v>0.27056250000000004</v>
      </c>
      <c r="Z255" s="229">
        <f t="shared" si="41"/>
        <v>6.5632264999999999</v>
      </c>
      <c r="AA255" s="68" t="s">
        <v>48</v>
      </c>
      <c r="AB255" s="21" t="s">
        <v>57</v>
      </c>
      <c r="AC255" s="191" t="s">
        <v>55</v>
      </c>
      <c r="AD255" s="69" t="s">
        <v>57</v>
      </c>
      <c r="AE255" s="20">
        <v>45833</v>
      </c>
      <c r="AF255" s="21" t="s">
        <v>331</v>
      </c>
      <c r="AG255" s="21"/>
      <c r="AH255" s="209"/>
      <c r="AI255" s="160">
        <v>45787</v>
      </c>
      <c r="AJ255" s="145">
        <f t="shared" si="42"/>
        <v>85</v>
      </c>
      <c r="AK255" s="100">
        <f>VLOOKUP(AP255,'[3]CONTENEUR PLEIN'!$F:$L,3,FALSE)</f>
        <v>45872</v>
      </c>
      <c r="AL255" s="99">
        <f>VLOOKUP(AP255,'[3]CONTENEUR PLEIN'!$F:$L,5,FALSE)</f>
        <v>45907</v>
      </c>
      <c r="AM255" s="18">
        <f>VLOOKUP(AP255,'[3]CONTENEUR PLEIN'!$F:$L,7,FALSE)</f>
        <v>45918.53125</v>
      </c>
      <c r="AN255" s="191" t="s">
        <v>63</v>
      </c>
      <c r="AO255" s="191" t="s">
        <v>371</v>
      </c>
      <c r="AP255" s="191" t="s">
        <v>372</v>
      </c>
      <c r="AQ255" s="191" t="s">
        <v>376</v>
      </c>
      <c r="AR255" s="191" t="e">
        <f>VLOOKUP(AP255,'[2]CONTENEUR PLEIN'!$F:$L,2,FALSE)</f>
        <v>#N/A</v>
      </c>
      <c r="AS255" s="191" t="s">
        <v>316</v>
      </c>
      <c r="AT255" s="209"/>
    </row>
    <row r="256" spans="1:47" s="72" customFormat="1" hidden="1" x14ac:dyDescent="0.25">
      <c r="A256" s="71"/>
      <c r="B256" s="88" t="s">
        <v>45</v>
      </c>
      <c r="C256" s="89">
        <v>45665</v>
      </c>
      <c r="D256" s="90">
        <v>25002</v>
      </c>
      <c r="E256" s="91" t="s">
        <v>128</v>
      </c>
      <c r="F256" s="90">
        <v>2412231145</v>
      </c>
      <c r="G256" s="90" t="s">
        <v>64</v>
      </c>
      <c r="H256" s="90" t="s">
        <v>125</v>
      </c>
      <c r="I256" s="90" t="s">
        <v>49</v>
      </c>
      <c r="J256" s="90" t="s">
        <v>46</v>
      </c>
      <c r="K256" s="16" t="s">
        <v>594</v>
      </c>
      <c r="L256" s="89">
        <v>45926</v>
      </c>
      <c r="M256" s="381">
        <f t="shared" si="36"/>
        <v>10</v>
      </c>
      <c r="N256" s="98" t="s">
        <v>49</v>
      </c>
      <c r="O256" s="92">
        <v>433740</v>
      </c>
      <c r="P256" s="24" t="str">
        <f>VLOOKUP(O256,[1]Feuil2!$A:$M,5,FALSE)</f>
        <v>CAFE SELECT+GENCOD</v>
      </c>
      <c r="Q256" s="90">
        <v>3120</v>
      </c>
      <c r="R256" s="93">
        <v>0.436</v>
      </c>
      <c r="S256" s="94">
        <f t="shared" si="37"/>
        <v>1360.32</v>
      </c>
      <c r="T256" s="95">
        <f t="shared" si="38"/>
        <v>19668.444</v>
      </c>
      <c r="U256" s="138"/>
      <c r="V256" s="96">
        <f t="shared" si="39"/>
        <v>19668.444</v>
      </c>
      <c r="W256" s="4">
        <f>VLOOKUP(O256,[1]Feuil2!$A:$M,6,FALSE)</f>
        <v>240</v>
      </c>
      <c r="X256" s="5">
        <f>VLOOKUP(O256,[1]Feuil2!$A:$M,13,FALSE)</f>
        <v>1.5227999999999998E-2</v>
      </c>
      <c r="Y256" s="6">
        <f t="shared" si="43"/>
        <v>0.19796399999999997</v>
      </c>
      <c r="Z256" s="97">
        <f t="shared" si="41"/>
        <v>6.5632264999999999</v>
      </c>
      <c r="AA256" s="167" t="s">
        <v>61</v>
      </c>
      <c r="AB256" s="133" t="s">
        <v>61</v>
      </c>
      <c r="AC256" s="90" t="s">
        <v>55</v>
      </c>
      <c r="AD256" s="21" t="s">
        <v>57</v>
      </c>
      <c r="AE256" s="20">
        <v>45813</v>
      </c>
      <c r="AF256" s="47" t="s">
        <v>294</v>
      </c>
      <c r="AG256" s="21"/>
      <c r="AH256" s="98"/>
      <c r="AI256" s="160">
        <v>45787</v>
      </c>
      <c r="AJ256" s="145">
        <f t="shared" si="42"/>
        <v>126</v>
      </c>
      <c r="AK256" s="100">
        <f>VLOOKUP(AP256,'[3]CONTENEUR PLEIN'!$F:$L,3,FALSE)</f>
        <v>45913</v>
      </c>
      <c r="AL256" s="99">
        <f>VLOOKUP(AP256,'[3]CONTENEUR PLEIN'!$F:$L,5,FALSE)</f>
        <v>45971</v>
      </c>
      <c r="AM256" s="18">
        <f>VLOOKUP(AP256,'[3]CONTENEUR PLEIN'!$F:$L,7,FALSE)</f>
        <v>45979.53125</v>
      </c>
      <c r="AN256" s="90" t="s">
        <v>63</v>
      </c>
      <c r="AO256" s="191" t="s">
        <v>428</v>
      </c>
      <c r="AP256" s="191" t="s">
        <v>429</v>
      </c>
      <c r="AQ256" s="90">
        <v>2412231145</v>
      </c>
      <c r="AR256" s="191" t="e">
        <f>VLOOKUP(AP256,'[2]CONTENEUR PLEIN'!$F:$L,2,FALSE)</f>
        <v>#N/A</v>
      </c>
      <c r="AS256" s="191" t="s">
        <v>316</v>
      </c>
      <c r="AT256" s="98"/>
    </row>
    <row r="257" spans="1:47" s="72" customFormat="1" hidden="1" x14ac:dyDescent="0.25">
      <c r="A257" s="71"/>
      <c r="B257" s="88" t="s">
        <v>45</v>
      </c>
      <c r="C257" s="89">
        <v>45665</v>
      </c>
      <c r="D257" s="90">
        <v>25002</v>
      </c>
      <c r="E257" s="91" t="s">
        <v>128</v>
      </c>
      <c r="F257" s="90">
        <v>2412231145</v>
      </c>
      <c r="G257" s="90" t="s">
        <v>64</v>
      </c>
      <c r="H257" s="90" t="s">
        <v>125</v>
      </c>
      <c r="I257" s="90" t="s">
        <v>49</v>
      </c>
      <c r="J257" s="90" t="s">
        <v>46</v>
      </c>
      <c r="K257" s="16" t="s">
        <v>862</v>
      </c>
      <c r="L257" s="89">
        <v>45995</v>
      </c>
      <c r="M257" s="381">
        <f t="shared" si="36"/>
        <v>12</v>
      </c>
      <c r="N257" s="98" t="s">
        <v>49</v>
      </c>
      <c r="O257" s="92">
        <v>20480003</v>
      </c>
      <c r="P257" s="24" t="str">
        <f>VLOOKUP(O257,[1]Feuil2!$A:$M,5,FALSE)</f>
        <v>COUTEAU CLEO PROMOCASH</v>
      </c>
      <c r="Q257" s="90">
        <v>17250</v>
      </c>
      <c r="R257" s="93">
        <v>0.126</v>
      </c>
      <c r="S257" s="94">
        <f t="shared" si="37"/>
        <v>2173.5</v>
      </c>
      <c r="T257" s="95">
        <f t="shared" si="38"/>
        <v>19668.444</v>
      </c>
      <c r="U257" s="138"/>
      <c r="V257" s="96">
        <f t="shared" si="39"/>
        <v>19668.444</v>
      </c>
      <c r="W257" s="4">
        <f>VLOOKUP(O257,[1]Feuil2!$A:$M,6,FALSE)</f>
        <v>250</v>
      </c>
      <c r="X257" s="5">
        <f>VLOOKUP(O257,[1]Feuil2!$A:$M,13,FALSE)</f>
        <v>9.2339999999999992E-3</v>
      </c>
      <c r="Y257" s="6">
        <f t="shared" si="43"/>
        <v>0.63714599999999999</v>
      </c>
      <c r="Z257" s="97">
        <f t="shared" si="41"/>
        <v>6.5632264999999999</v>
      </c>
      <c r="AA257" s="68" t="s">
        <v>48</v>
      </c>
      <c r="AB257" s="21" t="s">
        <v>57</v>
      </c>
      <c r="AC257" s="129" t="s">
        <v>55</v>
      </c>
      <c r="AD257" s="21" t="s">
        <v>57</v>
      </c>
      <c r="AE257" s="20">
        <v>45939</v>
      </c>
      <c r="AF257" s="21" t="s">
        <v>514</v>
      </c>
      <c r="AG257" s="21" t="s">
        <v>57</v>
      </c>
      <c r="AH257" s="503" t="s">
        <v>48</v>
      </c>
      <c r="AI257" s="160">
        <v>45787</v>
      </c>
      <c r="AJ257" s="145">
        <f t="shared" si="42"/>
        <v>197</v>
      </c>
      <c r="AK257" s="99">
        <f>VLOOKUP(AP257,'[2]CONTENEUR PLEIN'!$F:$L,3,FALSE)</f>
        <v>45984</v>
      </c>
      <c r="AL257" s="99">
        <f>VLOOKUP(AP257,'[2]CONTENEUR PLEIN'!$F:$L,5,FALSE)</f>
        <v>46030</v>
      </c>
      <c r="AM257" s="18">
        <f>VLOOKUP(AP257,'[2]CONTENEUR PLEIN'!$F:$L,7,FALSE)</f>
        <v>46036.333333333336</v>
      </c>
      <c r="AN257" s="90" t="s">
        <v>63</v>
      </c>
      <c r="AO257" s="351" t="s">
        <v>577</v>
      </c>
      <c r="AP257" s="351" t="s">
        <v>578</v>
      </c>
      <c r="AQ257" s="351" t="s">
        <v>583</v>
      </c>
      <c r="AR257" s="90" t="str">
        <f>VLOOKUP(AP257,'[2]CONTENEUR PLEIN'!$F:$L,2,FALSE)</f>
        <v>CMA CGM GRACE BAY</v>
      </c>
      <c r="AS257" s="351" t="s">
        <v>316</v>
      </c>
      <c r="AT257" s="98"/>
    </row>
    <row r="258" spans="1:47" s="72" customFormat="1" hidden="1" x14ac:dyDescent="0.25">
      <c r="A258" s="71"/>
      <c r="B258" s="88" t="s">
        <v>45</v>
      </c>
      <c r="C258" s="89">
        <v>45665</v>
      </c>
      <c r="D258" s="90">
        <v>25002</v>
      </c>
      <c r="E258" s="91" t="s">
        <v>128</v>
      </c>
      <c r="F258" s="90">
        <v>2412231145</v>
      </c>
      <c r="G258" s="90" t="s">
        <v>64</v>
      </c>
      <c r="H258" s="90" t="s">
        <v>125</v>
      </c>
      <c r="I258" s="90" t="s">
        <v>49</v>
      </c>
      <c r="J258" s="90" t="s">
        <v>46</v>
      </c>
      <c r="K258" s="16" t="s">
        <v>594</v>
      </c>
      <c r="L258" s="89">
        <v>45926</v>
      </c>
      <c r="M258" s="381">
        <f t="shared" si="36"/>
        <v>10</v>
      </c>
      <c r="N258" s="98" t="s">
        <v>49</v>
      </c>
      <c r="O258" s="92">
        <v>20890015</v>
      </c>
      <c r="P258" s="24" t="str">
        <f>VLOOKUP(O258,[1]Feuil2!$A:$M,5,FALSE)</f>
        <v>CUILLERE ECORCE PVD NOIR VRAC+GENCOD</v>
      </c>
      <c r="Q258" s="90">
        <v>3600</v>
      </c>
      <c r="R258" s="93">
        <v>0.34899999999999998</v>
      </c>
      <c r="S258" s="94">
        <f t="shared" si="37"/>
        <v>1256.3999999999999</v>
      </c>
      <c r="T258" s="95">
        <f t="shared" si="38"/>
        <v>19668.444</v>
      </c>
      <c r="U258" s="138"/>
      <c r="V258" s="96">
        <f t="shared" si="39"/>
        <v>19668.444</v>
      </c>
      <c r="W258" s="4">
        <f>VLOOKUP(O258,[1]Feuil2!$A:$M,6,FALSE)</f>
        <v>120</v>
      </c>
      <c r="X258" s="5">
        <f>VLOOKUP(O258,[1]Feuil2!$A:$M,13,FALSE)</f>
        <v>9.5879999999999993E-3</v>
      </c>
      <c r="Y258" s="6">
        <f t="shared" si="43"/>
        <v>0.28764000000000001</v>
      </c>
      <c r="Z258" s="97">
        <f t="shared" si="41"/>
        <v>6.5632264999999999</v>
      </c>
      <c r="AA258" s="167" t="s">
        <v>61</v>
      </c>
      <c r="AB258" s="133" t="s">
        <v>61</v>
      </c>
      <c r="AC258" s="90" t="s">
        <v>55</v>
      </c>
      <c r="AD258" s="21" t="s">
        <v>57</v>
      </c>
      <c r="AE258" s="20">
        <v>45890</v>
      </c>
      <c r="AF258" s="21" t="s">
        <v>415</v>
      </c>
      <c r="AG258" s="21"/>
      <c r="AH258" s="98"/>
      <c r="AI258" s="160">
        <v>45787</v>
      </c>
      <c r="AJ258" s="145">
        <f t="shared" si="42"/>
        <v>126</v>
      </c>
      <c r="AK258" s="100">
        <f>VLOOKUP(AP258,'[3]CONTENEUR PLEIN'!$F:$L,3,FALSE)</f>
        <v>45913</v>
      </c>
      <c r="AL258" s="99">
        <f>VLOOKUP(AP258,'[3]CONTENEUR PLEIN'!$F:$L,5,FALSE)</f>
        <v>45971</v>
      </c>
      <c r="AM258" s="18">
        <f>VLOOKUP(AP258,'[3]CONTENEUR PLEIN'!$F:$L,7,FALSE)</f>
        <v>45979.53125</v>
      </c>
      <c r="AN258" s="90" t="s">
        <v>63</v>
      </c>
      <c r="AO258" s="191" t="s">
        <v>428</v>
      </c>
      <c r="AP258" s="191" t="s">
        <v>429</v>
      </c>
      <c r="AQ258" s="90">
        <v>2412231145</v>
      </c>
      <c r="AR258" s="191" t="e">
        <f>VLOOKUP(AP258,'[2]CONTENEUR PLEIN'!$F:$L,2,FALSE)</f>
        <v>#N/A</v>
      </c>
      <c r="AS258" s="191" t="s">
        <v>316</v>
      </c>
      <c r="AT258" s="98"/>
      <c r="AU258" s="181"/>
    </row>
    <row r="259" spans="1:47" s="72" customFormat="1" hidden="1" x14ac:dyDescent="0.25">
      <c r="A259" s="71"/>
      <c r="B259" s="88" t="s">
        <v>45</v>
      </c>
      <c r="C259" s="89">
        <v>45665</v>
      </c>
      <c r="D259" s="90">
        <v>25002</v>
      </c>
      <c r="E259" s="91" t="s">
        <v>128</v>
      </c>
      <c r="F259" s="90">
        <v>2412231145</v>
      </c>
      <c r="G259" s="90" t="s">
        <v>64</v>
      </c>
      <c r="H259" s="90" t="s">
        <v>125</v>
      </c>
      <c r="I259" s="90" t="s">
        <v>49</v>
      </c>
      <c r="J259" s="90" t="s">
        <v>46</v>
      </c>
      <c r="K259" s="16" t="s">
        <v>309</v>
      </c>
      <c r="L259" s="89">
        <v>45770</v>
      </c>
      <c r="M259" s="381">
        <f t="shared" si="36"/>
        <v>5</v>
      </c>
      <c r="N259" s="98" t="s">
        <v>49</v>
      </c>
      <c r="O259" s="92">
        <v>21130003</v>
      </c>
      <c r="P259" s="24" t="str">
        <f>VLOOKUP(O259,[1]Feuil2!$A:$M,5,FALSE)</f>
        <v>FOURCHETTE BOREAL + GENCOD</v>
      </c>
      <c r="Q259" s="90">
        <v>13200</v>
      </c>
      <c r="R259" s="93">
        <v>0.192</v>
      </c>
      <c r="S259" s="94">
        <f t="shared" si="37"/>
        <v>2534.4</v>
      </c>
      <c r="T259" s="95">
        <f t="shared" si="38"/>
        <v>19668.444</v>
      </c>
      <c r="U259" s="138"/>
      <c r="V259" s="96">
        <f t="shared" si="39"/>
        <v>19668.444</v>
      </c>
      <c r="W259" s="4">
        <f>VLOOKUP(O259,[1]Feuil2!$A:$M,6,FALSE)</f>
        <v>240</v>
      </c>
      <c r="X259" s="5">
        <f>VLOOKUP(O259,[1]Feuil2!$A:$M,13,FALSE)</f>
        <v>2.8028000000000001E-2</v>
      </c>
      <c r="Y259" s="6">
        <f t="shared" si="43"/>
        <v>1.5415400000000001</v>
      </c>
      <c r="Z259" s="97">
        <f t="shared" si="41"/>
        <v>6.5632264999999999</v>
      </c>
      <c r="AA259" s="167" t="s">
        <v>61</v>
      </c>
      <c r="AB259" s="167" t="s">
        <v>61</v>
      </c>
      <c r="AC259" s="90" t="s">
        <v>55</v>
      </c>
      <c r="AD259" s="21" t="s">
        <v>57</v>
      </c>
      <c r="AE259" s="20">
        <v>45724</v>
      </c>
      <c r="AF259" s="21" t="s">
        <v>175</v>
      </c>
      <c r="AG259" s="21"/>
      <c r="AH259" s="98"/>
      <c r="AI259" s="135">
        <v>45787</v>
      </c>
      <c r="AJ259" s="145" t="s">
        <v>49</v>
      </c>
      <c r="AK259" s="100">
        <f>VLOOKUP(AP259,'[3]CONTENEUR PLEIN'!$F:$L,3,FALSE)</f>
        <v>45764</v>
      </c>
      <c r="AL259" s="99">
        <f>VLOOKUP(AP259,'[3]CONTENEUR PLEIN'!$F:$L,5,FALSE)</f>
        <v>45812</v>
      </c>
      <c r="AM259" s="18">
        <f>VLOOKUP(AP259,'[3]CONTENEUR PLEIN'!$F:$L,7,FALSE)</f>
        <v>45824.53125</v>
      </c>
      <c r="AN259" s="90" t="s">
        <v>63</v>
      </c>
      <c r="AO259" s="129" t="s">
        <v>212</v>
      </c>
      <c r="AP259" s="129" t="s">
        <v>213</v>
      </c>
      <c r="AQ259" s="129" t="s">
        <v>261</v>
      </c>
      <c r="AR259" s="129" t="e">
        <f>VLOOKUP(AP259,'[2]CONTENEUR PLEIN'!$F:$L,2,FALSE)</f>
        <v>#N/A</v>
      </c>
      <c r="AS259" s="129" t="s">
        <v>51</v>
      </c>
      <c r="AT259" s="98"/>
    </row>
    <row r="260" spans="1:47" s="72" customFormat="1" hidden="1" x14ac:dyDescent="0.25">
      <c r="A260" s="71"/>
      <c r="B260" s="88" t="s">
        <v>45</v>
      </c>
      <c r="C260" s="89">
        <v>45665</v>
      </c>
      <c r="D260" s="90">
        <v>25002</v>
      </c>
      <c r="E260" s="91" t="s">
        <v>128</v>
      </c>
      <c r="F260" s="90">
        <v>2412231145</v>
      </c>
      <c r="G260" s="90" t="s">
        <v>64</v>
      </c>
      <c r="H260" s="90" t="s">
        <v>125</v>
      </c>
      <c r="I260" s="90" t="s">
        <v>49</v>
      </c>
      <c r="J260" s="90" t="s">
        <v>46</v>
      </c>
      <c r="K260" s="16" t="s">
        <v>862</v>
      </c>
      <c r="L260" s="89">
        <v>45995</v>
      </c>
      <c r="M260" s="381">
        <f t="shared" si="36"/>
        <v>12</v>
      </c>
      <c r="N260" s="98" t="s">
        <v>49</v>
      </c>
      <c r="O260" s="92">
        <v>21130003</v>
      </c>
      <c r="P260" s="24" t="str">
        <f>VLOOKUP(O260,[1]Feuil2!$A:$M,5,FALSE)</f>
        <v>FOURCHETTE BOREAL + GENCOD</v>
      </c>
      <c r="Q260" s="90">
        <f>15600-13200</f>
        <v>2400</v>
      </c>
      <c r="R260" s="93">
        <v>0.192</v>
      </c>
      <c r="S260" s="94">
        <f t="shared" si="37"/>
        <v>460.8</v>
      </c>
      <c r="T260" s="95">
        <f t="shared" si="38"/>
        <v>19668.444</v>
      </c>
      <c r="U260" s="138"/>
      <c r="V260" s="96">
        <f t="shared" si="39"/>
        <v>19668.444</v>
      </c>
      <c r="W260" s="4">
        <f>VLOOKUP(O260,[1]Feuil2!$A:$M,6,FALSE)</f>
        <v>240</v>
      </c>
      <c r="X260" s="5">
        <f>VLOOKUP(O260,[1]Feuil2!$A:$M,13,FALSE)</f>
        <v>2.8028000000000001E-2</v>
      </c>
      <c r="Y260" s="6">
        <f t="shared" si="43"/>
        <v>0.28028000000000003</v>
      </c>
      <c r="Z260" s="97">
        <f t="shared" si="41"/>
        <v>6.5632264999999999</v>
      </c>
      <c r="AA260" s="69" t="s">
        <v>57</v>
      </c>
      <c r="AB260" s="90" t="s">
        <v>48</v>
      </c>
      <c r="AC260" s="90" t="s">
        <v>55</v>
      </c>
      <c r="AD260" s="69" t="s">
        <v>57</v>
      </c>
      <c r="AE260" s="20">
        <v>45939</v>
      </c>
      <c r="AF260" s="21" t="s">
        <v>512</v>
      </c>
      <c r="AG260" s="21"/>
      <c r="AH260" s="98"/>
      <c r="AI260" s="160">
        <v>45787</v>
      </c>
      <c r="AJ260" s="145">
        <f>DATEDIF(AI260,$AK260,"D")</f>
        <v>197</v>
      </c>
      <c r="AK260" s="100">
        <f>VLOOKUP(AP260,'[2]CONTENEUR PLEIN'!$F:$L,3,FALSE)</f>
        <v>45984</v>
      </c>
      <c r="AL260" s="99">
        <f>VLOOKUP(AP260,'[2]CONTENEUR PLEIN'!$F:$L,5,FALSE)</f>
        <v>46030</v>
      </c>
      <c r="AM260" s="18">
        <f>VLOOKUP(AP260,'[2]CONTENEUR PLEIN'!$F:$L,7,FALSE)</f>
        <v>46036.333333333336</v>
      </c>
      <c r="AN260" s="90" t="s">
        <v>63</v>
      </c>
      <c r="AO260" s="351" t="s">
        <v>577</v>
      </c>
      <c r="AP260" s="351" t="s">
        <v>578</v>
      </c>
      <c r="AQ260" s="351" t="s">
        <v>583</v>
      </c>
      <c r="AR260" s="90" t="str">
        <f>VLOOKUP(AP260,'[2]CONTENEUR PLEIN'!$F:$L,2,FALSE)</f>
        <v>CMA CGM GRACE BAY</v>
      </c>
      <c r="AS260" s="351" t="s">
        <v>316</v>
      </c>
      <c r="AT260" s="98"/>
    </row>
    <row r="261" spans="1:47" s="72" customFormat="1" hidden="1" x14ac:dyDescent="0.25">
      <c r="A261" s="71"/>
      <c r="B261" s="88" t="s">
        <v>45</v>
      </c>
      <c r="C261" s="89">
        <v>45665</v>
      </c>
      <c r="D261" s="90">
        <v>25002</v>
      </c>
      <c r="E261" s="91" t="s">
        <v>128</v>
      </c>
      <c r="F261" s="90">
        <v>2412231145</v>
      </c>
      <c r="G261" s="90" t="s">
        <v>64</v>
      </c>
      <c r="H261" s="90" t="s">
        <v>125</v>
      </c>
      <c r="I261" s="90" t="s">
        <v>49</v>
      </c>
      <c r="J261" s="90" t="s">
        <v>46</v>
      </c>
      <c r="K261" s="16" t="s">
        <v>309</v>
      </c>
      <c r="L261" s="89">
        <v>45770</v>
      </c>
      <c r="M261" s="381">
        <f t="shared" si="36"/>
        <v>5</v>
      </c>
      <c r="N261" s="98" t="s">
        <v>49</v>
      </c>
      <c r="O261" s="92">
        <v>21130005</v>
      </c>
      <c r="P261" s="24" t="str">
        <f>VLOOKUP(O261,[1]Feuil2!$A:$M,5,FALSE)</f>
        <v>CAFE BOREAL + GENCOD</v>
      </c>
      <c r="Q261" s="90">
        <v>4080</v>
      </c>
      <c r="R261" s="93">
        <v>0.14299999999999999</v>
      </c>
      <c r="S261" s="94">
        <f t="shared" ref="S261:S308" si="44">Q261*R261</f>
        <v>583.43999999999994</v>
      </c>
      <c r="T261" s="95">
        <f t="shared" si="38"/>
        <v>19668.444</v>
      </c>
      <c r="U261" s="138"/>
      <c r="V261" s="96">
        <f t="shared" ref="V261:V308" si="45">U261+T261</f>
        <v>19668.444</v>
      </c>
      <c r="W261" s="4">
        <f>VLOOKUP(O261,[1]Feuil2!$A:$M,6,FALSE)</f>
        <v>240</v>
      </c>
      <c r="X261" s="5">
        <f>VLOOKUP(O261,[1]Feuil2!$A:$M,13,FALSE)</f>
        <v>1.7819999999999999E-2</v>
      </c>
      <c r="Y261" s="6">
        <f t="shared" si="43"/>
        <v>0.30293999999999999</v>
      </c>
      <c r="Z261" s="97">
        <f t="shared" ref="Z261:Z308" si="46">SUMIF($E:$E,E261,$Y:$Y)</f>
        <v>6.5632264999999999</v>
      </c>
      <c r="AA261" s="167" t="s">
        <v>61</v>
      </c>
      <c r="AB261" s="167" t="s">
        <v>61</v>
      </c>
      <c r="AC261" s="90" t="s">
        <v>55</v>
      </c>
      <c r="AD261" s="21" t="s">
        <v>57</v>
      </c>
      <c r="AE261" s="20">
        <v>45724</v>
      </c>
      <c r="AF261" s="21" t="s">
        <v>174</v>
      </c>
      <c r="AG261" s="21"/>
      <c r="AH261" s="98"/>
      <c r="AI261" s="135">
        <v>45787</v>
      </c>
      <c r="AJ261" s="145" t="s">
        <v>49</v>
      </c>
      <c r="AK261" s="100">
        <f>VLOOKUP(AP261,'[3]CONTENEUR PLEIN'!$F:$L,3,FALSE)</f>
        <v>45764</v>
      </c>
      <c r="AL261" s="99">
        <f>VLOOKUP(AP261,'[3]CONTENEUR PLEIN'!$F:$L,5,FALSE)</f>
        <v>45812</v>
      </c>
      <c r="AM261" s="18">
        <f>VLOOKUP(AP261,'[3]CONTENEUR PLEIN'!$F:$L,7,FALSE)</f>
        <v>45824.53125</v>
      </c>
      <c r="AN261" s="90" t="s">
        <v>63</v>
      </c>
      <c r="AO261" s="129" t="s">
        <v>212</v>
      </c>
      <c r="AP261" s="129" t="s">
        <v>213</v>
      </c>
      <c r="AQ261" s="129" t="s">
        <v>261</v>
      </c>
      <c r="AR261" s="129" t="e">
        <f>VLOOKUP(AP261,'[2]CONTENEUR PLEIN'!$F:$L,2,FALSE)</f>
        <v>#N/A</v>
      </c>
      <c r="AS261" s="129" t="s">
        <v>51</v>
      </c>
      <c r="AT261" s="98"/>
    </row>
    <row r="262" spans="1:47" s="72" customFormat="1" hidden="1" x14ac:dyDescent="0.25">
      <c r="A262" s="71"/>
      <c r="B262" s="88" t="s">
        <v>45</v>
      </c>
      <c r="C262" s="89">
        <v>45665</v>
      </c>
      <c r="D262" s="90">
        <v>25002</v>
      </c>
      <c r="E262" s="91" t="s">
        <v>128</v>
      </c>
      <c r="F262" s="90">
        <v>2412231145</v>
      </c>
      <c r="G262" s="90" t="s">
        <v>64</v>
      </c>
      <c r="H262" s="90" t="s">
        <v>125</v>
      </c>
      <c r="I262" s="90" t="s">
        <v>49</v>
      </c>
      <c r="J262" s="90" t="s">
        <v>46</v>
      </c>
      <c r="K262" s="16" t="s">
        <v>309</v>
      </c>
      <c r="L262" s="89">
        <v>45770</v>
      </c>
      <c r="M262" s="381">
        <f t="shared" si="36"/>
        <v>5</v>
      </c>
      <c r="N262" s="98" t="s">
        <v>49</v>
      </c>
      <c r="O262" s="92">
        <v>21130005</v>
      </c>
      <c r="P262" s="24" t="str">
        <f>VLOOKUP(O262,[1]Feuil2!$A:$M,5,FALSE)</f>
        <v>CAFE BOREAL + GENCOD</v>
      </c>
      <c r="Q262" s="90">
        <v>5760</v>
      </c>
      <c r="R262" s="93">
        <v>0.14299999999999999</v>
      </c>
      <c r="S262" s="94">
        <f t="shared" si="44"/>
        <v>823.68</v>
      </c>
      <c r="T262" s="95">
        <f t="shared" si="38"/>
        <v>19668.444</v>
      </c>
      <c r="U262" s="138"/>
      <c r="V262" s="96">
        <f t="shared" si="45"/>
        <v>19668.444</v>
      </c>
      <c r="W262" s="4">
        <f>VLOOKUP(O262,[1]Feuil2!$A:$M,6,FALSE)</f>
        <v>240</v>
      </c>
      <c r="X262" s="5">
        <f>VLOOKUP(O262,[1]Feuil2!$A:$M,13,FALSE)</f>
        <v>1.7819999999999999E-2</v>
      </c>
      <c r="Y262" s="6">
        <f t="shared" si="43"/>
        <v>0.42767999999999995</v>
      </c>
      <c r="Z262" s="97">
        <f t="shared" si="46"/>
        <v>6.5632264999999999</v>
      </c>
      <c r="AA262" s="167" t="s">
        <v>61</v>
      </c>
      <c r="AB262" s="167" t="s">
        <v>61</v>
      </c>
      <c r="AC262" s="90" t="s">
        <v>55</v>
      </c>
      <c r="AD262" s="21" t="s">
        <v>57</v>
      </c>
      <c r="AE262" s="20">
        <v>45756</v>
      </c>
      <c r="AF262" s="21" t="s">
        <v>208</v>
      </c>
      <c r="AG262" s="21"/>
      <c r="AH262" s="98"/>
      <c r="AI262" s="135">
        <v>45787</v>
      </c>
      <c r="AJ262" s="145" t="s">
        <v>49</v>
      </c>
      <c r="AK262" s="100">
        <f>VLOOKUP(AP262,'[3]CONTENEUR PLEIN'!$F:$L,3,FALSE)</f>
        <v>45764</v>
      </c>
      <c r="AL262" s="99">
        <f>VLOOKUP(AP262,'[3]CONTENEUR PLEIN'!$F:$L,5,FALSE)</f>
        <v>45812</v>
      </c>
      <c r="AM262" s="18">
        <f>VLOOKUP(AP262,'[3]CONTENEUR PLEIN'!$F:$L,7,FALSE)</f>
        <v>45824.53125</v>
      </c>
      <c r="AN262" s="90" t="s">
        <v>63</v>
      </c>
      <c r="AO262" s="129" t="s">
        <v>212</v>
      </c>
      <c r="AP262" s="129" t="s">
        <v>213</v>
      </c>
      <c r="AQ262" s="129" t="s">
        <v>261</v>
      </c>
      <c r="AR262" s="129" t="e">
        <f>VLOOKUP(AP262,'[2]CONTENEUR PLEIN'!$F:$L,2,FALSE)</f>
        <v>#N/A</v>
      </c>
      <c r="AS262" s="129" t="s">
        <v>51</v>
      </c>
      <c r="AT262" s="98"/>
    </row>
    <row r="263" spans="1:47" s="72" customFormat="1" hidden="1" x14ac:dyDescent="0.25">
      <c r="A263" s="71"/>
      <c r="B263" s="88" t="s">
        <v>45</v>
      </c>
      <c r="C263" s="89">
        <v>45665</v>
      </c>
      <c r="D263" s="90">
        <v>25002</v>
      </c>
      <c r="E263" s="91" t="s">
        <v>128</v>
      </c>
      <c r="F263" s="90">
        <v>2412231145</v>
      </c>
      <c r="G263" s="90" t="s">
        <v>64</v>
      </c>
      <c r="H263" s="90" t="s">
        <v>125</v>
      </c>
      <c r="I263" s="90" t="s">
        <v>49</v>
      </c>
      <c r="J263" s="90" t="s">
        <v>46</v>
      </c>
      <c r="K263" s="16" t="s">
        <v>594</v>
      </c>
      <c r="L263" s="89">
        <v>45926</v>
      </c>
      <c r="M263" s="381">
        <f t="shared" si="36"/>
        <v>10</v>
      </c>
      <c r="N263" s="98" t="s">
        <v>49</v>
      </c>
      <c r="O263" s="92">
        <v>21130005</v>
      </c>
      <c r="P263" s="24" t="str">
        <f>VLOOKUP(O263,[1]Feuil2!$A:$M,5,FALSE)</f>
        <v>CAFE BOREAL + GENCOD</v>
      </c>
      <c r="Q263" s="90">
        <f>10560-4080-5760</f>
        <v>720</v>
      </c>
      <c r="R263" s="93">
        <v>0.14299999999999999</v>
      </c>
      <c r="S263" s="94">
        <f t="shared" si="44"/>
        <v>102.96</v>
      </c>
      <c r="T263" s="95">
        <f t="shared" si="38"/>
        <v>19668.444</v>
      </c>
      <c r="U263" s="138"/>
      <c r="V263" s="96">
        <f t="shared" si="45"/>
        <v>19668.444</v>
      </c>
      <c r="W263" s="4">
        <f>VLOOKUP(O263,[1]Feuil2!$A:$M,6,FALSE)</f>
        <v>240</v>
      </c>
      <c r="X263" s="5">
        <f>VLOOKUP(O263,[1]Feuil2!$A:$M,13,FALSE)</f>
        <v>1.7819999999999999E-2</v>
      </c>
      <c r="Y263" s="6">
        <f t="shared" si="43"/>
        <v>5.3459999999999994E-2</v>
      </c>
      <c r="Z263" s="97">
        <f t="shared" si="46"/>
        <v>6.5632264999999999</v>
      </c>
      <c r="AA263" s="167" t="s">
        <v>61</v>
      </c>
      <c r="AB263" s="167" t="s">
        <v>61</v>
      </c>
      <c r="AC263" s="90" t="s">
        <v>55</v>
      </c>
      <c r="AD263" s="21" t="s">
        <v>57</v>
      </c>
      <c r="AE263" s="20">
        <v>45890</v>
      </c>
      <c r="AF263" s="47" t="s">
        <v>414</v>
      </c>
      <c r="AG263" s="21"/>
      <c r="AH263" s="98"/>
      <c r="AI263" s="160">
        <v>45787</v>
      </c>
      <c r="AJ263" s="145">
        <f>DATEDIF(AI263,$AK263,"D")</f>
        <v>126</v>
      </c>
      <c r="AK263" s="100">
        <f>VLOOKUP(AP263,'[3]CONTENEUR PLEIN'!$F:$L,3,FALSE)</f>
        <v>45913</v>
      </c>
      <c r="AL263" s="99">
        <f>VLOOKUP(AP263,'[3]CONTENEUR PLEIN'!$F:$L,5,FALSE)</f>
        <v>45971</v>
      </c>
      <c r="AM263" s="18">
        <f>VLOOKUP(AP263,'[3]CONTENEUR PLEIN'!$F:$L,7,FALSE)</f>
        <v>45979.53125</v>
      </c>
      <c r="AN263" s="90" t="s">
        <v>63</v>
      </c>
      <c r="AO263" s="191" t="s">
        <v>428</v>
      </c>
      <c r="AP263" s="191" t="s">
        <v>429</v>
      </c>
      <c r="AQ263" s="90">
        <v>2412231145</v>
      </c>
      <c r="AR263" s="191" t="e">
        <f>VLOOKUP(AP263,'[2]CONTENEUR PLEIN'!$F:$L,2,FALSE)</f>
        <v>#N/A</v>
      </c>
      <c r="AS263" s="191" t="s">
        <v>316</v>
      </c>
      <c r="AT263" s="98"/>
    </row>
    <row r="264" spans="1:47" s="72" customFormat="1" hidden="1" x14ac:dyDescent="0.25">
      <c r="A264" s="165"/>
      <c r="B264" s="88" t="s">
        <v>45</v>
      </c>
      <c r="C264" s="89">
        <v>45665</v>
      </c>
      <c r="D264" s="90">
        <v>25002</v>
      </c>
      <c r="E264" s="91" t="s">
        <v>128</v>
      </c>
      <c r="F264" s="90">
        <v>2412231145</v>
      </c>
      <c r="G264" s="90" t="s">
        <v>64</v>
      </c>
      <c r="H264" s="90" t="s">
        <v>125</v>
      </c>
      <c r="I264" s="90" t="s">
        <v>49</v>
      </c>
      <c r="J264" s="90" t="s">
        <v>46</v>
      </c>
      <c r="K264" s="16" t="s">
        <v>862</v>
      </c>
      <c r="L264" s="89">
        <v>45995</v>
      </c>
      <c r="M264" s="381">
        <f t="shared" ref="M264:M308" si="47">DATEDIF(C264,AM264,"M")</f>
        <v>12</v>
      </c>
      <c r="N264" s="98" t="s">
        <v>62</v>
      </c>
      <c r="O264" s="92">
        <v>21430002</v>
      </c>
      <c r="P264" s="24" t="str">
        <f>VLOOKUP(O264,[1]Feuil2!$A:$M,5,FALSE)</f>
        <v>FOURCHETTE CAPITOL 18/0 EN BOITE PEGBOARDABLE</v>
      </c>
      <c r="Q264" s="90">
        <v>5040</v>
      </c>
      <c r="R264" s="93">
        <v>0.38200000000000001</v>
      </c>
      <c r="S264" s="94">
        <f t="shared" si="44"/>
        <v>1925.28</v>
      </c>
      <c r="T264" s="95">
        <f t="shared" si="38"/>
        <v>19668.444</v>
      </c>
      <c r="U264" s="138"/>
      <c r="V264" s="96">
        <f t="shared" si="45"/>
        <v>19668.444</v>
      </c>
      <c r="W264" s="4">
        <f>VLOOKUP(O264,[1]Feuil2!$A:$M,6,FALSE)</f>
        <v>72</v>
      </c>
      <c r="X264" s="5">
        <f>VLOOKUP(O264,[1]Feuil2!$A:$M,13,FALSE)</f>
        <v>1.1220000000000001E-2</v>
      </c>
      <c r="Y264" s="6">
        <f t="shared" si="43"/>
        <v>0.7854000000000001</v>
      </c>
      <c r="Z264" s="97">
        <f t="shared" si="46"/>
        <v>6.5632264999999999</v>
      </c>
      <c r="AA264" s="69" t="s">
        <v>57</v>
      </c>
      <c r="AB264" s="92" t="s">
        <v>48</v>
      </c>
      <c r="AC264" s="90" t="s">
        <v>55</v>
      </c>
      <c r="AD264" s="21" t="s">
        <v>57</v>
      </c>
      <c r="AE264" s="20">
        <v>45939</v>
      </c>
      <c r="AF264" s="21" t="s">
        <v>513</v>
      </c>
      <c r="AG264" s="21" t="s">
        <v>57</v>
      </c>
      <c r="AH264" s="503" t="s">
        <v>48</v>
      </c>
      <c r="AI264" s="160">
        <v>45787</v>
      </c>
      <c r="AJ264" s="145">
        <f>DATEDIF(AI264,$AK264,"D")</f>
        <v>197</v>
      </c>
      <c r="AK264" s="100">
        <f>VLOOKUP(AP264,'[2]CONTENEUR PLEIN'!$F:$L,3,FALSE)</f>
        <v>45984</v>
      </c>
      <c r="AL264" s="99">
        <f>VLOOKUP(AP264,'[2]CONTENEUR PLEIN'!$F:$L,5,FALSE)</f>
        <v>46030</v>
      </c>
      <c r="AM264" s="18">
        <f>VLOOKUP(AP264,'[2]CONTENEUR PLEIN'!$F:$L,7,FALSE)</f>
        <v>46036.333333333336</v>
      </c>
      <c r="AN264" s="90" t="s">
        <v>63</v>
      </c>
      <c r="AO264" s="351" t="s">
        <v>577</v>
      </c>
      <c r="AP264" s="351" t="s">
        <v>578</v>
      </c>
      <c r="AQ264" s="351" t="s">
        <v>583</v>
      </c>
      <c r="AR264" s="90" t="str">
        <f>VLOOKUP(AP264,'[2]CONTENEUR PLEIN'!$F:$L,2,FALSE)</f>
        <v>CMA CGM GRACE BAY</v>
      </c>
      <c r="AS264" s="351" t="s">
        <v>316</v>
      </c>
      <c r="AT264" s="98"/>
    </row>
    <row r="265" spans="1:47" s="72" customFormat="1" hidden="1" x14ac:dyDescent="0.25">
      <c r="A265" s="71"/>
      <c r="B265" s="88" t="s">
        <v>45</v>
      </c>
      <c r="C265" s="89">
        <v>45665</v>
      </c>
      <c r="D265" s="90">
        <v>25002</v>
      </c>
      <c r="E265" s="91" t="s">
        <v>128</v>
      </c>
      <c r="F265" s="90">
        <v>2412231145</v>
      </c>
      <c r="G265" s="90" t="s">
        <v>64</v>
      </c>
      <c r="H265" s="90" t="s">
        <v>125</v>
      </c>
      <c r="I265" s="90" t="s">
        <v>49</v>
      </c>
      <c r="J265" s="90" t="s">
        <v>46</v>
      </c>
      <c r="K265" s="16" t="s">
        <v>862</v>
      </c>
      <c r="L265" s="89">
        <v>45995</v>
      </c>
      <c r="M265" s="381">
        <f t="shared" si="47"/>
        <v>12</v>
      </c>
      <c r="N265" s="98" t="s">
        <v>62</v>
      </c>
      <c r="O265" s="92">
        <v>21430004</v>
      </c>
      <c r="P265" s="24" t="str">
        <f>VLOOKUP(O265,[1]Feuil2!$A:$M,5,FALSE)</f>
        <v>CAFE CAPITOL 18/0 EN BOITE PEGBOARDABLE</v>
      </c>
      <c r="Q265" s="90">
        <v>1584</v>
      </c>
      <c r="R265" s="93">
        <v>0.25800000000000001</v>
      </c>
      <c r="S265" s="94">
        <f t="shared" si="44"/>
        <v>408.67200000000003</v>
      </c>
      <c r="T265" s="95">
        <f t="shared" si="38"/>
        <v>19668.444</v>
      </c>
      <c r="U265" s="138"/>
      <c r="V265" s="96">
        <f t="shared" si="45"/>
        <v>19668.444</v>
      </c>
      <c r="W265" s="4">
        <f>VLOOKUP(O265,[1]Feuil2!$A:$M,6,FALSE)</f>
        <v>72</v>
      </c>
      <c r="X265" s="5">
        <f>VLOOKUP(O265,[1]Feuil2!$A:$M,13,FALSE)</f>
        <v>8.2500000000000004E-3</v>
      </c>
      <c r="Y265" s="6">
        <f t="shared" si="43"/>
        <v>0.18149999999999999</v>
      </c>
      <c r="Z265" s="97">
        <f t="shared" si="46"/>
        <v>6.5632264999999999</v>
      </c>
      <c r="AA265" s="167" t="s">
        <v>61</v>
      </c>
      <c r="AB265" s="167" t="s">
        <v>61</v>
      </c>
      <c r="AC265" s="90" t="s">
        <v>55</v>
      </c>
      <c r="AD265" s="21" t="s">
        <v>57</v>
      </c>
      <c r="AE265" s="20">
        <v>45960</v>
      </c>
      <c r="AF265" s="21" t="s">
        <v>623</v>
      </c>
      <c r="AG265" s="21" t="s">
        <v>57</v>
      </c>
      <c r="AH265" s="503" t="s">
        <v>48</v>
      </c>
      <c r="AI265" s="160">
        <v>45787</v>
      </c>
      <c r="AJ265" s="145">
        <f>DATEDIF(AI265,$AK265,"D")</f>
        <v>197</v>
      </c>
      <c r="AK265" s="100">
        <f>VLOOKUP(AP265,'[2]CONTENEUR PLEIN'!$F:$L,3,FALSE)</f>
        <v>45984</v>
      </c>
      <c r="AL265" s="99">
        <f>VLOOKUP(AP265,'[2]CONTENEUR PLEIN'!$F:$L,5,FALSE)</f>
        <v>46030</v>
      </c>
      <c r="AM265" s="18">
        <f>VLOOKUP(AP265,'[2]CONTENEUR PLEIN'!$F:$L,7,FALSE)</f>
        <v>46036.333333333336</v>
      </c>
      <c r="AN265" s="90" t="s">
        <v>63</v>
      </c>
      <c r="AO265" s="351" t="s">
        <v>577</v>
      </c>
      <c r="AP265" s="351" t="s">
        <v>578</v>
      </c>
      <c r="AQ265" s="351" t="s">
        <v>583</v>
      </c>
      <c r="AR265" s="90" t="str">
        <f>VLOOKUP(AP265,'[2]CONTENEUR PLEIN'!$F:$L,2,FALSE)</f>
        <v>CMA CGM GRACE BAY</v>
      </c>
      <c r="AS265" s="351" t="s">
        <v>316</v>
      </c>
      <c r="AT265" s="98"/>
    </row>
    <row r="266" spans="1:47" hidden="1" x14ac:dyDescent="0.25">
      <c r="A266" s="71"/>
      <c r="B266" s="88" t="s">
        <v>45</v>
      </c>
      <c r="C266" s="89">
        <v>45665</v>
      </c>
      <c r="D266" s="90">
        <v>25002</v>
      </c>
      <c r="E266" s="91" t="s">
        <v>128</v>
      </c>
      <c r="F266" s="90">
        <v>2412231145</v>
      </c>
      <c r="G266" s="90" t="s">
        <v>64</v>
      </c>
      <c r="H266" s="90" t="s">
        <v>125</v>
      </c>
      <c r="I266" s="90" t="s">
        <v>49</v>
      </c>
      <c r="J266" s="90" t="s">
        <v>46</v>
      </c>
      <c r="K266" s="8" t="s">
        <v>970</v>
      </c>
      <c r="L266" s="128">
        <v>46041</v>
      </c>
      <c r="M266" s="381">
        <f t="shared" si="47"/>
        <v>12</v>
      </c>
      <c r="N266" s="98" t="s">
        <v>62</v>
      </c>
      <c r="O266" s="92">
        <v>21430004</v>
      </c>
      <c r="P266" s="24" t="str">
        <f>VLOOKUP(O266,[1]Feuil2!$A:$M,5,FALSE)</f>
        <v>CAFE CAPITOL 18/0 EN BOITE PEGBOARDABLE</v>
      </c>
      <c r="Q266" s="90">
        <f>3456-1584</f>
        <v>1872</v>
      </c>
      <c r="R266" s="93">
        <v>0.25800000000000001</v>
      </c>
      <c r="S266" s="94">
        <f t="shared" si="44"/>
        <v>482.976</v>
      </c>
      <c r="T266" s="95">
        <f t="shared" si="38"/>
        <v>19668.444</v>
      </c>
      <c r="U266" s="138"/>
      <c r="V266" s="96">
        <f t="shared" si="45"/>
        <v>19668.444</v>
      </c>
      <c r="W266" s="4">
        <f>VLOOKUP(O266,[1]Feuil2!$A:$M,6,FALSE)</f>
        <v>72</v>
      </c>
      <c r="X266" s="5">
        <f>VLOOKUP(O266,[1]Feuil2!$A:$M,13,FALSE)</f>
        <v>8.2500000000000004E-3</v>
      </c>
      <c r="Y266" s="6">
        <f t="shared" si="43"/>
        <v>0.21450000000000002</v>
      </c>
      <c r="Z266" s="97">
        <f t="shared" si="46"/>
        <v>6.5632264999999999</v>
      </c>
      <c r="AA266" s="167" t="s">
        <v>61</v>
      </c>
      <c r="AB266" s="133" t="s">
        <v>61</v>
      </c>
      <c r="AC266" s="90" t="s">
        <v>55</v>
      </c>
      <c r="AD266" s="21" t="s">
        <v>57</v>
      </c>
      <c r="AE266" s="20">
        <v>45960</v>
      </c>
      <c r="AF266" s="21" t="s">
        <v>623</v>
      </c>
      <c r="AG266" s="21" t="s">
        <v>57</v>
      </c>
      <c r="AH266" s="503" t="s">
        <v>48</v>
      </c>
      <c r="AI266" s="485">
        <v>45787</v>
      </c>
      <c r="AJ266" s="145">
        <f>DATEDIF(AI266,$AK266,"D")</f>
        <v>223</v>
      </c>
      <c r="AK266" s="100">
        <f>VLOOKUP(AP266,'[2]CONTENEUR PLEIN'!$F:$L,3,FALSE)</f>
        <v>46010</v>
      </c>
      <c r="AL266" s="99">
        <f>VLOOKUP(AP266,'[2]CONTENEUR PLEIN'!$F:$L,5,FALSE)</f>
        <v>46052</v>
      </c>
      <c r="AM266" s="18">
        <f>VLOOKUP(AP266,'[2]CONTENEUR PLEIN'!$F:$L,7,FALSE)</f>
        <v>46058.53125</v>
      </c>
      <c r="AN266" s="90" t="s">
        <v>63</v>
      </c>
      <c r="AO266" s="486" t="s">
        <v>734</v>
      </c>
      <c r="AP266" s="486" t="s">
        <v>735</v>
      </c>
      <c r="AQ266" s="486" t="s">
        <v>736</v>
      </c>
      <c r="AR266" s="90" t="str">
        <f>VLOOKUP(AP266,'[2]CONTENEUR PLEIN'!$F:$L,2,FALSE)</f>
        <v>CMA CGM KIMBERLEY</v>
      </c>
      <c r="AS266" s="486" t="s">
        <v>316</v>
      </c>
      <c r="AT266" s="98"/>
      <c r="AU266" s="72"/>
    </row>
    <row r="267" spans="1:47" hidden="1" x14ac:dyDescent="0.25">
      <c r="A267" s="197"/>
      <c r="B267" s="116" t="s">
        <v>45</v>
      </c>
      <c r="C267" s="20">
        <v>45665</v>
      </c>
      <c r="D267" s="67">
        <v>25002</v>
      </c>
      <c r="E267" s="117" t="s">
        <v>128</v>
      </c>
      <c r="F267" s="67">
        <v>2412231145</v>
      </c>
      <c r="G267" s="67" t="s">
        <v>64</v>
      </c>
      <c r="H267" s="67" t="s">
        <v>125</v>
      </c>
      <c r="I267" s="67" t="s">
        <v>49</v>
      </c>
      <c r="J267" s="67" t="s">
        <v>46</v>
      </c>
      <c r="K267" s="16" t="s">
        <v>449</v>
      </c>
      <c r="L267" s="194">
        <v>45870</v>
      </c>
      <c r="M267" s="381">
        <f t="shared" si="47"/>
        <v>8</v>
      </c>
      <c r="N267" s="110" t="s">
        <v>62</v>
      </c>
      <c r="O267" s="68">
        <v>21450007</v>
      </c>
      <c r="P267" s="24" t="str">
        <f>VLOOKUP(O267,[1]Feuil2!$A:$M,5,FALSE)</f>
        <v>FOURCHETTE DESSERT RIVAGE EN BOITE PEGBOARDABLE</v>
      </c>
      <c r="Q267" s="67">
        <v>2016</v>
      </c>
      <c r="R267" s="154">
        <v>0.22</v>
      </c>
      <c r="S267" s="155">
        <f t="shared" si="44"/>
        <v>443.52</v>
      </c>
      <c r="T267" s="156">
        <f t="shared" si="38"/>
        <v>19668.444</v>
      </c>
      <c r="U267" s="157"/>
      <c r="V267" s="158">
        <f t="shared" si="45"/>
        <v>19668.444</v>
      </c>
      <c r="W267" s="4">
        <f>VLOOKUP(O267,[1]Feuil2!$A:$M,6,FALSE)</f>
        <v>72</v>
      </c>
      <c r="X267" s="5">
        <f>VLOOKUP(O267,[1]Feuil2!$A:$M,13,FALSE)</f>
        <v>1.4255999999999998E-2</v>
      </c>
      <c r="Y267" s="6">
        <f t="shared" si="43"/>
        <v>0.39916799999999997</v>
      </c>
      <c r="Z267" s="159">
        <f t="shared" si="46"/>
        <v>6.5632264999999999</v>
      </c>
      <c r="AA267" s="68" t="s">
        <v>48</v>
      </c>
      <c r="AB267" s="43" t="s">
        <v>57</v>
      </c>
      <c r="AC267" s="191" t="s">
        <v>55</v>
      </c>
      <c r="AD267" s="21" t="s">
        <v>57</v>
      </c>
      <c r="AE267" s="20">
        <v>45841</v>
      </c>
      <c r="AF267" s="47" t="s">
        <v>348</v>
      </c>
      <c r="AG267" s="7"/>
      <c r="AH267" s="110"/>
      <c r="AI267" s="160">
        <v>45787</v>
      </c>
      <c r="AJ267" s="145">
        <f>DATEDIF(AI267,$AK267,"D")</f>
        <v>85</v>
      </c>
      <c r="AK267" s="100">
        <f>VLOOKUP(AP267,'[3]CONTENEUR PLEIN'!$F:$L,3,FALSE)</f>
        <v>45872</v>
      </c>
      <c r="AL267" s="99">
        <f>VLOOKUP(AP267,'[3]CONTENEUR PLEIN'!$F:$L,5,FALSE)</f>
        <v>45907</v>
      </c>
      <c r="AM267" s="18">
        <f>VLOOKUP(AP267,'[3]CONTENEUR PLEIN'!$F:$L,7,FALSE)</f>
        <v>45918.53125</v>
      </c>
      <c r="AN267" s="67" t="s">
        <v>63</v>
      </c>
      <c r="AO267" s="191" t="s">
        <v>371</v>
      </c>
      <c r="AP267" s="191" t="s">
        <v>372</v>
      </c>
      <c r="AQ267" s="231" t="s">
        <v>376</v>
      </c>
      <c r="AR267" s="191" t="e">
        <f>VLOOKUP(AP267,'[2]CONTENEUR PLEIN'!$F:$L,2,FALSE)</f>
        <v>#N/A</v>
      </c>
      <c r="AS267" s="191" t="s">
        <v>316</v>
      </c>
      <c r="AT267" s="230"/>
      <c r="AU267" s="72"/>
    </row>
    <row r="268" spans="1:47" hidden="1" x14ac:dyDescent="0.25">
      <c r="A268" s="71"/>
      <c r="B268" s="29" t="s">
        <v>45</v>
      </c>
      <c r="C268" s="48">
        <v>45665</v>
      </c>
      <c r="D268" s="49">
        <v>25002</v>
      </c>
      <c r="E268" s="50" t="s">
        <v>128</v>
      </c>
      <c r="F268" s="49">
        <v>2412231145</v>
      </c>
      <c r="G268" s="49" t="s">
        <v>64</v>
      </c>
      <c r="H268" s="49" t="s">
        <v>125</v>
      </c>
      <c r="I268" s="49" t="s">
        <v>49</v>
      </c>
      <c r="J268" s="49" t="s">
        <v>46</v>
      </c>
      <c r="K268" s="107" t="s">
        <v>71</v>
      </c>
      <c r="L268" s="49" t="s">
        <v>47</v>
      </c>
      <c r="M268" s="382" t="e">
        <f t="shared" si="47"/>
        <v>#N/A</v>
      </c>
      <c r="N268" s="57" t="s">
        <v>62</v>
      </c>
      <c r="O268" s="51">
        <v>21450008</v>
      </c>
      <c r="P268" s="30" t="str">
        <f>VLOOKUP(O268,[1]Feuil2!$A:$M,5,FALSE)</f>
        <v>CUILLERE DESSERT RIVAGE EN BOITE PEGBOARDABLE</v>
      </c>
      <c r="Q268" s="49">
        <v>2016</v>
      </c>
      <c r="R268" s="52">
        <v>0.215</v>
      </c>
      <c r="S268" s="53">
        <f t="shared" si="44"/>
        <v>433.44</v>
      </c>
      <c r="T268" s="31">
        <f t="shared" si="38"/>
        <v>19668.444</v>
      </c>
      <c r="U268" s="140"/>
      <c r="V268" s="32">
        <f t="shared" si="45"/>
        <v>19668.444</v>
      </c>
      <c r="W268" s="33">
        <f>VLOOKUP(O268,[1]Feuil2!$A:$M,6,FALSE)</f>
        <v>72</v>
      </c>
      <c r="X268" s="34">
        <f>VLOOKUP(O268,[1]Feuil2!$A:$M,13,FALSE)</f>
        <v>1.2413499999999999E-2</v>
      </c>
      <c r="Y268" s="35">
        <f t="shared" si="43"/>
        <v>0.347578</v>
      </c>
      <c r="Z268" s="36">
        <f t="shared" si="46"/>
        <v>6.5632264999999999</v>
      </c>
      <c r="AA268" s="235" t="s">
        <v>57</v>
      </c>
      <c r="AB268" s="235" t="s">
        <v>61</v>
      </c>
      <c r="AC268" s="49" t="s">
        <v>55</v>
      </c>
      <c r="AD268" s="55" t="s">
        <v>57</v>
      </c>
      <c r="AE268" s="48"/>
      <c r="AF268" s="55"/>
      <c r="AG268" s="55"/>
      <c r="AH268" s="57"/>
      <c r="AI268" s="182">
        <v>45787</v>
      </c>
      <c r="AJ268" s="137" t="s">
        <v>49</v>
      </c>
      <c r="AK268" s="56" t="e">
        <f>VLOOKUP(AP268,'[2]CONTENEUR PLEIN'!$F:$L,3,FALSE)</f>
        <v>#N/A</v>
      </c>
      <c r="AL268" s="37" t="e">
        <f>VLOOKUP(AP268,'[2]CONTENEUR PLEIN'!$F:$L,5,FALSE)</f>
        <v>#N/A</v>
      </c>
      <c r="AM268" s="38" t="e">
        <f>VLOOKUP(AP268,'[2]CONTENEUR PLEIN'!$F:$L,7,FALSE)</f>
        <v>#N/A</v>
      </c>
      <c r="AN268" s="49" t="s">
        <v>63</v>
      </c>
      <c r="AO268" s="49"/>
      <c r="AP268" s="49"/>
      <c r="AQ268" s="49"/>
      <c r="AR268" s="49" t="e">
        <f>VLOOKUP(AP268,'[2]CONTENEUR PLEIN'!$F:$L,2,FALSE)</f>
        <v>#N/A</v>
      </c>
      <c r="AS268" s="49"/>
      <c r="AT268" s="57"/>
      <c r="AU268" s="72"/>
    </row>
    <row r="269" spans="1:47" hidden="1" x14ac:dyDescent="0.25">
      <c r="A269" s="71"/>
      <c r="B269" s="88" t="s">
        <v>45</v>
      </c>
      <c r="C269" s="89">
        <v>45665</v>
      </c>
      <c r="D269" s="90">
        <v>25002</v>
      </c>
      <c r="E269" s="91" t="s">
        <v>128</v>
      </c>
      <c r="F269" s="90">
        <v>2412231145</v>
      </c>
      <c r="G269" s="90" t="s">
        <v>64</v>
      </c>
      <c r="H269" s="90" t="s">
        <v>125</v>
      </c>
      <c r="I269" s="90" t="s">
        <v>49</v>
      </c>
      <c r="J269" s="90" t="s">
        <v>46</v>
      </c>
      <c r="K269" s="16" t="s">
        <v>862</v>
      </c>
      <c r="L269" s="89">
        <v>45995</v>
      </c>
      <c r="M269" s="381">
        <f t="shared" si="47"/>
        <v>12</v>
      </c>
      <c r="N269" s="98" t="s">
        <v>49</v>
      </c>
      <c r="O269" s="92">
        <v>21870002</v>
      </c>
      <c r="P269" s="24" t="str">
        <f>VLOOKUP(O269,[1]Feuil2!$A:$M,5,FALSE)</f>
        <v>FOURCHETTE BUFFET EN BOITE BLANCHE</v>
      </c>
      <c r="Q269" s="90">
        <v>8424</v>
      </c>
      <c r="R269" s="93">
        <v>6.2E-2</v>
      </c>
      <c r="S269" s="94">
        <f t="shared" si="44"/>
        <v>522.28800000000001</v>
      </c>
      <c r="T269" s="95">
        <f t="shared" si="38"/>
        <v>19668.444</v>
      </c>
      <c r="U269" s="138"/>
      <c r="V269" s="96">
        <f t="shared" si="45"/>
        <v>19668.444</v>
      </c>
      <c r="W269" s="4">
        <f>VLOOKUP(O269,[1]Feuil2!$A:$M,6,FALSE)</f>
        <v>72</v>
      </c>
      <c r="X269" s="5">
        <f>VLOOKUP(O269,[1]Feuil2!$A:$M,13,FALSE)</f>
        <v>1.6000000000000001E-3</v>
      </c>
      <c r="Y269" s="6">
        <f t="shared" si="43"/>
        <v>0.18720000000000001</v>
      </c>
      <c r="Z269" s="97">
        <f t="shared" si="46"/>
        <v>6.5632264999999999</v>
      </c>
      <c r="AA269" s="21" t="s">
        <v>57</v>
      </c>
      <c r="AB269" s="90" t="s">
        <v>48</v>
      </c>
      <c r="AC269" s="90" t="s">
        <v>55</v>
      </c>
      <c r="AD269" s="21" t="s">
        <v>57</v>
      </c>
      <c r="AE269" s="20">
        <v>45950</v>
      </c>
      <c r="AF269" s="47" t="s">
        <v>555</v>
      </c>
      <c r="AG269" s="21" t="s">
        <v>57</v>
      </c>
      <c r="AH269" s="503" t="s">
        <v>48</v>
      </c>
      <c r="AI269" s="160">
        <v>45787</v>
      </c>
      <c r="AJ269" s="145">
        <f>DATEDIF(AI269,$AK269,"D")</f>
        <v>197</v>
      </c>
      <c r="AK269" s="100">
        <f>VLOOKUP(AP269,'[2]CONTENEUR PLEIN'!$F:$L,3,FALSE)</f>
        <v>45984</v>
      </c>
      <c r="AL269" s="99">
        <f>VLOOKUP(AP269,'[2]CONTENEUR PLEIN'!$F:$L,5,FALSE)</f>
        <v>46030</v>
      </c>
      <c r="AM269" s="18">
        <f>VLOOKUP(AP269,'[2]CONTENEUR PLEIN'!$F:$L,7,FALSE)</f>
        <v>46036.333333333336</v>
      </c>
      <c r="AN269" s="90" t="s">
        <v>63</v>
      </c>
      <c r="AO269" s="351" t="s">
        <v>577</v>
      </c>
      <c r="AP269" s="351" t="s">
        <v>578</v>
      </c>
      <c r="AQ269" s="351" t="s">
        <v>583</v>
      </c>
      <c r="AR269" s="90" t="str">
        <f>VLOOKUP(AP269,'[2]CONTENEUR PLEIN'!$F:$L,2,FALSE)</f>
        <v>CMA CGM GRACE BAY</v>
      </c>
      <c r="AS269" s="351" t="s">
        <v>316</v>
      </c>
      <c r="AT269" s="98"/>
      <c r="AU269" s="72"/>
    </row>
    <row r="270" spans="1:47" s="72" customFormat="1" hidden="1" x14ac:dyDescent="0.25">
      <c r="A270" s="71"/>
      <c r="B270" s="88" t="s">
        <v>45</v>
      </c>
      <c r="C270" s="89">
        <v>45665</v>
      </c>
      <c r="D270" s="90">
        <v>25002</v>
      </c>
      <c r="E270" s="91" t="s">
        <v>128</v>
      </c>
      <c r="F270" s="90">
        <v>2412231145</v>
      </c>
      <c r="G270" s="90" t="s">
        <v>64</v>
      </c>
      <c r="H270" s="90" t="s">
        <v>125</v>
      </c>
      <c r="I270" s="90" t="s">
        <v>49</v>
      </c>
      <c r="J270" s="90" t="s">
        <v>46</v>
      </c>
      <c r="K270" s="16" t="s">
        <v>862</v>
      </c>
      <c r="L270" s="89">
        <v>45995</v>
      </c>
      <c r="M270" s="381">
        <f t="shared" si="47"/>
        <v>12</v>
      </c>
      <c r="N270" s="98" t="s">
        <v>49</v>
      </c>
      <c r="O270" s="92">
        <v>21870004</v>
      </c>
      <c r="P270" s="24" t="str">
        <f>VLOOKUP(O270,[1]Feuil2!$A:$M,5,FALSE)</f>
        <v>CAFE BUFFET EN BOITE BLANCHE</v>
      </c>
      <c r="Q270" s="90">
        <v>24000</v>
      </c>
      <c r="R270" s="93">
        <v>6.2E-2</v>
      </c>
      <c r="S270" s="94">
        <f t="shared" si="44"/>
        <v>1488</v>
      </c>
      <c r="T270" s="95">
        <f t="shared" si="38"/>
        <v>19668.444</v>
      </c>
      <c r="U270" s="138"/>
      <c r="V270" s="96">
        <f t="shared" si="45"/>
        <v>19668.444</v>
      </c>
      <c r="W270" s="4">
        <f>VLOOKUP(O270,[1]Feuil2!$A:$M,6,FALSE)</f>
        <v>300</v>
      </c>
      <c r="X270" s="5">
        <f>VLOOKUP(O270,[1]Feuil2!$A:$M,13,FALSE)</f>
        <v>3.1679999999999998E-3</v>
      </c>
      <c r="Y270" s="6">
        <f t="shared" ref="Y270:Y272" si="48">(Q270/W270)*X270</f>
        <v>0.25344</v>
      </c>
      <c r="Z270" s="97">
        <f t="shared" si="46"/>
        <v>6.5632264999999999</v>
      </c>
      <c r="AA270" s="21" t="s">
        <v>57</v>
      </c>
      <c r="AB270" s="90" t="s">
        <v>48</v>
      </c>
      <c r="AC270" s="129"/>
      <c r="AD270" s="133" t="s">
        <v>61</v>
      </c>
      <c r="AE270" s="20">
        <v>45950</v>
      </c>
      <c r="AF270" s="21" t="s">
        <v>556</v>
      </c>
      <c r="AG270" s="21" t="s">
        <v>57</v>
      </c>
      <c r="AH270" s="503" t="s">
        <v>48</v>
      </c>
      <c r="AI270" s="160">
        <v>45787</v>
      </c>
      <c r="AJ270" s="145">
        <f>DATEDIF(AI270,$AK270,"D")</f>
        <v>197</v>
      </c>
      <c r="AK270" s="100">
        <f>VLOOKUP(AP270,'[2]CONTENEUR PLEIN'!$F:$L,3,FALSE)</f>
        <v>45984</v>
      </c>
      <c r="AL270" s="99">
        <f>VLOOKUP(AP270,'[2]CONTENEUR PLEIN'!$F:$L,5,FALSE)</f>
        <v>46030</v>
      </c>
      <c r="AM270" s="18">
        <f>VLOOKUP(AP270,'[2]CONTENEUR PLEIN'!$F:$L,7,FALSE)</f>
        <v>46036.333333333336</v>
      </c>
      <c r="AN270" s="90" t="s">
        <v>63</v>
      </c>
      <c r="AO270" s="351" t="s">
        <v>577</v>
      </c>
      <c r="AP270" s="351" t="s">
        <v>578</v>
      </c>
      <c r="AQ270" s="351" t="s">
        <v>583</v>
      </c>
      <c r="AR270" s="90" t="str">
        <f>VLOOKUP(AP270,'[2]CONTENEUR PLEIN'!$F:$L,2,FALSE)</f>
        <v>CMA CGM GRACE BAY</v>
      </c>
      <c r="AS270" s="351" t="s">
        <v>316</v>
      </c>
      <c r="AT270" s="98"/>
    </row>
    <row r="271" spans="1:47" s="72" customFormat="1" hidden="1" x14ac:dyDescent="0.25">
      <c r="A271" s="71"/>
      <c r="B271" s="88" t="s">
        <v>45</v>
      </c>
      <c r="C271" s="89">
        <v>45665</v>
      </c>
      <c r="D271" s="90">
        <v>25002</v>
      </c>
      <c r="E271" s="91" t="s">
        <v>128</v>
      </c>
      <c r="F271" s="90">
        <v>2412231145</v>
      </c>
      <c r="G271" s="90" t="s">
        <v>64</v>
      </c>
      <c r="H271" s="90" t="s">
        <v>125</v>
      </c>
      <c r="I271" s="90" t="s">
        <v>49</v>
      </c>
      <c r="J271" s="90" t="s">
        <v>46</v>
      </c>
      <c r="K271" s="16" t="s">
        <v>594</v>
      </c>
      <c r="L271" s="89">
        <v>45926</v>
      </c>
      <c r="M271" s="381">
        <f t="shared" si="47"/>
        <v>10</v>
      </c>
      <c r="N271" s="98" t="s">
        <v>49</v>
      </c>
      <c r="O271" s="92">
        <v>41460002</v>
      </c>
      <c r="P271" s="24" t="str">
        <f>VLOOKUP(O271,[1]Feuil2!$A:$M,5,FALSE)</f>
        <v>TARTINEUR TAPAS FUSEAU + GENCOD</v>
      </c>
      <c r="Q271" s="90">
        <f>4896-4752</f>
        <v>144</v>
      </c>
      <c r="R271" s="93">
        <v>0.193</v>
      </c>
      <c r="S271" s="94">
        <f t="shared" si="44"/>
        <v>27.792000000000002</v>
      </c>
      <c r="T271" s="95">
        <f t="shared" si="38"/>
        <v>19668.444</v>
      </c>
      <c r="U271" s="138"/>
      <c r="V271" s="96">
        <f t="shared" si="45"/>
        <v>19668.444</v>
      </c>
      <c r="W271" s="4">
        <f>VLOOKUP(O271,[1]Feuil2!$A:$M,6,FALSE)</f>
        <v>144</v>
      </c>
      <c r="X271" s="5">
        <f>VLOOKUP(O271,[1]Feuil2!$A:$M,13,FALSE)</f>
        <v>5.7419999999999997E-3</v>
      </c>
      <c r="Y271" s="6">
        <f t="shared" si="48"/>
        <v>5.7419999999999997E-3</v>
      </c>
      <c r="Z271" s="97">
        <f t="shared" si="46"/>
        <v>6.5632264999999999</v>
      </c>
      <c r="AA271" s="167" t="s">
        <v>61</v>
      </c>
      <c r="AB271" s="133" t="s">
        <v>61</v>
      </c>
      <c r="AC271" s="90" t="s">
        <v>55</v>
      </c>
      <c r="AD271" s="69" t="s">
        <v>57</v>
      </c>
      <c r="AE271" s="20">
        <v>45798</v>
      </c>
      <c r="AF271" s="47" t="s">
        <v>268</v>
      </c>
      <c r="AG271" s="21"/>
      <c r="AH271" s="98"/>
      <c r="AI271" s="160">
        <v>45787</v>
      </c>
      <c r="AJ271" s="145">
        <f>DATEDIF(AI271,$AK271,"D")</f>
        <v>126</v>
      </c>
      <c r="AK271" s="100">
        <f>VLOOKUP(AP271,'[3]CONTENEUR PLEIN'!$F:$L,3,FALSE)</f>
        <v>45913</v>
      </c>
      <c r="AL271" s="99">
        <f>VLOOKUP(AP271,'[3]CONTENEUR PLEIN'!$F:$L,5,FALSE)</f>
        <v>45971</v>
      </c>
      <c r="AM271" s="18">
        <f>VLOOKUP(AP271,'[3]CONTENEUR PLEIN'!$F:$L,7,FALSE)</f>
        <v>45979.53125</v>
      </c>
      <c r="AN271" s="90" t="s">
        <v>63</v>
      </c>
      <c r="AO271" s="223" t="s">
        <v>428</v>
      </c>
      <c r="AP271" s="223" t="s">
        <v>429</v>
      </c>
      <c r="AQ271" s="90">
        <v>2412231145</v>
      </c>
      <c r="AR271" s="191" t="e">
        <f>VLOOKUP(AP271,'[2]CONTENEUR PLEIN'!$F:$L,2,FALSE)</f>
        <v>#N/A</v>
      </c>
      <c r="AS271" s="223" t="s">
        <v>316</v>
      </c>
      <c r="AT271" s="98"/>
      <c r="AU271" s="211"/>
    </row>
    <row r="272" spans="1:47" s="72" customFormat="1" hidden="1" x14ac:dyDescent="0.25">
      <c r="A272" s="197"/>
      <c r="B272" s="232" t="s">
        <v>45</v>
      </c>
      <c r="C272" s="194">
        <v>45665</v>
      </c>
      <c r="D272" s="191">
        <v>25002</v>
      </c>
      <c r="E272" s="195" t="s">
        <v>128</v>
      </c>
      <c r="F272" s="191">
        <v>2412231145</v>
      </c>
      <c r="G272" s="191" t="s">
        <v>64</v>
      </c>
      <c r="H272" s="191" t="s">
        <v>125</v>
      </c>
      <c r="I272" s="191" t="s">
        <v>49</v>
      </c>
      <c r="J272" s="191" t="s">
        <v>46</v>
      </c>
      <c r="K272" s="16" t="s">
        <v>449</v>
      </c>
      <c r="L272" s="194">
        <v>45870</v>
      </c>
      <c r="M272" s="381">
        <f t="shared" si="47"/>
        <v>8</v>
      </c>
      <c r="N272" s="209" t="s">
        <v>49</v>
      </c>
      <c r="O272" s="223">
        <v>41460002</v>
      </c>
      <c r="P272" s="24" t="str">
        <f>VLOOKUP(O272,[1]Feuil2!$A:$M,5,FALSE)</f>
        <v>TARTINEUR TAPAS FUSEAU + GENCOD</v>
      </c>
      <c r="Q272" s="191">
        <v>4752</v>
      </c>
      <c r="R272" s="224">
        <v>0.193</v>
      </c>
      <c r="S272" s="225">
        <f t="shared" si="44"/>
        <v>917.13599999999997</v>
      </c>
      <c r="T272" s="226">
        <f t="shared" si="38"/>
        <v>19668.444</v>
      </c>
      <c r="U272" s="227"/>
      <c r="V272" s="228">
        <f t="shared" si="45"/>
        <v>19668.444</v>
      </c>
      <c r="W272" s="4">
        <f>VLOOKUP(O272,[1]Feuil2!$A:$M,6,FALSE)</f>
        <v>144</v>
      </c>
      <c r="X272" s="5">
        <f>VLOOKUP(O272,[1]Feuil2!$A:$M,13,FALSE)</f>
        <v>5.7419999999999997E-3</v>
      </c>
      <c r="Y272" s="6">
        <f t="shared" si="48"/>
        <v>0.18948599999999999</v>
      </c>
      <c r="Z272" s="229">
        <f t="shared" si="46"/>
        <v>6.5632264999999999</v>
      </c>
      <c r="AA272" s="167" t="s">
        <v>61</v>
      </c>
      <c r="AB272" s="133" t="s">
        <v>61</v>
      </c>
      <c r="AC272" s="191" t="s">
        <v>55</v>
      </c>
      <c r="AD272" s="21" t="s">
        <v>57</v>
      </c>
      <c r="AE272" s="20">
        <v>45798</v>
      </c>
      <c r="AF272" s="47" t="s">
        <v>268</v>
      </c>
      <c r="AG272" s="21"/>
      <c r="AH272" s="209"/>
      <c r="AI272" s="160">
        <v>45787</v>
      </c>
      <c r="AJ272" s="145">
        <f>DATEDIF(AI272,$AK272,"D")</f>
        <v>85</v>
      </c>
      <c r="AK272" s="100">
        <f>VLOOKUP(AP272,'[3]CONTENEUR PLEIN'!$F:$L,3,FALSE)</f>
        <v>45872</v>
      </c>
      <c r="AL272" s="99">
        <f>VLOOKUP(AP272,'[3]CONTENEUR PLEIN'!$F:$L,5,FALSE)</f>
        <v>45907</v>
      </c>
      <c r="AM272" s="18">
        <f>VLOOKUP(AP272,'[3]CONTENEUR PLEIN'!$F:$L,7,FALSE)</f>
        <v>45918.53125</v>
      </c>
      <c r="AN272" s="191" t="s">
        <v>63</v>
      </c>
      <c r="AO272" s="191" t="s">
        <v>371</v>
      </c>
      <c r="AP272" s="191" t="s">
        <v>372</v>
      </c>
      <c r="AQ272" s="191" t="s">
        <v>376</v>
      </c>
      <c r="AR272" s="191" t="e">
        <f>VLOOKUP(AP272,'[2]CONTENEUR PLEIN'!$F:$L,2,FALSE)</f>
        <v>#N/A</v>
      </c>
      <c r="AS272" s="191" t="s">
        <v>316</v>
      </c>
      <c r="AT272" s="209"/>
    </row>
    <row r="273" spans="1:47" s="72" customFormat="1" hidden="1" x14ac:dyDescent="0.25">
      <c r="A273" s="71"/>
      <c r="B273" s="88" t="s">
        <v>45</v>
      </c>
      <c r="C273" s="89">
        <v>45665</v>
      </c>
      <c r="D273" s="90">
        <v>25002</v>
      </c>
      <c r="E273" s="91" t="s">
        <v>128</v>
      </c>
      <c r="F273" s="90">
        <v>2412231145</v>
      </c>
      <c r="G273" s="90" t="s">
        <v>64</v>
      </c>
      <c r="H273" s="90" t="s">
        <v>126</v>
      </c>
      <c r="I273" s="90" t="s">
        <v>49</v>
      </c>
      <c r="J273" s="90" t="s">
        <v>46</v>
      </c>
      <c r="K273" s="16" t="s">
        <v>489</v>
      </c>
      <c r="L273" s="89">
        <v>45995</v>
      </c>
      <c r="M273" s="381">
        <f t="shared" si="47"/>
        <v>8</v>
      </c>
      <c r="N273" s="98" t="s">
        <v>49</v>
      </c>
      <c r="O273" s="92" t="s">
        <v>124</v>
      </c>
      <c r="P273" s="24" t="str">
        <f>VLOOKUP(O273,[1]Feuil2!$A:$M,5,FALSE)</f>
        <v>LAME COUTEAU FROMAGE ACIDULE COULEUR POUR REF 10020116</v>
      </c>
      <c r="Q273" s="90">
        <v>10080</v>
      </c>
      <c r="R273" s="93">
        <v>0.20599999999999999</v>
      </c>
      <c r="S273" s="94">
        <f t="shared" si="44"/>
        <v>2076.48</v>
      </c>
      <c r="T273" s="95">
        <f t="shared" si="38"/>
        <v>19668.444</v>
      </c>
      <c r="U273" s="138"/>
      <c r="V273" s="96">
        <f t="shared" si="45"/>
        <v>19668.444</v>
      </c>
      <c r="W273" s="4">
        <f>VLOOKUP(O273,[1]Feuil2!$A:$M,6,FALSE)</f>
        <v>0</v>
      </c>
      <c r="X273" s="5">
        <f>VLOOKUP(O273,[1]Feuil2!$A:$M,13,FALSE)</f>
        <v>0</v>
      </c>
      <c r="Y273" s="6">
        <v>0</v>
      </c>
      <c r="Z273" s="97">
        <f t="shared" si="46"/>
        <v>6.5632264999999999</v>
      </c>
      <c r="AA273" s="167" t="s">
        <v>61</v>
      </c>
      <c r="AB273" s="21" t="s">
        <v>57</v>
      </c>
      <c r="AC273" s="191" t="s">
        <v>55</v>
      </c>
      <c r="AD273" s="21" t="s">
        <v>57</v>
      </c>
      <c r="AE273" s="20">
        <v>45918</v>
      </c>
      <c r="AF273" s="21" t="s">
        <v>485</v>
      </c>
      <c r="AG273" s="239" t="s">
        <v>48</v>
      </c>
      <c r="AH273" s="240" t="s">
        <v>48</v>
      </c>
      <c r="AI273" s="160">
        <v>45787</v>
      </c>
      <c r="AJ273" s="145">
        <f>DATEDIF(AI273,AK273,"D")</f>
        <v>143</v>
      </c>
      <c r="AK273" s="504">
        <v>45930</v>
      </c>
      <c r="AL273" s="90" t="s">
        <v>46</v>
      </c>
      <c r="AM273" s="18">
        <v>45934</v>
      </c>
      <c r="AN273" s="90" t="s">
        <v>74</v>
      </c>
      <c r="AO273" s="90" t="s">
        <v>46</v>
      </c>
      <c r="AP273" s="90" t="s">
        <v>46</v>
      </c>
      <c r="AQ273" s="90">
        <v>20250930</v>
      </c>
      <c r="AR273" s="90" t="s">
        <v>46</v>
      </c>
      <c r="AS273" s="90" t="s">
        <v>46</v>
      </c>
      <c r="AT273" s="98" t="s">
        <v>46</v>
      </c>
    </row>
    <row r="274" spans="1:47" hidden="1" x14ac:dyDescent="0.25">
      <c r="A274" s="71"/>
      <c r="B274" s="29" t="s">
        <v>45</v>
      </c>
      <c r="C274" s="48">
        <v>45698</v>
      </c>
      <c r="D274" s="49">
        <v>25008</v>
      </c>
      <c r="E274" s="50" t="s">
        <v>144</v>
      </c>
      <c r="F274" s="49">
        <v>2501241153</v>
      </c>
      <c r="G274" s="49" t="s">
        <v>64</v>
      </c>
      <c r="H274" s="49" t="s">
        <v>145</v>
      </c>
      <c r="I274" s="49" t="s">
        <v>49</v>
      </c>
      <c r="J274" s="49" t="s">
        <v>46</v>
      </c>
      <c r="K274" s="262" t="s">
        <v>71</v>
      </c>
      <c r="L274" s="49" t="s">
        <v>47</v>
      </c>
      <c r="M274" s="382" t="e">
        <f t="shared" si="47"/>
        <v>#N/A</v>
      </c>
      <c r="N274" s="57" t="s">
        <v>62</v>
      </c>
      <c r="O274" s="51">
        <v>433651</v>
      </c>
      <c r="P274" s="30" t="str">
        <f>VLOOKUP(O274,[1]Feuil2!$A:$M,5,FALSE)</f>
        <v>M16 KOBE BOITE COLLECTION INOX</v>
      </c>
      <c r="Q274" s="49">
        <v>1005</v>
      </c>
      <c r="R274" s="52">
        <v>9.5410000000000004</v>
      </c>
      <c r="S274" s="53">
        <f t="shared" si="44"/>
        <v>9588.7049999999999</v>
      </c>
      <c r="T274" s="31">
        <f t="shared" si="38"/>
        <v>20223.764999999999</v>
      </c>
      <c r="U274" s="140"/>
      <c r="V274" s="32">
        <f t="shared" si="45"/>
        <v>20223.764999999999</v>
      </c>
      <c r="W274" s="33">
        <f>VLOOKUP(O274,[1]Feuil2!$A:$M,6,FALSE)</f>
        <v>3</v>
      </c>
      <c r="X274" s="34">
        <f>VLOOKUP(O274,[1]Feuil2!$A:$M,13,FALSE)</f>
        <v>1.8371124999999999E-2</v>
      </c>
      <c r="Y274" s="35">
        <f t="shared" ref="Y274:Y337" si="49">(Q274/W274)*X274</f>
        <v>6.1543268749999998</v>
      </c>
      <c r="Z274" s="36">
        <f t="shared" si="46"/>
        <v>9.5942668749999989</v>
      </c>
      <c r="AA274" s="235" t="s">
        <v>61</v>
      </c>
      <c r="AB274" s="55" t="s">
        <v>61</v>
      </c>
      <c r="AC274" s="49"/>
      <c r="AD274" s="55" t="s">
        <v>61</v>
      </c>
      <c r="AE274" s="48"/>
      <c r="AF274" s="55"/>
      <c r="AG274" s="55"/>
      <c r="AH274" s="57"/>
      <c r="AI274" s="182">
        <v>45807</v>
      </c>
      <c r="AJ274" s="137" t="s">
        <v>49</v>
      </c>
      <c r="AK274" s="56" t="e">
        <f>VLOOKUP(AP274,'[2]CONTENEUR PLEIN'!$F:$L,3,FALSE)</f>
        <v>#N/A</v>
      </c>
      <c r="AL274" s="37" t="e">
        <f>VLOOKUP(AP274,'[2]CONTENEUR PLEIN'!$F:$L,5,FALSE)</f>
        <v>#N/A</v>
      </c>
      <c r="AM274" s="38" t="e">
        <f>VLOOKUP(AP274,'[2]CONTENEUR PLEIN'!$F:$L,7,FALSE)</f>
        <v>#N/A</v>
      </c>
      <c r="AN274" s="49" t="s">
        <v>63</v>
      </c>
      <c r="AO274" s="49"/>
      <c r="AP274" s="49"/>
      <c r="AQ274" s="49"/>
      <c r="AR274" s="49" t="e">
        <f>VLOOKUP(AP274,'[2]CONTENEUR PLEIN'!$F:$L,2,FALSE)</f>
        <v>#N/A</v>
      </c>
      <c r="AS274" s="49"/>
      <c r="AT274" s="57"/>
      <c r="AU274" s="72"/>
    </row>
    <row r="275" spans="1:47" s="72" customFormat="1" hidden="1" x14ac:dyDescent="0.25">
      <c r="A275" s="71"/>
      <c r="B275" s="29" t="s">
        <v>45</v>
      </c>
      <c r="C275" s="48">
        <v>45698</v>
      </c>
      <c r="D275" s="49">
        <v>25008</v>
      </c>
      <c r="E275" s="50" t="s">
        <v>144</v>
      </c>
      <c r="F275" s="49">
        <v>2501241153</v>
      </c>
      <c r="G275" s="49" t="s">
        <v>64</v>
      </c>
      <c r="H275" s="49" t="s">
        <v>145</v>
      </c>
      <c r="I275" s="49" t="s">
        <v>49</v>
      </c>
      <c r="J275" s="49" t="s">
        <v>46</v>
      </c>
      <c r="K275" s="112" t="s">
        <v>71</v>
      </c>
      <c r="L275" s="49" t="s">
        <v>47</v>
      </c>
      <c r="M275" s="382" t="e">
        <f t="shared" si="47"/>
        <v>#N/A</v>
      </c>
      <c r="N275" s="57" t="s">
        <v>62</v>
      </c>
      <c r="O275" s="51">
        <v>21860001</v>
      </c>
      <c r="P275" s="30" t="str">
        <f>VLOOKUP(O275,[1]Feuil2!$A:$M,5,FALSE)</f>
        <v>COUTEAU GALA EN BOITE PEGBOARDABLE</v>
      </c>
      <c r="Q275" s="49">
        <v>5040</v>
      </c>
      <c r="R275" s="52">
        <v>0.46600000000000003</v>
      </c>
      <c r="S275" s="53">
        <f t="shared" si="44"/>
        <v>2348.6400000000003</v>
      </c>
      <c r="T275" s="31">
        <f t="shared" si="38"/>
        <v>20223.764999999999</v>
      </c>
      <c r="U275" s="140"/>
      <c r="V275" s="32">
        <f t="shared" si="45"/>
        <v>20223.764999999999</v>
      </c>
      <c r="W275" s="33">
        <f>VLOOKUP(O275,[1]Feuil2!$A:$M,6,FALSE)</f>
        <v>72</v>
      </c>
      <c r="X275" s="34">
        <f>VLOOKUP(O275,[1]Feuil2!$A:$M,13,FALSE)</f>
        <v>7.9895000000000001E-3</v>
      </c>
      <c r="Y275" s="35">
        <f t="shared" si="49"/>
        <v>0.55926500000000001</v>
      </c>
      <c r="Z275" s="36">
        <f t="shared" si="46"/>
        <v>9.5942668749999989</v>
      </c>
      <c r="AA275" s="235" t="s">
        <v>61</v>
      </c>
      <c r="AB275" s="55" t="s">
        <v>61</v>
      </c>
      <c r="AC275" s="49"/>
      <c r="AD275" s="55" t="s">
        <v>61</v>
      </c>
      <c r="AE275" s="48"/>
      <c r="AF275" s="55"/>
      <c r="AG275" s="55"/>
      <c r="AH275" s="57"/>
      <c r="AI275" s="182">
        <v>45807</v>
      </c>
      <c r="AJ275" s="137" t="s">
        <v>49</v>
      </c>
      <c r="AK275" s="56" t="e">
        <f>VLOOKUP(AP275,'[2]CONTENEUR PLEIN'!$F:$L,3,FALSE)</f>
        <v>#N/A</v>
      </c>
      <c r="AL275" s="37" t="e">
        <f>VLOOKUP(AP275,'[2]CONTENEUR PLEIN'!$F:$L,5,FALSE)</f>
        <v>#N/A</v>
      </c>
      <c r="AM275" s="38" t="e">
        <f>VLOOKUP(AP275,'[2]CONTENEUR PLEIN'!$F:$L,7,FALSE)</f>
        <v>#N/A</v>
      </c>
      <c r="AN275" s="49" t="s">
        <v>63</v>
      </c>
      <c r="AO275" s="49"/>
      <c r="AP275" s="49"/>
      <c r="AQ275" s="49"/>
      <c r="AR275" s="49" t="e">
        <f>VLOOKUP(AP275,'[2]CONTENEUR PLEIN'!$F:$L,2,FALSE)</f>
        <v>#N/A</v>
      </c>
      <c r="AS275" s="49"/>
      <c r="AT275" s="57"/>
      <c r="AU275" s="181"/>
    </row>
    <row r="276" spans="1:47" s="72" customFormat="1" hidden="1" x14ac:dyDescent="0.25">
      <c r="A276" s="71"/>
      <c r="B276" s="29" t="s">
        <v>45</v>
      </c>
      <c r="C276" s="48">
        <v>45698</v>
      </c>
      <c r="D276" s="49">
        <v>25008</v>
      </c>
      <c r="E276" s="50" t="s">
        <v>144</v>
      </c>
      <c r="F276" s="49">
        <v>2501241153</v>
      </c>
      <c r="G276" s="49" t="s">
        <v>64</v>
      </c>
      <c r="H276" s="49" t="s">
        <v>145</v>
      </c>
      <c r="I276" s="49" t="s">
        <v>49</v>
      </c>
      <c r="J276" s="49" t="s">
        <v>46</v>
      </c>
      <c r="K276" s="112" t="s">
        <v>71</v>
      </c>
      <c r="L276" s="49" t="s">
        <v>47</v>
      </c>
      <c r="M276" s="382" t="e">
        <f t="shared" si="47"/>
        <v>#N/A</v>
      </c>
      <c r="N276" s="57" t="s">
        <v>62</v>
      </c>
      <c r="O276" s="51">
        <v>21860002</v>
      </c>
      <c r="P276" s="30" t="str">
        <f>VLOOKUP(O276,[1]Feuil2!$A:$M,5,FALSE)</f>
        <v>FOURCHETTE GALA EN BOITE PEGBOARDABLE</v>
      </c>
      <c r="Q276" s="49">
        <v>5040</v>
      </c>
      <c r="R276" s="52">
        <v>0.27400000000000002</v>
      </c>
      <c r="S276" s="53">
        <f t="shared" si="44"/>
        <v>1380.96</v>
      </c>
      <c r="T276" s="31">
        <f t="shared" si="38"/>
        <v>20223.764999999999</v>
      </c>
      <c r="U276" s="140"/>
      <c r="V276" s="32">
        <f t="shared" si="45"/>
        <v>20223.764999999999</v>
      </c>
      <c r="W276" s="33">
        <f>VLOOKUP(O276,[1]Feuil2!$A:$M,6,FALSE)</f>
        <v>72</v>
      </c>
      <c r="X276" s="34">
        <f>VLOOKUP(O276,[1]Feuil2!$A:$M,13,FALSE)</f>
        <v>8.7749999999999998E-3</v>
      </c>
      <c r="Y276" s="35">
        <f t="shared" si="49"/>
        <v>0.61424999999999996</v>
      </c>
      <c r="Z276" s="36">
        <f t="shared" si="46"/>
        <v>9.5942668749999989</v>
      </c>
      <c r="AA276" s="235" t="s">
        <v>61</v>
      </c>
      <c r="AB276" s="55" t="s">
        <v>61</v>
      </c>
      <c r="AC276" s="49"/>
      <c r="AD276" s="55" t="s">
        <v>61</v>
      </c>
      <c r="AE276" s="48"/>
      <c r="AF276" s="55"/>
      <c r="AG276" s="55"/>
      <c r="AH276" s="57"/>
      <c r="AI276" s="182">
        <v>45807</v>
      </c>
      <c r="AJ276" s="137" t="s">
        <v>49</v>
      </c>
      <c r="AK276" s="56" t="e">
        <f>VLOOKUP(AP276,'[2]CONTENEUR PLEIN'!$F:$L,3,FALSE)</f>
        <v>#N/A</v>
      </c>
      <c r="AL276" s="37" t="e">
        <f>VLOOKUP(AP276,'[2]CONTENEUR PLEIN'!$F:$L,5,FALSE)</f>
        <v>#N/A</v>
      </c>
      <c r="AM276" s="38" t="e">
        <f>VLOOKUP(AP276,'[2]CONTENEUR PLEIN'!$F:$L,7,FALSE)</f>
        <v>#N/A</v>
      </c>
      <c r="AN276" s="49" t="s">
        <v>63</v>
      </c>
      <c r="AO276" s="49"/>
      <c r="AP276" s="49"/>
      <c r="AQ276" s="49"/>
      <c r="AR276" s="49" t="e">
        <f>VLOOKUP(AP276,'[2]CONTENEUR PLEIN'!$F:$L,2,FALSE)</f>
        <v>#N/A</v>
      </c>
      <c r="AS276" s="49"/>
      <c r="AT276" s="57"/>
      <c r="AU276" s="181"/>
    </row>
    <row r="277" spans="1:47" s="72" customFormat="1" hidden="1" x14ac:dyDescent="0.25">
      <c r="A277" s="71"/>
      <c r="B277" s="29" t="s">
        <v>45</v>
      </c>
      <c r="C277" s="48">
        <v>45698</v>
      </c>
      <c r="D277" s="49">
        <v>25008</v>
      </c>
      <c r="E277" s="50" t="s">
        <v>144</v>
      </c>
      <c r="F277" s="49">
        <v>2501241153</v>
      </c>
      <c r="G277" s="49" t="s">
        <v>64</v>
      </c>
      <c r="H277" s="49" t="s">
        <v>145</v>
      </c>
      <c r="I277" s="49" t="s">
        <v>49</v>
      </c>
      <c r="J277" s="49" t="s">
        <v>46</v>
      </c>
      <c r="K277" s="112" t="s">
        <v>71</v>
      </c>
      <c r="L277" s="49" t="s">
        <v>47</v>
      </c>
      <c r="M277" s="382" t="e">
        <f t="shared" si="47"/>
        <v>#N/A</v>
      </c>
      <c r="N277" s="57" t="s">
        <v>62</v>
      </c>
      <c r="O277" s="51">
        <v>21860004</v>
      </c>
      <c r="P277" s="30" t="str">
        <f>VLOOKUP(O277,[1]Feuil2!$A:$M,5,FALSE)</f>
        <v>CAFE GALA EN BOITE PEGBOARDABLE</v>
      </c>
      <c r="Q277" s="49">
        <v>5040</v>
      </c>
      <c r="R277" s="52">
        <v>0.224</v>
      </c>
      <c r="S277" s="53">
        <f t="shared" si="44"/>
        <v>1128.96</v>
      </c>
      <c r="T277" s="31">
        <f t="shared" si="38"/>
        <v>20223.764999999999</v>
      </c>
      <c r="U277" s="140"/>
      <c r="V277" s="32">
        <f t="shared" si="45"/>
        <v>20223.764999999999</v>
      </c>
      <c r="W277" s="33">
        <f>VLOOKUP(O277,[1]Feuil2!$A:$M,6,FALSE)</f>
        <v>72</v>
      </c>
      <c r="X277" s="34">
        <f>VLOOKUP(O277,[1]Feuil2!$A:$M,13,FALSE)</f>
        <v>6.1274999999999993E-3</v>
      </c>
      <c r="Y277" s="35">
        <f t="shared" si="49"/>
        <v>0.42892499999999995</v>
      </c>
      <c r="Z277" s="36">
        <f t="shared" si="46"/>
        <v>9.5942668749999989</v>
      </c>
      <c r="AA277" s="235" t="s">
        <v>61</v>
      </c>
      <c r="AB277" s="55" t="s">
        <v>61</v>
      </c>
      <c r="AC277" s="49"/>
      <c r="AD277" s="55" t="s">
        <v>61</v>
      </c>
      <c r="AE277" s="48"/>
      <c r="AF277" s="55"/>
      <c r="AG277" s="55"/>
      <c r="AH277" s="57"/>
      <c r="AI277" s="182">
        <v>45807</v>
      </c>
      <c r="AJ277" s="137" t="s">
        <v>49</v>
      </c>
      <c r="AK277" s="56" t="e">
        <f>VLOOKUP(AP277,'[2]CONTENEUR PLEIN'!$F:$L,3,FALSE)</f>
        <v>#N/A</v>
      </c>
      <c r="AL277" s="37" t="e">
        <f>VLOOKUP(AP277,'[2]CONTENEUR PLEIN'!$F:$L,5,FALSE)</f>
        <v>#N/A</v>
      </c>
      <c r="AM277" s="38" t="e">
        <f>VLOOKUP(AP277,'[2]CONTENEUR PLEIN'!$F:$L,7,FALSE)</f>
        <v>#N/A</v>
      </c>
      <c r="AN277" s="49" t="s">
        <v>63</v>
      </c>
      <c r="AO277" s="49"/>
      <c r="AP277" s="49"/>
      <c r="AQ277" s="49"/>
      <c r="AR277" s="49" t="e">
        <f>VLOOKUP(AP277,'[2]CONTENEUR PLEIN'!$F:$L,2,FALSE)</f>
        <v>#N/A</v>
      </c>
      <c r="AS277" s="49"/>
      <c r="AT277" s="57"/>
      <c r="AU277" s="181"/>
    </row>
    <row r="278" spans="1:47" s="72" customFormat="1" hidden="1" x14ac:dyDescent="0.25">
      <c r="A278" s="71"/>
      <c r="B278" s="354" t="s">
        <v>45</v>
      </c>
      <c r="C278" s="89">
        <v>45698</v>
      </c>
      <c r="D278" s="90">
        <v>25008</v>
      </c>
      <c r="E278" s="355" t="s">
        <v>144</v>
      </c>
      <c r="F278" s="90">
        <v>2501241153</v>
      </c>
      <c r="G278" s="130" t="s">
        <v>64</v>
      </c>
      <c r="H278" s="130" t="s">
        <v>145</v>
      </c>
      <c r="I278" s="130" t="s">
        <v>49</v>
      </c>
      <c r="J278" s="130" t="s">
        <v>46</v>
      </c>
      <c r="K278" s="16" t="s">
        <v>862</v>
      </c>
      <c r="L278" s="111">
        <v>45995</v>
      </c>
      <c r="M278" s="381">
        <f t="shared" si="47"/>
        <v>11</v>
      </c>
      <c r="N278" s="98" t="s">
        <v>62</v>
      </c>
      <c r="O278" s="92">
        <v>20480008</v>
      </c>
      <c r="P278" s="24" t="str">
        <f>VLOOKUP(O278,[1]Feuil2!$A:$M,5,FALSE)</f>
        <v>96 CUILLERES CAFE CLEO EN TUBO</v>
      </c>
      <c r="Q278" s="90">
        <v>900</v>
      </c>
      <c r="R278" s="93">
        <v>3.851</v>
      </c>
      <c r="S278" s="94">
        <f t="shared" si="44"/>
        <v>3465.9</v>
      </c>
      <c r="T278" s="95">
        <f t="shared" si="38"/>
        <v>20223.764999999999</v>
      </c>
      <c r="U278" s="138"/>
      <c r="V278" s="96">
        <f t="shared" si="45"/>
        <v>20223.764999999999</v>
      </c>
      <c r="W278" s="4">
        <f>VLOOKUP(O278,[1]Feuil2!$A:$M,6,FALSE)</f>
        <v>6</v>
      </c>
      <c r="X278" s="5">
        <f>VLOOKUP(O278,[1]Feuil2!$A:$M,13,FALSE)</f>
        <v>7.3500000000000006E-3</v>
      </c>
      <c r="Y278" s="6">
        <f t="shared" si="49"/>
        <v>1.1025</v>
      </c>
      <c r="Z278" s="97">
        <f t="shared" si="46"/>
        <v>9.5942668749999989</v>
      </c>
      <c r="AA278" s="69" t="s">
        <v>57</v>
      </c>
      <c r="AB278" s="90" t="s">
        <v>48</v>
      </c>
      <c r="AC278" s="90" t="s">
        <v>55</v>
      </c>
      <c r="AD278" s="21" t="s">
        <v>57</v>
      </c>
      <c r="AE278" s="20">
        <v>45972</v>
      </c>
      <c r="AF278" s="47" t="s">
        <v>610</v>
      </c>
      <c r="AG278" s="21" t="s">
        <v>57</v>
      </c>
      <c r="AH278" s="503" t="s">
        <v>48</v>
      </c>
      <c r="AI278" s="160">
        <v>45807</v>
      </c>
      <c r="AJ278" s="145">
        <f t="shared" ref="AJ278:AJ289" si="50">DATEDIF(AI278,$AK278,"D")</f>
        <v>177</v>
      </c>
      <c r="AK278" s="100">
        <f>VLOOKUP(AP278,'[2]CONTENEUR PLEIN'!$F:$L,3,FALSE)</f>
        <v>45984</v>
      </c>
      <c r="AL278" s="99">
        <f>VLOOKUP(AP278,'[2]CONTENEUR PLEIN'!$F:$L,5,FALSE)</f>
        <v>46030</v>
      </c>
      <c r="AM278" s="18">
        <f>VLOOKUP(AP278,'[2]CONTENEUR PLEIN'!$F:$L,7,FALSE)</f>
        <v>46036.333333333336</v>
      </c>
      <c r="AN278" s="90" t="s">
        <v>63</v>
      </c>
      <c r="AO278" s="351" t="s">
        <v>577</v>
      </c>
      <c r="AP278" s="351" t="s">
        <v>578</v>
      </c>
      <c r="AQ278" s="351" t="s">
        <v>585</v>
      </c>
      <c r="AR278" s="90" t="str">
        <f>VLOOKUP(AP278,'[2]CONTENEUR PLEIN'!$F:$L,2,FALSE)</f>
        <v>CMA CGM GRACE BAY</v>
      </c>
      <c r="AS278" s="351" t="s">
        <v>316</v>
      </c>
      <c r="AT278" s="98"/>
    </row>
    <row r="279" spans="1:47" s="72" customFormat="1" hidden="1" x14ac:dyDescent="0.25">
      <c r="A279" s="71"/>
      <c r="B279" s="116" t="s">
        <v>45</v>
      </c>
      <c r="C279" s="20">
        <v>45698</v>
      </c>
      <c r="D279" s="67">
        <v>25008</v>
      </c>
      <c r="E279" s="117" t="s">
        <v>144</v>
      </c>
      <c r="F279" s="67">
        <v>2501241153</v>
      </c>
      <c r="G279" s="67" t="s">
        <v>64</v>
      </c>
      <c r="H279" s="67" t="s">
        <v>145</v>
      </c>
      <c r="I279" s="67" t="s">
        <v>49</v>
      </c>
      <c r="J279" s="67" t="s">
        <v>46</v>
      </c>
      <c r="K279" s="16" t="s">
        <v>898</v>
      </c>
      <c r="L279" s="111">
        <v>46014</v>
      </c>
      <c r="M279" s="381">
        <f t="shared" si="47"/>
        <v>11</v>
      </c>
      <c r="N279" s="98" t="s">
        <v>62</v>
      </c>
      <c r="O279" s="92">
        <v>20480008</v>
      </c>
      <c r="P279" s="24" t="str">
        <f>VLOOKUP(O279,[1]Feuil2!$A:$M,5,FALSE)</f>
        <v>96 CUILLERES CAFE CLEO EN TUBO</v>
      </c>
      <c r="Q279" s="90">
        <f>1500-900</f>
        <v>600</v>
      </c>
      <c r="R279" s="93">
        <v>3.851</v>
      </c>
      <c r="S279" s="94">
        <f t="shared" si="44"/>
        <v>2310.6</v>
      </c>
      <c r="T279" s="95">
        <f t="shared" si="38"/>
        <v>20223.764999999999</v>
      </c>
      <c r="U279" s="138"/>
      <c r="V279" s="96">
        <f t="shared" si="45"/>
        <v>20223.764999999999</v>
      </c>
      <c r="W279" s="4">
        <f>VLOOKUP(O279,[1]Feuil2!$A:$M,6,FALSE)</f>
        <v>6</v>
      </c>
      <c r="X279" s="5">
        <f>VLOOKUP(O279,[1]Feuil2!$A:$M,13,FALSE)</f>
        <v>7.3500000000000006E-3</v>
      </c>
      <c r="Y279" s="6">
        <f t="shared" si="49"/>
        <v>0.7350000000000001</v>
      </c>
      <c r="Z279" s="97">
        <f t="shared" si="46"/>
        <v>9.5942668749999989</v>
      </c>
      <c r="AA279" s="69" t="s">
        <v>57</v>
      </c>
      <c r="AB279" s="92" t="s">
        <v>48</v>
      </c>
      <c r="AC279" s="90" t="s">
        <v>55</v>
      </c>
      <c r="AD279" s="21" t="s">
        <v>57</v>
      </c>
      <c r="AE279" s="20">
        <v>45972</v>
      </c>
      <c r="AF279" s="47" t="s">
        <v>610</v>
      </c>
      <c r="AG279" s="21" t="s">
        <v>57</v>
      </c>
      <c r="AH279" s="503" t="s">
        <v>48</v>
      </c>
      <c r="AI279" s="160">
        <v>45807</v>
      </c>
      <c r="AJ279" s="145">
        <f t="shared" si="50"/>
        <v>191</v>
      </c>
      <c r="AK279" s="100">
        <f>VLOOKUP(AP279,'[2]CONTENEUR PLEIN'!$F:$L,3,FALSE)</f>
        <v>45998</v>
      </c>
      <c r="AL279" s="99">
        <f>VLOOKUP(AP279,'[2]CONTENEUR PLEIN'!$F:$L,5,FALSE)</f>
        <v>46040</v>
      </c>
      <c r="AM279" s="18">
        <f>VLOOKUP(AP279,'[2]CONTENEUR PLEIN'!$F:$L,7,FALSE)</f>
        <v>46049.333333333336</v>
      </c>
      <c r="AN279" s="90" t="s">
        <v>63</v>
      </c>
      <c r="AO279" s="290" t="s">
        <v>657</v>
      </c>
      <c r="AP279" s="290" t="s">
        <v>658</v>
      </c>
      <c r="AQ279" s="290" t="s">
        <v>661</v>
      </c>
      <c r="AR279" s="90" t="str">
        <f>VLOOKUP(AP279,'[2]CONTENEUR PLEIN'!$F:$L,2,FALSE)</f>
        <v>CMA CGM IGUACU</v>
      </c>
      <c r="AS279" s="290" t="s">
        <v>316</v>
      </c>
      <c r="AT279" s="98"/>
    </row>
    <row r="280" spans="1:47" hidden="1" x14ac:dyDescent="0.25">
      <c r="A280" s="197"/>
      <c r="B280" s="232" t="s">
        <v>45</v>
      </c>
      <c r="C280" s="194">
        <v>45715</v>
      </c>
      <c r="D280" s="191">
        <v>25017</v>
      </c>
      <c r="E280" s="195" t="s">
        <v>150</v>
      </c>
      <c r="F280" s="191">
        <v>2502060825</v>
      </c>
      <c r="G280" s="191" t="s">
        <v>74</v>
      </c>
      <c r="H280" s="314" t="s">
        <v>305</v>
      </c>
      <c r="I280" s="191" t="s">
        <v>49</v>
      </c>
      <c r="J280" s="191" t="s">
        <v>46</v>
      </c>
      <c r="K280" s="16" t="s">
        <v>1051</v>
      </c>
      <c r="L280" s="194">
        <v>45875</v>
      </c>
      <c r="M280" s="381">
        <f t="shared" si="47"/>
        <v>12</v>
      </c>
      <c r="N280" s="209" t="s">
        <v>62</v>
      </c>
      <c r="O280" s="223">
        <v>32000004</v>
      </c>
      <c r="P280" s="24" t="str">
        <f>VLOOKUP(O280,[1]Feuil2!$A:$M,5,FALSE)</f>
        <v>M24 PASSION BLEU 432C BOITE LAGUIOLE HERITAGE</v>
      </c>
      <c r="Q280" s="191">
        <v>1008</v>
      </c>
      <c r="R280" s="224">
        <v>0</v>
      </c>
      <c r="S280" s="225">
        <f t="shared" si="44"/>
        <v>0</v>
      </c>
      <c r="T280" s="226">
        <f t="shared" ref="T280:T343" si="51">SUMIF($E$5:$E$9257,E280,$S$5:$S$9257)</f>
        <v>32665.140000000003</v>
      </c>
      <c r="U280" s="227"/>
      <c r="V280" s="228">
        <f t="shared" si="45"/>
        <v>32665.140000000003</v>
      </c>
      <c r="W280" s="4">
        <f>VLOOKUP(O280,[1]Feuil2!$A:$M,6,FALSE)</f>
        <v>6</v>
      </c>
      <c r="X280" s="5">
        <f>VLOOKUP(O280,[1]Feuil2!$A:$M,13,FALSE)</f>
        <v>2.3789999999999999E-2</v>
      </c>
      <c r="Y280" s="6">
        <f t="shared" si="49"/>
        <v>3.9967199999999998</v>
      </c>
      <c r="Z280" s="229">
        <f t="shared" si="46"/>
        <v>21.910589999999999</v>
      </c>
      <c r="AA280" s="69" t="s">
        <v>57</v>
      </c>
      <c r="AB280" s="92" t="s">
        <v>48</v>
      </c>
      <c r="AC280" s="191" t="s">
        <v>55</v>
      </c>
      <c r="AD280" s="21" t="s">
        <v>57</v>
      </c>
      <c r="AE280" s="20">
        <v>46014</v>
      </c>
      <c r="AF280" s="21" t="s">
        <v>772</v>
      </c>
      <c r="AG280" s="21"/>
      <c r="AH280" s="102"/>
      <c r="AI280" s="160">
        <v>45802</v>
      </c>
      <c r="AJ280" s="145">
        <f t="shared" si="50"/>
        <v>224</v>
      </c>
      <c r="AK280" s="656">
        <f>VLOOKUP(AP280,'[2]CONTENEUR PLEIN'!$F:$L,3,FALSE)</f>
        <v>46026</v>
      </c>
      <c r="AL280" s="657">
        <f>VLOOKUP(AP280,'[2]CONTENEUR PLEIN'!$F:$L,5,FALSE)</f>
        <v>46081</v>
      </c>
      <c r="AM280" s="18">
        <f>VLOOKUP(AP280,'[2]CONTENEUR PLEIN'!$F:$L,7,FALSE)</f>
        <v>46098.53125</v>
      </c>
      <c r="AN280" s="191" t="s">
        <v>63</v>
      </c>
      <c r="AO280" s="514" t="s">
        <v>786</v>
      </c>
      <c r="AP280" s="514" t="s">
        <v>787</v>
      </c>
      <c r="AQ280" s="514" t="s">
        <v>785</v>
      </c>
      <c r="AR280" s="90" t="str">
        <f>VLOOKUP(AP280,'[2]CONTENEUR PLEIN'!$F:$L,2,FALSE)</f>
        <v>ZEPHYR LUMOS</v>
      </c>
      <c r="AS280" s="514" t="s">
        <v>316</v>
      </c>
      <c r="AT280" s="209"/>
    </row>
    <row r="281" spans="1:47" s="72" customFormat="1" hidden="1" x14ac:dyDescent="0.25">
      <c r="A281" s="71"/>
      <c r="B281" s="189" t="s">
        <v>45</v>
      </c>
      <c r="C281" s="89">
        <v>45715</v>
      </c>
      <c r="D281" s="90">
        <v>25017</v>
      </c>
      <c r="E281" s="190" t="s">
        <v>150</v>
      </c>
      <c r="F281" s="90">
        <v>2502060825</v>
      </c>
      <c r="G281" s="118" t="s">
        <v>74</v>
      </c>
      <c r="H281" s="118" t="s">
        <v>67</v>
      </c>
      <c r="I281" s="118" t="s">
        <v>49</v>
      </c>
      <c r="J281" s="118" t="s">
        <v>46</v>
      </c>
      <c r="K281" s="8" t="s">
        <v>572</v>
      </c>
      <c r="L281" s="161">
        <v>45902</v>
      </c>
      <c r="M281" s="381">
        <f t="shared" si="47"/>
        <v>7</v>
      </c>
      <c r="N281" s="98" t="s">
        <v>62</v>
      </c>
      <c r="O281" s="92">
        <v>32000004</v>
      </c>
      <c r="P281" s="24" t="str">
        <f>VLOOKUP(O281,[1]Feuil2!$A:$M,5,FALSE)</f>
        <v>M24 PASSION BLEU 432C BOITE LAGUIOLE HERITAGE</v>
      </c>
      <c r="Q281" s="90">
        <f>1506-1482</f>
        <v>24</v>
      </c>
      <c r="R281" s="93">
        <v>7.23</v>
      </c>
      <c r="S281" s="94">
        <f t="shared" si="44"/>
        <v>173.52</v>
      </c>
      <c r="T281" s="95">
        <f t="shared" si="51"/>
        <v>32665.140000000003</v>
      </c>
      <c r="U281" s="138"/>
      <c r="V281" s="96">
        <f t="shared" si="45"/>
        <v>32665.140000000003</v>
      </c>
      <c r="W281" s="4">
        <f>VLOOKUP(O281,[1]Feuil2!$A:$M,6,FALSE)</f>
        <v>6</v>
      </c>
      <c r="X281" s="5">
        <f>VLOOKUP(O281,[1]Feuil2!$A:$M,13,FALSE)</f>
        <v>2.3789999999999999E-2</v>
      </c>
      <c r="Y281" s="6">
        <f t="shared" si="49"/>
        <v>9.5159999999999995E-2</v>
      </c>
      <c r="Z281" s="97">
        <f t="shared" si="46"/>
        <v>21.910589999999999</v>
      </c>
      <c r="AA281" s="69" t="s">
        <v>57</v>
      </c>
      <c r="AB281" s="167" t="s">
        <v>61</v>
      </c>
      <c r="AC281" s="168" t="s">
        <v>55</v>
      </c>
      <c r="AD281" s="21" t="s">
        <v>57</v>
      </c>
      <c r="AE281" s="20">
        <v>45825</v>
      </c>
      <c r="AF281" s="47" t="s">
        <v>311</v>
      </c>
      <c r="AG281" s="21"/>
      <c r="AH281" s="98"/>
      <c r="AI281" s="160">
        <v>45802</v>
      </c>
      <c r="AJ281" s="145">
        <f t="shared" si="50"/>
        <v>88</v>
      </c>
      <c r="AK281" s="100">
        <f>VLOOKUP(AP281,'[3]CONTENEUR PLEIN'!$F:$L,3,FALSE)</f>
        <v>45890</v>
      </c>
      <c r="AL281" s="99">
        <f>VLOOKUP(AP281,'[3]CONTENEUR PLEIN'!$F:$L,5,FALSE)</f>
        <v>45933</v>
      </c>
      <c r="AM281" s="18">
        <f>VLOOKUP(AP281,'[3]CONTENEUR PLEIN'!$F:$L,7,FALSE)</f>
        <v>45943.333333333336</v>
      </c>
      <c r="AN281" s="118" t="s">
        <v>63</v>
      </c>
      <c r="AO281" s="191" t="s">
        <v>399</v>
      </c>
      <c r="AP281" s="191" t="s">
        <v>400</v>
      </c>
      <c r="AQ281" s="191" t="s">
        <v>402</v>
      </c>
      <c r="AR281" s="191" t="str">
        <f>VLOOKUP(AP281,'[3]CONTENEUR PLEIN'!$F:$L,2,FALSE)</f>
        <v>CMA CGM SCANDOLA</v>
      </c>
      <c r="AS281" s="191" t="s">
        <v>316</v>
      </c>
      <c r="AT281" s="98"/>
    </row>
    <row r="282" spans="1:47" s="72" customFormat="1" hidden="1" x14ac:dyDescent="0.25">
      <c r="A282" s="197"/>
      <c r="B282" s="232" t="s">
        <v>45</v>
      </c>
      <c r="C282" s="194">
        <v>45715</v>
      </c>
      <c r="D282" s="191">
        <v>25017</v>
      </c>
      <c r="E282" s="195" t="s">
        <v>150</v>
      </c>
      <c r="F282" s="191">
        <v>2502060825</v>
      </c>
      <c r="G282" s="191" t="s">
        <v>74</v>
      </c>
      <c r="H282" s="191" t="s">
        <v>67</v>
      </c>
      <c r="I282" s="191" t="s">
        <v>49</v>
      </c>
      <c r="J282" s="191" t="s">
        <v>46</v>
      </c>
      <c r="K282" s="16" t="s">
        <v>449</v>
      </c>
      <c r="L282" s="194">
        <v>45875</v>
      </c>
      <c r="M282" s="381">
        <f t="shared" si="47"/>
        <v>6</v>
      </c>
      <c r="N282" s="209" t="s">
        <v>62</v>
      </c>
      <c r="O282" s="223">
        <v>32000001</v>
      </c>
      <c r="P282" s="24" t="str">
        <f>VLOOKUP(O282,[1]Feuil2!$A:$M,5,FALSE)</f>
        <v>M24 PASSION NOIR 6C BOITE LAGUIOLE HERITAGE</v>
      </c>
      <c r="Q282" s="191">
        <v>1506</v>
      </c>
      <c r="R282" s="224">
        <v>7.23</v>
      </c>
      <c r="S282" s="225">
        <f t="shared" si="44"/>
        <v>10888.380000000001</v>
      </c>
      <c r="T282" s="226">
        <f t="shared" si="51"/>
        <v>32665.140000000003</v>
      </c>
      <c r="U282" s="227"/>
      <c r="V282" s="228">
        <f t="shared" si="45"/>
        <v>32665.140000000003</v>
      </c>
      <c r="W282" s="4">
        <f>VLOOKUP(O282,[1]Feuil2!$A:$M,6,FALSE)</f>
        <v>6</v>
      </c>
      <c r="X282" s="5">
        <f>VLOOKUP(O282,[1]Feuil2!$A:$M,13,FALSE)</f>
        <v>2.3789999999999999E-2</v>
      </c>
      <c r="Y282" s="6">
        <f t="shared" si="49"/>
        <v>5.9712899999999998</v>
      </c>
      <c r="Z282" s="229">
        <f t="shared" si="46"/>
        <v>21.910589999999999</v>
      </c>
      <c r="AA282" s="69" t="s">
        <v>57</v>
      </c>
      <c r="AB282" s="92" t="s">
        <v>48</v>
      </c>
      <c r="AC282" s="191" t="s">
        <v>55</v>
      </c>
      <c r="AD282" s="21" t="s">
        <v>57</v>
      </c>
      <c r="AE282" s="20">
        <v>45825</v>
      </c>
      <c r="AF282" s="47" t="s">
        <v>310</v>
      </c>
      <c r="AG282" s="21"/>
      <c r="AH282" s="209"/>
      <c r="AI282" s="160">
        <v>45802</v>
      </c>
      <c r="AJ282" s="145">
        <f t="shared" si="50"/>
        <v>55</v>
      </c>
      <c r="AK282" s="100">
        <f>VLOOKUP(AP282,'[3]CONTENEUR PLEIN'!$F:$L,3,FALSE)</f>
        <v>45857</v>
      </c>
      <c r="AL282" s="99">
        <f>VLOOKUP(AP282,'[3]CONTENEUR PLEIN'!$F:$L,5,FALSE)</f>
        <v>45907</v>
      </c>
      <c r="AM282" s="18">
        <f>VLOOKUP(AP282,'[3]CONTENEUR PLEIN'!$F:$L,7,FALSE)</f>
        <v>45918.333333333336</v>
      </c>
      <c r="AN282" s="191" t="s">
        <v>63</v>
      </c>
      <c r="AO282" s="191" t="s">
        <v>356</v>
      </c>
      <c r="AP282" s="191" t="s">
        <v>357</v>
      </c>
      <c r="AQ282" s="191" t="s">
        <v>359</v>
      </c>
      <c r="AR282" s="191" t="str">
        <f>VLOOKUP(AP282,'[3]CONTENEUR PLEIN'!$F:$L,2,FALSE)</f>
        <v>CMA CGM UNITY</v>
      </c>
      <c r="AS282" s="191" t="s">
        <v>316</v>
      </c>
      <c r="AT282" s="209"/>
    </row>
    <row r="283" spans="1:47" s="72" customFormat="1" hidden="1" x14ac:dyDescent="0.25">
      <c r="A283" s="197"/>
      <c r="B283" s="232" t="s">
        <v>45</v>
      </c>
      <c r="C283" s="194">
        <v>45715</v>
      </c>
      <c r="D283" s="191">
        <v>25017</v>
      </c>
      <c r="E283" s="195" t="s">
        <v>150</v>
      </c>
      <c r="F283" s="191">
        <v>2502060825</v>
      </c>
      <c r="G283" s="191" t="s">
        <v>74</v>
      </c>
      <c r="H283" s="191" t="s">
        <v>67</v>
      </c>
      <c r="I283" s="191" t="s">
        <v>49</v>
      </c>
      <c r="J283" s="191" t="s">
        <v>46</v>
      </c>
      <c r="K283" s="16" t="s">
        <v>449</v>
      </c>
      <c r="L283" s="194">
        <v>45875</v>
      </c>
      <c r="M283" s="381">
        <f t="shared" si="47"/>
        <v>6</v>
      </c>
      <c r="N283" s="209" t="s">
        <v>62</v>
      </c>
      <c r="O283" s="223">
        <v>32000002</v>
      </c>
      <c r="P283" s="24" t="str">
        <f>VLOOKUP(O283,[1]Feuil2!$A:$M,5,FALSE)</f>
        <v>M24 PASSION BLANC BOITE LAGUIOLE HERITAGE</v>
      </c>
      <c r="Q283" s="191">
        <v>1506</v>
      </c>
      <c r="R283" s="224">
        <v>7.23</v>
      </c>
      <c r="S283" s="225">
        <f t="shared" si="44"/>
        <v>10888.380000000001</v>
      </c>
      <c r="T283" s="226">
        <f t="shared" si="51"/>
        <v>32665.140000000003</v>
      </c>
      <c r="U283" s="227"/>
      <c r="V283" s="228">
        <f t="shared" si="45"/>
        <v>32665.140000000003</v>
      </c>
      <c r="W283" s="4">
        <f>VLOOKUP(O283,[1]Feuil2!$A:$M,6,FALSE)</f>
        <v>6</v>
      </c>
      <c r="X283" s="5">
        <f>VLOOKUP(O283,[1]Feuil2!$A:$M,13,FALSE)</f>
        <v>2.3789999999999999E-2</v>
      </c>
      <c r="Y283" s="6">
        <f t="shared" si="49"/>
        <v>5.9712899999999998</v>
      </c>
      <c r="Z283" s="229">
        <f t="shared" si="46"/>
        <v>21.910589999999999</v>
      </c>
      <c r="AA283" s="69" t="s">
        <v>57</v>
      </c>
      <c r="AB283" s="92" t="s">
        <v>48</v>
      </c>
      <c r="AC283" s="191" t="s">
        <v>55</v>
      </c>
      <c r="AD283" s="21" t="s">
        <v>57</v>
      </c>
      <c r="AE283" s="20">
        <v>45825</v>
      </c>
      <c r="AF283" s="47" t="s">
        <v>312</v>
      </c>
      <c r="AG283" s="21"/>
      <c r="AH283" s="209"/>
      <c r="AI283" s="160">
        <v>45802</v>
      </c>
      <c r="AJ283" s="145">
        <f t="shared" si="50"/>
        <v>55</v>
      </c>
      <c r="AK283" s="100">
        <f>VLOOKUP(AP283,'[3]CONTENEUR PLEIN'!$F:$L,3,FALSE)</f>
        <v>45857</v>
      </c>
      <c r="AL283" s="99">
        <f>VLOOKUP(AP283,'[3]CONTENEUR PLEIN'!$F:$L,5,FALSE)</f>
        <v>45907</v>
      </c>
      <c r="AM283" s="18">
        <f>VLOOKUP(AP283,'[3]CONTENEUR PLEIN'!$F:$L,7,FALSE)</f>
        <v>45918.333333333336</v>
      </c>
      <c r="AN283" s="191" t="s">
        <v>63</v>
      </c>
      <c r="AO283" s="191" t="s">
        <v>356</v>
      </c>
      <c r="AP283" s="191" t="s">
        <v>357</v>
      </c>
      <c r="AQ283" s="191" t="s">
        <v>359</v>
      </c>
      <c r="AR283" s="191" t="str">
        <f>VLOOKUP(AP283,'[3]CONTENEUR PLEIN'!$F:$L,2,FALSE)</f>
        <v>CMA CGM UNITY</v>
      </c>
      <c r="AS283" s="191" t="s">
        <v>316</v>
      </c>
      <c r="AT283" s="209"/>
    </row>
    <row r="284" spans="1:47" s="72" customFormat="1" hidden="1" x14ac:dyDescent="0.25">
      <c r="A284" s="197"/>
      <c r="B284" s="232" t="s">
        <v>45</v>
      </c>
      <c r="C284" s="194">
        <v>45715</v>
      </c>
      <c r="D284" s="191">
        <v>25017</v>
      </c>
      <c r="E284" s="195" t="s">
        <v>150</v>
      </c>
      <c r="F284" s="191">
        <v>2502060825</v>
      </c>
      <c r="G284" s="191" t="s">
        <v>74</v>
      </c>
      <c r="H284" s="191" t="s">
        <v>67</v>
      </c>
      <c r="I284" s="191" t="s">
        <v>49</v>
      </c>
      <c r="J284" s="191" t="s">
        <v>46</v>
      </c>
      <c r="K284" s="16" t="s">
        <v>449</v>
      </c>
      <c r="L284" s="194">
        <v>45875</v>
      </c>
      <c r="M284" s="381">
        <f t="shared" si="47"/>
        <v>6</v>
      </c>
      <c r="N284" s="209" t="s">
        <v>62</v>
      </c>
      <c r="O284" s="223">
        <v>32000004</v>
      </c>
      <c r="P284" s="24" t="str">
        <f>VLOOKUP(O284,[1]Feuil2!$A:$M,5,FALSE)</f>
        <v>M24 PASSION BLEU 432C BOITE LAGUIOLE HERITAGE</v>
      </c>
      <c r="Q284" s="191">
        <v>1482</v>
      </c>
      <c r="R284" s="224">
        <v>7.23</v>
      </c>
      <c r="S284" s="225">
        <f t="shared" si="44"/>
        <v>10714.86</v>
      </c>
      <c r="T284" s="226">
        <f t="shared" si="51"/>
        <v>32665.140000000003</v>
      </c>
      <c r="U284" s="227"/>
      <c r="V284" s="228">
        <f t="shared" si="45"/>
        <v>32665.140000000003</v>
      </c>
      <c r="W284" s="4">
        <f>VLOOKUP(O284,[1]Feuil2!$A:$M,6,FALSE)</f>
        <v>6</v>
      </c>
      <c r="X284" s="5">
        <f>VLOOKUP(O284,[1]Feuil2!$A:$M,13,FALSE)</f>
        <v>2.3789999999999999E-2</v>
      </c>
      <c r="Y284" s="6">
        <f t="shared" si="49"/>
        <v>5.8761299999999999</v>
      </c>
      <c r="Z284" s="229">
        <f t="shared" si="46"/>
        <v>21.910589999999999</v>
      </c>
      <c r="AA284" s="69" t="s">
        <v>57</v>
      </c>
      <c r="AB284" s="92" t="s">
        <v>48</v>
      </c>
      <c r="AC284" s="191" t="s">
        <v>55</v>
      </c>
      <c r="AD284" s="21" t="s">
        <v>57</v>
      </c>
      <c r="AE284" s="20">
        <v>45825</v>
      </c>
      <c r="AF284" s="47" t="s">
        <v>311</v>
      </c>
      <c r="AG284" s="21"/>
      <c r="AH284" s="102" t="s">
        <v>753</v>
      </c>
      <c r="AI284" s="160">
        <v>45802</v>
      </c>
      <c r="AJ284" s="145">
        <f t="shared" si="50"/>
        <v>55</v>
      </c>
      <c r="AK284" s="100">
        <f>VLOOKUP(AP284,'[3]CONTENEUR PLEIN'!$F:$L,3,FALSE)</f>
        <v>45857</v>
      </c>
      <c r="AL284" s="99">
        <f>VLOOKUP(AP284,'[3]CONTENEUR PLEIN'!$F:$L,5,FALSE)</f>
        <v>45907</v>
      </c>
      <c r="AM284" s="18">
        <f>VLOOKUP(AP284,'[3]CONTENEUR PLEIN'!$F:$L,7,FALSE)</f>
        <v>45918.333333333336</v>
      </c>
      <c r="AN284" s="191" t="s">
        <v>63</v>
      </c>
      <c r="AO284" s="191" t="s">
        <v>356</v>
      </c>
      <c r="AP284" s="191" t="s">
        <v>357</v>
      </c>
      <c r="AQ284" s="191" t="s">
        <v>359</v>
      </c>
      <c r="AR284" s="191" t="str">
        <f>VLOOKUP(AP284,'[3]CONTENEUR PLEIN'!$F:$L,2,FALSE)</f>
        <v>CMA CGM UNITY</v>
      </c>
      <c r="AS284" s="191" t="s">
        <v>316</v>
      </c>
      <c r="AT284" s="209"/>
      <c r="AU284" s="181"/>
    </row>
    <row r="285" spans="1:47" s="72" customFormat="1" hidden="1" x14ac:dyDescent="0.25">
      <c r="A285" s="71"/>
      <c r="B285" s="330" t="s">
        <v>45</v>
      </c>
      <c r="C285" s="146">
        <v>45705</v>
      </c>
      <c r="D285" s="331">
        <v>25013</v>
      </c>
      <c r="E285" s="332" t="s">
        <v>149</v>
      </c>
      <c r="F285" s="147">
        <v>2502171006</v>
      </c>
      <c r="G285" s="331" t="s">
        <v>64</v>
      </c>
      <c r="H285" s="331" t="s">
        <v>145</v>
      </c>
      <c r="I285" s="331" t="s">
        <v>49</v>
      </c>
      <c r="J285" s="331" t="s">
        <v>46</v>
      </c>
      <c r="K285" s="329" t="s">
        <v>68</v>
      </c>
      <c r="L285" s="161">
        <v>46048</v>
      </c>
      <c r="M285" s="379">
        <f t="shared" si="47"/>
        <v>13</v>
      </c>
      <c r="N285" s="98" t="s">
        <v>62</v>
      </c>
      <c r="O285" s="78">
        <v>21520011</v>
      </c>
      <c r="P285" s="42" t="str">
        <f>VLOOKUP(O285,[1]Feuil2!$A:$M,5,FALSE)</f>
        <v>M16 LAGUIOLE INTUITION METAL PVD NOIR MAT BOITE LAG BLEUE</v>
      </c>
      <c r="Q285" s="75">
        <v>4512</v>
      </c>
      <c r="R285" s="79">
        <v>7.5</v>
      </c>
      <c r="S285" s="80">
        <f t="shared" si="44"/>
        <v>33840</v>
      </c>
      <c r="T285" s="81">
        <f t="shared" si="51"/>
        <v>33840</v>
      </c>
      <c r="U285" s="139"/>
      <c r="V285" s="82">
        <f t="shared" si="45"/>
        <v>33840</v>
      </c>
      <c r="W285" s="9">
        <f>VLOOKUP(O285,[1]Feuil2!$A:$M,6,FALSE)</f>
        <v>6</v>
      </c>
      <c r="X285" s="10">
        <f>VLOOKUP(O285,[1]Feuil2!$A:$M,13,FALSE)</f>
        <v>2.418E-2</v>
      </c>
      <c r="Y285" s="11">
        <f t="shared" si="49"/>
        <v>18.18336</v>
      </c>
      <c r="Z285" s="83">
        <f t="shared" si="46"/>
        <v>18.18336</v>
      </c>
      <c r="AA285" s="28" t="s">
        <v>61</v>
      </c>
      <c r="AB285" s="28" t="s">
        <v>61</v>
      </c>
      <c r="AC285" s="75"/>
      <c r="AD285" s="28" t="s">
        <v>61</v>
      </c>
      <c r="AE285" s="14">
        <v>45994</v>
      </c>
      <c r="AF285" s="13" t="s">
        <v>649</v>
      </c>
      <c r="AG285" s="13"/>
      <c r="AH285" s="84"/>
      <c r="AI285" s="328">
        <v>45848</v>
      </c>
      <c r="AJ285" s="144">
        <f t="shared" si="50"/>
        <v>178</v>
      </c>
      <c r="AK285" s="85">
        <f>VLOOKUP(AP285,'[2]CONTENEUR PLEIN'!$F:$L,3,FALSE)</f>
        <v>46026</v>
      </c>
      <c r="AL285" s="86">
        <f>VLOOKUP(AP285,'[2]CONTENEUR PLEIN'!$F:$L,5,FALSE)</f>
        <v>46081</v>
      </c>
      <c r="AM285" s="18">
        <f>VLOOKUP(AP285,'[2]CONTENEUR PLEIN'!$F:$L,7,FALSE)</f>
        <v>46099.333333333336</v>
      </c>
      <c r="AN285" s="115" t="s">
        <v>63</v>
      </c>
      <c r="AO285" s="325" t="s">
        <v>795</v>
      </c>
      <c r="AP285" s="325" t="s">
        <v>796</v>
      </c>
      <c r="AQ285" s="325" t="s">
        <v>798</v>
      </c>
      <c r="AR285" s="75" t="str">
        <f>VLOOKUP(AP285,'[2]CONTENEUR PLEIN'!$F:$L,2,FALSE)</f>
        <v>ZEPHYR LUMOS</v>
      </c>
      <c r="AS285" s="325" t="s">
        <v>316</v>
      </c>
      <c r="AT285" s="84"/>
    </row>
    <row r="286" spans="1:47" s="72" customFormat="1" hidden="1" x14ac:dyDescent="0.25">
      <c r="A286" s="71"/>
      <c r="B286" s="152" t="s">
        <v>45</v>
      </c>
      <c r="C286" s="89">
        <v>45763</v>
      </c>
      <c r="D286" s="129">
        <v>25030</v>
      </c>
      <c r="E286" s="143" t="s">
        <v>214</v>
      </c>
      <c r="F286" s="90">
        <v>2503051015</v>
      </c>
      <c r="G286" s="129" t="s">
        <v>64</v>
      </c>
      <c r="H286" s="129" t="s">
        <v>215</v>
      </c>
      <c r="I286" s="129" t="s">
        <v>49</v>
      </c>
      <c r="J286" s="129" t="s">
        <v>46</v>
      </c>
      <c r="K286" s="16" t="s">
        <v>862</v>
      </c>
      <c r="L286" s="304">
        <v>45995</v>
      </c>
      <c r="M286" s="381">
        <f t="shared" si="47"/>
        <v>8</v>
      </c>
      <c r="N286" s="98" t="s">
        <v>49</v>
      </c>
      <c r="O286" s="92">
        <v>402620</v>
      </c>
      <c r="P286" s="24" t="str">
        <f>VLOOKUP(O286,[1]Feuil2!$A:$M,5,FALSE)</f>
        <v>LOT 6 FTTES CLEO 18% 10/10</v>
      </c>
      <c r="Q286" s="90">
        <v>50040</v>
      </c>
      <c r="R286" s="93">
        <v>0.38400000000000001</v>
      </c>
      <c r="S286" s="94">
        <f t="shared" si="44"/>
        <v>19215.36</v>
      </c>
      <c r="T286" s="95">
        <f t="shared" si="51"/>
        <v>87371.224000000017</v>
      </c>
      <c r="U286" s="138"/>
      <c r="V286" s="96">
        <f t="shared" si="45"/>
        <v>87371.224000000017</v>
      </c>
      <c r="W286" s="4">
        <f>VLOOKUP(O286,[1]Feuil2!$A:$M,6,FALSE)</f>
        <v>120</v>
      </c>
      <c r="X286" s="5">
        <f>VLOOKUP(O286,[1]Feuil2!$A:$M,13,FALSE)</f>
        <v>1.0846E-2</v>
      </c>
      <c r="Y286" s="6">
        <f t="shared" si="49"/>
        <v>4.5227820000000003</v>
      </c>
      <c r="Z286" s="97">
        <f t="shared" si="46"/>
        <v>31.965139999999995</v>
      </c>
      <c r="AA286" s="69" t="s">
        <v>57</v>
      </c>
      <c r="AB286" s="90" t="s">
        <v>48</v>
      </c>
      <c r="AC286" s="90" t="s">
        <v>55</v>
      </c>
      <c r="AD286" s="69" t="s">
        <v>57</v>
      </c>
      <c r="AE286" s="20">
        <v>45968</v>
      </c>
      <c r="AF286" s="21" t="s">
        <v>614</v>
      </c>
      <c r="AG286" s="21" t="s">
        <v>57</v>
      </c>
      <c r="AH286" s="503" t="s">
        <v>48</v>
      </c>
      <c r="AI286" s="160">
        <v>45868</v>
      </c>
      <c r="AJ286" s="145">
        <f t="shared" si="50"/>
        <v>116</v>
      </c>
      <c r="AK286" s="100">
        <f>VLOOKUP(AP286,'[2]CONTENEUR PLEIN'!$F:$L,3,FALSE)</f>
        <v>45984</v>
      </c>
      <c r="AL286" s="99">
        <f>VLOOKUP(AP286,'[2]CONTENEUR PLEIN'!$F:$L,5,FALSE)</f>
        <v>46030</v>
      </c>
      <c r="AM286" s="18">
        <f>VLOOKUP(AP286,'[2]CONTENEUR PLEIN'!$F:$L,7,FALSE)</f>
        <v>46036.333333333336</v>
      </c>
      <c r="AN286" s="130" t="s">
        <v>63</v>
      </c>
      <c r="AO286" s="351" t="s">
        <v>577</v>
      </c>
      <c r="AP286" s="351" t="s">
        <v>578</v>
      </c>
      <c r="AQ286" s="351" t="s">
        <v>586</v>
      </c>
      <c r="AR286" s="90" t="str">
        <f>VLOOKUP(AP286,'[2]CONTENEUR PLEIN'!$F:$L,2,FALSE)</f>
        <v>CMA CGM GRACE BAY</v>
      </c>
      <c r="AS286" s="351" t="s">
        <v>316</v>
      </c>
      <c r="AT286" s="98"/>
    </row>
    <row r="287" spans="1:47" s="72" customFormat="1" hidden="1" x14ac:dyDescent="0.25">
      <c r="A287" s="71"/>
      <c r="B287" s="116" t="s">
        <v>45</v>
      </c>
      <c r="C287" s="20">
        <v>45763</v>
      </c>
      <c r="D287" s="67">
        <v>25030</v>
      </c>
      <c r="E287" s="117" t="s">
        <v>214</v>
      </c>
      <c r="F287" s="67">
        <v>2503051015</v>
      </c>
      <c r="G287" s="67" t="s">
        <v>64</v>
      </c>
      <c r="H287" s="67" t="s">
        <v>215</v>
      </c>
      <c r="I287" s="67" t="s">
        <v>49</v>
      </c>
      <c r="J287" s="67" t="s">
        <v>46</v>
      </c>
      <c r="K287" s="16" t="s">
        <v>898</v>
      </c>
      <c r="L287" s="111">
        <v>46014</v>
      </c>
      <c r="M287" s="381">
        <f t="shared" si="47"/>
        <v>9</v>
      </c>
      <c r="N287" s="98" t="s">
        <v>49</v>
      </c>
      <c r="O287" s="92">
        <v>402630</v>
      </c>
      <c r="P287" s="24" t="str">
        <f>VLOOKUP(O287,[1]Feuil2!$A:$M,5,FALSE)</f>
        <v>LOT 6 CUILL CLEO 18% 10/10</v>
      </c>
      <c r="Q287" s="90">
        <v>36000</v>
      </c>
      <c r="R287" s="93">
        <v>0.40200000000000002</v>
      </c>
      <c r="S287" s="94">
        <f t="shared" si="44"/>
        <v>14472</v>
      </c>
      <c r="T287" s="95">
        <f t="shared" si="51"/>
        <v>87371.224000000017</v>
      </c>
      <c r="U287" s="138"/>
      <c r="V287" s="96">
        <f t="shared" si="45"/>
        <v>87371.224000000017</v>
      </c>
      <c r="W287" s="4">
        <f>VLOOKUP(O287,[1]Feuil2!$A:$M,6,FALSE)</f>
        <v>120</v>
      </c>
      <c r="X287" s="5">
        <f>VLOOKUP(O287,[1]Feuil2!$A:$M,13,FALSE)</f>
        <v>1.4428125E-2</v>
      </c>
      <c r="Y287" s="6">
        <f t="shared" si="49"/>
        <v>4.3284374999999997</v>
      </c>
      <c r="Z287" s="97">
        <f t="shared" si="46"/>
        <v>31.965139999999995</v>
      </c>
      <c r="AA287" s="69" t="s">
        <v>57</v>
      </c>
      <c r="AB287" s="90" t="s">
        <v>48</v>
      </c>
      <c r="AC287" s="90" t="s">
        <v>55</v>
      </c>
      <c r="AD287" s="69" t="s">
        <v>57</v>
      </c>
      <c r="AE287" s="20">
        <v>45973</v>
      </c>
      <c r="AF287" s="21" t="s">
        <v>601</v>
      </c>
      <c r="AG287" s="21"/>
      <c r="AH287" s="98"/>
      <c r="AI287" s="160">
        <v>45868</v>
      </c>
      <c r="AJ287" s="145">
        <f t="shared" si="50"/>
        <v>130</v>
      </c>
      <c r="AK287" s="100">
        <f>VLOOKUP(AP287,'[2]CONTENEUR PLEIN'!$F:$L,3,FALSE)</f>
        <v>45998</v>
      </c>
      <c r="AL287" s="99">
        <f>VLOOKUP(AP287,'[2]CONTENEUR PLEIN'!$F:$L,5,FALSE)</f>
        <v>46040</v>
      </c>
      <c r="AM287" s="18">
        <f>VLOOKUP(AP287,'[2]CONTENEUR PLEIN'!$F:$L,7,FALSE)</f>
        <v>46049.333333333336</v>
      </c>
      <c r="AN287" s="130" t="s">
        <v>63</v>
      </c>
      <c r="AO287" s="290" t="s">
        <v>657</v>
      </c>
      <c r="AP287" s="290" t="s">
        <v>658</v>
      </c>
      <c r="AQ287" s="290" t="s">
        <v>660</v>
      </c>
      <c r="AR287" s="90" t="str">
        <f>VLOOKUP(AP287,'[2]CONTENEUR PLEIN'!$F:$L,2,FALSE)</f>
        <v>CMA CGM IGUACU</v>
      </c>
      <c r="AS287" s="290" t="s">
        <v>316</v>
      </c>
      <c r="AT287" s="44" t="s">
        <v>136</v>
      </c>
    </row>
    <row r="288" spans="1:47" s="72" customFormat="1" hidden="1" x14ac:dyDescent="0.25">
      <c r="A288" s="71"/>
      <c r="B288" s="152" t="s">
        <v>45</v>
      </c>
      <c r="C288" s="89">
        <v>45763</v>
      </c>
      <c r="D288" s="129">
        <v>25030</v>
      </c>
      <c r="E288" s="143" t="s">
        <v>214</v>
      </c>
      <c r="F288" s="90">
        <v>2503051015</v>
      </c>
      <c r="G288" s="129" t="s">
        <v>64</v>
      </c>
      <c r="H288" s="129" t="s">
        <v>215</v>
      </c>
      <c r="I288" s="129" t="s">
        <v>49</v>
      </c>
      <c r="J288" s="129" t="s">
        <v>46</v>
      </c>
      <c r="K288" s="16" t="s">
        <v>862</v>
      </c>
      <c r="L288" s="304">
        <v>45995</v>
      </c>
      <c r="M288" s="381">
        <f t="shared" si="47"/>
        <v>8</v>
      </c>
      <c r="N288" s="98" t="s">
        <v>49</v>
      </c>
      <c r="O288" s="92">
        <v>402640</v>
      </c>
      <c r="P288" s="24" t="str">
        <f>VLOOKUP(O288,[1]Feuil2!$A:$M,5,FALSE)</f>
        <v>LOT 6 CAFES CLEO 18% 10/10</v>
      </c>
      <c r="Q288" s="90">
        <v>58600</v>
      </c>
      <c r="R288" s="93">
        <v>0.28799999999999998</v>
      </c>
      <c r="S288" s="94">
        <f t="shared" si="44"/>
        <v>16876.8</v>
      </c>
      <c r="T288" s="95">
        <f t="shared" si="51"/>
        <v>87371.224000000017</v>
      </c>
      <c r="U288" s="138"/>
      <c r="V288" s="96">
        <f t="shared" si="45"/>
        <v>87371.224000000017</v>
      </c>
      <c r="W288" s="4">
        <f>VLOOKUP(O288,[1]Feuil2!$A:$M,6,FALSE)</f>
        <v>200</v>
      </c>
      <c r="X288" s="5">
        <f>VLOOKUP(O288,[1]Feuil2!$A:$M,13,FALSE)</f>
        <v>8.0750000000000006E-3</v>
      </c>
      <c r="Y288" s="6">
        <f t="shared" si="49"/>
        <v>2.3659750000000002</v>
      </c>
      <c r="Z288" s="97">
        <f t="shared" si="46"/>
        <v>31.965139999999995</v>
      </c>
      <c r="AA288" s="69" t="s">
        <v>57</v>
      </c>
      <c r="AB288" s="90" t="s">
        <v>48</v>
      </c>
      <c r="AC288" s="90" t="s">
        <v>55</v>
      </c>
      <c r="AD288" s="21" t="s">
        <v>57</v>
      </c>
      <c r="AE288" s="20">
        <v>45968</v>
      </c>
      <c r="AF288" s="21" t="s">
        <v>615</v>
      </c>
      <c r="AG288" s="564" t="s">
        <v>57</v>
      </c>
      <c r="AH288" s="503" t="s">
        <v>48</v>
      </c>
      <c r="AI288" s="160">
        <v>45868</v>
      </c>
      <c r="AJ288" s="145">
        <f t="shared" si="50"/>
        <v>116</v>
      </c>
      <c r="AK288" s="100">
        <f>VLOOKUP(AP288,'[2]CONTENEUR PLEIN'!$F:$L,3,FALSE)</f>
        <v>45984</v>
      </c>
      <c r="AL288" s="99">
        <f>VLOOKUP(AP288,'[2]CONTENEUR PLEIN'!$F:$L,5,FALSE)</f>
        <v>46030</v>
      </c>
      <c r="AM288" s="18">
        <f>VLOOKUP(AP288,'[2]CONTENEUR PLEIN'!$F:$L,7,FALSE)</f>
        <v>46036.333333333336</v>
      </c>
      <c r="AN288" s="130" t="s">
        <v>63</v>
      </c>
      <c r="AO288" s="351" t="s">
        <v>577</v>
      </c>
      <c r="AP288" s="351" t="s">
        <v>578</v>
      </c>
      <c r="AQ288" s="351" t="s">
        <v>586</v>
      </c>
      <c r="AR288" s="90" t="str">
        <f>VLOOKUP(AP288,'[2]CONTENEUR PLEIN'!$F:$L,2,FALSE)</f>
        <v>CMA CGM GRACE BAY</v>
      </c>
      <c r="AS288" s="351" t="s">
        <v>316</v>
      </c>
      <c r="AT288" s="98"/>
    </row>
    <row r="289" spans="1:47" s="72" customFormat="1" hidden="1" x14ac:dyDescent="0.25">
      <c r="A289" s="71"/>
      <c r="B289" s="116" t="s">
        <v>45</v>
      </c>
      <c r="C289" s="20">
        <v>45763</v>
      </c>
      <c r="D289" s="67">
        <v>25030</v>
      </c>
      <c r="E289" s="117" t="s">
        <v>214</v>
      </c>
      <c r="F289" s="67">
        <v>2503051015</v>
      </c>
      <c r="G289" s="67" t="s">
        <v>64</v>
      </c>
      <c r="H289" s="67" t="s">
        <v>215</v>
      </c>
      <c r="I289" s="67" t="s">
        <v>49</v>
      </c>
      <c r="J289" s="67" t="s">
        <v>46</v>
      </c>
      <c r="K289" s="16" t="s">
        <v>898</v>
      </c>
      <c r="L289" s="111">
        <v>46014</v>
      </c>
      <c r="M289" s="381">
        <f t="shared" si="47"/>
        <v>9</v>
      </c>
      <c r="N289" s="98" t="s">
        <v>49</v>
      </c>
      <c r="O289" s="92">
        <v>402660</v>
      </c>
      <c r="P289" s="24" t="str">
        <f>VLOOKUP(O289,[1]Feuil2!$A:$M,5,FALSE)</f>
        <v>LOT 6 CUILL MAZAGRAN CLEO</v>
      </c>
      <c r="Q289" s="90">
        <v>30600</v>
      </c>
      <c r="R289" s="93">
        <v>0.27200000000000002</v>
      </c>
      <c r="S289" s="94">
        <f t="shared" si="44"/>
        <v>8323.2000000000007</v>
      </c>
      <c r="T289" s="95">
        <f t="shared" si="51"/>
        <v>87371.224000000017</v>
      </c>
      <c r="U289" s="138"/>
      <c r="V289" s="96">
        <f t="shared" si="45"/>
        <v>87371.224000000017</v>
      </c>
      <c r="W289" s="4">
        <f>VLOOKUP(O289,[1]Feuil2!$A:$M,6,FALSE)</f>
        <v>200</v>
      </c>
      <c r="X289" s="5">
        <f>VLOOKUP(O289,[1]Feuil2!$A:$M,13,FALSE)</f>
        <v>1.4804999999999999E-2</v>
      </c>
      <c r="Y289" s="6">
        <f t="shared" si="49"/>
        <v>2.2651649999999997</v>
      </c>
      <c r="Z289" s="97">
        <f t="shared" si="46"/>
        <v>31.965139999999995</v>
      </c>
      <c r="AA289" s="69" t="s">
        <v>57</v>
      </c>
      <c r="AB289" s="90" t="s">
        <v>48</v>
      </c>
      <c r="AC289" s="90" t="s">
        <v>55</v>
      </c>
      <c r="AD289" s="21" t="s">
        <v>57</v>
      </c>
      <c r="AE289" s="20">
        <v>45973</v>
      </c>
      <c r="AF289" s="21" t="s">
        <v>602</v>
      </c>
      <c r="AG289" s="21"/>
      <c r="AH289" s="98"/>
      <c r="AI289" s="160">
        <v>45868</v>
      </c>
      <c r="AJ289" s="145">
        <f t="shared" si="50"/>
        <v>130</v>
      </c>
      <c r="AK289" s="100">
        <f>VLOOKUP(AP289,'[2]CONTENEUR PLEIN'!$F:$L,3,FALSE)</f>
        <v>45998</v>
      </c>
      <c r="AL289" s="99">
        <f>VLOOKUP(AP289,'[2]CONTENEUR PLEIN'!$F:$L,5,FALSE)</f>
        <v>46040</v>
      </c>
      <c r="AM289" s="18">
        <f>VLOOKUP(AP289,'[2]CONTENEUR PLEIN'!$F:$L,7,FALSE)</f>
        <v>46049.333333333336</v>
      </c>
      <c r="AN289" s="130" t="s">
        <v>63</v>
      </c>
      <c r="AO289" s="290" t="s">
        <v>657</v>
      </c>
      <c r="AP289" s="290" t="s">
        <v>658</v>
      </c>
      <c r="AQ289" s="290" t="s">
        <v>660</v>
      </c>
      <c r="AR289" s="90" t="str">
        <f>VLOOKUP(AP289,'[2]CONTENEUR PLEIN'!$F:$L,2,FALSE)</f>
        <v>CMA CGM IGUACU</v>
      </c>
      <c r="AS289" s="290" t="s">
        <v>316</v>
      </c>
      <c r="AT289" s="98"/>
    </row>
    <row r="290" spans="1:47" s="72" customFormat="1" hidden="1" x14ac:dyDescent="0.25">
      <c r="A290" s="71"/>
      <c r="B290" s="152" t="s">
        <v>45</v>
      </c>
      <c r="C290" s="89">
        <v>45763</v>
      </c>
      <c r="D290" s="129">
        <v>25030</v>
      </c>
      <c r="E290" s="143" t="s">
        <v>214</v>
      </c>
      <c r="F290" s="90">
        <v>2503051015</v>
      </c>
      <c r="G290" s="129" t="s">
        <v>64</v>
      </c>
      <c r="H290" s="129" t="s">
        <v>215</v>
      </c>
      <c r="I290" s="129" t="s">
        <v>49</v>
      </c>
      <c r="J290" s="129" t="s">
        <v>46</v>
      </c>
      <c r="K290" s="16" t="s">
        <v>594</v>
      </c>
      <c r="L290" s="128">
        <v>45926</v>
      </c>
      <c r="M290" s="381">
        <f t="shared" si="47"/>
        <v>7</v>
      </c>
      <c r="N290" s="98" t="s">
        <v>49</v>
      </c>
      <c r="O290" s="92">
        <v>427630</v>
      </c>
      <c r="P290" s="24" t="str">
        <f>VLOOKUP(O290,[1]Feuil2!$A:$M,5,FALSE)</f>
        <v>FOURCHETTE TABLE ROMANE+GENCOD</v>
      </c>
      <c r="Q290" s="90">
        <v>10224</v>
      </c>
      <c r="R290" s="93">
        <v>0.161</v>
      </c>
      <c r="S290" s="94">
        <f t="shared" si="44"/>
        <v>1646.0640000000001</v>
      </c>
      <c r="T290" s="95">
        <f t="shared" si="51"/>
        <v>87371.224000000017</v>
      </c>
      <c r="U290" s="138"/>
      <c r="V290" s="96">
        <f t="shared" si="45"/>
        <v>87371.224000000017</v>
      </c>
      <c r="W290" s="4">
        <f>VLOOKUP(O290,[1]Feuil2!$A:$M,6,FALSE)</f>
        <v>144</v>
      </c>
      <c r="X290" s="5">
        <f>VLOOKUP(O290,[1]Feuil2!$A:$M,13,FALSE)</f>
        <v>9.9874999999999999E-3</v>
      </c>
      <c r="Y290" s="6">
        <f t="shared" si="49"/>
        <v>0.70911250000000003</v>
      </c>
      <c r="Z290" s="97">
        <f t="shared" si="46"/>
        <v>31.965139999999995</v>
      </c>
      <c r="AA290" s="167" t="s">
        <v>61</v>
      </c>
      <c r="AB290" s="133" t="s">
        <v>61</v>
      </c>
      <c r="AC290" s="87" t="s">
        <v>55</v>
      </c>
      <c r="AD290" s="19" t="s">
        <v>57</v>
      </c>
      <c r="AE290" s="20">
        <v>45888</v>
      </c>
      <c r="AF290" s="21" t="s">
        <v>405</v>
      </c>
      <c r="AG290" s="21"/>
      <c r="AH290" s="98"/>
      <c r="AI290" s="160">
        <v>45868</v>
      </c>
      <c r="AJ290" s="145">
        <f>DATEDIF(AI290,$AK$278,"D")</f>
        <v>116</v>
      </c>
      <c r="AK290" s="100">
        <f>VLOOKUP(AP290,'[3]CONTENEUR PLEIN'!$F:$L,3,FALSE)</f>
        <v>45913</v>
      </c>
      <c r="AL290" s="99">
        <f>VLOOKUP(AP290,'[3]CONTENEUR PLEIN'!$F:$L,5,FALSE)</f>
        <v>45971</v>
      </c>
      <c r="AM290" s="18">
        <f>VLOOKUP(AP290,'[3]CONTENEUR PLEIN'!$F:$L,7,FALSE)</f>
        <v>45979.53125</v>
      </c>
      <c r="AN290" s="130" t="s">
        <v>63</v>
      </c>
      <c r="AO290" s="191" t="s">
        <v>428</v>
      </c>
      <c r="AP290" s="191" t="s">
        <v>429</v>
      </c>
      <c r="AQ290" s="90">
        <v>2503051015</v>
      </c>
      <c r="AR290" s="191" t="e">
        <f>VLOOKUP(AP290,'[2]CONTENEUR PLEIN'!$F:$L,2,FALSE)</f>
        <v>#N/A</v>
      </c>
      <c r="AS290" s="191" t="s">
        <v>316</v>
      </c>
      <c r="AT290" s="98"/>
    </row>
    <row r="291" spans="1:47" s="72" customFormat="1" hidden="1" x14ac:dyDescent="0.25">
      <c r="A291" s="197"/>
      <c r="B291" s="232" t="s">
        <v>45</v>
      </c>
      <c r="C291" s="194">
        <v>45763</v>
      </c>
      <c r="D291" s="191">
        <v>25030</v>
      </c>
      <c r="E291" s="195" t="s">
        <v>214</v>
      </c>
      <c r="F291" s="191">
        <v>2503051015</v>
      </c>
      <c r="G291" s="191" t="s">
        <v>64</v>
      </c>
      <c r="H291" s="191" t="s">
        <v>215</v>
      </c>
      <c r="I291" s="191" t="s">
        <v>49</v>
      </c>
      <c r="J291" s="191" t="s">
        <v>46</v>
      </c>
      <c r="K291" s="16" t="s">
        <v>449</v>
      </c>
      <c r="L291" s="194">
        <v>45870</v>
      </c>
      <c r="M291" s="381">
        <f t="shared" si="47"/>
        <v>5</v>
      </c>
      <c r="N291" s="209" t="s">
        <v>49</v>
      </c>
      <c r="O291" s="223">
        <v>427650</v>
      </c>
      <c r="P291" s="24" t="str">
        <f>VLOOKUP(O291,[1]Feuil2!$A:$M,5,FALSE)</f>
        <v>CUILLERE CAFE ROMANE+GENCOD</v>
      </c>
      <c r="Q291" s="191">
        <v>5040</v>
      </c>
      <c r="R291" s="224">
        <v>0.11799999999999999</v>
      </c>
      <c r="S291" s="225">
        <f t="shared" si="44"/>
        <v>594.71999999999991</v>
      </c>
      <c r="T291" s="226">
        <f t="shared" si="51"/>
        <v>87371.224000000017</v>
      </c>
      <c r="U291" s="227"/>
      <c r="V291" s="228">
        <f t="shared" si="45"/>
        <v>87371.224000000017</v>
      </c>
      <c r="W291" s="4">
        <f>VLOOKUP(O291,[1]Feuil2!$A:$M,6,FALSE)</f>
        <v>144</v>
      </c>
      <c r="X291" s="5">
        <f>VLOOKUP(O291,[1]Feuil2!$A:$M,13,FALSE)</f>
        <v>6.3579999999999999E-3</v>
      </c>
      <c r="Y291" s="6">
        <f t="shared" si="49"/>
        <v>0.22253000000000001</v>
      </c>
      <c r="Z291" s="229">
        <f t="shared" si="46"/>
        <v>31.965139999999995</v>
      </c>
      <c r="AA291" s="167" t="s">
        <v>61</v>
      </c>
      <c r="AB291" s="133" t="s">
        <v>61</v>
      </c>
      <c r="AC291" s="210" t="s">
        <v>55</v>
      </c>
      <c r="AD291" s="19" t="s">
        <v>57</v>
      </c>
      <c r="AE291" s="20">
        <v>45813</v>
      </c>
      <c r="AF291" s="47" t="s">
        <v>295</v>
      </c>
      <c r="AG291" s="21"/>
      <c r="AH291" s="209"/>
      <c r="AI291" s="160">
        <v>45868</v>
      </c>
      <c r="AJ291" s="145">
        <f>DATEDIF(AI291,$AK291,"D")</f>
        <v>4</v>
      </c>
      <c r="AK291" s="100">
        <f>VLOOKUP(AP291,'[3]CONTENEUR PLEIN'!$F:$L,3,FALSE)</f>
        <v>45872</v>
      </c>
      <c r="AL291" s="99">
        <f>VLOOKUP(AP291,'[3]CONTENEUR PLEIN'!$F:$L,5,FALSE)</f>
        <v>45907</v>
      </c>
      <c r="AM291" s="18">
        <f>VLOOKUP(AP291,'[3]CONTENEUR PLEIN'!$F:$L,7,FALSE)</f>
        <v>45918.53125</v>
      </c>
      <c r="AN291" s="191" t="s">
        <v>63</v>
      </c>
      <c r="AO291" s="191" t="s">
        <v>371</v>
      </c>
      <c r="AP291" s="191" t="s">
        <v>372</v>
      </c>
      <c r="AQ291" s="191" t="s">
        <v>377</v>
      </c>
      <c r="AR291" s="191" t="e">
        <f>VLOOKUP(AP291,'[2]CONTENEUR PLEIN'!$F:$L,2,FALSE)</f>
        <v>#N/A</v>
      </c>
      <c r="AS291" s="191" t="s">
        <v>316</v>
      </c>
      <c r="AT291" s="209"/>
    </row>
    <row r="292" spans="1:47" hidden="1" x14ac:dyDescent="0.25">
      <c r="A292" s="71"/>
      <c r="B292" s="152" t="s">
        <v>45</v>
      </c>
      <c r="C292" s="89">
        <v>45763</v>
      </c>
      <c r="D292" s="129">
        <v>25030</v>
      </c>
      <c r="E292" s="143" t="s">
        <v>214</v>
      </c>
      <c r="F292" s="90">
        <v>2503051015</v>
      </c>
      <c r="G292" s="129" t="s">
        <v>64</v>
      </c>
      <c r="H292" s="129" t="s">
        <v>215</v>
      </c>
      <c r="I292" s="129" t="s">
        <v>49</v>
      </c>
      <c r="J292" s="129" t="s">
        <v>46</v>
      </c>
      <c r="K292" s="16" t="s">
        <v>594</v>
      </c>
      <c r="L292" s="128">
        <v>45926</v>
      </c>
      <c r="M292" s="381">
        <f t="shared" si="47"/>
        <v>7</v>
      </c>
      <c r="N292" s="98" t="s">
        <v>49</v>
      </c>
      <c r="O292" s="92">
        <v>427650</v>
      </c>
      <c r="P292" s="24" t="str">
        <f>VLOOKUP(O292,[1]Feuil2!$A:$M,5,FALSE)</f>
        <v>CUILLERE CAFE ROMANE+GENCOD</v>
      </c>
      <c r="Q292" s="90">
        <f>15264-5040</f>
        <v>10224</v>
      </c>
      <c r="R292" s="93">
        <v>0.11799999999999999</v>
      </c>
      <c r="S292" s="94">
        <f t="shared" si="44"/>
        <v>1206.432</v>
      </c>
      <c r="T292" s="95">
        <f t="shared" si="51"/>
        <v>87371.224000000017</v>
      </c>
      <c r="U292" s="138"/>
      <c r="V292" s="96">
        <f t="shared" si="45"/>
        <v>87371.224000000017</v>
      </c>
      <c r="W292" s="4">
        <f>VLOOKUP(O292,[1]Feuil2!$A:$M,6,FALSE)</f>
        <v>144</v>
      </c>
      <c r="X292" s="5">
        <f>VLOOKUP(O292,[1]Feuil2!$A:$M,13,FALSE)</f>
        <v>6.3579999999999999E-3</v>
      </c>
      <c r="Y292" s="6">
        <f t="shared" si="49"/>
        <v>0.45141799999999999</v>
      </c>
      <c r="Z292" s="97">
        <f t="shared" si="46"/>
        <v>31.965139999999995</v>
      </c>
      <c r="AA292" s="167" t="s">
        <v>61</v>
      </c>
      <c r="AB292" s="133" t="s">
        <v>61</v>
      </c>
      <c r="AC292" s="87" t="s">
        <v>55</v>
      </c>
      <c r="AD292" s="19" t="s">
        <v>57</v>
      </c>
      <c r="AE292" s="20">
        <v>45888</v>
      </c>
      <c r="AF292" s="21" t="s">
        <v>406</v>
      </c>
      <c r="AG292" s="21"/>
      <c r="AH292" s="98"/>
      <c r="AI292" s="160">
        <v>45868</v>
      </c>
      <c r="AJ292" s="145">
        <f>DATEDIF(AI292,$AK$279,"D")</f>
        <v>130</v>
      </c>
      <c r="AK292" s="100">
        <f>VLOOKUP(AP292,'[3]CONTENEUR PLEIN'!$F:$L,3,FALSE)</f>
        <v>45913</v>
      </c>
      <c r="AL292" s="99">
        <f>VLOOKUP(AP292,'[3]CONTENEUR PLEIN'!$F:$L,5,FALSE)</f>
        <v>45971</v>
      </c>
      <c r="AM292" s="18">
        <f>VLOOKUP(AP292,'[3]CONTENEUR PLEIN'!$F:$L,7,FALSE)</f>
        <v>45979.53125</v>
      </c>
      <c r="AN292" s="130" t="s">
        <v>63</v>
      </c>
      <c r="AO292" s="191" t="s">
        <v>428</v>
      </c>
      <c r="AP292" s="191" t="s">
        <v>429</v>
      </c>
      <c r="AQ292" s="90">
        <v>2503051015</v>
      </c>
      <c r="AR292" s="191" t="e">
        <f>VLOOKUP(AP292,'[2]CONTENEUR PLEIN'!$F:$L,2,FALSE)</f>
        <v>#N/A</v>
      </c>
      <c r="AS292" s="191" t="s">
        <v>316</v>
      </c>
      <c r="AT292" s="98"/>
      <c r="AU292" s="72"/>
    </row>
    <row r="293" spans="1:47" s="72" customFormat="1" hidden="1" x14ac:dyDescent="0.25">
      <c r="A293" s="71"/>
      <c r="B293" s="29" t="s">
        <v>45</v>
      </c>
      <c r="C293" s="48">
        <v>45763</v>
      </c>
      <c r="D293" s="49">
        <v>25030</v>
      </c>
      <c r="E293" s="50" t="s">
        <v>214</v>
      </c>
      <c r="F293" s="49">
        <v>2503051015</v>
      </c>
      <c r="G293" s="49" t="s">
        <v>64</v>
      </c>
      <c r="H293" s="49" t="s">
        <v>215</v>
      </c>
      <c r="I293" s="49" t="s">
        <v>49</v>
      </c>
      <c r="J293" s="49" t="s">
        <v>46</v>
      </c>
      <c r="K293" s="262" t="s">
        <v>71</v>
      </c>
      <c r="L293" s="49" t="s">
        <v>47</v>
      </c>
      <c r="M293" s="382" t="e">
        <f t="shared" si="47"/>
        <v>#N/A</v>
      </c>
      <c r="N293" s="57" t="s">
        <v>49</v>
      </c>
      <c r="O293" s="51">
        <v>433610</v>
      </c>
      <c r="P293" s="30" t="str">
        <f>VLOOKUP(O293,[1]Feuil2!$A:$M,5,FALSE)</f>
        <v>COUTEAU KOBE+GENCOD</v>
      </c>
      <c r="Q293" s="49">
        <v>4464</v>
      </c>
      <c r="R293" s="52">
        <v>0</v>
      </c>
      <c r="S293" s="53">
        <f t="shared" si="44"/>
        <v>0</v>
      </c>
      <c r="T293" s="31">
        <f t="shared" si="51"/>
        <v>87371.224000000017</v>
      </c>
      <c r="U293" s="140"/>
      <c r="V293" s="32">
        <f t="shared" si="45"/>
        <v>87371.224000000017</v>
      </c>
      <c r="W293" s="33">
        <f>VLOOKUP(O293,[1]Feuil2!$A:$M,6,FALSE)</f>
        <v>144</v>
      </c>
      <c r="X293" s="34">
        <f>VLOOKUP(O293,[1]Feuil2!$A:$M,13,FALSE)</f>
        <v>5.6857500000000007E-3</v>
      </c>
      <c r="Y293" s="35">
        <f t="shared" si="49"/>
        <v>0.17625825000000003</v>
      </c>
      <c r="Z293" s="36">
        <f t="shared" si="46"/>
        <v>31.965139999999995</v>
      </c>
      <c r="AA293" s="235" t="s">
        <v>61</v>
      </c>
      <c r="AB293" s="55" t="s">
        <v>61</v>
      </c>
      <c r="AC293" s="49"/>
      <c r="AD293" s="55" t="s">
        <v>61</v>
      </c>
      <c r="AE293" s="48"/>
      <c r="AF293" s="55"/>
      <c r="AG293" s="55"/>
      <c r="AH293" s="57"/>
      <c r="AI293" s="182">
        <v>45868</v>
      </c>
      <c r="AJ293" s="137" t="s">
        <v>49</v>
      </c>
      <c r="AK293" s="56" t="e">
        <f>VLOOKUP(AP293,'[2]CONTENEUR PLEIN'!$F:$L,3,FALSE)</f>
        <v>#N/A</v>
      </c>
      <c r="AL293" s="37" t="e">
        <f>VLOOKUP(AP293,'[2]CONTENEUR PLEIN'!$F:$L,5,FALSE)</f>
        <v>#N/A</v>
      </c>
      <c r="AM293" s="38" t="e">
        <f>VLOOKUP(AP293,'[2]CONTENEUR PLEIN'!$F:$L,7,FALSE)</f>
        <v>#N/A</v>
      </c>
      <c r="AN293" s="49" t="s">
        <v>63</v>
      </c>
      <c r="AO293" s="49"/>
      <c r="AP293" s="49"/>
      <c r="AQ293" s="49"/>
      <c r="AR293" s="49" t="e">
        <f>VLOOKUP(AP293,'[2]CONTENEUR PLEIN'!$F:$L,2,FALSE)</f>
        <v>#N/A</v>
      </c>
      <c r="AS293" s="49"/>
      <c r="AT293" s="57"/>
    </row>
    <row r="294" spans="1:47" s="72" customFormat="1" hidden="1" x14ac:dyDescent="0.25">
      <c r="A294" s="197"/>
      <c r="B294" s="232" t="s">
        <v>45</v>
      </c>
      <c r="C294" s="194">
        <v>45763</v>
      </c>
      <c r="D294" s="191">
        <v>25030</v>
      </c>
      <c r="E294" s="195" t="s">
        <v>214</v>
      </c>
      <c r="F294" s="191">
        <v>2503051015</v>
      </c>
      <c r="G294" s="191" t="s">
        <v>64</v>
      </c>
      <c r="H294" s="191" t="s">
        <v>215</v>
      </c>
      <c r="I294" s="191" t="s">
        <v>49</v>
      </c>
      <c r="J294" s="191" t="s">
        <v>46</v>
      </c>
      <c r="K294" s="16" t="s">
        <v>449</v>
      </c>
      <c r="L294" s="194">
        <v>45870</v>
      </c>
      <c r="M294" s="381">
        <f t="shared" si="47"/>
        <v>5</v>
      </c>
      <c r="N294" s="209" t="s">
        <v>49</v>
      </c>
      <c r="O294" s="223">
        <v>433870</v>
      </c>
      <c r="P294" s="24" t="str">
        <f>VLOOKUP(O294,[1]Feuil2!$A:$M,5,FALSE)</f>
        <v>FETTE KOS(TOSCANE SATINE)+GENC</v>
      </c>
      <c r="Q294" s="191">
        <v>6192</v>
      </c>
      <c r="R294" s="224">
        <v>0.38</v>
      </c>
      <c r="S294" s="225">
        <f t="shared" si="44"/>
        <v>2352.96</v>
      </c>
      <c r="T294" s="226">
        <f t="shared" si="51"/>
        <v>87371.224000000017</v>
      </c>
      <c r="U294" s="227"/>
      <c r="V294" s="228">
        <f t="shared" si="45"/>
        <v>87371.224000000017</v>
      </c>
      <c r="W294" s="4">
        <f>VLOOKUP(O294,[1]Feuil2!$A:$M,6,FALSE)</f>
        <v>144</v>
      </c>
      <c r="X294" s="5">
        <f>VLOOKUP(O294,[1]Feuil2!$A:$M,13,FALSE)</f>
        <v>9.6937499999999992E-3</v>
      </c>
      <c r="Y294" s="6">
        <f t="shared" si="49"/>
        <v>0.41683124999999999</v>
      </c>
      <c r="Z294" s="229">
        <f t="shared" si="46"/>
        <v>31.965139999999995</v>
      </c>
      <c r="AA294" s="68" t="s">
        <v>48</v>
      </c>
      <c r="AB294" s="69" t="s">
        <v>57</v>
      </c>
      <c r="AC294" s="191"/>
      <c r="AD294" s="133" t="s">
        <v>61</v>
      </c>
      <c r="AE294" s="20">
        <v>45798</v>
      </c>
      <c r="AF294" s="21" t="s">
        <v>269</v>
      </c>
      <c r="AG294" s="21" t="s">
        <v>57</v>
      </c>
      <c r="AH294" s="503" t="s">
        <v>48</v>
      </c>
      <c r="AI294" s="160">
        <v>45868</v>
      </c>
      <c r="AJ294" s="145">
        <f>DATEDIF(AI294,$AK294,"D")</f>
        <v>4</v>
      </c>
      <c r="AK294" s="100">
        <f>VLOOKUP(AP294,'[3]CONTENEUR PLEIN'!$F:$L,3,FALSE)</f>
        <v>45872</v>
      </c>
      <c r="AL294" s="99">
        <f>VLOOKUP(AP294,'[3]CONTENEUR PLEIN'!$F:$L,5,FALSE)</f>
        <v>45907</v>
      </c>
      <c r="AM294" s="18">
        <f>VLOOKUP(AP294,'[3]CONTENEUR PLEIN'!$F:$L,7,FALSE)</f>
        <v>45918.53125</v>
      </c>
      <c r="AN294" s="191" t="s">
        <v>63</v>
      </c>
      <c r="AO294" s="191" t="s">
        <v>371</v>
      </c>
      <c r="AP294" s="191" t="s">
        <v>372</v>
      </c>
      <c r="AQ294" s="191" t="s">
        <v>377</v>
      </c>
      <c r="AR294" s="191" t="e">
        <f>VLOOKUP(AP294,'[2]CONTENEUR PLEIN'!$F:$L,2,FALSE)</f>
        <v>#N/A</v>
      </c>
      <c r="AS294" s="191" t="s">
        <v>316</v>
      </c>
      <c r="AT294" s="209"/>
    </row>
    <row r="295" spans="1:47" s="72" customFormat="1" hidden="1" x14ac:dyDescent="0.25">
      <c r="A295" s="71"/>
      <c r="B295" s="152" t="s">
        <v>45</v>
      </c>
      <c r="C295" s="89">
        <v>45763</v>
      </c>
      <c r="D295" s="129">
        <v>25030</v>
      </c>
      <c r="E295" s="143" t="s">
        <v>214</v>
      </c>
      <c r="F295" s="90">
        <v>2503051015</v>
      </c>
      <c r="G295" s="129" t="s">
        <v>64</v>
      </c>
      <c r="H295" s="129" t="s">
        <v>215</v>
      </c>
      <c r="I295" s="129" t="s">
        <v>49</v>
      </c>
      <c r="J295" s="129" t="s">
        <v>46</v>
      </c>
      <c r="K295" s="16" t="s">
        <v>862</v>
      </c>
      <c r="L295" s="304">
        <v>45995</v>
      </c>
      <c r="M295" s="381">
        <f t="shared" si="47"/>
        <v>8</v>
      </c>
      <c r="N295" s="98" t="s">
        <v>49</v>
      </c>
      <c r="O295" s="92">
        <v>433870</v>
      </c>
      <c r="P295" s="24" t="str">
        <f>VLOOKUP(O295,[1]Feuil2!$A:$M,5,FALSE)</f>
        <v>FETTE KOS(TOSCANE SATINE)+GENC</v>
      </c>
      <c r="Q295" s="90">
        <f>6480-6192</f>
        <v>288</v>
      </c>
      <c r="R295" s="93">
        <v>0.38</v>
      </c>
      <c r="S295" s="94">
        <f t="shared" si="44"/>
        <v>109.44</v>
      </c>
      <c r="T295" s="95">
        <f t="shared" si="51"/>
        <v>87371.224000000017</v>
      </c>
      <c r="U295" s="138"/>
      <c r="V295" s="96">
        <f t="shared" si="45"/>
        <v>87371.224000000017</v>
      </c>
      <c r="W295" s="4">
        <f>VLOOKUP(O295,[1]Feuil2!$A:$M,6,FALSE)</f>
        <v>144</v>
      </c>
      <c r="X295" s="5">
        <f>VLOOKUP(O295,[1]Feuil2!$A:$M,13,FALSE)</f>
        <v>9.6937499999999992E-3</v>
      </c>
      <c r="Y295" s="6">
        <f t="shared" si="49"/>
        <v>1.9387499999999998E-2</v>
      </c>
      <c r="Z295" s="97">
        <f t="shared" si="46"/>
        <v>31.965139999999995</v>
      </c>
      <c r="AA295" s="167" t="s">
        <v>61</v>
      </c>
      <c r="AB295" s="133" t="s">
        <v>61</v>
      </c>
      <c r="AC295" s="90" t="s">
        <v>55</v>
      </c>
      <c r="AD295" s="21" t="s">
        <v>57</v>
      </c>
      <c r="AE295" s="20">
        <v>45969</v>
      </c>
      <c r="AF295" s="21" t="s">
        <v>608</v>
      </c>
      <c r="AG295" s="21" t="s">
        <v>57</v>
      </c>
      <c r="AH295" s="503" t="s">
        <v>48</v>
      </c>
      <c r="AI295" s="160">
        <v>45868</v>
      </c>
      <c r="AJ295" s="145">
        <f>DATEDIF(AI295,$AK295,"D")</f>
        <v>116</v>
      </c>
      <c r="AK295" s="100">
        <f>VLOOKUP(AP295,'[2]CONTENEUR PLEIN'!$F:$L,3,FALSE)</f>
        <v>45984</v>
      </c>
      <c r="AL295" s="99">
        <f>VLOOKUP(AP295,'[2]CONTENEUR PLEIN'!$F:$L,5,FALSE)</f>
        <v>46030</v>
      </c>
      <c r="AM295" s="18">
        <f>VLOOKUP(AP295,'[2]CONTENEUR PLEIN'!$F:$L,7,FALSE)</f>
        <v>46036.333333333336</v>
      </c>
      <c r="AN295" s="130" t="s">
        <v>63</v>
      </c>
      <c r="AO295" s="351" t="s">
        <v>577</v>
      </c>
      <c r="AP295" s="351" t="s">
        <v>578</v>
      </c>
      <c r="AQ295" s="351" t="s">
        <v>586</v>
      </c>
      <c r="AR295" s="90" t="str">
        <f>VLOOKUP(AP295,'[2]CONTENEUR PLEIN'!$F:$L,2,FALSE)</f>
        <v>CMA CGM GRACE BAY</v>
      </c>
      <c r="AS295" s="351" t="s">
        <v>316</v>
      </c>
      <c r="AT295" s="98"/>
      <c r="AU295" s="181"/>
    </row>
    <row r="296" spans="1:47" hidden="1" x14ac:dyDescent="0.25">
      <c r="A296" s="71"/>
      <c r="B296" s="116" t="s">
        <v>45</v>
      </c>
      <c r="C296" s="20">
        <v>45763</v>
      </c>
      <c r="D296" s="67">
        <v>25030</v>
      </c>
      <c r="E296" s="117" t="s">
        <v>214</v>
      </c>
      <c r="F296" s="67">
        <v>2503051015</v>
      </c>
      <c r="G296" s="67" t="s">
        <v>64</v>
      </c>
      <c r="H296" s="67" t="s">
        <v>215</v>
      </c>
      <c r="I296" s="67" t="s">
        <v>49</v>
      </c>
      <c r="J296" s="67" t="s">
        <v>46</v>
      </c>
      <c r="K296" s="8" t="s">
        <v>970</v>
      </c>
      <c r="L296" s="128">
        <v>46041</v>
      </c>
      <c r="M296" s="381">
        <f t="shared" si="47"/>
        <v>9</v>
      </c>
      <c r="N296" s="98" t="s">
        <v>62</v>
      </c>
      <c r="O296" s="92">
        <v>20160005</v>
      </c>
      <c r="P296" s="24" t="str">
        <f>VLOOKUP(O296,[1]Feuil2!$A:$M,5,FALSE)</f>
        <v>LOT 6 CUILLERES OSLO BRILLANT CLASSIQUE +SUSPENSION</v>
      </c>
      <c r="Q296" s="90">
        <v>6624</v>
      </c>
      <c r="R296" s="93">
        <v>1.0389999999999999</v>
      </c>
      <c r="S296" s="94">
        <f t="shared" si="44"/>
        <v>6882.3359999999993</v>
      </c>
      <c r="T296" s="95">
        <f t="shared" si="51"/>
        <v>87371.224000000017</v>
      </c>
      <c r="U296" s="138"/>
      <c r="V296" s="96">
        <f t="shared" si="45"/>
        <v>87371.224000000017</v>
      </c>
      <c r="W296" s="4">
        <f>VLOOKUP(O296,[1]Feuil2!$A:$M,6,FALSE)</f>
        <v>72</v>
      </c>
      <c r="X296" s="5">
        <f>VLOOKUP(O296,[1]Feuil2!$A:$M,13,FALSE)</f>
        <v>2.2638000000000002E-2</v>
      </c>
      <c r="Y296" s="6">
        <f t="shared" si="49"/>
        <v>2.0826960000000003</v>
      </c>
      <c r="Z296" s="97">
        <f t="shared" si="46"/>
        <v>31.965139999999995</v>
      </c>
      <c r="AA296" s="23" t="s">
        <v>48</v>
      </c>
      <c r="AB296" s="19" t="s">
        <v>57</v>
      </c>
      <c r="AC296" s="87" t="s">
        <v>55</v>
      </c>
      <c r="AD296" s="19" t="s">
        <v>57</v>
      </c>
      <c r="AE296" s="20">
        <v>45986</v>
      </c>
      <c r="AF296" s="21" t="s">
        <v>631</v>
      </c>
      <c r="AG296" s="21"/>
      <c r="AH296" s="98"/>
      <c r="AI296" s="160">
        <v>45868</v>
      </c>
      <c r="AJ296" s="145">
        <f>DATEDIF(AI296,AK296,"D")</f>
        <v>142</v>
      </c>
      <c r="AK296" s="100">
        <f>VLOOKUP(AP296,'[2]CONTENEUR PLEIN'!$F:$L,3,FALSE)</f>
        <v>46010</v>
      </c>
      <c r="AL296" s="99">
        <f>VLOOKUP(AP296,'[2]CONTENEUR PLEIN'!$F:$L,5,FALSE)</f>
        <v>46052</v>
      </c>
      <c r="AM296" s="18">
        <f>VLOOKUP(AP296,'[2]CONTENEUR PLEIN'!$F:$L,7,FALSE)</f>
        <v>46058.53125</v>
      </c>
      <c r="AN296" s="130" t="s">
        <v>63</v>
      </c>
      <c r="AO296" s="486" t="s">
        <v>734</v>
      </c>
      <c r="AP296" s="486" t="s">
        <v>735</v>
      </c>
      <c r="AQ296" s="486" t="s">
        <v>737</v>
      </c>
      <c r="AR296" s="90" t="str">
        <f>VLOOKUP(AP296,'[2]CONTENEUR PLEIN'!$F:$L,2,FALSE)</f>
        <v>CMA CGM KIMBERLEY</v>
      </c>
      <c r="AS296" s="486" t="s">
        <v>316</v>
      </c>
      <c r="AT296" s="98"/>
    </row>
    <row r="297" spans="1:47" hidden="1" x14ac:dyDescent="0.25">
      <c r="A297" s="71"/>
      <c r="B297" s="116" t="s">
        <v>45</v>
      </c>
      <c r="C297" s="20">
        <v>45763</v>
      </c>
      <c r="D297" s="67">
        <v>25030</v>
      </c>
      <c r="E297" s="117" t="s">
        <v>214</v>
      </c>
      <c r="F297" s="67">
        <v>2503051015</v>
      </c>
      <c r="G297" s="67" t="s">
        <v>64</v>
      </c>
      <c r="H297" s="67" t="s">
        <v>215</v>
      </c>
      <c r="I297" s="67" t="s">
        <v>49</v>
      </c>
      <c r="J297" s="67" t="s">
        <v>46</v>
      </c>
      <c r="K297" s="8" t="s">
        <v>970</v>
      </c>
      <c r="L297" s="128">
        <v>46041</v>
      </c>
      <c r="M297" s="381">
        <f t="shared" si="47"/>
        <v>9</v>
      </c>
      <c r="N297" s="98" t="s">
        <v>62</v>
      </c>
      <c r="O297" s="92">
        <v>20160008</v>
      </c>
      <c r="P297" s="24" t="str">
        <f>VLOOKUP(O297,[1]Feuil2!$A:$M,5,FALSE)</f>
        <v>LOT 6 FOURCHETTE DESSERT OSLO BRILLANT CLASSIQUE +SUSPENSION</v>
      </c>
      <c r="Q297" s="90">
        <v>6912</v>
      </c>
      <c r="R297" s="93">
        <v>0.746</v>
      </c>
      <c r="S297" s="94">
        <f t="shared" si="44"/>
        <v>5156.3519999999999</v>
      </c>
      <c r="T297" s="95">
        <f t="shared" si="51"/>
        <v>87371.224000000017</v>
      </c>
      <c r="U297" s="138"/>
      <c r="V297" s="96">
        <f t="shared" si="45"/>
        <v>87371.224000000017</v>
      </c>
      <c r="W297" s="4">
        <f>VLOOKUP(O297,[1]Feuil2!$A:$M,6,FALSE)</f>
        <v>72</v>
      </c>
      <c r="X297" s="5">
        <f>VLOOKUP(O297,[1]Feuil2!$A:$M,13,FALSE)</f>
        <v>2.3099999999999999E-2</v>
      </c>
      <c r="Y297" s="6">
        <f t="shared" si="49"/>
        <v>2.2176</v>
      </c>
      <c r="Z297" s="97">
        <f t="shared" si="46"/>
        <v>31.965139999999995</v>
      </c>
      <c r="AA297" s="167" t="s">
        <v>61</v>
      </c>
      <c r="AB297" s="133" t="s">
        <v>61</v>
      </c>
      <c r="AC297" s="87" t="s">
        <v>55</v>
      </c>
      <c r="AD297" s="21" t="s">
        <v>57</v>
      </c>
      <c r="AE297" s="20">
        <v>45986</v>
      </c>
      <c r="AF297" s="47" t="s">
        <v>632</v>
      </c>
      <c r="AG297" s="21"/>
      <c r="AH297" s="98"/>
      <c r="AI297" s="160">
        <v>45868</v>
      </c>
      <c r="AJ297" s="145">
        <f>DATEDIF(AI297,AK297,"D")</f>
        <v>142</v>
      </c>
      <c r="AK297" s="100">
        <f>VLOOKUP(AP297,'[2]CONTENEUR PLEIN'!$F:$L,3,FALSE)</f>
        <v>46010</v>
      </c>
      <c r="AL297" s="99">
        <f>VLOOKUP(AP297,'[2]CONTENEUR PLEIN'!$F:$L,5,FALSE)</f>
        <v>46052</v>
      </c>
      <c r="AM297" s="18">
        <f>VLOOKUP(AP297,'[2]CONTENEUR PLEIN'!$F:$L,7,FALSE)</f>
        <v>46058.53125</v>
      </c>
      <c r="AN297" s="130" t="s">
        <v>63</v>
      </c>
      <c r="AO297" s="486" t="s">
        <v>734</v>
      </c>
      <c r="AP297" s="486" t="s">
        <v>735</v>
      </c>
      <c r="AQ297" s="486" t="s">
        <v>737</v>
      </c>
      <c r="AR297" s="90" t="str">
        <f>VLOOKUP(AP297,'[2]CONTENEUR PLEIN'!$F:$L,2,FALSE)</f>
        <v>CMA CGM KIMBERLEY</v>
      </c>
      <c r="AS297" s="486" t="s">
        <v>316</v>
      </c>
      <c r="AT297" s="98"/>
    </row>
    <row r="298" spans="1:47" hidden="1" x14ac:dyDescent="0.25">
      <c r="A298" s="197"/>
      <c r="B298" s="232" t="s">
        <v>45</v>
      </c>
      <c r="C298" s="194">
        <v>45763</v>
      </c>
      <c r="D298" s="191">
        <v>25030</v>
      </c>
      <c r="E298" s="195" t="s">
        <v>214</v>
      </c>
      <c r="F298" s="191">
        <v>2503051015</v>
      </c>
      <c r="G298" s="191" t="s">
        <v>64</v>
      </c>
      <c r="H298" s="191" t="s">
        <v>215</v>
      </c>
      <c r="I298" s="191" t="s">
        <v>49</v>
      </c>
      <c r="J298" s="191" t="s">
        <v>46</v>
      </c>
      <c r="K298" s="16" t="s">
        <v>449</v>
      </c>
      <c r="L298" s="194">
        <v>45870</v>
      </c>
      <c r="M298" s="381">
        <f t="shared" si="47"/>
        <v>5</v>
      </c>
      <c r="N298" s="209" t="s">
        <v>49</v>
      </c>
      <c r="O298" s="223">
        <v>20200005</v>
      </c>
      <c r="P298" s="24" t="str">
        <f>VLOOKUP(O298,[1]Feuil2!$A:$M,5,FALSE)</f>
        <v>CAFE KOS (TOSCANE) BRILLANT+GENCOD</v>
      </c>
      <c r="Q298" s="191">
        <v>5040</v>
      </c>
      <c r="R298" s="224">
        <v>0.42</v>
      </c>
      <c r="S298" s="225">
        <f t="shared" si="44"/>
        <v>2116.7999999999997</v>
      </c>
      <c r="T298" s="226">
        <f t="shared" si="51"/>
        <v>87371.224000000017</v>
      </c>
      <c r="U298" s="227"/>
      <c r="V298" s="228">
        <f t="shared" si="45"/>
        <v>87371.224000000017</v>
      </c>
      <c r="W298" s="4">
        <f>VLOOKUP(O298,[1]Feuil2!$A:$M,6,FALSE)</f>
        <v>144</v>
      </c>
      <c r="X298" s="5">
        <f>VLOOKUP(O298,[1]Feuil2!$A:$M,13,FALSE)</f>
        <v>9.1199999999999996E-3</v>
      </c>
      <c r="Y298" s="6">
        <f t="shared" si="49"/>
        <v>0.31919999999999998</v>
      </c>
      <c r="Z298" s="229">
        <f t="shared" si="46"/>
        <v>31.965139999999995</v>
      </c>
      <c r="AA298" s="68" t="s">
        <v>48</v>
      </c>
      <c r="AB298" s="21" t="s">
        <v>57</v>
      </c>
      <c r="AC298" s="191" t="s">
        <v>55</v>
      </c>
      <c r="AD298" s="21" t="s">
        <v>57</v>
      </c>
      <c r="AE298" s="20">
        <v>45813</v>
      </c>
      <c r="AF298" s="47" t="s">
        <v>297</v>
      </c>
      <c r="AG298" s="21"/>
      <c r="AH298" s="209"/>
      <c r="AI298" s="160">
        <v>45868</v>
      </c>
      <c r="AJ298" s="145">
        <f>DATEDIF(AI298,$AK298,"D")</f>
        <v>4</v>
      </c>
      <c r="AK298" s="100">
        <f>VLOOKUP(AP298,'[3]CONTENEUR PLEIN'!$F:$L,3,FALSE)</f>
        <v>45872</v>
      </c>
      <c r="AL298" s="99">
        <f>VLOOKUP(AP298,'[3]CONTENEUR PLEIN'!$F:$L,5,FALSE)</f>
        <v>45907</v>
      </c>
      <c r="AM298" s="18">
        <f>VLOOKUP(AP298,'[3]CONTENEUR PLEIN'!$F:$L,7,FALSE)</f>
        <v>45918.53125</v>
      </c>
      <c r="AN298" s="191" t="s">
        <v>63</v>
      </c>
      <c r="AO298" s="191" t="s">
        <v>371</v>
      </c>
      <c r="AP298" s="191" t="s">
        <v>372</v>
      </c>
      <c r="AQ298" s="191" t="s">
        <v>377</v>
      </c>
      <c r="AR298" s="191" t="e">
        <f>VLOOKUP(AP298,'[2]CONTENEUR PLEIN'!$F:$L,2,FALSE)</f>
        <v>#N/A</v>
      </c>
      <c r="AS298" s="191" t="s">
        <v>316</v>
      </c>
      <c r="AT298" s="209"/>
      <c r="AU298" s="72"/>
    </row>
    <row r="299" spans="1:47" hidden="1" x14ac:dyDescent="0.25">
      <c r="A299" s="71"/>
      <c r="B299" s="116" t="s">
        <v>45</v>
      </c>
      <c r="C299" s="20">
        <v>45763</v>
      </c>
      <c r="D299" s="67">
        <v>25030</v>
      </c>
      <c r="E299" s="117" t="s">
        <v>214</v>
      </c>
      <c r="F299" s="67">
        <v>2503051015</v>
      </c>
      <c r="G299" s="67" t="s">
        <v>64</v>
      </c>
      <c r="H299" s="67" t="s">
        <v>215</v>
      </c>
      <c r="I299" s="67" t="s">
        <v>49</v>
      </c>
      <c r="J299" s="67" t="s">
        <v>46</v>
      </c>
      <c r="K299" s="8" t="s">
        <v>970</v>
      </c>
      <c r="L299" s="128">
        <v>46041</v>
      </c>
      <c r="M299" s="381">
        <f t="shared" si="47"/>
        <v>9</v>
      </c>
      <c r="N299" s="98" t="s">
        <v>49</v>
      </c>
      <c r="O299" s="92">
        <v>20480005</v>
      </c>
      <c r="P299" s="24" t="str">
        <f>VLOOKUP(O299,[1]Feuil2!$A:$M,5,FALSE)</f>
        <v>CUILLERE CLEO PROMOCASH</v>
      </c>
      <c r="Q299" s="90">
        <v>11500</v>
      </c>
      <c r="R299" s="93">
        <v>7.0000000000000007E-2</v>
      </c>
      <c r="S299" s="94">
        <f t="shared" si="44"/>
        <v>805.00000000000011</v>
      </c>
      <c r="T299" s="95">
        <f t="shared" si="51"/>
        <v>87371.224000000017</v>
      </c>
      <c r="U299" s="138"/>
      <c r="V299" s="96">
        <f t="shared" si="45"/>
        <v>87371.224000000017</v>
      </c>
      <c r="W299" s="4">
        <f>VLOOKUP(O299,[1]Feuil2!$A:$M,6,FALSE)</f>
        <v>250</v>
      </c>
      <c r="X299" s="5">
        <f>VLOOKUP(O299,[1]Feuil2!$A:$M,13,FALSE)</f>
        <v>1.1067E-2</v>
      </c>
      <c r="Y299" s="6">
        <f t="shared" si="49"/>
        <v>0.50908200000000003</v>
      </c>
      <c r="Z299" s="97">
        <f t="shared" si="46"/>
        <v>31.965139999999995</v>
      </c>
      <c r="AA299" s="69" t="s">
        <v>57</v>
      </c>
      <c r="AB299" s="90" t="s">
        <v>48</v>
      </c>
      <c r="AC299" s="90" t="s">
        <v>55</v>
      </c>
      <c r="AD299" s="21" t="s">
        <v>57</v>
      </c>
      <c r="AE299" s="20">
        <v>45973</v>
      </c>
      <c r="AF299" s="21" t="s">
        <v>603</v>
      </c>
      <c r="AG299" s="21"/>
      <c r="AH299" s="98"/>
      <c r="AI299" s="160">
        <v>45868</v>
      </c>
      <c r="AJ299" s="145">
        <f>DATEDIF(AI299,AK299,"D")</f>
        <v>142</v>
      </c>
      <c r="AK299" s="100">
        <f>VLOOKUP(AP299,'[2]CONTENEUR PLEIN'!$F:$L,3,FALSE)</f>
        <v>46010</v>
      </c>
      <c r="AL299" s="99">
        <f>VLOOKUP(AP299,'[2]CONTENEUR PLEIN'!$F:$L,5,FALSE)</f>
        <v>46052</v>
      </c>
      <c r="AM299" s="18">
        <f>VLOOKUP(AP299,'[2]CONTENEUR PLEIN'!$F:$L,7,FALSE)</f>
        <v>46058.53125</v>
      </c>
      <c r="AN299" s="130" t="s">
        <v>63</v>
      </c>
      <c r="AO299" s="486" t="s">
        <v>734</v>
      </c>
      <c r="AP299" s="486" t="s">
        <v>735</v>
      </c>
      <c r="AQ299" s="486" t="s">
        <v>737</v>
      </c>
      <c r="AR299" s="90" t="str">
        <f>VLOOKUP(AP299,'[2]CONTENEUR PLEIN'!$F:$L,2,FALSE)</f>
        <v>CMA CGM KIMBERLEY</v>
      </c>
      <c r="AS299" s="486" t="s">
        <v>316</v>
      </c>
      <c r="AT299" s="98"/>
      <c r="AU299" s="72"/>
    </row>
    <row r="300" spans="1:47" s="72" customFormat="1" hidden="1" x14ac:dyDescent="0.25">
      <c r="A300" s="71"/>
      <c r="B300" s="152" t="s">
        <v>45</v>
      </c>
      <c r="C300" s="89">
        <v>45763</v>
      </c>
      <c r="D300" s="129">
        <v>25030</v>
      </c>
      <c r="E300" s="143" t="s">
        <v>214</v>
      </c>
      <c r="F300" s="90">
        <v>2503051015</v>
      </c>
      <c r="G300" s="129" t="s">
        <v>64</v>
      </c>
      <c r="H300" s="129" t="s">
        <v>215</v>
      </c>
      <c r="I300" s="129" t="s">
        <v>49</v>
      </c>
      <c r="J300" s="129" t="s">
        <v>46</v>
      </c>
      <c r="K300" s="16" t="s">
        <v>594</v>
      </c>
      <c r="L300" s="128">
        <v>45926</v>
      </c>
      <c r="M300" s="381">
        <f t="shared" si="47"/>
        <v>7</v>
      </c>
      <c r="N300" s="98" t="s">
        <v>49</v>
      </c>
      <c r="O300" s="92">
        <v>20890004</v>
      </c>
      <c r="P300" s="24" t="str">
        <f>VLOOKUP(O300,[1]Feuil2!$A:$M,5,FALSE)</f>
        <v>CAFE ECORCE VRAC GENCOD</v>
      </c>
      <c r="Q300" s="90">
        <v>16080</v>
      </c>
      <c r="R300" s="93">
        <v>0.156</v>
      </c>
      <c r="S300" s="94">
        <f t="shared" si="44"/>
        <v>2508.48</v>
      </c>
      <c r="T300" s="95">
        <f t="shared" si="51"/>
        <v>87371.224000000017</v>
      </c>
      <c r="U300" s="138"/>
      <c r="V300" s="96">
        <f t="shared" si="45"/>
        <v>87371.224000000017</v>
      </c>
      <c r="W300" s="4">
        <f>VLOOKUP(O300,[1]Feuil2!$A:$M,6,FALSE)</f>
        <v>240</v>
      </c>
      <c r="X300" s="5">
        <f>VLOOKUP(O300,[1]Feuil2!$A:$M,13,FALSE)</f>
        <v>8.4150000000000006E-3</v>
      </c>
      <c r="Y300" s="6">
        <f t="shared" si="49"/>
        <v>0.563805</v>
      </c>
      <c r="Z300" s="97">
        <f t="shared" si="46"/>
        <v>31.965139999999995</v>
      </c>
      <c r="AA300" s="167" t="s">
        <v>61</v>
      </c>
      <c r="AB300" s="133" t="s">
        <v>61</v>
      </c>
      <c r="AC300" s="87" t="s">
        <v>55</v>
      </c>
      <c r="AD300" s="19" t="s">
        <v>57</v>
      </c>
      <c r="AE300" s="20">
        <v>45890</v>
      </c>
      <c r="AF300" s="21" t="s">
        <v>416</v>
      </c>
      <c r="AG300" s="21"/>
      <c r="AH300" s="98"/>
      <c r="AI300" s="160">
        <v>45868</v>
      </c>
      <c r="AJ300" s="145">
        <f>DATEDIF(AI300,$AK$280,"D")</f>
        <v>158</v>
      </c>
      <c r="AK300" s="100">
        <f>VLOOKUP(AP300,'[3]CONTENEUR PLEIN'!$F:$L,3,FALSE)</f>
        <v>45913</v>
      </c>
      <c r="AL300" s="99">
        <f>VLOOKUP(AP300,'[3]CONTENEUR PLEIN'!$F:$L,5,FALSE)</f>
        <v>45971</v>
      </c>
      <c r="AM300" s="18">
        <f>VLOOKUP(AP300,'[3]CONTENEUR PLEIN'!$F:$L,7,FALSE)</f>
        <v>45979.53125</v>
      </c>
      <c r="AN300" s="130" t="s">
        <v>63</v>
      </c>
      <c r="AO300" s="191" t="s">
        <v>428</v>
      </c>
      <c r="AP300" s="191" t="s">
        <v>429</v>
      </c>
      <c r="AQ300" s="90">
        <v>2503051015</v>
      </c>
      <c r="AR300" s="191" t="e">
        <f>VLOOKUP(AP300,'[2]CONTENEUR PLEIN'!$F:$L,2,FALSE)</f>
        <v>#N/A</v>
      </c>
      <c r="AS300" s="191" t="s">
        <v>316</v>
      </c>
      <c r="AT300" s="98"/>
      <c r="AU300" s="181"/>
    </row>
    <row r="301" spans="1:47" s="72" customFormat="1" hidden="1" x14ac:dyDescent="0.25">
      <c r="A301" s="71"/>
      <c r="B301" s="152" t="s">
        <v>45</v>
      </c>
      <c r="C301" s="89">
        <v>45763</v>
      </c>
      <c r="D301" s="129">
        <v>25030</v>
      </c>
      <c r="E301" s="143" t="s">
        <v>214</v>
      </c>
      <c r="F301" s="90">
        <v>2503051015</v>
      </c>
      <c r="G301" s="129" t="s">
        <v>64</v>
      </c>
      <c r="H301" s="129" t="s">
        <v>215</v>
      </c>
      <c r="I301" s="129" t="s">
        <v>49</v>
      </c>
      <c r="J301" s="129" t="s">
        <v>46</v>
      </c>
      <c r="K301" s="16" t="s">
        <v>862</v>
      </c>
      <c r="L301" s="304">
        <v>45995</v>
      </c>
      <c r="M301" s="381">
        <f t="shared" si="47"/>
        <v>8</v>
      </c>
      <c r="N301" s="98" t="s">
        <v>49</v>
      </c>
      <c r="O301" s="92">
        <v>20890004</v>
      </c>
      <c r="P301" s="24" t="str">
        <f>VLOOKUP(O301,[1]Feuil2!$A:$M,5,FALSE)</f>
        <v>CAFE ECORCE VRAC GENCOD</v>
      </c>
      <c r="Q301" s="90">
        <f>20160-16080</f>
        <v>4080</v>
      </c>
      <c r="R301" s="93">
        <v>0.156</v>
      </c>
      <c r="S301" s="94">
        <f t="shared" si="44"/>
        <v>636.48</v>
      </c>
      <c r="T301" s="95">
        <f t="shared" si="51"/>
        <v>87371.224000000017</v>
      </c>
      <c r="U301" s="138"/>
      <c r="V301" s="96">
        <f t="shared" si="45"/>
        <v>87371.224000000017</v>
      </c>
      <c r="W301" s="4">
        <f>VLOOKUP(O301,[1]Feuil2!$A:$M,6,FALSE)</f>
        <v>240</v>
      </c>
      <c r="X301" s="5">
        <f>VLOOKUP(O301,[1]Feuil2!$A:$M,13,FALSE)</f>
        <v>8.4150000000000006E-3</v>
      </c>
      <c r="Y301" s="6">
        <f t="shared" si="49"/>
        <v>0.14305500000000002</v>
      </c>
      <c r="Z301" s="97">
        <f t="shared" si="46"/>
        <v>31.965139999999995</v>
      </c>
      <c r="AA301" s="133" t="s">
        <v>61</v>
      </c>
      <c r="AB301" s="133" t="s">
        <v>61</v>
      </c>
      <c r="AC301" s="87" t="s">
        <v>55</v>
      </c>
      <c r="AD301" s="19" t="s">
        <v>57</v>
      </c>
      <c r="AE301" s="20">
        <v>45959</v>
      </c>
      <c r="AF301" s="47" t="s">
        <v>621</v>
      </c>
      <c r="AG301" s="21"/>
      <c r="AH301" s="98"/>
      <c r="AI301" s="160">
        <v>45868</v>
      </c>
      <c r="AJ301" s="145">
        <f>DATEDIF(AI301,$AK301,"D")</f>
        <v>116</v>
      </c>
      <c r="AK301" s="100">
        <f>VLOOKUP(AP301,'[2]CONTENEUR PLEIN'!$F:$L,3,FALSE)</f>
        <v>45984</v>
      </c>
      <c r="AL301" s="99">
        <f>VLOOKUP(AP301,'[2]CONTENEUR PLEIN'!$F:$L,5,FALSE)</f>
        <v>46030</v>
      </c>
      <c r="AM301" s="18">
        <f>VLOOKUP(AP301,'[2]CONTENEUR PLEIN'!$F:$L,7,FALSE)</f>
        <v>46036.333333333336</v>
      </c>
      <c r="AN301" s="130" t="s">
        <v>63</v>
      </c>
      <c r="AO301" s="351" t="s">
        <v>577</v>
      </c>
      <c r="AP301" s="351" t="s">
        <v>578</v>
      </c>
      <c r="AQ301" s="351" t="s">
        <v>586</v>
      </c>
      <c r="AR301" s="90" t="str">
        <f>VLOOKUP(AP301,'[2]CONTENEUR PLEIN'!$F:$L,2,FALSE)</f>
        <v>CMA CGM GRACE BAY</v>
      </c>
      <c r="AS301" s="351" t="s">
        <v>316</v>
      </c>
      <c r="AT301" s="98"/>
    </row>
    <row r="302" spans="1:47" s="72" customFormat="1" hidden="1" x14ac:dyDescent="0.25">
      <c r="A302" s="71"/>
      <c r="B302" s="152" t="s">
        <v>45</v>
      </c>
      <c r="C302" s="89">
        <v>45763</v>
      </c>
      <c r="D302" s="129">
        <v>25030</v>
      </c>
      <c r="E302" s="143" t="s">
        <v>214</v>
      </c>
      <c r="F302" s="90">
        <v>2503051015</v>
      </c>
      <c r="G302" s="129" t="s">
        <v>64</v>
      </c>
      <c r="H302" s="129" t="s">
        <v>215</v>
      </c>
      <c r="I302" s="129" t="s">
        <v>49</v>
      </c>
      <c r="J302" s="129" t="s">
        <v>46</v>
      </c>
      <c r="K302" s="16" t="s">
        <v>594</v>
      </c>
      <c r="L302" s="128">
        <v>45926</v>
      </c>
      <c r="M302" s="381">
        <f t="shared" si="47"/>
        <v>7</v>
      </c>
      <c r="N302" s="98" t="s">
        <v>49</v>
      </c>
      <c r="O302" s="92">
        <v>21130005</v>
      </c>
      <c r="P302" s="24" t="str">
        <f>VLOOKUP(O302,[1]Feuil2!$A:$M,5,FALSE)</f>
        <v>CAFE BOREAL + GENCOD</v>
      </c>
      <c r="Q302" s="90">
        <v>12240</v>
      </c>
      <c r="R302" s="93">
        <v>0.14299999999999999</v>
      </c>
      <c r="S302" s="94">
        <f t="shared" si="44"/>
        <v>1750.32</v>
      </c>
      <c r="T302" s="95">
        <f t="shared" si="51"/>
        <v>87371.224000000017</v>
      </c>
      <c r="U302" s="138"/>
      <c r="V302" s="96">
        <f t="shared" si="45"/>
        <v>87371.224000000017</v>
      </c>
      <c r="W302" s="4">
        <f>VLOOKUP(O302,[1]Feuil2!$A:$M,6,FALSE)</f>
        <v>240</v>
      </c>
      <c r="X302" s="5">
        <f>VLOOKUP(O302,[1]Feuil2!$A:$M,13,FALSE)</f>
        <v>1.7819999999999999E-2</v>
      </c>
      <c r="Y302" s="6">
        <f t="shared" si="49"/>
        <v>0.90881999999999996</v>
      </c>
      <c r="Z302" s="97">
        <f t="shared" si="46"/>
        <v>31.965139999999995</v>
      </c>
      <c r="AA302" s="133" t="s">
        <v>61</v>
      </c>
      <c r="AB302" s="133" t="s">
        <v>61</v>
      </c>
      <c r="AC302" s="90" t="s">
        <v>55</v>
      </c>
      <c r="AD302" s="21" t="s">
        <v>57</v>
      </c>
      <c r="AE302" s="20">
        <v>45888</v>
      </c>
      <c r="AF302" s="21" t="s">
        <v>407</v>
      </c>
      <c r="AG302" s="21"/>
      <c r="AH302" s="98"/>
      <c r="AI302" s="160">
        <v>45868</v>
      </c>
      <c r="AJ302" s="145" t="e">
        <f>DATEDIF(AI302,$AK$282,"D")</f>
        <v>#NUM!</v>
      </c>
      <c r="AK302" s="100">
        <f>VLOOKUP(AP302,'[3]CONTENEUR PLEIN'!$F:$L,3,FALSE)</f>
        <v>45913</v>
      </c>
      <c r="AL302" s="99">
        <f>VLOOKUP(AP302,'[3]CONTENEUR PLEIN'!$F:$L,5,FALSE)</f>
        <v>45971</v>
      </c>
      <c r="AM302" s="18">
        <f>VLOOKUP(AP302,'[3]CONTENEUR PLEIN'!$F:$L,7,FALSE)</f>
        <v>45979.53125</v>
      </c>
      <c r="AN302" s="130" t="s">
        <v>63</v>
      </c>
      <c r="AO302" s="191" t="s">
        <v>428</v>
      </c>
      <c r="AP302" s="191" t="s">
        <v>429</v>
      </c>
      <c r="AQ302" s="90">
        <v>2503051015</v>
      </c>
      <c r="AR302" s="191" t="e">
        <f>VLOOKUP(AP302,'[2]CONTENEUR PLEIN'!$F:$L,2,FALSE)</f>
        <v>#N/A</v>
      </c>
      <c r="AS302" s="191" t="s">
        <v>316</v>
      </c>
      <c r="AT302" s="98"/>
    </row>
    <row r="303" spans="1:47" s="72" customFormat="1" hidden="1" x14ac:dyDescent="0.25">
      <c r="A303" s="71"/>
      <c r="B303" s="152" t="s">
        <v>45</v>
      </c>
      <c r="C303" s="89">
        <v>45763</v>
      </c>
      <c r="D303" s="129">
        <v>25030</v>
      </c>
      <c r="E303" s="143" t="s">
        <v>214</v>
      </c>
      <c r="F303" s="90">
        <v>2503051015</v>
      </c>
      <c r="G303" s="129" t="s">
        <v>64</v>
      </c>
      <c r="H303" s="129" t="s">
        <v>215</v>
      </c>
      <c r="I303" s="129" t="s">
        <v>49</v>
      </c>
      <c r="J303" s="129" t="s">
        <v>46</v>
      </c>
      <c r="K303" s="16" t="s">
        <v>862</v>
      </c>
      <c r="L303" s="304">
        <v>45995</v>
      </c>
      <c r="M303" s="381">
        <f t="shared" si="47"/>
        <v>8</v>
      </c>
      <c r="N303" s="98" t="s">
        <v>49</v>
      </c>
      <c r="O303" s="92">
        <v>21130005</v>
      </c>
      <c r="P303" s="24" t="str">
        <f>VLOOKUP(O303,[1]Feuil2!$A:$M,5,FALSE)</f>
        <v>CAFE BOREAL + GENCOD</v>
      </c>
      <c r="Q303" s="90">
        <f>20400-12240</f>
        <v>8160</v>
      </c>
      <c r="R303" s="93">
        <v>0.14299999999999999</v>
      </c>
      <c r="S303" s="94">
        <f t="shared" si="44"/>
        <v>1166.8799999999999</v>
      </c>
      <c r="T303" s="95">
        <f t="shared" si="51"/>
        <v>87371.224000000017</v>
      </c>
      <c r="U303" s="138"/>
      <c r="V303" s="96">
        <f t="shared" si="45"/>
        <v>87371.224000000017</v>
      </c>
      <c r="W303" s="4">
        <f>VLOOKUP(O303,[1]Feuil2!$A:$M,6,FALSE)</f>
        <v>240</v>
      </c>
      <c r="X303" s="5">
        <f>VLOOKUP(O303,[1]Feuil2!$A:$M,13,FALSE)</f>
        <v>1.7819999999999999E-2</v>
      </c>
      <c r="Y303" s="6">
        <f t="shared" si="49"/>
        <v>0.60587999999999997</v>
      </c>
      <c r="Z303" s="97">
        <f t="shared" si="46"/>
        <v>31.965139999999995</v>
      </c>
      <c r="AA303" s="24" t="s">
        <v>48</v>
      </c>
      <c r="AB303" s="19" t="s">
        <v>57</v>
      </c>
      <c r="AC303" s="87" t="s">
        <v>55</v>
      </c>
      <c r="AD303" s="19" t="s">
        <v>57</v>
      </c>
      <c r="AE303" s="20">
        <v>45888</v>
      </c>
      <c r="AF303" s="21" t="s">
        <v>407</v>
      </c>
      <c r="AG303" s="21"/>
      <c r="AH303" s="98"/>
      <c r="AI303" s="160">
        <v>45868</v>
      </c>
      <c r="AJ303" s="145">
        <f>DATEDIF(AI303,$AK303,"D")</f>
        <v>116</v>
      </c>
      <c r="AK303" s="100">
        <f>VLOOKUP(AP303,'[2]CONTENEUR PLEIN'!$F:$L,3,FALSE)</f>
        <v>45984</v>
      </c>
      <c r="AL303" s="99">
        <f>VLOOKUP(AP303,'[2]CONTENEUR PLEIN'!$F:$L,5,FALSE)</f>
        <v>46030</v>
      </c>
      <c r="AM303" s="18">
        <f>VLOOKUP(AP303,'[2]CONTENEUR PLEIN'!$F:$L,7,FALSE)</f>
        <v>46036.333333333336</v>
      </c>
      <c r="AN303" s="130" t="s">
        <v>63</v>
      </c>
      <c r="AO303" s="351" t="s">
        <v>577</v>
      </c>
      <c r="AP303" s="351" t="s">
        <v>578</v>
      </c>
      <c r="AQ303" s="351" t="s">
        <v>586</v>
      </c>
      <c r="AR303" s="90" t="str">
        <f>VLOOKUP(AP303,'[2]CONTENEUR PLEIN'!$F:$L,2,FALSE)</f>
        <v>CMA CGM GRACE BAY</v>
      </c>
      <c r="AS303" s="351" t="s">
        <v>316</v>
      </c>
      <c r="AT303" s="98"/>
    </row>
    <row r="304" spans="1:47" s="72" customFormat="1" hidden="1" x14ac:dyDescent="0.25">
      <c r="A304" s="71"/>
      <c r="B304" s="29" t="s">
        <v>45</v>
      </c>
      <c r="C304" s="48">
        <v>45763</v>
      </c>
      <c r="D304" s="49">
        <v>25030</v>
      </c>
      <c r="E304" s="50" t="s">
        <v>214</v>
      </c>
      <c r="F304" s="49">
        <v>2503051015</v>
      </c>
      <c r="G304" s="49" t="s">
        <v>64</v>
      </c>
      <c r="H304" s="49" t="s">
        <v>215</v>
      </c>
      <c r="I304" s="49" t="s">
        <v>49</v>
      </c>
      <c r="J304" s="49" t="s">
        <v>46</v>
      </c>
      <c r="K304" s="262" t="s">
        <v>71</v>
      </c>
      <c r="L304" s="49" t="s">
        <v>47</v>
      </c>
      <c r="M304" s="382" t="e">
        <f t="shared" si="47"/>
        <v>#N/A</v>
      </c>
      <c r="N304" s="57" t="s">
        <v>49</v>
      </c>
      <c r="O304" s="51">
        <v>21480003</v>
      </c>
      <c r="P304" s="30" t="str">
        <f>VLOOKUP(O304,[1]Feuil2!$A:$M,5,FALSE)</f>
        <v>CUILLERE BASIQUE</v>
      </c>
      <c r="Q304" s="49">
        <v>36000</v>
      </c>
      <c r="R304" s="52">
        <v>0</v>
      </c>
      <c r="S304" s="53">
        <f t="shared" si="44"/>
        <v>0</v>
      </c>
      <c r="T304" s="31">
        <f t="shared" si="51"/>
        <v>87371.224000000017</v>
      </c>
      <c r="U304" s="140"/>
      <c r="V304" s="32">
        <f t="shared" si="45"/>
        <v>87371.224000000017</v>
      </c>
      <c r="W304" s="33">
        <f>VLOOKUP(O304,[1]Feuil2!$A:$M,6,FALSE)</f>
        <v>288</v>
      </c>
      <c r="X304" s="34">
        <f>VLOOKUP(O304,[1]Feuil2!$A:$M,13,FALSE)</f>
        <v>1.6399E-2</v>
      </c>
      <c r="Y304" s="35">
        <f t="shared" si="49"/>
        <v>2.0498750000000001</v>
      </c>
      <c r="Z304" s="36">
        <f t="shared" si="46"/>
        <v>31.965139999999995</v>
      </c>
      <c r="AA304" s="55" t="s">
        <v>57</v>
      </c>
      <c r="AB304" s="55" t="s">
        <v>61</v>
      </c>
      <c r="AC304" s="49"/>
      <c r="AD304" s="55" t="s">
        <v>61</v>
      </c>
      <c r="AE304" s="48"/>
      <c r="AF304" s="55"/>
      <c r="AG304" s="55"/>
      <c r="AH304" s="57"/>
      <c r="AI304" s="182">
        <v>45868</v>
      </c>
      <c r="AJ304" s="137" t="s">
        <v>49</v>
      </c>
      <c r="AK304" s="56" t="e">
        <f>VLOOKUP(AP304,'[2]CONTENEUR PLEIN'!$F:$L,3,FALSE)</f>
        <v>#N/A</v>
      </c>
      <c r="AL304" s="37" t="e">
        <f>VLOOKUP(AP304,'[2]CONTENEUR PLEIN'!$F:$L,5,FALSE)</f>
        <v>#N/A</v>
      </c>
      <c r="AM304" s="38" t="e">
        <f>VLOOKUP(AP304,'[2]CONTENEUR PLEIN'!$F:$L,7,FALSE)</f>
        <v>#N/A</v>
      </c>
      <c r="AN304" s="49" t="s">
        <v>63</v>
      </c>
      <c r="AO304" s="49"/>
      <c r="AP304" s="49"/>
      <c r="AQ304" s="49"/>
      <c r="AR304" s="49" t="e">
        <f>VLOOKUP(AP304,'[2]CONTENEUR PLEIN'!$F:$L,2,FALSE)</f>
        <v>#N/A</v>
      </c>
      <c r="AS304" s="49"/>
      <c r="AT304" s="57"/>
      <c r="AU304" s="181"/>
    </row>
    <row r="305" spans="1:47" s="72" customFormat="1" hidden="1" x14ac:dyDescent="0.25">
      <c r="A305" s="71"/>
      <c r="B305" s="29" t="s">
        <v>45</v>
      </c>
      <c r="C305" s="48">
        <v>45763</v>
      </c>
      <c r="D305" s="49">
        <v>25030</v>
      </c>
      <c r="E305" s="50" t="s">
        <v>214</v>
      </c>
      <c r="F305" s="49">
        <v>2503051015</v>
      </c>
      <c r="G305" s="49" t="s">
        <v>64</v>
      </c>
      <c r="H305" s="49" t="s">
        <v>215</v>
      </c>
      <c r="I305" s="49" t="s">
        <v>49</v>
      </c>
      <c r="J305" s="49" t="s">
        <v>46</v>
      </c>
      <c r="K305" s="112" t="s">
        <v>71</v>
      </c>
      <c r="L305" s="49" t="s">
        <v>47</v>
      </c>
      <c r="M305" s="382" t="e">
        <f t="shared" si="47"/>
        <v>#N/A</v>
      </c>
      <c r="N305" s="57" t="s">
        <v>62</v>
      </c>
      <c r="O305" s="51">
        <v>21520039</v>
      </c>
      <c r="P305" s="30" t="str">
        <f>VLOOKUP(O305,[1]Feuil2!$A:$M,5,FALSE)</f>
        <v>M16 LAGUIOL INTUITION METAL PVD CHAMPAGNE MAT BOIT LAG BLEUE</v>
      </c>
      <c r="Q305" s="49">
        <v>1506</v>
      </c>
      <c r="R305" s="52">
        <v>0</v>
      </c>
      <c r="S305" s="53">
        <f t="shared" si="44"/>
        <v>0</v>
      </c>
      <c r="T305" s="31">
        <f t="shared" si="51"/>
        <v>87371.224000000017</v>
      </c>
      <c r="U305" s="140"/>
      <c r="V305" s="32">
        <f t="shared" si="45"/>
        <v>87371.224000000017</v>
      </c>
      <c r="W305" s="33">
        <f>VLOOKUP(O305,[1]Feuil2!$A:$M,6,FALSE)</f>
        <v>6</v>
      </c>
      <c r="X305" s="34">
        <f>VLOOKUP(O305,[1]Feuil2!$A:$M,13,FALSE)</f>
        <v>2.3789999999999999E-2</v>
      </c>
      <c r="Y305" s="35">
        <f t="shared" si="49"/>
        <v>5.9712899999999998</v>
      </c>
      <c r="Z305" s="36">
        <f t="shared" si="46"/>
        <v>31.965139999999995</v>
      </c>
      <c r="AA305" s="55" t="s">
        <v>61</v>
      </c>
      <c r="AB305" s="55" t="s">
        <v>61</v>
      </c>
      <c r="AC305" s="49"/>
      <c r="AD305" s="55" t="s">
        <v>61</v>
      </c>
      <c r="AE305" s="48"/>
      <c r="AF305" s="55"/>
      <c r="AG305" s="55"/>
      <c r="AH305" s="57"/>
      <c r="AI305" s="182">
        <v>45868</v>
      </c>
      <c r="AJ305" s="137" t="s">
        <v>49</v>
      </c>
      <c r="AK305" s="56" t="e">
        <f>VLOOKUP(AP305,'[2]CONTENEUR PLEIN'!$F:$L,3,FALSE)</f>
        <v>#N/A</v>
      </c>
      <c r="AL305" s="37" t="e">
        <f>VLOOKUP(AP305,'[2]CONTENEUR PLEIN'!$F:$L,5,FALSE)</f>
        <v>#N/A</v>
      </c>
      <c r="AM305" s="38" t="e">
        <f>VLOOKUP(AP305,'[2]CONTENEUR PLEIN'!$F:$L,7,FALSE)</f>
        <v>#N/A</v>
      </c>
      <c r="AN305" s="49" t="s">
        <v>63</v>
      </c>
      <c r="AO305" s="49"/>
      <c r="AP305" s="49"/>
      <c r="AQ305" s="49"/>
      <c r="AR305" s="49" t="e">
        <f>VLOOKUP(AP305,'[2]CONTENEUR PLEIN'!$F:$L,2,FALSE)</f>
        <v>#N/A</v>
      </c>
      <c r="AS305" s="49"/>
      <c r="AT305" s="57"/>
      <c r="AU305" s="181"/>
    </row>
    <row r="306" spans="1:47" s="72" customFormat="1" hidden="1" x14ac:dyDescent="0.25">
      <c r="A306" s="71"/>
      <c r="B306" s="152" t="s">
        <v>45</v>
      </c>
      <c r="C306" s="89">
        <v>45763</v>
      </c>
      <c r="D306" s="129">
        <v>25030</v>
      </c>
      <c r="E306" s="143" t="s">
        <v>214</v>
      </c>
      <c r="F306" s="90">
        <v>2503051015</v>
      </c>
      <c r="G306" s="129" t="s">
        <v>64</v>
      </c>
      <c r="H306" s="129" t="s">
        <v>215</v>
      </c>
      <c r="I306" s="129" t="s">
        <v>49</v>
      </c>
      <c r="J306" s="129" t="s">
        <v>46</v>
      </c>
      <c r="K306" s="16" t="s">
        <v>862</v>
      </c>
      <c r="L306" s="304">
        <v>45995</v>
      </c>
      <c r="M306" s="381">
        <f t="shared" si="47"/>
        <v>8</v>
      </c>
      <c r="N306" s="98" t="s">
        <v>62</v>
      </c>
      <c r="O306" s="183" t="s">
        <v>216</v>
      </c>
      <c r="P306" s="24" t="str">
        <f>VLOOKUP(O306,[1]Feuil2!$A:$M,5,FALSE)</f>
        <v>BOITE NEUTRE TB COLLECTION</v>
      </c>
      <c r="Q306" s="90">
        <v>1600</v>
      </c>
      <c r="R306" s="93">
        <v>0.495</v>
      </c>
      <c r="S306" s="94">
        <f t="shared" si="44"/>
        <v>792</v>
      </c>
      <c r="T306" s="95">
        <f t="shared" si="51"/>
        <v>87371.224000000017</v>
      </c>
      <c r="U306" s="138"/>
      <c r="V306" s="96">
        <f t="shared" si="45"/>
        <v>87371.224000000017</v>
      </c>
      <c r="W306" s="4">
        <f>VLOOKUP(O306,[1]Feuil2!$A:$M,6,FALSE)</f>
        <v>100</v>
      </c>
      <c r="X306" s="5">
        <f>VLOOKUP(O306,[1]Feuil2!$A:$M,13,FALSE)</f>
        <v>5.4096000000000005E-2</v>
      </c>
      <c r="Y306" s="6">
        <f t="shared" si="49"/>
        <v>0.86553600000000008</v>
      </c>
      <c r="Z306" s="97">
        <f t="shared" si="46"/>
        <v>31.965139999999995</v>
      </c>
      <c r="AA306" s="67" t="s">
        <v>48</v>
      </c>
      <c r="AB306" s="67" t="s">
        <v>48</v>
      </c>
      <c r="AC306" s="90" t="s">
        <v>55</v>
      </c>
      <c r="AD306" s="21" t="s">
        <v>57</v>
      </c>
      <c r="AE306" s="20">
        <v>45969</v>
      </c>
      <c r="AF306" s="21" t="s">
        <v>616</v>
      </c>
      <c r="AG306" s="21"/>
      <c r="AH306" s="98"/>
      <c r="AI306" s="160">
        <v>45868</v>
      </c>
      <c r="AJ306" s="145">
        <f t="shared" ref="AJ306:AJ308" si="52">DATEDIF(AI306,$AK306,"D")</f>
        <v>116</v>
      </c>
      <c r="AK306" s="100">
        <f>VLOOKUP(AP306,'[2]CONTENEUR PLEIN'!$F:$L,3,FALSE)</f>
        <v>45984</v>
      </c>
      <c r="AL306" s="99">
        <f>VLOOKUP(AP306,'[2]CONTENEUR PLEIN'!$F:$L,5,FALSE)</f>
        <v>46030</v>
      </c>
      <c r="AM306" s="18">
        <f>VLOOKUP(AP306,'[2]CONTENEUR PLEIN'!$F:$L,7,FALSE)</f>
        <v>46036.333333333336</v>
      </c>
      <c r="AN306" s="130" t="s">
        <v>63</v>
      </c>
      <c r="AO306" s="351" t="s">
        <v>577</v>
      </c>
      <c r="AP306" s="351" t="s">
        <v>578</v>
      </c>
      <c r="AQ306" s="351" t="s">
        <v>586</v>
      </c>
      <c r="AR306" s="90" t="str">
        <f>VLOOKUP(AP306,'[2]CONTENEUR PLEIN'!$F:$L,2,FALSE)</f>
        <v>CMA CGM GRACE BAY</v>
      </c>
      <c r="AS306" s="351" t="s">
        <v>316</v>
      </c>
      <c r="AT306" s="98"/>
      <c r="AU306" s="181"/>
    </row>
    <row r="307" spans="1:47" s="72" customFormat="1" hidden="1" x14ac:dyDescent="0.25">
      <c r="A307" s="71"/>
      <c r="B307" s="163" t="s">
        <v>45</v>
      </c>
      <c r="C307" s="146">
        <v>45763</v>
      </c>
      <c r="D307" s="153">
        <v>25030</v>
      </c>
      <c r="E307" s="164" t="s">
        <v>214</v>
      </c>
      <c r="F307" s="147">
        <v>2503051015</v>
      </c>
      <c r="G307" s="153" t="s">
        <v>64</v>
      </c>
      <c r="H307" s="153" t="s">
        <v>215</v>
      </c>
      <c r="I307" s="153" t="s">
        <v>49</v>
      </c>
      <c r="J307" s="153" t="s">
        <v>46</v>
      </c>
      <c r="K307" s="329" t="s">
        <v>68</v>
      </c>
      <c r="L307" s="128">
        <v>46048</v>
      </c>
      <c r="M307" s="379">
        <f t="shared" si="47"/>
        <v>11</v>
      </c>
      <c r="N307" s="98" t="s">
        <v>62</v>
      </c>
      <c r="O307" s="78">
        <v>20160005</v>
      </c>
      <c r="P307" s="42" t="str">
        <f>VLOOKUP(O307,[1]Feuil2!$A:$M,5,FALSE)</f>
        <v>LOT 6 CUILLERES OSLO BRILLANT CLASSIQUE +SUSPENSION</v>
      </c>
      <c r="Q307" s="75">
        <f>7200-6624</f>
        <v>576</v>
      </c>
      <c r="R307" s="79">
        <v>1.0389999999999999</v>
      </c>
      <c r="S307" s="80">
        <f t="shared" si="44"/>
        <v>598.46399999999994</v>
      </c>
      <c r="T307" s="81">
        <f t="shared" si="51"/>
        <v>87371.224000000017</v>
      </c>
      <c r="U307" s="139"/>
      <c r="V307" s="82">
        <f t="shared" si="45"/>
        <v>87371.224000000017</v>
      </c>
      <c r="W307" s="9">
        <f>VLOOKUP(O307,[1]Feuil2!$A:$M,6,FALSE)</f>
        <v>72</v>
      </c>
      <c r="X307" s="10">
        <f>VLOOKUP(O307,[1]Feuil2!$A:$M,13,FALSE)</f>
        <v>2.2638000000000002E-2</v>
      </c>
      <c r="Y307" s="11">
        <f t="shared" si="49"/>
        <v>0.18110400000000001</v>
      </c>
      <c r="Z307" s="83">
        <f t="shared" si="46"/>
        <v>31.965139999999995</v>
      </c>
      <c r="AA307" s="42" t="s">
        <v>48</v>
      </c>
      <c r="AB307" s="26" t="s">
        <v>57</v>
      </c>
      <c r="AC307" s="87" t="s">
        <v>55</v>
      </c>
      <c r="AD307" s="26" t="s">
        <v>57</v>
      </c>
      <c r="AE307" s="14">
        <v>45986</v>
      </c>
      <c r="AF307" s="13" t="s">
        <v>631</v>
      </c>
      <c r="AG307" s="13"/>
      <c r="AH307" s="84"/>
      <c r="AI307" s="328">
        <v>45868</v>
      </c>
      <c r="AJ307" s="144">
        <f t="shared" si="52"/>
        <v>158</v>
      </c>
      <c r="AK307" s="85">
        <f>VLOOKUP(AP307,'[2]CONTENEUR PLEIN'!$F:$L,3,FALSE)</f>
        <v>46026</v>
      </c>
      <c r="AL307" s="86">
        <f>VLOOKUP(AP307,'[2]CONTENEUR PLEIN'!$F:$L,5,FALSE)</f>
        <v>46081</v>
      </c>
      <c r="AM307" s="18">
        <f>VLOOKUP(AP307,'[2]CONTENEUR PLEIN'!$F:$L,7,FALSE)</f>
        <v>46099.333333333336</v>
      </c>
      <c r="AN307" s="113" t="s">
        <v>63</v>
      </c>
      <c r="AO307" s="325" t="s">
        <v>795</v>
      </c>
      <c r="AP307" s="325" t="s">
        <v>796</v>
      </c>
      <c r="AQ307" s="325" t="s">
        <v>797</v>
      </c>
      <c r="AR307" s="75" t="str">
        <f>VLOOKUP(AP307,'[2]CONTENEUR PLEIN'!$F:$L,2,FALSE)</f>
        <v>ZEPHYR LUMOS</v>
      </c>
      <c r="AS307" s="325" t="s">
        <v>316</v>
      </c>
      <c r="AT307" s="84"/>
      <c r="AU307" s="181"/>
    </row>
    <row r="308" spans="1:47" s="72" customFormat="1" hidden="1" x14ac:dyDescent="0.25">
      <c r="A308" s="71"/>
      <c r="B308" s="163" t="s">
        <v>45</v>
      </c>
      <c r="C308" s="146">
        <v>45763</v>
      </c>
      <c r="D308" s="153">
        <v>25030</v>
      </c>
      <c r="E308" s="164" t="s">
        <v>214</v>
      </c>
      <c r="F308" s="147">
        <v>2503051015</v>
      </c>
      <c r="G308" s="308" t="s">
        <v>64</v>
      </c>
      <c r="H308" s="153" t="s">
        <v>215</v>
      </c>
      <c r="I308" s="153" t="s">
        <v>49</v>
      </c>
      <c r="J308" s="153" t="s">
        <v>46</v>
      </c>
      <c r="K308" s="329" t="s">
        <v>68</v>
      </c>
      <c r="L308" s="128">
        <v>46048</v>
      </c>
      <c r="M308" s="379">
        <f t="shared" si="47"/>
        <v>11</v>
      </c>
      <c r="N308" s="98" t="s">
        <v>62</v>
      </c>
      <c r="O308" s="78">
        <v>20160008</v>
      </c>
      <c r="P308" s="42" t="str">
        <f>VLOOKUP(O308,[1]Feuil2!$A:$M,5,FALSE)</f>
        <v>LOT 6 FOURCHETTE DESSERT OSLO BRILLANT CLASSIQUE +SUSPENSION</v>
      </c>
      <c r="Q308" s="75">
        <f>7128-6912</f>
        <v>216</v>
      </c>
      <c r="R308" s="79">
        <v>0.746</v>
      </c>
      <c r="S308" s="80">
        <f t="shared" si="44"/>
        <v>161.136</v>
      </c>
      <c r="T308" s="81">
        <f t="shared" si="51"/>
        <v>87371.224000000017</v>
      </c>
      <c r="U308" s="139"/>
      <c r="V308" s="82">
        <f t="shared" si="45"/>
        <v>87371.224000000017</v>
      </c>
      <c r="W308" s="9">
        <f>VLOOKUP(O308,[1]Feuil2!$A:$M,6,FALSE)</f>
        <v>72</v>
      </c>
      <c r="X308" s="10">
        <f>VLOOKUP(O308,[1]Feuil2!$A:$M,13,FALSE)</f>
        <v>2.3099999999999999E-2</v>
      </c>
      <c r="Y308" s="11">
        <f t="shared" si="49"/>
        <v>6.93E-2</v>
      </c>
      <c r="Z308" s="83">
        <f t="shared" si="46"/>
        <v>31.965139999999995</v>
      </c>
      <c r="AA308" s="28" t="s">
        <v>61</v>
      </c>
      <c r="AB308" s="28" t="s">
        <v>61</v>
      </c>
      <c r="AC308" s="87" t="s">
        <v>55</v>
      </c>
      <c r="AD308" s="13" t="s">
        <v>57</v>
      </c>
      <c r="AE308" s="14">
        <v>45986</v>
      </c>
      <c r="AF308" s="45" t="s">
        <v>632</v>
      </c>
      <c r="AG308" s="13"/>
      <c r="AH308" s="84"/>
      <c r="AI308" s="328">
        <v>45868</v>
      </c>
      <c r="AJ308" s="144">
        <f t="shared" si="52"/>
        <v>158</v>
      </c>
      <c r="AK308" s="85">
        <f>VLOOKUP(AP308,'[2]CONTENEUR PLEIN'!$F:$L,3,FALSE)</f>
        <v>46026</v>
      </c>
      <c r="AL308" s="86">
        <f>VLOOKUP(AP308,'[2]CONTENEUR PLEIN'!$F:$L,5,FALSE)</f>
        <v>46081</v>
      </c>
      <c r="AM308" s="18">
        <f>VLOOKUP(AP308,'[2]CONTENEUR PLEIN'!$F:$L,7,FALSE)</f>
        <v>46099.333333333336</v>
      </c>
      <c r="AN308" s="113" t="s">
        <v>63</v>
      </c>
      <c r="AO308" s="325" t="s">
        <v>795</v>
      </c>
      <c r="AP308" s="325" t="s">
        <v>796</v>
      </c>
      <c r="AQ308" s="325" t="s">
        <v>797</v>
      </c>
      <c r="AR308" s="75" t="str">
        <f>VLOOKUP(AP308,'[2]CONTENEUR PLEIN'!$F:$L,2,FALSE)</f>
        <v>ZEPHYR LUMOS</v>
      </c>
      <c r="AS308" s="325" t="s">
        <v>316</v>
      </c>
      <c r="AT308" s="84"/>
      <c r="AU308" s="181"/>
    </row>
    <row r="309" spans="1:47" s="72" customFormat="1" hidden="1" x14ac:dyDescent="0.25">
      <c r="B309" s="152" t="s">
        <v>45</v>
      </c>
      <c r="C309" s="89">
        <v>45819</v>
      </c>
      <c r="D309" s="129">
        <v>25051</v>
      </c>
      <c r="E309" s="143" t="s">
        <v>300</v>
      </c>
      <c r="F309" s="90">
        <v>2505151434</v>
      </c>
      <c r="G309" s="129" t="s">
        <v>74</v>
      </c>
      <c r="H309" s="129" t="s">
        <v>301</v>
      </c>
      <c r="I309" s="129" t="s">
        <v>49</v>
      </c>
      <c r="J309" s="129" t="s">
        <v>46</v>
      </c>
      <c r="K309" s="16" t="s">
        <v>630</v>
      </c>
      <c r="L309" s="128">
        <v>45926</v>
      </c>
      <c r="M309" s="381">
        <f t="shared" ref="M309:M327" si="53">DATEDIF(C309,AM309,"M")</f>
        <v>5</v>
      </c>
      <c r="N309" s="98" t="s">
        <v>49</v>
      </c>
      <c r="O309" s="92">
        <v>430521</v>
      </c>
      <c r="P309" s="24" t="str">
        <f>VLOOKUP(O309,[1]Feuil2!$A:$M,5,FALSE)</f>
        <v>COUTEAU AMANDE BLANC+GENCOD</v>
      </c>
      <c r="Q309" s="90">
        <v>1200</v>
      </c>
      <c r="R309" s="93">
        <v>0.19800000000000001</v>
      </c>
      <c r="S309" s="94">
        <f t="shared" ref="S309:S327" si="54">Q309*R309</f>
        <v>237.60000000000002</v>
      </c>
      <c r="T309" s="95">
        <f t="shared" ref="T309:T327" si="55">SUMIF($E$5:$E$9257,E309,$S$5:$S$9257)</f>
        <v>63855.114000000001</v>
      </c>
      <c r="U309" s="138"/>
      <c r="V309" s="96">
        <f t="shared" ref="V309:V327" si="56">U309+T309</f>
        <v>63855.114000000001</v>
      </c>
      <c r="W309" s="4">
        <f>VLOOKUP(O309,[1]Feuil2!$A:$M,6,FALSE)</f>
        <v>240</v>
      </c>
      <c r="X309" s="5">
        <f>VLOOKUP(O309,[1]Feuil2!$A:$M,13,FALSE)</f>
        <v>2.5024999999999999E-2</v>
      </c>
      <c r="Y309" s="6">
        <f t="shared" ref="Y309:Y327" si="57">(Q309/W309)*X309</f>
        <v>0.12512499999999999</v>
      </c>
      <c r="Z309" s="97">
        <f t="shared" ref="Z309:Z327" si="58">SUMIF($E:$E,E309,$Y:$Y)</f>
        <v>41.378246250000004</v>
      </c>
      <c r="AA309" s="133" t="s">
        <v>61</v>
      </c>
      <c r="AB309" s="133" t="s">
        <v>61</v>
      </c>
      <c r="AC309" s="191" t="s">
        <v>55</v>
      </c>
      <c r="AD309" s="21" t="s">
        <v>57</v>
      </c>
      <c r="AE309" s="20">
        <v>45884</v>
      </c>
      <c r="AF309" s="21" t="s">
        <v>396</v>
      </c>
      <c r="AG309" s="21"/>
      <c r="AH309" s="98"/>
      <c r="AI309" s="160">
        <v>45894</v>
      </c>
      <c r="AJ309" s="145">
        <f t="shared" ref="AJ309:AJ326" si="59">DATEDIF(AI309,$AK309,"D")</f>
        <v>19</v>
      </c>
      <c r="AK309" s="100">
        <f>VLOOKUP(AP309,'[3]CONTENEUR PLEIN'!$F:$L,3,FALSE)</f>
        <v>45913</v>
      </c>
      <c r="AL309" s="99">
        <f>VLOOKUP(AP309,'[3]CONTENEUR PLEIN'!$F:$L,5,FALSE)</f>
        <v>45971</v>
      </c>
      <c r="AM309" s="18">
        <f>VLOOKUP(AP309,'[3]CONTENEUR PLEIN'!$F:$L,7,FALSE)</f>
        <v>45985.53125</v>
      </c>
      <c r="AN309" s="130" t="s">
        <v>63</v>
      </c>
      <c r="AO309" s="191" t="s">
        <v>430</v>
      </c>
      <c r="AP309" s="218" t="s">
        <v>431</v>
      </c>
      <c r="AQ309" s="191" t="s">
        <v>434</v>
      </c>
      <c r="AR309" s="191" t="e">
        <f>VLOOKUP(AP309,'[2]CONTENEUR PLEIN'!$F:$L,2,FALSE)</f>
        <v>#N/A</v>
      </c>
      <c r="AS309" s="191" t="s">
        <v>316</v>
      </c>
      <c r="AT309" s="98"/>
    </row>
    <row r="310" spans="1:47" s="72" customFormat="1" hidden="1" x14ac:dyDescent="0.25">
      <c r="B310" s="152" t="s">
        <v>45</v>
      </c>
      <c r="C310" s="89">
        <v>45819</v>
      </c>
      <c r="D310" s="129">
        <v>25051</v>
      </c>
      <c r="E310" s="143" t="s">
        <v>300</v>
      </c>
      <c r="F310" s="90">
        <v>2505151434</v>
      </c>
      <c r="G310" s="129" t="s">
        <v>74</v>
      </c>
      <c r="H310" s="129" t="s">
        <v>301</v>
      </c>
      <c r="I310" s="129" t="s">
        <v>49</v>
      </c>
      <c r="J310" s="129" t="s">
        <v>46</v>
      </c>
      <c r="K310" s="16" t="s">
        <v>630</v>
      </c>
      <c r="L310" s="128">
        <v>45926</v>
      </c>
      <c r="M310" s="381">
        <f t="shared" si="53"/>
        <v>5</v>
      </c>
      <c r="N310" s="98" t="s">
        <v>49</v>
      </c>
      <c r="O310" s="92">
        <v>430531</v>
      </c>
      <c r="P310" s="24" t="str">
        <f>VLOOKUP(O310,[1]Feuil2!$A:$M,5,FALSE)</f>
        <v>FETTE AMANDE BLANC+GENCOD</v>
      </c>
      <c r="Q310" s="90">
        <v>1440</v>
      </c>
      <c r="R310" s="93">
        <v>0.20499999999999999</v>
      </c>
      <c r="S310" s="94">
        <f t="shared" si="54"/>
        <v>295.2</v>
      </c>
      <c r="T310" s="95">
        <f t="shared" si="55"/>
        <v>63855.114000000001</v>
      </c>
      <c r="U310" s="138"/>
      <c r="V310" s="96">
        <f t="shared" si="56"/>
        <v>63855.114000000001</v>
      </c>
      <c r="W310" s="4">
        <f>VLOOKUP(O310,[1]Feuil2!$A:$M,6,FALSE)</f>
        <v>240</v>
      </c>
      <c r="X310" s="5">
        <f>VLOOKUP(O310,[1]Feuil2!$A:$M,13,FALSE)</f>
        <v>2.4528000000000005E-2</v>
      </c>
      <c r="Y310" s="6">
        <f t="shared" si="57"/>
        <v>0.14716800000000002</v>
      </c>
      <c r="Z310" s="97">
        <f t="shared" si="58"/>
        <v>41.378246250000004</v>
      </c>
      <c r="AA310" s="133" t="s">
        <v>61</v>
      </c>
      <c r="AB310" s="133" t="s">
        <v>61</v>
      </c>
      <c r="AC310" s="191" t="s">
        <v>55</v>
      </c>
      <c r="AD310" s="21" t="s">
        <v>57</v>
      </c>
      <c r="AE310" s="20">
        <v>45884</v>
      </c>
      <c r="AF310" s="21" t="s">
        <v>397</v>
      </c>
      <c r="AG310" s="21"/>
      <c r="AH310" s="98"/>
      <c r="AI310" s="160">
        <v>45894</v>
      </c>
      <c r="AJ310" s="145">
        <f t="shared" si="59"/>
        <v>19</v>
      </c>
      <c r="AK310" s="100">
        <f>VLOOKUP(AP310,'[3]CONTENEUR PLEIN'!$F:$L,3,FALSE)</f>
        <v>45913</v>
      </c>
      <c r="AL310" s="99">
        <f>VLOOKUP(AP310,'[3]CONTENEUR PLEIN'!$F:$L,5,FALSE)</f>
        <v>45971</v>
      </c>
      <c r="AM310" s="18">
        <f>VLOOKUP(AP310,'[3]CONTENEUR PLEIN'!$F:$L,7,FALSE)</f>
        <v>45985.53125</v>
      </c>
      <c r="AN310" s="130" t="s">
        <v>63</v>
      </c>
      <c r="AO310" s="191" t="s">
        <v>430</v>
      </c>
      <c r="AP310" s="218" t="s">
        <v>431</v>
      </c>
      <c r="AQ310" s="191" t="s">
        <v>434</v>
      </c>
      <c r="AR310" s="191" t="e">
        <f>VLOOKUP(AP310,'[2]CONTENEUR PLEIN'!$F:$L,2,FALSE)</f>
        <v>#N/A</v>
      </c>
      <c r="AS310" s="191" t="s">
        <v>316</v>
      </c>
      <c r="AT310" s="98"/>
    </row>
    <row r="311" spans="1:47" s="72" customFormat="1" hidden="1" x14ac:dyDescent="0.25">
      <c r="B311" s="152" t="s">
        <v>45</v>
      </c>
      <c r="C311" s="89">
        <v>45819</v>
      </c>
      <c r="D311" s="129">
        <v>25051</v>
      </c>
      <c r="E311" s="143" t="s">
        <v>300</v>
      </c>
      <c r="F311" s="90">
        <v>2505151434</v>
      </c>
      <c r="G311" s="129" t="s">
        <v>74</v>
      </c>
      <c r="H311" s="129" t="s">
        <v>301</v>
      </c>
      <c r="I311" s="129" t="s">
        <v>49</v>
      </c>
      <c r="J311" s="129" t="s">
        <v>46</v>
      </c>
      <c r="K311" s="16" t="s">
        <v>630</v>
      </c>
      <c r="L311" s="128">
        <v>45926</v>
      </c>
      <c r="M311" s="381">
        <f t="shared" si="53"/>
        <v>5</v>
      </c>
      <c r="N311" s="98" t="s">
        <v>49</v>
      </c>
      <c r="O311" s="92">
        <v>430551</v>
      </c>
      <c r="P311" s="24" t="str">
        <f>VLOOKUP(O311,[1]Feuil2!$A:$M,5,FALSE)</f>
        <v>CAFE AMANDE BLANC+GENCOD</v>
      </c>
      <c r="Q311" s="90">
        <v>1920</v>
      </c>
      <c r="R311" s="93">
        <v>0.16500000000000001</v>
      </c>
      <c r="S311" s="94">
        <f t="shared" si="54"/>
        <v>316.8</v>
      </c>
      <c r="T311" s="95">
        <f t="shared" si="55"/>
        <v>63855.114000000001</v>
      </c>
      <c r="U311" s="138"/>
      <c r="V311" s="96">
        <f t="shared" si="56"/>
        <v>63855.114000000001</v>
      </c>
      <c r="W311" s="4">
        <f>VLOOKUP(O311,[1]Feuil2!$A:$M,6,FALSE)</f>
        <v>240</v>
      </c>
      <c r="X311" s="5">
        <f>VLOOKUP(O311,[1]Feuil2!$A:$M,13,FALSE)</f>
        <v>1.3499999999999998E-2</v>
      </c>
      <c r="Y311" s="6">
        <f t="shared" si="57"/>
        <v>0.10799999999999998</v>
      </c>
      <c r="Z311" s="97">
        <f t="shared" si="58"/>
        <v>41.378246250000004</v>
      </c>
      <c r="AA311" s="133" t="s">
        <v>61</v>
      </c>
      <c r="AB311" s="133" t="s">
        <v>61</v>
      </c>
      <c r="AC311" s="191" t="s">
        <v>55</v>
      </c>
      <c r="AD311" s="21" t="s">
        <v>57</v>
      </c>
      <c r="AE311" s="20">
        <v>45884</v>
      </c>
      <c r="AF311" s="21" t="s">
        <v>398</v>
      </c>
      <c r="AG311" s="21"/>
      <c r="AH311" s="98"/>
      <c r="AI311" s="160">
        <v>45894</v>
      </c>
      <c r="AJ311" s="145">
        <f t="shared" si="59"/>
        <v>19</v>
      </c>
      <c r="AK311" s="100">
        <f>VLOOKUP(AP311,'[3]CONTENEUR PLEIN'!$F:$L,3,FALSE)</f>
        <v>45913</v>
      </c>
      <c r="AL311" s="99">
        <f>VLOOKUP(AP311,'[3]CONTENEUR PLEIN'!$F:$L,5,FALSE)</f>
        <v>45971</v>
      </c>
      <c r="AM311" s="18">
        <f>VLOOKUP(AP311,'[3]CONTENEUR PLEIN'!$F:$L,7,FALSE)</f>
        <v>45985.53125</v>
      </c>
      <c r="AN311" s="130" t="s">
        <v>63</v>
      </c>
      <c r="AO311" s="191" t="s">
        <v>430</v>
      </c>
      <c r="AP311" s="218" t="s">
        <v>431</v>
      </c>
      <c r="AQ311" s="191" t="s">
        <v>434</v>
      </c>
      <c r="AR311" s="191" t="e">
        <f>VLOOKUP(AP311,'[2]CONTENEUR PLEIN'!$F:$L,2,FALSE)</f>
        <v>#N/A</v>
      </c>
      <c r="AS311" s="191" t="s">
        <v>316</v>
      </c>
      <c r="AT311" s="98"/>
    </row>
    <row r="312" spans="1:47" s="72" customFormat="1" hidden="1" x14ac:dyDescent="0.25">
      <c r="B312" s="152" t="s">
        <v>45</v>
      </c>
      <c r="C312" s="89">
        <v>45819</v>
      </c>
      <c r="D312" s="129">
        <v>25051</v>
      </c>
      <c r="E312" s="143" t="s">
        <v>300</v>
      </c>
      <c r="F312" s="90">
        <v>2505151434</v>
      </c>
      <c r="G312" s="129" t="s">
        <v>74</v>
      </c>
      <c r="H312" s="129" t="s">
        <v>301</v>
      </c>
      <c r="I312" s="129" t="s">
        <v>49</v>
      </c>
      <c r="J312" s="129" t="s">
        <v>46</v>
      </c>
      <c r="K312" s="16" t="s">
        <v>595</v>
      </c>
      <c r="L312" s="128">
        <v>45957</v>
      </c>
      <c r="M312" s="381">
        <f t="shared" si="53"/>
        <v>5</v>
      </c>
      <c r="N312" s="98" t="s">
        <v>62</v>
      </c>
      <c r="O312" s="92">
        <v>21520037</v>
      </c>
      <c r="P312" s="24" t="str">
        <f>VLOOKUP(O312,[1]Feuil2!$A:$M,5,FALSE)</f>
        <v>M16 LAGUIOLE INTUITION BELLE SAISON EN BOITE LAGUIOLE</v>
      </c>
      <c r="Q312" s="90">
        <v>2304</v>
      </c>
      <c r="R312" s="93">
        <v>5.15</v>
      </c>
      <c r="S312" s="94">
        <f t="shared" si="54"/>
        <v>11865.6</v>
      </c>
      <c r="T312" s="95">
        <f t="shared" si="55"/>
        <v>63855.114000000001</v>
      </c>
      <c r="U312" s="138"/>
      <c r="V312" s="96">
        <f t="shared" si="56"/>
        <v>63855.114000000001</v>
      </c>
      <c r="W312" s="4">
        <f>VLOOKUP(O312,[1]Feuil2!$A:$M,6,FALSE)</f>
        <v>6</v>
      </c>
      <c r="X312" s="5">
        <f>VLOOKUP(O312,[1]Feuil2!$A:$M,13,FALSE)</f>
        <v>2.4300000000000002E-2</v>
      </c>
      <c r="Y312" s="6">
        <f t="shared" si="57"/>
        <v>9.3312000000000008</v>
      </c>
      <c r="Z312" s="97">
        <f t="shared" si="58"/>
        <v>41.378246250000004</v>
      </c>
      <c r="AA312" s="21" t="s">
        <v>57</v>
      </c>
      <c r="AB312" s="67" t="s">
        <v>48</v>
      </c>
      <c r="AC312" s="191" t="s">
        <v>55</v>
      </c>
      <c r="AD312" s="21" t="s">
        <v>57</v>
      </c>
      <c r="AE312" s="20">
        <v>45910</v>
      </c>
      <c r="AF312" s="21" t="s">
        <v>444</v>
      </c>
      <c r="AG312" s="21"/>
      <c r="AH312" s="98"/>
      <c r="AI312" s="160">
        <v>45894</v>
      </c>
      <c r="AJ312" s="145">
        <f t="shared" si="59"/>
        <v>36</v>
      </c>
      <c r="AK312" s="100">
        <f>VLOOKUP(AP312,'[3]CONTENEUR PLEIN'!$F:$L,3,FALSE)</f>
        <v>45930</v>
      </c>
      <c r="AL312" s="99">
        <f>VLOOKUP(AP312,'[3]CONTENEUR PLEIN'!$F:$L,5,FALSE)</f>
        <v>45963</v>
      </c>
      <c r="AM312" s="18">
        <f>VLOOKUP(AP312,'[3]CONTENEUR PLEIN'!$F:$L,7,FALSE)</f>
        <v>45980.333333333336</v>
      </c>
      <c r="AN312" s="130" t="s">
        <v>63</v>
      </c>
      <c r="AO312" s="218" t="s">
        <v>458</v>
      </c>
      <c r="AP312" s="218" t="s">
        <v>459</v>
      </c>
      <c r="AQ312" s="218" t="s">
        <v>460</v>
      </c>
      <c r="AR312" s="90" t="e">
        <f>VLOOKUP(AP312,'[2]CONTENEUR PLEIN'!$F:$L,2,FALSE)</f>
        <v>#N/A</v>
      </c>
      <c r="AS312" s="191" t="s">
        <v>316</v>
      </c>
      <c r="AT312" s="98"/>
    </row>
    <row r="313" spans="1:47" s="72" customFormat="1" hidden="1" x14ac:dyDescent="0.25">
      <c r="B313" s="152" t="s">
        <v>45</v>
      </c>
      <c r="C313" s="89">
        <v>45819</v>
      </c>
      <c r="D313" s="129">
        <v>25051</v>
      </c>
      <c r="E313" s="143" t="s">
        <v>300</v>
      </c>
      <c r="F313" s="90">
        <v>2505151434</v>
      </c>
      <c r="G313" s="129" t="s">
        <v>74</v>
      </c>
      <c r="H313" s="129" t="s">
        <v>301</v>
      </c>
      <c r="I313" s="129" t="s">
        <v>49</v>
      </c>
      <c r="J313" s="129" t="s">
        <v>46</v>
      </c>
      <c r="K313" s="16" t="s">
        <v>595</v>
      </c>
      <c r="L313" s="128">
        <v>45957</v>
      </c>
      <c r="M313" s="381">
        <f t="shared" si="53"/>
        <v>5</v>
      </c>
      <c r="N313" s="98" t="s">
        <v>49</v>
      </c>
      <c r="O313" s="92">
        <v>30101078</v>
      </c>
      <c r="P313" s="24" t="str">
        <f>VLOOKUP(O313,[1]Feuil2!$A:$M,5,FALSE)</f>
        <v>M24 LAGUIOLE ABS TAUPE</v>
      </c>
      <c r="Q313" s="90">
        <v>1002</v>
      </c>
      <c r="R313" s="93">
        <v>6.37</v>
      </c>
      <c r="S313" s="94">
        <f t="shared" si="54"/>
        <v>6382.74</v>
      </c>
      <c r="T313" s="95">
        <f t="shared" si="55"/>
        <v>63855.114000000001</v>
      </c>
      <c r="U313" s="138"/>
      <c r="V313" s="96">
        <f t="shared" si="56"/>
        <v>63855.114000000001</v>
      </c>
      <c r="W313" s="4">
        <f>VLOOKUP(O313,[1]Feuil2!$A:$M,6,FALSE)</f>
        <v>6</v>
      </c>
      <c r="X313" s="5">
        <f>VLOOKUP(O313,[1]Feuil2!$A:$M,13,FALSE)</f>
        <v>2.5871999999999996E-2</v>
      </c>
      <c r="Y313" s="6">
        <f t="shared" si="57"/>
        <v>4.3206239999999996</v>
      </c>
      <c r="Z313" s="97">
        <f t="shared" si="58"/>
        <v>41.378246250000004</v>
      </c>
      <c r="AA313" s="21" t="s">
        <v>57</v>
      </c>
      <c r="AB313" s="67" t="s">
        <v>48</v>
      </c>
      <c r="AC313" s="191" t="s">
        <v>55</v>
      </c>
      <c r="AD313" s="21" t="s">
        <v>57</v>
      </c>
      <c r="AE313" s="20">
        <v>45909</v>
      </c>
      <c r="AF313" s="21" t="s">
        <v>440</v>
      </c>
      <c r="AG313" s="21"/>
      <c r="AH313" s="98"/>
      <c r="AI313" s="160">
        <v>45894</v>
      </c>
      <c r="AJ313" s="145">
        <f t="shared" si="59"/>
        <v>36</v>
      </c>
      <c r="AK313" s="100">
        <f>VLOOKUP(AP313,'[3]CONTENEUR PLEIN'!$F:$L,3,FALSE)</f>
        <v>45930</v>
      </c>
      <c r="AL313" s="99">
        <f>VLOOKUP(AP313,'[3]CONTENEUR PLEIN'!$F:$L,5,FALSE)</f>
        <v>45963</v>
      </c>
      <c r="AM313" s="18">
        <f>VLOOKUP(AP313,'[3]CONTENEUR PLEIN'!$F:$L,7,FALSE)</f>
        <v>45980.333333333336</v>
      </c>
      <c r="AN313" s="130" t="s">
        <v>63</v>
      </c>
      <c r="AO313" s="218" t="s">
        <v>458</v>
      </c>
      <c r="AP313" s="218" t="s">
        <v>459</v>
      </c>
      <c r="AQ313" s="218" t="s">
        <v>460</v>
      </c>
      <c r="AR313" s="90" t="e">
        <f>VLOOKUP(AP313,'[2]CONTENEUR PLEIN'!$F:$L,2,FALSE)</f>
        <v>#N/A</v>
      </c>
      <c r="AS313" s="191" t="s">
        <v>316</v>
      </c>
      <c r="AT313" s="98"/>
    </row>
    <row r="314" spans="1:47" s="72" customFormat="1" hidden="1" x14ac:dyDescent="0.25">
      <c r="B314" s="152" t="s">
        <v>45</v>
      </c>
      <c r="C314" s="89">
        <v>45819</v>
      </c>
      <c r="D314" s="129">
        <v>25051</v>
      </c>
      <c r="E314" s="143" t="s">
        <v>300</v>
      </c>
      <c r="F314" s="90">
        <v>2505151434</v>
      </c>
      <c r="G314" s="129" t="s">
        <v>74</v>
      </c>
      <c r="H314" s="129" t="s">
        <v>301</v>
      </c>
      <c r="I314" s="129" t="s">
        <v>49</v>
      </c>
      <c r="J314" s="129" t="s">
        <v>46</v>
      </c>
      <c r="K314" s="16" t="s">
        <v>595</v>
      </c>
      <c r="L314" s="128">
        <v>45957</v>
      </c>
      <c r="M314" s="381">
        <f t="shared" si="53"/>
        <v>5</v>
      </c>
      <c r="N314" s="98" t="s">
        <v>49</v>
      </c>
      <c r="O314" s="92">
        <v>30150011</v>
      </c>
      <c r="P314" s="24" t="str">
        <f>VLOOKUP(O314,[1]Feuil2!$A:$M,5,FALSE)</f>
        <v>CAFE AMANDE VERT DE GRIS 622C + GENCOD</v>
      </c>
      <c r="Q314" s="90">
        <v>6000</v>
      </c>
      <c r="R314" s="93">
        <v>0.16500000000000001</v>
      </c>
      <c r="S314" s="94">
        <f t="shared" si="54"/>
        <v>990</v>
      </c>
      <c r="T314" s="95">
        <f t="shared" si="55"/>
        <v>63855.114000000001</v>
      </c>
      <c r="U314" s="138"/>
      <c r="V314" s="96">
        <f t="shared" si="56"/>
        <v>63855.114000000001</v>
      </c>
      <c r="W314" s="4">
        <f>VLOOKUP(O314,[1]Feuil2!$A:$M,6,FALSE)</f>
        <v>240</v>
      </c>
      <c r="X314" s="5">
        <f>VLOOKUP(O314,[1]Feuil2!$A:$M,13,FALSE)</f>
        <v>1.27875E-2</v>
      </c>
      <c r="Y314" s="6">
        <f t="shared" si="57"/>
        <v>0.31968750000000001</v>
      </c>
      <c r="Z314" s="97">
        <f t="shared" si="58"/>
        <v>41.378246250000004</v>
      </c>
      <c r="AA314" s="21" t="s">
        <v>57</v>
      </c>
      <c r="AB314" s="67" t="s">
        <v>48</v>
      </c>
      <c r="AC314" s="191" t="s">
        <v>55</v>
      </c>
      <c r="AD314" s="21" t="s">
        <v>57</v>
      </c>
      <c r="AE314" s="20">
        <v>45910</v>
      </c>
      <c r="AF314" s="21" t="s">
        <v>445</v>
      </c>
      <c r="AG314" s="21"/>
      <c r="AH314" s="98"/>
      <c r="AI314" s="160">
        <v>45894</v>
      </c>
      <c r="AJ314" s="145">
        <f t="shared" si="59"/>
        <v>36</v>
      </c>
      <c r="AK314" s="100">
        <f>VLOOKUP(AP314,'[3]CONTENEUR PLEIN'!$F:$L,3,FALSE)</f>
        <v>45930</v>
      </c>
      <c r="AL314" s="99">
        <f>VLOOKUP(AP314,'[3]CONTENEUR PLEIN'!$F:$L,5,FALSE)</f>
        <v>45963</v>
      </c>
      <c r="AM314" s="18">
        <f>VLOOKUP(AP314,'[3]CONTENEUR PLEIN'!$F:$L,7,FALSE)</f>
        <v>45980.333333333336</v>
      </c>
      <c r="AN314" s="130" t="s">
        <v>63</v>
      </c>
      <c r="AO314" s="218" t="s">
        <v>458</v>
      </c>
      <c r="AP314" s="218" t="s">
        <v>459</v>
      </c>
      <c r="AQ314" s="218" t="s">
        <v>460</v>
      </c>
      <c r="AR314" s="90" t="e">
        <f>VLOOKUP(AP314,'[2]CONTENEUR PLEIN'!$F:$L,2,FALSE)</f>
        <v>#N/A</v>
      </c>
      <c r="AS314" s="191" t="s">
        <v>316</v>
      </c>
      <c r="AT314" s="98"/>
    </row>
    <row r="315" spans="1:47" s="72" customFormat="1" hidden="1" x14ac:dyDescent="0.25">
      <c r="B315" s="152" t="s">
        <v>45</v>
      </c>
      <c r="C315" s="89">
        <v>45819</v>
      </c>
      <c r="D315" s="129">
        <v>25051</v>
      </c>
      <c r="E315" s="143" t="s">
        <v>300</v>
      </c>
      <c r="F315" s="90">
        <v>2505151434</v>
      </c>
      <c r="G315" s="129" t="s">
        <v>74</v>
      </c>
      <c r="H315" s="129" t="s">
        <v>301</v>
      </c>
      <c r="I315" s="129" t="s">
        <v>49</v>
      </c>
      <c r="J315" s="129" t="s">
        <v>46</v>
      </c>
      <c r="K315" s="16" t="s">
        <v>630</v>
      </c>
      <c r="L315" s="128">
        <v>45926</v>
      </c>
      <c r="M315" s="381">
        <f t="shared" si="53"/>
        <v>5</v>
      </c>
      <c r="N315" s="98" t="s">
        <v>49</v>
      </c>
      <c r="O315" s="92">
        <v>30170008</v>
      </c>
      <c r="P315" s="24" t="str">
        <f>VLOOKUP(O315,[1]Feuil2!$A:$M,5,FALSE)</f>
        <v>COUTEAU LAG DUO GRIS COOL GREY 7C+ GENCOD</v>
      </c>
      <c r="Q315" s="90">
        <v>6000</v>
      </c>
      <c r="R315" s="93">
        <v>0.33100000000000002</v>
      </c>
      <c r="S315" s="94">
        <f t="shared" si="54"/>
        <v>1986</v>
      </c>
      <c r="T315" s="95">
        <f t="shared" si="55"/>
        <v>63855.114000000001</v>
      </c>
      <c r="U315" s="138"/>
      <c r="V315" s="96">
        <f t="shared" si="56"/>
        <v>63855.114000000001</v>
      </c>
      <c r="W315" s="4">
        <f>VLOOKUP(O315,[1]Feuil2!$A:$M,6,FALSE)</f>
        <v>240</v>
      </c>
      <c r="X315" s="5">
        <f>VLOOKUP(O315,[1]Feuil2!$A:$M,13,FALSE)</f>
        <v>3.1849999999999996E-2</v>
      </c>
      <c r="Y315" s="6">
        <f t="shared" si="57"/>
        <v>0.7962499999999999</v>
      </c>
      <c r="Z315" s="97">
        <f t="shared" si="58"/>
        <v>41.378246250000004</v>
      </c>
      <c r="AA315" s="133" t="s">
        <v>61</v>
      </c>
      <c r="AB315" s="133" t="s">
        <v>61</v>
      </c>
      <c r="AC315" s="191" t="s">
        <v>55</v>
      </c>
      <c r="AD315" s="21" t="s">
        <v>57</v>
      </c>
      <c r="AE315" s="20">
        <v>45890</v>
      </c>
      <c r="AF315" s="21" t="s">
        <v>408</v>
      </c>
      <c r="AG315" s="21"/>
      <c r="AH315" s="98"/>
      <c r="AI315" s="160">
        <v>45894</v>
      </c>
      <c r="AJ315" s="145">
        <f t="shared" si="59"/>
        <v>19</v>
      </c>
      <c r="AK315" s="100">
        <f>VLOOKUP(AP315,'[3]CONTENEUR PLEIN'!$F:$L,3,FALSE)</f>
        <v>45913</v>
      </c>
      <c r="AL315" s="99">
        <f>VLOOKUP(AP315,'[3]CONTENEUR PLEIN'!$F:$L,5,FALSE)</f>
        <v>45971</v>
      </c>
      <c r="AM315" s="18">
        <f>VLOOKUP(AP315,'[3]CONTENEUR PLEIN'!$F:$L,7,FALSE)</f>
        <v>45985.333333333336</v>
      </c>
      <c r="AN315" s="130" t="s">
        <v>63</v>
      </c>
      <c r="AO315" s="191" t="s">
        <v>432</v>
      </c>
      <c r="AP315" s="191" t="s">
        <v>433</v>
      </c>
      <c r="AQ315" s="191" t="s">
        <v>435</v>
      </c>
      <c r="AR315" s="191" t="e">
        <f>VLOOKUP(AP315,'[2]CONTENEUR PLEIN'!$F:$L,2,FALSE)</f>
        <v>#N/A</v>
      </c>
      <c r="AS315" s="191" t="s">
        <v>316</v>
      </c>
      <c r="AT315" s="98"/>
    </row>
    <row r="316" spans="1:47" s="72" customFormat="1" hidden="1" x14ac:dyDescent="0.25">
      <c r="B316" s="152" t="s">
        <v>45</v>
      </c>
      <c r="C316" s="89">
        <v>45819</v>
      </c>
      <c r="D316" s="129">
        <v>25051</v>
      </c>
      <c r="E316" s="143" t="s">
        <v>300</v>
      </c>
      <c r="F316" s="90">
        <v>2505151434</v>
      </c>
      <c r="G316" s="129" t="s">
        <v>74</v>
      </c>
      <c r="H316" s="129" t="s">
        <v>301</v>
      </c>
      <c r="I316" s="129" t="s">
        <v>49</v>
      </c>
      <c r="J316" s="129" t="s">
        <v>46</v>
      </c>
      <c r="K316" s="16" t="s">
        <v>630</v>
      </c>
      <c r="L316" s="128">
        <v>45926</v>
      </c>
      <c r="M316" s="381">
        <f t="shared" si="53"/>
        <v>5</v>
      </c>
      <c r="N316" s="98" t="s">
        <v>49</v>
      </c>
      <c r="O316" s="92">
        <v>30170009</v>
      </c>
      <c r="P316" s="24" t="str">
        <f>VLOOKUP(O316,[1]Feuil2!$A:$M,5,FALSE)</f>
        <v>FOURCHETTE LAG DUO GRIS COOL GREY 7C+ GENCOD</v>
      </c>
      <c r="Q316" s="90">
        <v>4080</v>
      </c>
      <c r="R316" s="93">
        <v>0.318</v>
      </c>
      <c r="S316" s="94">
        <f t="shared" si="54"/>
        <v>1297.44</v>
      </c>
      <c r="T316" s="95">
        <f t="shared" si="55"/>
        <v>63855.114000000001</v>
      </c>
      <c r="U316" s="138"/>
      <c r="V316" s="96">
        <f t="shared" si="56"/>
        <v>63855.114000000001</v>
      </c>
      <c r="W316" s="4">
        <f>VLOOKUP(O316,[1]Feuil2!$A:$M,6,FALSE)</f>
        <v>240</v>
      </c>
      <c r="X316" s="5">
        <f>VLOOKUP(O316,[1]Feuil2!$A:$M,13,FALSE)</f>
        <v>2.8940625000000001E-2</v>
      </c>
      <c r="Y316" s="6">
        <f t="shared" si="57"/>
        <v>0.49199062500000001</v>
      </c>
      <c r="Z316" s="97">
        <f t="shared" si="58"/>
        <v>41.378246250000004</v>
      </c>
      <c r="AA316" s="133" t="s">
        <v>61</v>
      </c>
      <c r="AB316" s="133" t="s">
        <v>61</v>
      </c>
      <c r="AC316" s="191" t="s">
        <v>55</v>
      </c>
      <c r="AD316" s="21" t="s">
        <v>57</v>
      </c>
      <c r="AE316" s="20">
        <v>45890</v>
      </c>
      <c r="AF316" s="21" t="s">
        <v>409</v>
      </c>
      <c r="AG316" s="21"/>
      <c r="AH316" s="98"/>
      <c r="AI316" s="160">
        <v>45894</v>
      </c>
      <c r="AJ316" s="145">
        <f t="shared" si="59"/>
        <v>19</v>
      </c>
      <c r="AK316" s="100">
        <f>VLOOKUP(AP316,'[3]CONTENEUR PLEIN'!$F:$L,3,FALSE)</f>
        <v>45913</v>
      </c>
      <c r="AL316" s="99">
        <f>VLOOKUP(AP316,'[3]CONTENEUR PLEIN'!$F:$L,5,FALSE)</f>
        <v>45971</v>
      </c>
      <c r="AM316" s="18">
        <f>VLOOKUP(AP316,'[3]CONTENEUR PLEIN'!$F:$L,7,FALSE)</f>
        <v>45985.333333333336</v>
      </c>
      <c r="AN316" s="130" t="s">
        <v>63</v>
      </c>
      <c r="AO316" s="191" t="s">
        <v>432</v>
      </c>
      <c r="AP316" s="191" t="s">
        <v>433</v>
      </c>
      <c r="AQ316" s="191" t="s">
        <v>435</v>
      </c>
      <c r="AR316" s="191" t="e">
        <f>VLOOKUP(AP316,'[2]CONTENEUR PLEIN'!$F:$L,2,FALSE)</f>
        <v>#N/A</v>
      </c>
      <c r="AS316" s="191" t="s">
        <v>316</v>
      </c>
      <c r="AT316" s="98"/>
    </row>
    <row r="317" spans="1:47" s="72" customFormat="1" hidden="1" x14ac:dyDescent="0.25">
      <c r="B317" s="152" t="s">
        <v>45</v>
      </c>
      <c r="C317" s="89">
        <v>45819</v>
      </c>
      <c r="D317" s="129">
        <v>25051</v>
      </c>
      <c r="E317" s="143" t="s">
        <v>300</v>
      </c>
      <c r="F317" s="90">
        <v>2505151434</v>
      </c>
      <c r="G317" s="129" t="s">
        <v>74</v>
      </c>
      <c r="H317" s="129" t="s">
        <v>301</v>
      </c>
      <c r="I317" s="129" t="s">
        <v>49</v>
      </c>
      <c r="J317" s="129" t="s">
        <v>46</v>
      </c>
      <c r="K317" s="16" t="s">
        <v>630</v>
      </c>
      <c r="L317" s="128">
        <v>45926</v>
      </c>
      <c r="M317" s="381">
        <f t="shared" si="53"/>
        <v>5</v>
      </c>
      <c r="N317" s="98" t="s">
        <v>49</v>
      </c>
      <c r="O317" s="92">
        <v>30170010</v>
      </c>
      <c r="P317" s="24" t="str">
        <f>VLOOKUP(O317,[1]Feuil2!$A:$M,5,FALSE)</f>
        <v>CUILLERE LAG DUO GRIS COOL GREY 7C+ GENCOD</v>
      </c>
      <c r="Q317" s="90">
        <v>2880</v>
      </c>
      <c r="R317" s="93">
        <v>0.32200000000000001</v>
      </c>
      <c r="S317" s="94">
        <f t="shared" si="54"/>
        <v>927.36</v>
      </c>
      <c r="T317" s="95">
        <f t="shared" si="55"/>
        <v>63855.114000000001</v>
      </c>
      <c r="U317" s="138"/>
      <c r="V317" s="96">
        <f t="shared" si="56"/>
        <v>63855.114000000001</v>
      </c>
      <c r="W317" s="4">
        <f>VLOOKUP(O317,[1]Feuil2!$A:$M,6,FALSE)</f>
        <v>240</v>
      </c>
      <c r="X317" s="5">
        <f>VLOOKUP(O317,[1]Feuil2!$A:$M,13,FALSE)</f>
        <v>2.9791999999999999E-2</v>
      </c>
      <c r="Y317" s="6">
        <f t="shared" si="57"/>
        <v>0.35750399999999999</v>
      </c>
      <c r="Z317" s="97">
        <f t="shared" si="58"/>
        <v>41.378246250000004</v>
      </c>
      <c r="AA317" s="167" t="s">
        <v>61</v>
      </c>
      <c r="AB317" s="133" t="s">
        <v>61</v>
      </c>
      <c r="AC317" s="191" t="s">
        <v>55</v>
      </c>
      <c r="AD317" s="21" t="s">
        <v>57</v>
      </c>
      <c r="AE317" s="20">
        <v>45890</v>
      </c>
      <c r="AF317" s="47" t="s">
        <v>410</v>
      </c>
      <c r="AG317" s="21"/>
      <c r="AH317" s="98"/>
      <c r="AI317" s="160">
        <v>45894</v>
      </c>
      <c r="AJ317" s="145">
        <f t="shared" si="59"/>
        <v>19</v>
      </c>
      <c r="AK317" s="100">
        <f>VLOOKUP(AP317,'[3]CONTENEUR PLEIN'!$F:$L,3,FALSE)</f>
        <v>45913</v>
      </c>
      <c r="AL317" s="99">
        <f>VLOOKUP(AP317,'[3]CONTENEUR PLEIN'!$F:$L,5,FALSE)</f>
        <v>45971</v>
      </c>
      <c r="AM317" s="18">
        <f>VLOOKUP(AP317,'[3]CONTENEUR PLEIN'!$F:$L,7,FALSE)</f>
        <v>45985.333333333336</v>
      </c>
      <c r="AN317" s="130" t="s">
        <v>63</v>
      </c>
      <c r="AO317" s="191" t="s">
        <v>432</v>
      </c>
      <c r="AP317" s="191" t="s">
        <v>433</v>
      </c>
      <c r="AQ317" s="191" t="s">
        <v>435</v>
      </c>
      <c r="AR317" s="191" t="e">
        <f>VLOOKUP(AP317,'[2]CONTENEUR PLEIN'!$F:$L,2,FALSE)</f>
        <v>#N/A</v>
      </c>
      <c r="AS317" s="191" t="s">
        <v>316</v>
      </c>
      <c r="AT317" s="98"/>
    </row>
    <row r="318" spans="1:47" s="72" customFormat="1" hidden="1" x14ac:dyDescent="0.25">
      <c r="B318" s="152" t="s">
        <v>45</v>
      </c>
      <c r="C318" s="89">
        <v>45819</v>
      </c>
      <c r="D318" s="129">
        <v>25051</v>
      </c>
      <c r="E318" s="143" t="s">
        <v>300</v>
      </c>
      <c r="F318" s="90">
        <v>2505151434</v>
      </c>
      <c r="G318" s="129" t="s">
        <v>74</v>
      </c>
      <c r="H318" s="129" t="s">
        <v>301</v>
      </c>
      <c r="I318" s="129" t="s">
        <v>49</v>
      </c>
      <c r="J318" s="129" t="s">
        <v>46</v>
      </c>
      <c r="K318" s="16" t="s">
        <v>630</v>
      </c>
      <c r="L318" s="128">
        <v>45926</v>
      </c>
      <c r="M318" s="381">
        <f t="shared" si="53"/>
        <v>5</v>
      </c>
      <c r="N318" s="98" t="s">
        <v>62</v>
      </c>
      <c r="O318" s="92">
        <v>30170011</v>
      </c>
      <c r="P318" s="24" t="str">
        <f>VLOOKUP(O318,[1]Feuil2!$A:$M,5,FALSE)</f>
        <v>CAFE LAG DUO GRIS COOL GREY 7C+ GENCOD</v>
      </c>
      <c r="Q318" s="90">
        <v>5520</v>
      </c>
      <c r="R318" s="93">
        <v>0.248</v>
      </c>
      <c r="S318" s="94">
        <f t="shared" si="54"/>
        <v>1368.96</v>
      </c>
      <c r="T318" s="95">
        <f t="shared" si="55"/>
        <v>63855.114000000001</v>
      </c>
      <c r="U318" s="138"/>
      <c r="V318" s="96">
        <f t="shared" si="56"/>
        <v>63855.114000000001</v>
      </c>
      <c r="W318" s="4">
        <f>VLOOKUP(O318,[1]Feuil2!$A:$M,6,FALSE)</f>
        <v>240</v>
      </c>
      <c r="X318" s="5">
        <f>VLOOKUP(O318,[1]Feuil2!$A:$M,13,FALSE)</f>
        <v>2.0645625000000001E-2</v>
      </c>
      <c r="Y318" s="6">
        <f t="shared" si="57"/>
        <v>0.47484937500000002</v>
      </c>
      <c r="Z318" s="97">
        <f t="shared" si="58"/>
        <v>41.378246250000004</v>
      </c>
      <c r="AA318" s="167" t="s">
        <v>61</v>
      </c>
      <c r="AB318" s="133" t="s">
        <v>61</v>
      </c>
      <c r="AC318" s="191" t="s">
        <v>55</v>
      </c>
      <c r="AD318" s="21" t="s">
        <v>57</v>
      </c>
      <c r="AE318" s="20">
        <v>45890</v>
      </c>
      <c r="AF318" s="21" t="s">
        <v>411</v>
      </c>
      <c r="AG318" s="21"/>
      <c r="AH318" s="98"/>
      <c r="AI318" s="160">
        <v>45894</v>
      </c>
      <c r="AJ318" s="145">
        <f t="shared" si="59"/>
        <v>19</v>
      </c>
      <c r="AK318" s="100">
        <f>VLOOKUP(AP318,'[3]CONTENEUR PLEIN'!$F:$L,3,FALSE)</f>
        <v>45913</v>
      </c>
      <c r="AL318" s="99">
        <f>VLOOKUP(AP318,'[3]CONTENEUR PLEIN'!$F:$L,5,FALSE)</f>
        <v>45971</v>
      </c>
      <c r="AM318" s="18">
        <f>VLOOKUP(AP318,'[3]CONTENEUR PLEIN'!$F:$L,7,FALSE)</f>
        <v>45985.333333333336</v>
      </c>
      <c r="AN318" s="130" t="s">
        <v>63</v>
      </c>
      <c r="AO318" s="191" t="s">
        <v>432</v>
      </c>
      <c r="AP318" s="191" t="s">
        <v>433</v>
      </c>
      <c r="AQ318" s="191" t="s">
        <v>435</v>
      </c>
      <c r="AR318" s="191" t="e">
        <f>VLOOKUP(AP318,'[2]CONTENEUR PLEIN'!$F:$L,2,FALSE)</f>
        <v>#N/A</v>
      </c>
      <c r="AS318" s="191" t="s">
        <v>316</v>
      </c>
      <c r="AT318" s="98"/>
    </row>
    <row r="319" spans="1:47" s="72" customFormat="1" hidden="1" x14ac:dyDescent="0.25">
      <c r="B319" s="152" t="s">
        <v>45</v>
      </c>
      <c r="C319" s="89">
        <v>45819</v>
      </c>
      <c r="D319" s="129">
        <v>25051</v>
      </c>
      <c r="E319" s="143" t="s">
        <v>300</v>
      </c>
      <c r="F319" s="90">
        <v>2505151434</v>
      </c>
      <c r="G319" s="129" t="s">
        <v>74</v>
      </c>
      <c r="H319" s="129" t="s">
        <v>301</v>
      </c>
      <c r="I319" s="129" t="s">
        <v>49</v>
      </c>
      <c r="J319" s="129" t="s">
        <v>46</v>
      </c>
      <c r="K319" s="16" t="s">
        <v>630</v>
      </c>
      <c r="L319" s="128">
        <v>45926</v>
      </c>
      <c r="M319" s="381">
        <f t="shared" si="53"/>
        <v>5</v>
      </c>
      <c r="N319" s="98" t="s">
        <v>49</v>
      </c>
      <c r="O319" s="92">
        <v>30170029</v>
      </c>
      <c r="P319" s="24" t="str">
        <f>VLOOKUP(O319,[1]Feuil2!$A:$M,5,FALSE)</f>
        <v>FOURCHETTE LAG DUO ROUGE 200 C+ GENCOD</v>
      </c>
      <c r="Q319" s="90">
        <v>4320</v>
      </c>
      <c r="R319" s="93">
        <v>0.318</v>
      </c>
      <c r="S319" s="94">
        <f t="shared" si="54"/>
        <v>1373.76</v>
      </c>
      <c r="T319" s="95">
        <f t="shared" si="55"/>
        <v>63855.114000000001</v>
      </c>
      <c r="U319" s="138"/>
      <c r="V319" s="96">
        <f t="shared" si="56"/>
        <v>63855.114000000001</v>
      </c>
      <c r="W319" s="4">
        <f>VLOOKUP(O319,[1]Feuil2!$A:$M,6,FALSE)</f>
        <v>240</v>
      </c>
      <c r="X319" s="5">
        <f>VLOOKUP(O319,[1]Feuil2!$A:$M,13,FALSE)</f>
        <v>2.8940625000000001E-2</v>
      </c>
      <c r="Y319" s="6">
        <f t="shared" si="57"/>
        <v>0.52093125000000007</v>
      </c>
      <c r="Z319" s="97">
        <f t="shared" si="58"/>
        <v>41.378246250000004</v>
      </c>
      <c r="AA319" s="167" t="s">
        <v>61</v>
      </c>
      <c r="AB319" s="133" t="s">
        <v>61</v>
      </c>
      <c r="AC319" s="191" t="s">
        <v>55</v>
      </c>
      <c r="AD319" s="21" t="s">
        <v>57</v>
      </c>
      <c r="AE319" s="20">
        <v>45890</v>
      </c>
      <c r="AF319" s="21" t="s">
        <v>412</v>
      </c>
      <c r="AG319" s="21"/>
      <c r="AH319" s="98"/>
      <c r="AI319" s="160">
        <v>45894</v>
      </c>
      <c r="AJ319" s="145">
        <f t="shared" si="59"/>
        <v>19</v>
      </c>
      <c r="AK319" s="100">
        <f>VLOOKUP(AP319,'[3]CONTENEUR PLEIN'!$F:$L,3,FALSE)</f>
        <v>45913</v>
      </c>
      <c r="AL319" s="99">
        <f>VLOOKUP(AP319,'[3]CONTENEUR PLEIN'!$F:$L,5,FALSE)</f>
        <v>45971</v>
      </c>
      <c r="AM319" s="18">
        <f>VLOOKUP(AP319,'[3]CONTENEUR PLEIN'!$F:$L,7,FALSE)</f>
        <v>45985.333333333336</v>
      </c>
      <c r="AN319" s="130" t="s">
        <v>63</v>
      </c>
      <c r="AO319" s="191" t="s">
        <v>432</v>
      </c>
      <c r="AP319" s="191" t="s">
        <v>433</v>
      </c>
      <c r="AQ319" s="191" t="s">
        <v>435</v>
      </c>
      <c r="AR319" s="191" t="e">
        <f>VLOOKUP(AP319,'[2]CONTENEUR PLEIN'!$F:$L,2,FALSE)</f>
        <v>#N/A</v>
      </c>
      <c r="AS319" s="191" t="s">
        <v>316</v>
      </c>
      <c r="AT319" s="98"/>
    </row>
    <row r="320" spans="1:47" s="72" customFormat="1" hidden="1" x14ac:dyDescent="0.25">
      <c r="B320" s="152" t="s">
        <v>45</v>
      </c>
      <c r="C320" s="89">
        <v>45819</v>
      </c>
      <c r="D320" s="129">
        <v>25051</v>
      </c>
      <c r="E320" s="143" t="s">
        <v>300</v>
      </c>
      <c r="F320" s="90">
        <v>2505151434</v>
      </c>
      <c r="G320" s="129" t="s">
        <v>74</v>
      </c>
      <c r="H320" s="129" t="s">
        <v>301</v>
      </c>
      <c r="I320" s="129" t="s">
        <v>49</v>
      </c>
      <c r="J320" s="8" t="s">
        <v>66</v>
      </c>
      <c r="K320" s="16" t="s">
        <v>595</v>
      </c>
      <c r="L320" s="128">
        <v>45957</v>
      </c>
      <c r="M320" s="381">
        <f t="shared" si="53"/>
        <v>5</v>
      </c>
      <c r="N320" s="98" t="s">
        <v>62</v>
      </c>
      <c r="O320" s="92">
        <v>30363723</v>
      </c>
      <c r="P320" s="24" t="str">
        <f>VLOOKUP(O320,[1]Feuil2!$A:$M,5,FALSE)</f>
        <v>M24 TROQUET VERT DE GRIS PANTONE 5595 C POT PET</v>
      </c>
      <c r="Q320" s="90">
        <v>4320</v>
      </c>
      <c r="R320" s="93">
        <v>2.8239999999999998</v>
      </c>
      <c r="S320" s="94">
        <f t="shared" si="54"/>
        <v>12199.679999999998</v>
      </c>
      <c r="T320" s="95">
        <f t="shared" si="55"/>
        <v>63855.114000000001</v>
      </c>
      <c r="U320" s="138"/>
      <c r="V320" s="96">
        <f t="shared" si="56"/>
        <v>63855.114000000001</v>
      </c>
      <c r="W320" s="4">
        <f>VLOOKUP(O320,[1]Feuil2!$A:$M,6,FALSE)</f>
        <v>9</v>
      </c>
      <c r="X320" s="5">
        <f>VLOOKUP(O320,[1]Feuil2!$A:$M,13,FALSE)</f>
        <v>1.8528125000000003E-2</v>
      </c>
      <c r="Y320" s="6">
        <f t="shared" si="57"/>
        <v>8.8935000000000013</v>
      </c>
      <c r="Z320" s="97">
        <f t="shared" si="58"/>
        <v>41.378246250000004</v>
      </c>
      <c r="AA320" s="69" t="s">
        <v>57</v>
      </c>
      <c r="AB320" s="67" t="s">
        <v>48</v>
      </c>
      <c r="AC320" s="191" t="s">
        <v>55</v>
      </c>
      <c r="AD320" s="21" t="s">
        <v>57</v>
      </c>
      <c r="AE320" s="20">
        <v>45909</v>
      </c>
      <c r="AF320" s="21" t="s">
        <v>441</v>
      </c>
      <c r="AG320" s="21"/>
      <c r="AH320" s="98"/>
      <c r="AI320" s="160">
        <v>45894</v>
      </c>
      <c r="AJ320" s="145">
        <f t="shared" si="59"/>
        <v>36</v>
      </c>
      <c r="AK320" s="100">
        <f>VLOOKUP(AP320,'[3]CONTENEUR PLEIN'!$F:$L,3,FALSE)</f>
        <v>45930</v>
      </c>
      <c r="AL320" s="99">
        <f>VLOOKUP(AP320,'[3]CONTENEUR PLEIN'!$F:$L,5,FALSE)</f>
        <v>45963</v>
      </c>
      <c r="AM320" s="18">
        <f>VLOOKUP(AP320,'[3]CONTENEUR PLEIN'!$F:$L,7,FALSE)</f>
        <v>45980.333333333336</v>
      </c>
      <c r="AN320" s="130" t="s">
        <v>63</v>
      </c>
      <c r="AO320" s="218" t="s">
        <v>458</v>
      </c>
      <c r="AP320" s="218" t="s">
        <v>459</v>
      </c>
      <c r="AQ320" s="218" t="s">
        <v>460</v>
      </c>
      <c r="AR320" s="90" t="e">
        <f>VLOOKUP(AP320,'[2]CONTENEUR PLEIN'!$F:$L,2,FALSE)</f>
        <v>#N/A</v>
      </c>
      <c r="AS320" s="191" t="s">
        <v>316</v>
      </c>
      <c r="AT320" s="98"/>
    </row>
    <row r="321" spans="1:46" s="72" customFormat="1" hidden="1" x14ac:dyDescent="0.25">
      <c r="B321" s="152" t="s">
        <v>45</v>
      </c>
      <c r="C321" s="89">
        <v>45819</v>
      </c>
      <c r="D321" s="129">
        <v>25051</v>
      </c>
      <c r="E321" s="143" t="s">
        <v>300</v>
      </c>
      <c r="F321" s="90">
        <v>2505151434</v>
      </c>
      <c r="G321" s="129" t="s">
        <v>74</v>
      </c>
      <c r="H321" s="129" t="s">
        <v>301</v>
      </c>
      <c r="I321" s="129" t="s">
        <v>49</v>
      </c>
      <c r="J321" s="129" t="s">
        <v>46</v>
      </c>
      <c r="K321" s="16" t="s">
        <v>595</v>
      </c>
      <c r="L321" s="128">
        <v>45957</v>
      </c>
      <c r="M321" s="381">
        <f t="shared" si="53"/>
        <v>5</v>
      </c>
      <c r="N321" s="98" t="s">
        <v>62</v>
      </c>
      <c r="O321" s="92">
        <v>31930006</v>
      </c>
      <c r="P321" s="24" t="str">
        <f>VLOOKUP(O321,[1]Feuil2!$A:$M,5,FALSE)</f>
        <v>M24 DROP GREY WOOD EN BOITE TB COLLECTION</v>
      </c>
      <c r="Q321" s="90">
        <v>1602</v>
      </c>
      <c r="R321" s="93">
        <v>5.6139999999999999</v>
      </c>
      <c r="S321" s="94">
        <f t="shared" si="54"/>
        <v>8993.6280000000006</v>
      </c>
      <c r="T321" s="95">
        <f t="shared" si="55"/>
        <v>63855.114000000001</v>
      </c>
      <c r="U321" s="138"/>
      <c r="V321" s="96">
        <f t="shared" si="56"/>
        <v>63855.114000000001</v>
      </c>
      <c r="W321" s="4">
        <f>VLOOKUP(O321,[1]Feuil2!$A:$M,6,FALSE)</f>
        <v>3</v>
      </c>
      <c r="X321" s="5">
        <f>VLOOKUP(O321,[1]Feuil2!$A:$M,13,FALSE)</f>
        <v>1.248E-2</v>
      </c>
      <c r="Y321" s="6">
        <f t="shared" si="57"/>
        <v>6.66432</v>
      </c>
      <c r="Z321" s="97">
        <f t="shared" si="58"/>
        <v>41.378246250000004</v>
      </c>
      <c r="AA321" s="21" t="s">
        <v>57</v>
      </c>
      <c r="AB321" s="21" t="s">
        <v>57</v>
      </c>
      <c r="AC321" s="191" t="s">
        <v>55</v>
      </c>
      <c r="AD321" s="21" t="s">
        <v>57</v>
      </c>
      <c r="AE321" s="20">
        <v>45909</v>
      </c>
      <c r="AF321" s="21" t="s">
        <v>443</v>
      </c>
      <c r="AG321" s="21"/>
      <c r="AH321" s="98"/>
      <c r="AI321" s="160">
        <v>45894</v>
      </c>
      <c r="AJ321" s="145">
        <f t="shared" si="59"/>
        <v>36</v>
      </c>
      <c r="AK321" s="100">
        <f>VLOOKUP(AP321,'[3]CONTENEUR PLEIN'!$F:$L,3,FALSE)</f>
        <v>45930</v>
      </c>
      <c r="AL321" s="99">
        <f>VLOOKUP(AP321,'[3]CONTENEUR PLEIN'!$F:$L,5,FALSE)</f>
        <v>45963</v>
      </c>
      <c r="AM321" s="18">
        <f>VLOOKUP(AP321,'[3]CONTENEUR PLEIN'!$F:$L,7,FALSE)</f>
        <v>45980.333333333336</v>
      </c>
      <c r="AN321" s="130" t="s">
        <v>63</v>
      </c>
      <c r="AO321" s="218" t="s">
        <v>458</v>
      </c>
      <c r="AP321" s="218" t="s">
        <v>459</v>
      </c>
      <c r="AQ321" s="218" t="s">
        <v>460</v>
      </c>
      <c r="AR321" s="90" t="e">
        <f>VLOOKUP(AP321,'[2]CONTENEUR PLEIN'!$F:$L,2,FALSE)</f>
        <v>#N/A</v>
      </c>
      <c r="AS321" s="191" t="s">
        <v>316</v>
      </c>
      <c r="AT321" s="98"/>
    </row>
    <row r="322" spans="1:46" s="72" customFormat="1" hidden="1" x14ac:dyDescent="0.25">
      <c r="B322" s="152" t="s">
        <v>45</v>
      </c>
      <c r="C322" s="89">
        <v>45819</v>
      </c>
      <c r="D322" s="129">
        <v>25051</v>
      </c>
      <c r="E322" s="143" t="s">
        <v>300</v>
      </c>
      <c r="F322" s="90">
        <v>2505151434</v>
      </c>
      <c r="G322" s="129" t="s">
        <v>74</v>
      </c>
      <c r="H322" s="129" t="s">
        <v>301</v>
      </c>
      <c r="I322" s="129" t="s">
        <v>49</v>
      </c>
      <c r="J322" s="191" t="s">
        <v>46</v>
      </c>
      <c r="K322" s="16" t="s">
        <v>595</v>
      </c>
      <c r="L322" s="128">
        <v>45957</v>
      </c>
      <c r="M322" s="381">
        <f t="shared" si="53"/>
        <v>5</v>
      </c>
      <c r="N322" s="98" t="s">
        <v>62</v>
      </c>
      <c r="O322" s="92">
        <v>31930027</v>
      </c>
      <c r="P322" s="24" t="str">
        <f>VLOOKUP(O322,[1]Feuil2!$A:$M,5,FALSE)</f>
        <v>M24 DROP DARK WOOD EN BOITE TB COLLECTION</v>
      </c>
      <c r="Q322" s="90">
        <v>1539</v>
      </c>
      <c r="R322" s="93">
        <v>5.6139999999999999</v>
      </c>
      <c r="S322" s="94">
        <f t="shared" si="54"/>
        <v>8639.9459999999999</v>
      </c>
      <c r="T322" s="95">
        <f t="shared" si="55"/>
        <v>63855.114000000001</v>
      </c>
      <c r="U322" s="138"/>
      <c r="V322" s="96">
        <f t="shared" si="56"/>
        <v>63855.114000000001</v>
      </c>
      <c r="W322" s="4">
        <f>VLOOKUP(O322,[1]Feuil2!$A:$M,6,FALSE)</f>
        <v>3</v>
      </c>
      <c r="X322" s="5">
        <f>VLOOKUP(O322,[1]Feuil2!$A:$M,13,FALSE)</f>
        <v>1.248E-2</v>
      </c>
      <c r="Y322" s="6">
        <f t="shared" si="57"/>
        <v>6.4022399999999999</v>
      </c>
      <c r="Z322" s="97">
        <f t="shared" si="58"/>
        <v>41.378246250000004</v>
      </c>
      <c r="AA322" s="21" t="s">
        <v>57</v>
      </c>
      <c r="AB322" s="21" t="s">
        <v>57</v>
      </c>
      <c r="AC322" s="191" t="s">
        <v>55</v>
      </c>
      <c r="AD322" s="21" t="s">
        <v>57</v>
      </c>
      <c r="AE322" s="20">
        <v>45917</v>
      </c>
      <c r="AF322" s="21" t="s">
        <v>461</v>
      </c>
      <c r="AG322" s="21"/>
      <c r="AH322" s="98"/>
      <c r="AI322" s="160">
        <v>45894</v>
      </c>
      <c r="AJ322" s="145">
        <f t="shared" si="59"/>
        <v>36</v>
      </c>
      <c r="AK322" s="100">
        <f>VLOOKUP(AP322,'[3]CONTENEUR PLEIN'!$F:$L,3,FALSE)</f>
        <v>45930</v>
      </c>
      <c r="AL322" s="99">
        <f>VLOOKUP(AP322,'[3]CONTENEUR PLEIN'!$F:$L,5,FALSE)</f>
        <v>45963</v>
      </c>
      <c r="AM322" s="18">
        <f>VLOOKUP(AP322,'[3]CONTENEUR PLEIN'!$F:$L,7,FALSE)</f>
        <v>45980.333333333336</v>
      </c>
      <c r="AN322" s="130" t="s">
        <v>63</v>
      </c>
      <c r="AO322" s="218" t="s">
        <v>458</v>
      </c>
      <c r="AP322" s="218" t="s">
        <v>459</v>
      </c>
      <c r="AQ322" s="218" t="s">
        <v>460</v>
      </c>
      <c r="AR322" s="90" t="e">
        <f>VLOOKUP(AP322,'[2]CONTENEUR PLEIN'!$F:$L,2,FALSE)</f>
        <v>#N/A</v>
      </c>
      <c r="AS322" s="191" t="s">
        <v>316</v>
      </c>
      <c r="AT322" s="98"/>
    </row>
    <row r="323" spans="1:46" s="72" customFormat="1" hidden="1" x14ac:dyDescent="0.25">
      <c r="B323" s="152" t="s">
        <v>45</v>
      </c>
      <c r="C323" s="89">
        <v>45819</v>
      </c>
      <c r="D323" s="129">
        <v>25051</v>
      </c>
      <c r="E323" s="143" t="s">
        <v>300</v>
      </c>
      <c r="F323" s="90">
        <v>2505151434</v>
      </c>
      <c r="G323" s="129" t="s">
        <v>74</v>
      </c>
      <c r="H323" s="129" t="s">
        <v>301</v>
      </c>
      <c r="I323" s="129" t="s">
        <v>49</v>
      </c>
      <c r="J323" s="129" t="s">
        <v>46</v>
      </c>
      <c r="K323" s="16" t="s">
        <v>864</v>
      </c>
      <c r="L323" s="128">
        <v>45993</v>
      </c>
      <c r="M323" s="381">
        <f t="shared" si="53"/>
        <v>6</v>
      </c>
      <c r="N323" s="98" t="s">
        <v>49</v>
      </c>
      <c r="O323" s="92">
        <v>32070008</v>
      </c>
      <c r="P323" s="24" t="str">
        <f>VLOOKUP(O323,[1]Feuil2!$A:$M,5,FALSE)</f>
        <v>CAFE OPEN DECOR FUROSHIKI CARREFOUR HOME</v>
      </c>
      <c r="Q323" s="90">
        <v>11760</v>
      </c>
      <c r="R323" s="93">
        <v>0.21</v>
      </c>
      <c r="S323" s="94">
        <f t="shared" si="54"/>
        <v>2469.6</v>
      </c>
      <c r="T323" s="95">
        <f t="shared" si="55"/>
        <v>63855.114000000001</v>
      </c>
      <c r="U323" s="138"/>
      <c r="V323" s="96">
        <f t="shared" si="56"/>
        <v>63855.114000000001</v>
      </c>
      <c r="W323" s="4">
        <f>VLOOKUP(O323,[1]Feuil2!$A:$M,6,FALSE)</f>
        <v>240</v>
      </c>
      <c r="X323" s="5">
        <f>VLOOKUP(O323,[1]Feuil2!$A:$M,13,FALSE)</f>
        <v>4.6800000000000001E-3</v>
      </c>
      <c r="Y323" s="6">
        <f t="shared" si="57"/>
        <v>0.22932</v>
      </c>
      <c r="Z323" s="97">
        <f t="shared" si="58"/>
        <v>41.378246250000004</v>
      </c>
      <c r="AA323" s="21" t="s">
        <v>57</v>
      </c>
      <c r="AB323" s="67" t="s">
        <v>48</v>
      </c>
      <c r="AC323" s="90" t="s">
        <v>55</v>
      </c>
      <c r="AD323" s="21" t="s">
        <v>57</v>
      </c>
      <c r="AE323" s="20">
        <v>45943</v>
      </c>
      <c r="AF323" s="21" t="s">
        <v>515</v>
      </c>
      <c r="AG323" s="21"/>
      <c r="AH323" s="98"/>
      <c r="AI323" s="160">
        <v>45894</v>
      </c>
      <c r="AJ323" s="145">
        <f t="shared" si="59"/>
        <v>67</v>
      </c>
      <c r="AK323" s="100">
        <f>VLOOKUP(AP323,'[2]CONTENEUR PLEIN'!$F:$L,3,FALSE)</f>
        <v>45961</v>
      </c>
      <c r="AL323" s="99">
        <f>VLOOKUP(AP323,'[2]CONTENEUR PLEIN'!$F:$L,5,FALSE)</f>
        <v>46006</v>
      </c>
      <c r="AM323" s="18">
        <f>VLOOKUP(AP323,'[2]CONTENEUR PLEIN'!$F:$L,7,FALSE)</f>
        <v>46028.333333333336</v>
      </c>
      <c r="AN323" s="130" t="s">
        <v>63</v>
      </c>
      <c r="AO323" s="353" t="s">
        <v>540</v>
      </c>
      <c r="AP323" s="353" t="s">
        <v>541</v>
      </c>
      <c r="AQ323" s="353" t="s">
        <v>545</v>
      </c>
      <c r="AR323" s="90" t="str">
        <f>VLOOKUP(AP323,'[2]CONTENEUR PLEIN'!$F:$L,2,FALSE)</f>
        <v>APL CHANGI</v>
      </c>
      <c r="AS323" s="353" t="s">
        <v>316</v>
      </c>
      <c r="AT323" s="98"/>
    </row>
    <row r="324" spans="1:46" s="72" customFormat="1" hidden="1" x14ac:dyDescent="0.25">
      <c r="B324" s="152" t="s">
        <v>45</v>
      </c>
      <c r="C324" s="89">
        <v>45819</v>
      </c>
      <c r="D324" s="129">
        <v>25051</v>
      </c>
      <c r="E324" s="143" t="s">
        <v>300</v>
      </c>
      <c r="F324" s="90">
        <v>2505151434</v>
      </c>
      <c r="G324" s="129" t="s">
        <v>74</v>
      </c>
      <c r="H324" s="129" t="s">
        <v>301</v>
      </c>
      <c r="I324" s="129" t="s">
        <v>49</v>
      </c>
      <c r="J324" s="129" t="s">
        <v>46</v>
      </c>
      <c r="K324" s="16" t="s">
        <v>991</v>
      </c>
      <c r="L324" s="128">
        <v>46014</v>
      </c>
      <c r="M324" s="381">
        <f t="shared" si="53"/>
        <v>8</v>
      </c>
      <c r="N324" s="98" t="s">
        <v>49</v>
      </c>
      <c r="O324" s="92">
        <v>32070008</v>
      </c>
      <c r="P324" s="24" t="str">
        <f>VLOOKUP(O324,[1]Feuil2!$A:$M,5,FALSE)</f>
        <v>CAFE OPEN DECOR FUROSHIKI CARREFOUR HOME</v>
      </c>
      <c r="Q324" s="90">
        <f>12240-11760</f>
        <v>480</v>
      </c>
      <c r="R324" s="93">
        <v>0.21</v>
      </c>
      <c r="S324" s="94">
        <f t="shared" si="54"/>
        <v>100.8</v>
      </c>
      <c r="T324" s="95">
        <f t="shared" si="55"/>
        <v>63855.114000000001</v>
      </c>
      <c r="U324" s="138"/>
      <c r="V324" s="96">
        <f t="shared" si="56"/>
        <v>63855.114000000001</v>
      </c>
      <c r="W324" s="4">
        <f>VLOOKUP(O324,[1]Feuil2!$A:$M,6,FALSE)</f>
        <v>240</v>
      </c>
      <c r="X324" s="5">
        <f>VLOOKUP(O324,[1]Feuil2!$A:$M,13,FALSE)</f>
        <v>4.6800000000000001E-3</v>
      </c>
      <c r="Y324" s="6">
        <f t="shared" si="57"/>
        <v>9.3600000000000003E-3</v>
      </c>
      <c r="Z324" s="97">
        <f t="shared" si="58"/>
        <v>41.378246250000004</v>
      </c>
      <c r="AA324" s="21" t="s">
        <v>57</v>
      </c>
      <c r="AB324" s="67" t="s">
        <v>48</v>
      </c>
      <c r="AC324" s="90" t="s">
        <v>55</v>
      </c>
      <c r="AD324" s="21" t="s">
        <v>57</v>
      </c>
      <c r="AE324" s="20">
        <v>45943</v>
      </c>
      <c r="AF324" s="21" t="s">
        <v>515</v>
      </c>
      <c r="AG324" s="21"/>
      <c r="AH324" s="98"/>
      <c r="AI324" s="160">
        <v>45894</v>
      </c>
      <c r="AJ324" s="145">
        <f t="shared" si="59"/>
        <v>109</v>
      </c>
      <c r="AK324" s="100">
        <f>VLOOKUP(AP324,'[2]CONTENEUR PLEIN'!$F:$L,3,FALSE)</f>
        <v>46003</v>
      </c>
      <c r="AL324" s="99">
        <f>VLOOKUP(AP324,'[2]CONTENEUR PLEIN'!$F:$L,5,FALSE)</f>
        <v>46060</v>
      </c>
      <c r="AM324" s="18">
        <f>VLOOKUP(AP324,'[2]CONTENEUR PLEIN'!$F:$L,7,FALSE)</f>
        <v>46066.291666666664</v>
      </c>
      <c r="AN324" s="130" t="s">
        <v>63</v>
      </c>
      <c r="AO324" s="290" t="s">
        <v>664</v>
      </c>
      <c r="AP324" s="290" t="s">
        <v>665</v>
      </c>
      <c r="AQ324" s="290" t="s">
        <v>669</v>
      </c>
      <c r="AR324" s="90" t="str">
        <f>VLOOKUP(AP324,'[2]CONTENEUR PLEIN'!$F:$L,2,FALSE)</f>
        <v>CMA CGM SCANDOLA</v>
      </c>
      <c r="AS324" s="290" t="s">
        <v>316</v>
      </c>
      <c r="AT324" s="98"/>
    </row>
    <row r="325" spans="1:46" s="72" customFormat="1" hidden="1" x14ac:dyDescent="0.25">
      <c r="B325" s="152" t="s">
        <v>45</v>
      </c>
      <c r="C325" s="89">
        <v>45819</v>
      </c>
      <c r="D325" s="129">
        <v>25051</v>
      </c>
      <c r="E325" s="143" t="s">
        <v>300</v>
      </c>
      <c r="F325" s="90">
        <v>2505151434</v>
      </c>
      <c r="G325" s="129" t="s">
        <v>74</v>
      </c>
      <c r="H325" s="129" t="s">
        <v>301</v>
      </c>
      <c r="I325" s="129" t="s">
        <v>49</v>
      </c>
      <c r="J325" s="129" t="s">
        <v>46</v>
      </c>
      <c r="K325" s="16" t="s">
        <v>864</v>
      </c>
      <c r="L325" s="128">
        <v>45993</v>
      </c>
      <c r="M325" s="381">
        <f t="shared" si="53"/>
        <v>6</v>
      </c>
      <c r="N325" s="98" t="s">
        <v>49</v>
      </c>
      <c r="O325" s="92">
        <v>32070020</v>
      </c>
      <c r="P325" s="24" t="str">
        <f>VLOOKUP(O325,[1]Feuil2!$A:$M,5,FALSE)</f>
        <v>CAFE OPEN DECOR POIS ROUGE 3517C CARREFOUR HOME</v>
      </c>
      <c r="Q325" s="90">
        <v>7440</v>
      </c>
      <c r="R325" s="93">
        <v>0.21</v>
      </c>
      <c r="S325" s="94">
        <f t="shared" si="54"/>
        <v>1562.3999999999999</v>
      </c>
      <c r="T325" s="95">
        <f t="shared" si="55"/>
        <v>63855.114000000001</v>
      </c>
      <c r="U325" s="138"/>
      <c r="V325" s="96">
        <f t="shared" si="56"/>
        <v>63855.114000000001</v>
      </c>
      <c r="W325" s="4">
        <f>VLOOKUP(O325,[1]Feuil2!$A:$M,6,FALSE)</f>
        <v>240</v>
      </c>
      <c r="X325" s="5">
        <f>VLOOKUP(O325,[1]Feuil2!$A:$M,13,FALSE)</f>
        <v>2.0479500000000001E-2</v>
      </c>
      <c r="Y325" s="6">
        <f t="shared" si="57"/>
        <v>0.63486450000000005</v>
      </c>
      <c r="Z325" s="97">
        <f t="shared" si="58"/>
        <v>41.378246250000004</v>
      </c>
      <c r="AA325" s="69" t="s">
        <v>57</v>
      </c>
      <c r="AB325" s="67" t="s">
        <v>48</v>
      </c>
      <c r="AC325" s="90" t="s">
        <v>55</v>
      </c>
      <c r="AD325" s="21" t="s">
        <v>57</v>
      </c>
      <c r="AE325" s="20">
        <v>45947</v>
      </c>
      <c r="AF325" s="21" t="s">
        <v>546</v>
      </c>
      <c r="AG325" s="21"/>
      <c r="AH325" s="98"/>
      <c r="AI325" s="160">
        <v>45894</v>
      </c>
      <c r="AJ325" s="145">
        <f t="shared" si="59"/>
        <v>67</v>
      </c>
      <c r="AK325" s="100">
        <f>VLOOKUP(AP325,'[2]CONTENEUR PLEIN'!$F:$L,3,FALSE)</f>
        <v>45961</v>
      </c>
      <c r="AL325" s="99">
        <f>VLOOKUP(AP325,'[2]CONTENEUR PLEIN'!$F:$L,5,FALSE)</f>
        <v>46006</v>
      </c>
      <c r="AM325" s="18">
        <f>VLOOKUP(AP325,'[2]CONTENEUR PLEIN'!$F:$L,7,FALSE)</f>
        <v>46028.333333333336</v>
      </c>
      <c r="AN325" s="130" t="s">
        <v>63</v>
      </c>
      <c r="AO325" s="353" t="s">
        <v>540</v>
      </c>
      <c r="AP325" s="353" t="s">
        <v>541</v>
      </c>
      <c r="AQ325" s="353" t="s">
        <v>545</v>
      </c>
      <c r="AR325" s="90" t="str">
        <f>VLOOKUP(AP325,'[2]CONTENEUR PLEIN'!$F:$L,2,FALSE)</f>
        <v>APL CHANGI</v>
      </c>
      <c r="AS325" s="353" t="s">
        <v>316</v>
      </c>
      <c r="AT325" s="98"/>
    </row>
    <row r="326" spans="1:46" s="72" customFormat="1" hidden="1" x14ac:dyDescent="0.25">
      <c r="B326" s="152" t="s">
        <v>45</v>
      </c>
      <c r="C326" s="89">
        <v>45819</v>
      </c>
      <c r="D326" s="129">
        <v>25051</v>
      </c>
      <c r="E326" s="143" t="s">
        <v>300</v>
      </c>
      <c r="F326" s="90">
        <v>2505151434</v>
      </c>
      <c r="G326" s="129" t="s">
        <v>74</v>
      </c>
      <c r="H326" s="129" t="s">
        <v>301</v>
      </c>
      <c r="I326" s="129" t="s">
        <v>49</v>
      </c>
      <c r="J326" s="129" t="s">
        <v>46</v>
      </c>
      <c r="K326" s="16" t="s">
        <v>864</v>
      </c>
      <c r="L326" s="128">
        <v>45993</v>
      </c>
      <c r="M326" s="381">
        <f t="shared" si="53"/>
        <v>6</v>
      </c>
      <c r="N326" s="98" t="s">
        <v>62</v>
      </c>
      <c r="O326" s="92">
        <v>32070040</v>
      </c>
      <c r="P326" s="24" t="str">
        <f>VLOOKUP(O326,[1]Feuil2!$A:$M,5,FALSE)</f>
        <v>CAFE OPEN DECOR POIS NOIR 6C TB COLLECTION</v>
      </c>
      <c r="Q326" s="90">
        <v>1680</v>
      </c>
      <c r="R326" s="93">
        <v>0.21</v>
      </c>
      <c r="S326" s="94">
        <f t="shared" si="54"/>
        <v>352.8</v>
      </c>
      <c r="T326" s="95">
        <f t="shared" si="55"/>
        <v>63855.114000000001</v>
      </c>
      <c r="U326" s="138"/>
      <c r="V326" s="96">
        <f t="shared" si="56"/>
        <v>63855.114000000001</v>
      </c>
      <c r="W326" s="4">
        <f>VLOOKUP(O326,[1]Feuil2!$A:$M,6,FALSE)</f>
        <v>240</v>
      </c>
      <c r="X326" s="5">
        <f>VLOOKUP(O326,[1]Feuil2!$A:$M,13,FALSE)</f>
        <v>2.052E-2</v>
      </c>
      <c r="Y326" s="6">
        <f t="shared" si="57"/>
        <v>0.14363999999999999</v>
      </c>
      <c r="Z326" s="97">
        <f t="shared" si="58"/>
        <v>41.378246250000004</v>
      </c>
      <c r="AA326" s="69" t="s">
        <v>57</v>
      </c>
      <c r="AB326" s="67" t="s">
        <v>48</v>
      </c>
      <c r="AC326" s="90" t="s">
        <v>55</v>
      </c>
      <c r="AD326" s="21" t="s">
        <v>57</v>
      </c>
      <c r="AE326" s="20">
        <v>45947</v>
      </c>
      <c r="AF326" s="21" t="s">
        <v>547</v>
      </c>
      <c r="AG326" s="21"/>
      <c r="AH326" s="98"/>
      <c r="AI326" s="160">
        <v>45894</v>
      </c>
      <c r="AJ326" s="145">
        <f t="shared" si="59"/>
        <v>67</v>
      </c>
      <c r="AK326" s="100">
        <f>VLOOKUP(AP326,'[2]CONTENEUR PLEIN'!$F:$L,3,FALSE)</f>
        <v>45961</v>
      </c>
      <c r="AL326" s="99">
        <f>VLOOKUP(AP326,'[2]CONTENEUR PLEIN'!$F:$L,5,FALSE)</f>
        <v>46006</v>
      </c>
      <c r="AM326" s="18">
        <f>VLOOKUP(AP326,'[2]CONTENEUR PLEIN'!$F:$L,7,FALSE)</f>
        <v>46028.333333333336</v>
      </c>
      <c r="AN326" s="130" t="s">
        <v>63</v>
      </c>
      <c r="AO326" s="353" t="s">
        <v>540</v>
      </c>
      <c r="AP326" s="353" t="s">
        <v>541</v>
      </c>
      <c r="AQ326" s="353" t="s">
        <v>545</v>
      </c>
      <c r="AR326" s="90" t="str">
        <f>VLOOKUP(AP326,'[2]CONTENEUR PLEIN'!$F:$L,2,FALSE)</f>
        <v>APL CHANGI</v>
      </c>
      <c r="AS326" s="353" t="s">
        <v>316</v>
      </c>
      <c r="AT326" s="98"/>
    </row>
    <row r="327" spans="1:46" s="72" customFormat="1" hidden="1" x14ac:dyDescent="0.25">
      <c r="B327" s="152" t="s">
        <v>45</v>
      </c>
      <c r="C327" s="89">
        <v>45819</v>
      </c>
      <c r="D327" s="129">
        <v>25051</v>
      </c>
      <c r="E327" s="143" t="s">
        <v>300</v>
      </c>
      <c r="F327" s="90">
        <v>2505151434</v>
      </c>
      <c r="G327" s="129" t="s">
        <v>74</v>
      </c>
      <c r="H327" s="129" t="s">
        <v>301</v>
      </c>
      <c r="I327" s="129" t="s">
        <v>49</v>
      </c>
      <c r="J327" s="129" t="s">
        <v>46</v>
      </c>
      <c r="K327" s="16" t="s">
        <v>595</v>
      </c>
      <c r="L327" s="128">
        <v>45957</v>
      </c>
      <c r="M327" s="381">
        <f t="shared" si="53"/>
        <v>5</v>
      </c>
      <c r="N327" s="98" t="s">
        <v>62</v>
      </c>
      <c r="O327" s="92">
        <v>32210008</v>
      </c>
      <c r="P327" s="24" t="str">
        <f>VLOOKUP(O327,[1]Feuil2!$A:$M,5,FALSE)</f>
        <v>CAFE OPEN UNI COLOR GRIS BLEUTE 432C CARREFOUR HOME</v>
      </c>
      <c r="Q327" s="90">
        <v>15120</v>
      </c>
      <c r="R327" s="93">
        <v>0.16500000000000001</v>
      </c>
      <c r="S327" s="94">
        <f t="shared" si="54"/>
        <v>2494.8000000000002</v>
      </c>
      <c r="T327" s="95">
        <f t="shared" si="55"/>
        <v>63855.114000000001</v>
      </c>
      <c r="U327" s="138"/>
      <c r="V327" s="96">
        <f t="shared" si="56"/>
        <v>63855.114000000001</v>
      </c>
      <c r="W327" s="4">
        <f>VLOOKUP(O327,[1]Feuil2!$A:$M,6,FALSE)</f>
        <v>240</v>
      </c>
      <c r="X327" s="5">
        <f>VLOOKUP(O327,[1]Feuil2!$A:$M,13,FALSE)</f>
        <v>2.2344000000000003E-2</v>
      </c>
      <c r="Y327" s="6">
        <f t="shared" si="57"/>
        <v>1.4076720000000003</v>
      </c>
      <c r="Z327" s="97">
        <f t="shared" si="58"/>
        <v>41.378246250000004</v>
      </c>
      <c r="AA327" s="69" t="s">
        <v>57</v>
      </c>
      <c r="AB327" s="67" t="s">
        <v>48</v>
      </c>
      <c r="AC327" s="191" t="s">
        <v>55</v>
      </c>
      <c r="AD327" s="21" t="s">
        <v>57</v>
      </c>
      <c r="AE327" s="20">
        <v>45909</v>
      </c>
      <c r="AF327" s="21" t="s">
        <v>442</v>
      </c>
      <c r="AG327" s="21"/>
      <c r="AH327" s="98"/>
      <c r="AI327" s="160">
        <v>45894</v>
      </c>
      <c r="AJ327" s="145">
        <f>DATEDIF(AI327,$AK$318,"D")</f>
        <v>19</v>
      </c>
      <c r="AK327" s="100">
        <f>VLOOKUP(AP327,'[3]CONTENEUR PLEIN'!$F:$L,3,FALSE)</f>
        <v>45930</v>
      </c>
      <c r="AL327" s="99">
        <f>VLOOKUP(AP327,'[3]CONTENEUR PLEIN'!$F:$L,5,FALSE)</f>
        <v>45963</v>
      </c>
      <c r="AM327" s="18">
        <f>VLOOKUP(AP327,'[3]CONTENEUR PLEIN'!$F:$L,7,FALSE)</f>
        <v>45980.333333333336</v>
      </c>
      <c r="AN327" s="130" t="s">
        <v>63</v>
      </c>
      <c r="AO327" s="218" t="s">
        <v>458</v>
      </c>
      <c r="AP327" s="218" t="s">
        <v>459</v>
      </c>
      <c r="AQ327" s="218" t="s">
        <v>460</v>
      </c>
      <c r="AR327" s="90" t="e">
        <f>VLOOKUP(AP327,'[2]CONTENEUR PLEIN'!$F:$L,2,FALSE)</f>
        <v>#N/A</v>
      </c>
      <c r="AS327" s="191" t="s">
        <v>316</v>
      </c>
      <c r="AT327" s="98"/>
    </row>
    <row r="328" spans="1:46" s="72" customFormat="1" hidden="1" x14ac:dyDescent="0.25">
      <c r="B328" s="29" t="s">
        <v>45</v>
      </c>
      <c r="C328" s="48">
        <v>45819</v>
      </c>
      <c r="D328" s="49">
        <v>25049</v>
      </c>
      <c r="E328" s="50" t="s">
        <v>302</v>
      </c>
      <c r="F328" s="49">
        <v>2506101101</v>
      </c>
      <c r="G328" s="49" t="s">
        <v>64</v>
      </c>
      <c r="H328" s="49" t="s">
        <v>301</v>
      </c>
      <c r="I328" s="49" t="s">
        <v>49</v>
      </c>
      <c r="J328" s="49" t="s">
        <v>46</v>
      </c>
      <c r="K328" s="109" t="s">
        <v>71</v>
      </c>
      <c r="L328" s="49" t="s">
        <v>47</v>
      </c>
      <c r="M328" s="382" t="e">
        <f t="shared" ref="M328:M391" si="60">DATEDIF(C328,AM328,"M")</f>
        <v>#N/A</v>
      </c>
      <c r="N328" s="57" t="s">
        <v>146</v>
      </c>
      <c r="O328" s="51">
        <v>20160007</v>
      </c>
      <c r="P328" s="30" t="str">
        <f>VLOOKUP(O328,[1]Feuil2!$A:$M,5,FALSE)</f>
        <v>LOT 6 MOKA OSLO BRILLANT CLASSIQUE +SUSPENSION</v>
      </c>
      <c r="Q328" s="49">
        <v>11520</v>
      </c>
      <c r="R328" s="52">
        <v>0.69699999999999995</v>
      </c>
      <c r="S328" s="53">
        <f t="shared" ref="S328:S388" si="61">Q328*R328</f>
        <v>8029.44</v>
      </c>
      <c r="T328" s="31">
        <f t="shared" si="51"/>
        <v>11592.432000000001</v>
      </c>
      <c r="U328" s="140"/>
      <c r="V328" s="32">
        <f t="shared" ref="V328:V388" si="62">U328+T328</f>
        <v>11592.432000000001</v>
      </c>
      <c r="W328" s="33">
        <f>VLOOKUP(O328,[1]Feuil2!$A:$M,6,FALSE)</f>
        <v>144</v>
      </c>
      <c r="X328" s="34">
        <f>VLOOKUP(O328,[1]Feuil2!$A:$M,13,FALSE)</f>
        <v>2.1560000000000003E-2</v>
      </c>
      <c r="Y328" s="35">
        <f t="shared" si="49"/>
        <v>1.7248000000000001</v>
      </c>
      <c r="Z328" s="36">
        <f t="shared" ref="Z328:Z388" si="63">SUMIF($E:$E,E328,$Y:$Y)</f>
        <v>3.0197125000000002</v>
      </c>
      <c r="AA328" s="235" t="s">
        <v>61</v>
      </c>
      <c r="AB328" s="55" t="s">
        <v>61</v>
      </c>
      <c r="AC328" s="49"/>
      <c r="AD328" s="55" t="s">
        <v>61</v>
      </c>
      <c r="AE328" s="48"/>
      <c r="AF328" s="55"/>
      <c r="AG328" s="55"/>
      <c r="AH328" s="57"/>
      <c r="AI328" s="182">
        <v>45894</v>
      </c>
      <c r="AJ328" s="137" t="s">
        <v>49</v>
      </c>
      <c r="AK328" s="56" t="e">
        <f>VLOOKUP(AP328,'[2]CONTENEUR PLEIN'!$F:$L,3,FALSE)</f>
        <v>#N/A</v>
      </c>
      <c r="AL328" s="37" t="e">
        <f>VLOOKUP(AP328,'[2]CONTENEUR PLEIN'!$F:$L,5,FALSE)</f>
        <v>#N/A</v>
      </c>
      <c r="AM328" s="38" t="e">
        <f>VLOOKUP(AP328,'[2]CONTENEUR PLEIN'!$F:$L,7,FALSE)</f>
        <v>#N/A</v>
      </c>
      <c r="AN328" s="49" t="s">
        <v>63</v>
      </c>
      <c r="AO328" s="49"/>
      <c r="AP328" s="49"/>
      <c r="AQ328" s="49"/>
      <c r="AR328" s="49" t="e">
        <f>VLOOKUP(AP328,'[2]CONTENEUR PLEIN'!$F:$L,2,FALSE)</f>
        <v>#N/A</v>
      </c>
      <c r="AS328" s="49"/>
      <c r="AT328" s="57"/>
    </row>
    <row r="329" spans="1:46" s="72" customFormat="1" hidden="1" x14ac:dyDescent="0.25">
      <c r="B329" s="29" t="s">
        <v>45</v>
      </c>
      <c r="C329" s="48">
        <v>45819</v>
      </c>
      <c r="D329" s="49">
        <v>25049</v>
      </c>
      <c r="E329" s="50" t="s">
        <v>302</v>
      </c>
      <c r="F329" s="49">
        <v>2506101101</v>
      </c>
      <c r="G329" s="49" t="s">
        <v>64</v>
      </c>
      <c r="H329" s="49" t="s">
        <v>301</v>
      </c>
      <c r="I329" s="49" t="s">
        <v>49</v>
      </c>
      <c r="J329" s="49" t="s">
        <v>46</v>
      </c>
      <c r="K329" s="109" t="s">
        <v>71</v>
      </c>
      <c r="L329" s="49" t="s">
        <v>47</v>
      </c>
      <c r="M329" s="382" t="e">
        <f t="shared" si="60"/>
        <v>#N/A</v>
      </c>
      <c r="N329" s="57" t="s">
        <v>49</v>
      </c>
      <c r="O329" s="51">
        <v>21150003</v>
      </c>
      <c r="P329" s="30" t="str">
        <f>VLOOKUP(O329,[1]Feuil2!$A:$M,5,FALSE)</f>
        <v>FOURCHETTE OLA + GENCOD</v>
      </c>
      <c r="Q329" s="49">
        <v>4800</v>
      </c>
      <c r="R329" s="52">
        <v>0.22800000000000001</v>
      </c>
      <c r="S329" s="53">
        <f t="shared" si="61"/>
        <v>1094.4000000000001</v>
      </c>
      <c r="T329" s="31">
        <f t="shared" si="51"/>
        <v>11592.432000000001</v>
      </c>
      <c r="U329" s="140"/>
      <c r="V329" s="32">
        <f t="shared" si="62"/>
        <v>11592.432000000001</v>
      </c>
      <c r="W329" s="33">
        <f>VLOOKUP(O329,[1]Feuil2!$A:$M,6,FALSE)</f>
        <v>240</v>
      </c>
      <c r="X329" s="34">
        <f>VLOOKUP(O329,[1]Feuil2!$A:$M,13,FALSE)</f>
        <v>2.9250000000000002E-2</v>
      </c>
      <c r="Y329" s="35">
        <f t="shared" si="49"/>
        <v>0.58500000000000008</v>
      </c>
      <c r="Z329" s="36">
        <f t="shared" si="63"/>
        <v>3.0197125000000002</v>
      </c>
      <c r="AA329" s="235" t="s">
        <v>61</v>
      </c>
      <c r="AB329" s="55" t="s">
        <v>61</v>
      </c>
      <c r="AC329" s="49"/>
      <c r="AD329" s="55" t="s">
        <v>61</v>
      </c>
      <c r="AE329" s="48"/>
      <c r="AF329" s="55"/>
      <c r="AG329" s="55"/>
      <c r="AH329" s="57"/>
      <c r="AI329" s="182">
        <v>45894</v>
      </c>
      <c r="AJ329" s="137" t="s">
        <v>49</v>
      </c>
      <c r="AK329" s="56" t="e">
        <f>VLOOKUP(AP329,'[2]CONTENEUR PLEIN'!$F:$L,3,FALSE)</f>
        <v>#N/A</v>
      </c>
      <c r="AL329" s="37" t="e">
        <f>VLOOKUP(AP329,'[2]CONTENEUR PLEIN'!$F:$L,5,FALSE)</f>
        <v>#N/A</v>
      </c>
      <c r="AM329" s="38" t="e">
        <f>VLOOKUP(AP329,'[2]CONTENEUR PLEIN'!$F:$L,7,FALSE)</f>
        <v>#N/A</v>
      </c>
      <c r="AN329" s="49" t="s">
        <v>63</v>
      </c>
      <c r="AO329" s="49"/>
      <c r="AP329" s="49"/>
      <c r="AQ329" s="49"/>
      <c r="AR329" s="49" t="e">
        <f>VLOOKUP(AP329,'[2]CONTENEUR PLEIN'!$F:$L,2,FALSE)</f>
        <v>#N/A</v>
      </c>
      <c r="AS329" s="49"/>
      <c r="AT329" s="57"/>
    </row>
    <row r="330" spans="1:46" s="72" customFormat="1" hidden="1" x14ac:dyDescent="0.25">
      <c r="B330" s="152" t="s">
        <v>45</v>
      </c>
      <c r="C330" s="89">
        <v>45819</v>
      </c>
      <c r="D330" s="129">
        <v>25049</v>
      </c>
      <c r="E330" s="143" t="s">
        <v>302</v>
      </c>
      <c r="F330" s="90">
        <v>2506101101</v>
      </c>
      <c r="G330" s="129" t="s">
        <v>64</v>
      </c>
      <c r="H330" s="129" t="s">
        <v>301</v>
      </c>
      <c r="I330" s="129" t="s">
        <v>49</v>
      </c>
      <c r="J330" s="129" t="s">
        <v>46</v>
      </c>
      <c r="K330" s="16" t="s">
        <v>594</v>
      </c>
      <c r="L330" s="238">
        <v>45926</v>
      </c>
      <c r="M330" s="381">
        <f t="shared" si="60"/>
        <v>5</v>
      </c>
      <c r="N330" s="98" t="s">
        <v>49</v>
      </c>
      <c r="O330" s="92">
        <v>21460016</v>
      </c>
      <c r="P330" s="24" t="str">
        <f>VLOOKUP(O330,[1]Feuil2!$A:$M,5,FALSE)</f>
        <v>CUILLERE DESSERT FUSEAU + GENCOD</v>
      </c>
      <c r="Q330" s="90">
        <v>3744</v>
      </c>
      <c r="R330" s="93">
        <v>0.318</v>
      </c>
      <c r="S330" s="94">
        <f t="shared" si="61"/>
        <v>1190.5920000000001</v>
      </c>
      <c r="T330" s="95">
        <f t="shared" si="51"/>
        <v>11592.432000000001</v>
      </c>
      <c r="U330" s="138"/>
      <c r="V330" s="96">
        <f t="shared" si="62"/>
        <v>11592.432000000001</v>
      </c>
      <c r="W330" s="4">
        <f>VLOOKUP(O330,[1]Feuil2!$A:$M,6,FALSE)</f>
        <v>144</v>
      </c>
      <c r="X330" s="5">
        <f>VLOOKUP(O330,[1]Feuil2!$A:$M,13,FALSE)</f>
        <v>9.6937499999999992E-3</v>
      </c>
      <c r="Y330" s="6">
        <f t="shared" si="49"/>
        <v>0.25203749999999997</v>
      </c>
      <c r="Z330" s="97">
        <f t="shared" si="63"/>
        <v>3.0197125000000002</v>
      </c>
      <c r="AA330" s="167" t="s">
        <v>61</v>
      </c>
      <c r="AB330" s="133" t="s">
        <v>61</v>
      </c>
      <c r="AC330" s="191" t="s">
        <v>55</v>
      </c>
      <c r="AD330" s="21" t="s">
        <v>57</v>
      </c>
      <c r="AE330" s="20">
        <v>45883</v>
      </c>
      <c r="AF330" s="21" t="s">
        <v>395</v>
      </c>
      <c r="AG330" s="21"/>
      <c r="AH330" s="98"/>
      <c r="AI330" s="160">
        <v>45894</v>
      </c>
      <c r="AJ330" s="145">
        <f>DATEDIF(AI330,AK330,"D")</f>
        <v>19</v>
      </c>
      <c r="AK330" s="100">
        <f>VLOOKUP(AP330,'[3]CONTENEUR PLEIN'!$F:$L,3,FALSE)</f>
        <v>45913</v>
      </c>
      <c r="AL330" s="99">
        <f>VLOOKUP(AP330,'[3]CONTENEUR PLEIN'!$F:$L,5,FALSE)</f>
        <v>45971</v>
      </c>
      <c r="AM330" s="18">
        <f>VLOOKUP(AP330,'[3]CONTENEUR PLEIN'!$F:$L,7,FALSE)</f>
        <v>45979.53125</v>
      </c>
      <c r="AN330" s="130" t="s">
        <v>63</v>
      </c>
      <c r="AO330" s="191" t="s">
        <v>428</v>
      </c>
      <c r="AP330" s="191" t="s">
        <v>429</v>
      </c>
      <c r="AQ330" s="90">
        <v>2506101101</v>
      </c>
      <c r="AR330" s="191" t="e">
        <f>VLOOKUP(AP330,'[2]CONTENEUR PLEIN'!$F:$L,2,FALSE)</f>
        <v>#N/A</v>
      </c>
      <c r="AS330" s="191" t="s">
        <v>316</v>
      </c>
      <c r="AT330" s="98"/>
    </row>
    <row r="331" spans="1:46" s="72" customFormat="1" hidden="1" x14ac:dyDescent="0.25">
      <c r="B331" s="152" t="s">
        <v>45</v>
      </c>
      <c r="C331" s="89">
        <v>45819</v>
      </c>
      <c r="D331" s="129">
        <v>25049</v>
      </c>
      <c r="E331" s="143" t="s">
        <v>302</v>
      </c>
      <c r="F331" s="90">
        <v>2506101101</v>
      </c>
      <c r="G331" s="129" t="s">
        <v>64</v>
      </c>
      <c r="H331" s="129" t="s">
        <v>301</v>
      </c>
      <c r="I331" s="129" t="s">
        <v>49</v>
      </c>
      <c r="J331" s="129" t="s">
        <v>46</v>
      </c>
      <c r="K331" s="16" t="s">
        <v>862</v>
      </c>
      <c r="L331" s="128">
        <v>45995</v>
      </c>
      <c r="M331" s="381">
        <f t="shared" si="60"/>
        <v>7</v>
      </c>
      <c r="N331" s="98" t="s">
        <v>49</v>
      </c>
      <c r="O331" s="92">
        <v>400550</v>
      </c>
      <c r="P331" s="24" t="str">
        <f>VLOOKUP(O331,[1]Feuil2!$A:$M,5,FALSE)</f>
        <v>CAFE VIEUX PARIS + GENCOD</v>
      </c>
      <c r="Q331" s="90">
        <v>6000</v>
      </c>
      <c r="R331" s="93">
        <v>0.21299999999999999</v>
      </c>
      <c r="S331" s="94">
        <f t="shared" si="61"/>
        <v>1278</v>
      </c>
      <c r="T331" s="95">
        <f t="shared" si="51"/>
        <v>11592.432000000001</v>
      </c>
      <c r="U331" s="138"/>
      <c r="V331" s="96">
        <f t="shared" si="62"/>
        <v>11592.432000000001</v>
      </c>
      <c r="W331" s="4">
        <f>VLOOKUP(O331,[1]Feuil2!$A:$M,6,FALSE)</f>
        <v>240</v>
      </c>
      <c r="X331" s="5">
        <f>VLOOKUP(O331,[1]Feuil2!$A:$M,13,FALSE)</f>
        <v>1.8315000000000001E-2</v>
      </c>
      <c r="Y331" s="6">
        <f t="shared" si="49"/>
        <v>0.45787500000000003</v>
      </c>
      <c r="Z331" s="97">
        <f t="shared" si="63"/>
        <v>3.0197125000000002</v>
      </c>
      <c r="AA331" s="69" t="s">
        <v>57</v>
      </c>
      <c r="AB331" s="67" t="s">
        <v>48</v>
      </c>
      <c r="AC331" s="191" t="s">
        <v>55</v>
      </c>
      <c r="AD331" s="21" t="s">
        <v>57</v>
      </c>
      <c r="AE331" s="20">
        <v>45918</v>
      </c>
      <c r="AF331" s="21" t="s">
        <v>529</v>
      </c>
      <c r="AG331" s="21" t="s">
        <v>57</v>
      </c>
      <c r="AH331" s="503" t="s">
        <v>48</v>
      </c>
      <c r="AI331" s="160">
        <v>45894</v>
      </c>
      <c r="AJ331" s="145">
        <f>DATEDIF(AI331,$AK331,"D")</f>
        <v>90</v>
      </c>
      <c r="AK331" s="100">
        <f>VLOOKUP(AP331,'[2]CONTENEUR PLEIN'!$F:$L,3,FALSE)</f>
        <v>45984</v>
      </c>
      <c r="AL331" s="99">
        <f>VLOOKUP(AP331,'[2]CONTENEUR PLEIN'!$F:$L,5,FALSE)</f>
        <v>46030</v>
      </c>
      <c r="AM331" s="18">
        <f>VLOOKUP(AP331,'[2]CONTENEUR PLEIN'!$F:$L,7,FALSE)</f>
        <v>46036.333333333336</v>
      </c>
      <c r="AN331" s="130" t="s">
        <v>63</v>
      </c>
      <c r="AO331" s="351" t="s">
        <v>577</v>
      </c>
      <c r="AP331" s="351" t="s">
        <v>578</v>
      </c>
      <c r="AQ331" s="351" t="s">
        <v>587</v>
      </c>
      <c r="AR331" s="90" t="str">
        <f>VLOOKUP(AP331,'[2]CONTENEUR PLEIN'!$F:$L,2,FALSE)</f>
        <v>CMA CGM GRACE BAY</v>
      </c>
      <c r="AS331" s="351" t="s">
        <v>316</v>
      </c>
      <c r="AT331" s="98"/>
    </row>
    <row r="332" spans="1:46" s="72" customFormat="1" hidden="1" x14ac:dyDescent="0.25">
      <c r="A332" s="71"/>
      <c r="B332" s="152" t="s">
        <v>45</v>
      </c>
      <c r="C332" s="89">
        <v>45820</v>
      </c>
      <c r="D332" s="129">
        <v>25052</v>
      </c>
      <c r="E332" s="143" t="s">
        <v>304</v>
      </c>
      <c r="F332" s="90">
        <v>2506111623</v>
      </c>
      <c r="G332" s="129" t="s">
        <v>74</v>
      </c>
      <c r="H332" s="168" t="s">
        <v>46</v>
      </c>
      <c r="I332" s="129" t="s">
        <v>49</v>
      </c>
      <c r="J332" s="8" t="s">
        <v>66</v>
      </c>
      <c r="K332" s="16" t="s">
        <v>1051</v>
      </c>
      <c r="L332" s="128">
        <v>46056</v>
      </c>
      <c r="M332" s="381">
        <f t="shared" si="60"/>
        <v>9</v>
      </c>
      <c r="N332" s="98" t="s">
        <v>62</v>
      </c>
      <c r="O332" s="92">
        <v>32000002</v>
      </c>
      <c r="P332" s="24" t="str">
        <f>VLOOKUP(O332,[1]Feuil2!$A:$M,5,FALSE)</f>
        <v>M24 PASSION BLANC BOITE LAGUIOLE HERITAGE</v>
      </c>
      <c r="Q332" s="90">
        <f>5400-4590</f>
        <v>810</v>
      </c>
      <c r="R332" s="93">
        <v>7.23</v>
      </c>
      <c r="S332" s="94">
        <f t="shared" si="61"/>
        <v>5856.3</v>
      </c>
      <c r="T332" s="95">
        <f t="shared" si="51"/>
        <v>122852.16</v>
      </c>
      <c r="U332" s="138"/>
      <c r="V332" s="96">
        <f t="shared" si="62"/>
        <v>122852.16</v>
      </c>
      <c r="W332" s="4">
        <f>VLOOKUP(O332,[1]Feuil2!$A:$M,6,FALSE)</f>
        <v>6</v>
      </c>
      <c r="X332" s="5">
        <f>VLOOKUP(O332,[1]Feuil2!$A:$M,13,FALSE)</f>
        <v>2.3789999999999999E-2</v>
      </c>
      <c r="Y332" s="6">
        <f t="shared" si="49"/>
        <v>3.2116499999999997</v>
      </c>
      <c r="Z332" s="97">
        <f t="shared" si="63"/>
        <v>67.373279999999994</v>
      </c>
      <c r="AA332" s="69" t="s">
        <v>57</v>
      </c>
      <c r="AB332" s="67" t="s">
        <v>48</v>
      </c>
      <c r="AC332" s="191" t="s">
        <v>55</v>
      </c>
      <c r="AD332" s="21" t="s">
        <v>57</v>
      </c>
      <c r="AE332" s="20">
        <v>45996</v>
      </c>
      <c r="AF332" s="47" t="s">
        <v>688</v>
      </c>
      <c r="AG332" s="21"/>
      <c r="AH332" s="98"/>
      <c r="AI332" s="160">
        <v>45899</v>
      </c>
      <c r="AJ332" s="145">
        <f>DATEDIF(AI332,$AK$330,"D")</f>
        <v>14</v>
      </c>
      <c r="AK332" s="100">
        <f>VLOOKUP(AP332,'[2]CONTENEUR PLEIN'!$F:$L,3,FALSE)</f>
        <v>46026</v>
      </c>
      <c r="AL332" s="99">
        <f>VLOOKUP(AP332,'[2]CONTENEUR PLEIN'!$F:$L,5,FALSE)</f>
        <v>46081</v>
      </c>
      <c r="AM332" s="18">
        <f>VLOOKUP(AP332,'[2]CONTENEUR PLEIN'!$F:$L,7,FALSE)</f>
        <v>46098.53125</v>
      </c>
      <c r="AN332" s="130" t="s">
        <v>63</v>
      </c>
      <c r="AO332" s="514" t="s">
        <v>786</v>
      </c>
      <c r="AP332" s="514" t="s">
        <v>787</v>
      </c>
      <c r="AQ332" s="514" t="s">
        <v>790</v>
      </c>
      <c r="AR332" s="90" t="str">
        <f>VLOOKUP(AP332,'[2]CONTENEUR PLEIN'!$F:$L,2,FALSE)</f>
        <v>ZEPHYR LUMOS</v>
      </c>
      <c r="AS332" s="514" t="s">
        <v>316</v>
      </c>
      <c r="AT332" s="98"/>
    </row>
    <row r="333" spans="1:46" s="72" customFormat="1" hidden="1" x14ac:dyDescent="0.25">
      <c r="A333" s="71"/>
      <c r="B333" s="152" t="s">
        <v>45</v>
      </c>
      <c r="C333" s="89">
        <v>45820</v>
      </c>
      <c r="D333" s="129">
        <v>25052</v>
      </c>
      <c r="E333" s="143" t="s">
        <v>304</v>
      </c>
      <c r="F333" s="90">
        <v>2506111623</v>
      </c>
      <c r="G333" s="129" t="s">
        <v>74</v>
      </c>
      <c r="H333" s="168" t="s">
        <v>46</v>
      </c>
      <c r="I333" s="129" t="s">
        <v>49</v>
      </c>
      <c r="J333" s="8" t="s">
        <v>66</v>
      </c>
      <c r="K333" s="8" t="s">
        <v>997</v>
      </c>
      <c r="L333" s="128">
        <v>46048</v>
      </c>
      <c r="M333" s="381">
        <f t="shared" si="60"/>
        <v>8</v>
      </c>
      <c r="N333" s="98" t="s">
        <v>62</v>
      </c>
      <c r="O333" s="92">
        <v>32000001</v>
      </c>
      <c r="P333" s="24" t="str">
        <f>VLOOKUP(O333,[1]Feuil2!$A:$M,5,FALSE)</f>
        <v>M24 PASSION NOIR 6C BOITE LAGUIOLE HERITAGE</v>
      </c>
      <c r="Q333" s="90">
        <f>5400-5160</f>
        <v>240</v>
      </c>
      <c r="R333" s="93">
        <v>7.23</v>
      </c>
      <c r="S333" s="94">
        <f t="shared" si="61"/>
        <v>1735.2</v>
      </c>
      <c r="T333" s="95">
        <f t="shared" si="51"/>
        <v>122852.16</v>
      </c>
      <c r="U333" s="138"/>
      <c r="V333" s="96">
        <f t="shared" si="62"/>
        <v>122852.16</v>
      </c>
      <c r="W333" s="4">
        <f>VLOOKUP(O333,[1]Feuil2!$A:$M,6,FALSE)</f>
        <v>6</v>
      </c>
      <c r="X333" s="5">
        <f>VLOOKUP(O333,[1]Feuil2!$A:$M,13,FALSE)</f>
        <v>2.3789999999999999E-2</v>
      </c>
      <c r="Y333" s="6">
        <f t="shared" si="49"/>
        <v>0.9516</v>
      </c>
      <c r="Z333" s="97">
        <f t="shared" si="63"/>
        <v>67.373279999999994</v>
      </c>
      <c r="AA333" s="69" t="s">
        <v>57</v>
      </c>
      <c r="AB333" s="67" t="s">
        <v>48</v>
      </c>
      <c r="AC333" s="191" t="s">
        <v>55</v>
      </c>
      <c r="AD333" s="21" t="s">
        <v>57</v>
      </c>
      <c r="AE333" s="20">
        <v>45996</v>
      </c>
      <c r="AF333" s="21" t="s">
        <v>689</v>
      </c>
      <c r="AG333" s="21"/>
      <c r="AH333" s="98"/>
      <c r="AI333" s="485">
        <v>45899</v>
      </c>
      <c r="AJ333" s="145">
        <f>DATEDIF(AI333,AK333,"D")</f>
        <v>123</v>
      </c>
      <c r="AK333" s="100">
        <f>VLOOKUP(AP333,'[2]CONTENEUR PLEIN'!$F:$L,3,FALSE)</f>
        <v>46022</v>
      </c>
      <c r="AL333" s="99">
        <f>VLOOKUP(AP333,'[2]CONTENEUR PLEIN'!$F:$L,5,FALSE)</f>
        <v>46066</v>
      </c>
      <c r="AM333" s="18">
        <f>VLOOKUP(AP333,'[2]CONTENEUR PLEIN'!$F:$L,7,FALSE)</f>
        <v>46071.333333333336</v>
      </c>
      <c r="AN333" s="130" t="s">
        <v>63</v>
      </c>
      <c r="AO333" s="514" t="s">
        <v>782</v>
      </c>
      <c r="AP333" s="514" t="s">
        <v>783</v>
      </c>
      <c r="AQ333" s="514" t="s">
        <v>792</v>
      </c>
      <c r="AR333" s="90" t="str">
        <f>VLOOKUP(AP333,'[2]CONTENEUR PLEIN'!$F:$L,2,FALSE)</f>
        <v>CMA CGM GREENLAND</v>
      </c>
      <c r="AS333" s="514" t="s">
        <v>316</v>
      </c>
      <c r="AT333" s="98"/>
    </row>
    <row r="334" spans="1:46" s="72" customFormat="1" hidden="1" x14ac:dyDescent="0.25">
      <c r="A334" s="71"/>
      <c r="B334" s="152" t="s">
        <v>45</v>
      </c>
      <c r="C334" s="89">
        <v>45820</v>
      </c>
      <c r="D334" s="129">
        <v>25052</v>
      </c>
      <c r="E334" s="143" t="s">
        <v>304</v>
      </c>
      <c r="F334" s="90">
        <v>2506111623</v>
      </c>
      <c r="G334" s="129" t="s">
        <v>74</v>
      </c>
      <c r="H334" s="168" t="s">
        <v>46</v>
      </c>
      <c r="I334" s="129" t="s">
        <v>49</v>
      </c>
      <c r="J334" s="8" t="s">
        <v>66</v>
      </c>
      <c r="K334" s="8" t="s">
        <v>967</v>
      </c>
      <c r="L334" s="128">
        <v>46041</v>
      </c>
      <c r="M334" s="381">
        <f t="shared" si="60"/>
        <v>7</v>
      </c>
      <c r="N334" s="98" t="s">
        <v>62</v>
      </c>
      <c r="O334" s="92">
        <v>32000001</v>
      </c>
      <c r="P334" s="24" t="str">
        <f>VLOOKUP(O334,[1]Feuil2!$A:$M,5,FALSE)</f>
        <v>M24 PASSION NOIR 6C BOITE LAGUIOLE HERITAGE</v>
      </c>
      <c r="Q334" s="90">
        <v>5160</v>
      </c>
      <c r="R334" s="93">
        <v>7.23</v>
      </c>
      <c r="S334" s="94">
        <f t="shared" si="61"/>
        <v>37306.800000000003</v>
      </c>
      <c r="T334" s="95">
        <f t="shared" si="51"/>
        <v>122852.16</v>
      </c>
      <c r="U334" s="138"/>
      <c r="V334" s="96">
        <f t="shared" si="62"/>
        <v>122852.16</v>
      </c>
      <c r="W334" s="4">
        <f>VLOOKUP(O334,[1]Feuil2!$A:$M,6,FALSE)</f>
        <v>6</v>
      </c>
      <c r="X334" s="5">
        <f>VLOOKUP(O334,[1]Feuil2!$A:$M,13,FALSE)</f>
        <v>2.3789999999999999E-2</v>
      </c>
      <c r="Y334" s="6">
        <f t="shared" si="49"/>
        <v>20.459399999999999</v>
      </c>
      <c r="Z334" s="97">
        <f t="shared" si="63"/>
        <v>67.373279999999994</v>
      </c>
      <c r="AA334" s="69" t="s">
        <v>57</v>
      </c>
      <c r="AB334" s="67" t="s">
        <v>48</v>
      </c>
      <c r="AC334" s="191" t="s">
        <v>55</v>
      </c>
      <c r="AD334" s="21" t="s">
        <v>57</v>
      </c>
      <c r="AE334" s="20">
        <v>45996</v>
      </c>
      <c r="AF334" s="21" t="s">
        <v>689</v>
      </c>
      <c r="AG334" s="21"/>
      <c r="AH334" s="98"/>
      <c r="AI334" s="160">
        <v>45899</v>
      </c>
      <c r="AJ334" s="145">
        <f>DATEDIF(AI334,$AK$327,"D")</f>
        <v>31</v>
      </c>
      <c r="AK334" s="100">
        <f>VLOOKUP(AP334,'[2]CONTENEUR PLEIN'!$F:$L,3,FALSE)</f>
        <v>46010</v>
      </c>
      <c r="AL334" s="99">
        <f>VLOOKUP(AP334,'[2]CONTENEUR PLEIN'!$F:$L,5,FALSE)</f>
        <v>46052</v>
      </c>
      <c r="AM334" s="18">
        <f>VLOOKUP(AP334,'[2]CONTENEUR PLEIN'!$F:$L,7,FALSE)</f>
        <v>46059.333333333336</v>
      </c>
      <c r="AN334" s="130" t="s">
        <v>63</v>
      </c>
      <c r="AO334" s="479" t="s">
        <v>740</v>
      </c>
      <c r="AP334" s="479" t="s">
        <v>741</v>
      </c>
      <c r="AQ334" s="479" t="s">
        <v>742</v>
      </c>
      <c r="AR334" s="90" t="str">
        <f>VLOOKUP(AP334,'[2]CONTENEUR PLEIN'!$F:$L,2,FALSE)</f>
        <v>CMA CGM KIMBERLEY</v>
      </c>
      <c r="AS334" s="479" t="s">
        <v>316</v>
      </c>
      <c r="AT334" s="98"/>
    </row>
    <row r="335" spans="1:46" s="72" customFormat="1" hidden="1" x14ac:dyDescent="0.25">
      <c r="A335" s="71"/>
      <c r="B335" s="152" t="s">
        <v>45</v>
      </c>
      <c r="C335" s="89">
        <v>45820</v>
      </c>
      <c r="D335" s="129">
        <v>25052</v>
      </c>
      <c r="E335" s="143" t="s">
        <v>304</v>
      </c>
      <c r="F335" s="90">
        <v>2506111623</v>
      </c>
      <c r="G335" s="129" t="s">
        <v>74</v>
      </c>
      <c r="H335" s="168" t="s">
        <v>46</v>
      </c>
      <c r="I335" s="129" t="s">
        <v>49</v>
      </c>
      <c r="J335" s="8" t="s">
        <v>66</v>
      </c>
      <c r="K335" s="8" t="s">
        <v>967</v>
      </c>
      <c r="L335" s="128">
        <v>46041</v>
      </c>
      <c r="M335" s="381">
        <f t="shared" si="60"/>
        <v>7</v>
      </c>
      <c r="N335" s="98" t="s">
        <v>62</v>
      </c>
      <c r="O335" s="92">
        <v>32000002</v>
      </c>
      <c r="P335" s="24" t="str">
        <f>VLOOKUP(O335,[1]Feuil2!$A:$M,5,FALSE)</f>
        <v>M24 PASSION BLANC BOITE LAGUIOLE HERITAGE</v>
      </c>
      <c r="Q335" s="90">
        <v>4590</v>
      </c>
      <c r="R335" s="93">
        <v>7.23</v>
      </c>
      <c r="S335" s="94">
        <f t="shared" si="61"/>
        <v>33185.700000000004</v>
      </c>
      <c r="T335" s="95">
        <f t="shared" si="51"/>
        <v>122852.16</v>
      </c>
      <c r="U335" s="138"/>
      <c r="V335" s="96">
        <f t="shared" si="62"/>
        <v>122852.16</v>
      </c>
      <c r="W335" s="4">
        <f>VLOOKUP(O335,[1]Feuil2!$A:$M,6,FALSE)</f>
        <v>6</v>
      </c>
      <c r="X335" s="5">
        <f>VLOOKUP(O335,[1]Feuil2!$A:$M,13,FALSE)</f>
        <v>2.3789999999999999E-2</v>
      </c>
      <c r="Y335" s="6">
        <f t="shared" si="49"/>
        <v>18.199349999999999</v>
      </c>
      <c r="Z335" s="97">
        <f t="shared" si="63"/>
        <v>67.373279999999994</v>
      </c>
      <c r="AA335" s="69" t="s">
        <v>57</v>
      </c>
      <c r="AB335" s="67" t="s">
        <v>48</v>
      </c>
      <c r="AC335" s="191" t="s">
        <v>55</v>
      </c>
      <c r="AD335" s="21" t="s">
        <v>57</v>
      </c>
      <c r="AE335" s="20">
        <v>45996</v>
      </c>
      <c r="AF335" s="47" t="s">
        <v>688</v>
      </c>
      <c r="AG335" s="21"/>
      <c r="AH335" s="98"/>
      <c r="AI335" s="160">
        <v>45899</v>
      </c>
      <c r="AJ335" s="145" t="e">
        <f>DATEDIF(AI335,$AK$329,"D")</f>
        <v>#N/A</v>
      </c>
      <c r="AK335" s="100">
        <f>VLOOKUP(AP335,'[2]CONTENEUR PLEIN'!$F:$L,3,FALSE)</f>
        <v>46010</v>
      </c>
      <c r="AL335" s="99">
        <f>VLOOKUP(AP335,'[2]CONTENEUR PLEIN'!$F:$L,5,FALSE)</f>
        <v>46052</v>
      </c>
      <c r="AM335" s="18">
        <f>VLOOKUP(AP335,'[2]CONTENEUR PLEIN'!$F:$L,7,FALSE)</f>
        <v>46059.333333333336</v>
      </c>
      <c r="AN335" s="130" t="s">
        <v>63</v>
      </c>
      <c r="AO335" s="479" t="s">
        <v>740</v>
      </c>
      <c r="AP335" s="479" t="s">
        <v>741</v>
      </c>
      <c r="AQ335" s="479" t="s">
        <v>742</v>
      </c>
      <c r="AR335" s="90" t="str">
        <f>VLOOKUP(AP335,'[2]CONTENEUR PLEIN'!$F:$L,2,FALSE)</f>
        <v>CMA CGM KIMBERLEY</v>
      </c>
      <c r="AS335" s="479" t="s">
        <v>316</v>
      </c>
      <c r="AT335" s="98"/>
    </row>
    <row r="336" spans="1:46" s="72" customFormat="1" hidden="1" x14ac:dyDescent="0.25">
      <c r="A336" s="71"/>
      <c r="B336" s="152" t="s">
        <v>45</v>
      </c>
      <c r="C336" s="89">
        <v>45820</v>
      </c>
      <c r="D336" s="129">
        <v>25052</v>
      </c>
      <c r="E336" s="143" t="s">
        <v>304</v>
      </c>
      <c r="F336" s="90">
        <v>2506111623</v>
      </c>
      <c r="G336" s="129" t="s">
        <v>74</v>
      </c>
      <c r="H336" s="168" t="s">
        <v>46</v>
      </c>
      <c r="I336" s="129" t="s">
        <v>49</v>
      </c>
      <c r="J336" s="129" t="s">
        <v>46</v>
      </c>
      <c r="K336" s="16" t="s">
        <v>991</v>
      </c>
      <c r="L336" s="128">
        <v>46014</v>
      </c>
      <c r="M336" s="381">
        <f t="shared" si="60"/>
        <v>8</v>
      </c>
      <c r="N336" s="544" t="s">
        <v>146</v>
      </c>
      <c r="O336" s="92">
        <v>32000004</v>
      </c>
      <c r="P336" s="24" t="str">
        <f>VLOOKUP(O336,[1]Feuil2!$A:$M,5,FALSE)</f>
        <v>M24 PASSION BLEU 432C BOITE LAGUIOLE HERITAGE</v>
      </c>
      <c r="Q336" s="90">
        <v>3096</v>
      </c>
      <c r="R336" s="93">
        <v>7.23</v>
      </c>
      <c r="S336" s="94">
        <f t="shared" si="61"/>
        <v>22384.080000000002</v>
      </c>
      <c r="T336" s="95">
        <f t="shared" si="51"/>
        <v>122852.16</v>
      </c>
      <c r="U336" s="138"/>
      <c r="V336" s="96">
        <f t="shared" si="62"/>
        <v>122852.16</v>
      </c>
      <c r="W336" s="4">
        <f>VLOOKUP(O336,[1]Feuil2!$A:$M,6,FALSE)</f>
        <v>6</v>
      </c>
      <c r="X336" s="5">
        <f>VLOOKUP(O336,[1]Feuil2!$A:$M,13,FALSE)</f>
        <v>2.3789999999999999E-2</v>
      </c>
      <c r="Y336" s="6">
        <f t="shared" si="49"/>
        <v>12.275639999999999</v>
      </c>
      <c r="Z336" s="97">
        <f t="shared" si="63"/>
        <v>67.373279999999994</v>
      </c>
      <c r="AA336" s="69" t="s">
        <v>57</v>
      </c>
      <c r="AB336" s="67" t="s">
        <v>48</v>
      </c>
      <c r="AC336" s="191" t="s">
        <v>55</v>
      </c>
      <c r="AD336" s="21" t="s">
        <v>57</v>
      </c>
      <c r="AE336" s="20">
        <v>45987</v>
      </c>
      <c r="AF336" s="21" t="s">
        <v>634</v>
      </c>
      <c r="AG336" s="21" t="s">
        <v>57</v>
      </c>
      <c r="AH336" s="519" t="s">
        <v>48</v>
      </c>
      <c r="AI336" s="160">
        <v>45899</v>
      </c>
      <c r="AJ336" s="145">
        <f>DATEDIF(AI336,$AK336,"D")</f>
        <v>104</v>
      </c>
      <c r="AK336" s="100">
        <f>VLOOKUP(AP336,'[2]CONTENEUR PLEIN'!$F:$L,3,FALSE)</f>
        <v>46003</v>
      </c>
      <c r="AL336" s="99">
        <f>VLOOKUP(AP336,'[2]CONTENEUR PLEIN'!$F:$L,5,FALSE)</f>
        <v>46060</v>
      </c>
      <c r="AM336" s="18">
        <f>VLOOKUP(AP336,'[2]CONTENEUR PLEIN'!$F:$L,7,FALSE)</f>
        <v>46066.291666666664</v>
      </c>
      <c r="AN336" s="130" t="s">
        <v>63</v>
      </c>
      <c r="AO336" s="290" t="s">
        <v>664</v>
      </c>
      <c r="AP336" s="290" t="s">
        <v>665</v>
      </c>
      <c r="AQ336" s="290" t="s">
        <v>670</v>
      </c>
      <c r="AR336" s="90" t="str">
        <f>VLOOKUP(AP336,'[2]CONTENEUR PLEIN'!$F:$L,2,FALSE)</f>
        <v>CMA CGM SCANDOLA</v>
      </c>
      <c r="AS336" s="290" t="s">
        <v>316</v>
      </c>
      <c r="AT336" s="98"/>
    </row>
    <row r="337" spans="1:47" s="72" customFormat="1" hidden="1" x14ac:dyDescent="0.25">
      <c r="A337" s="71"/>
      <c r="B337" s="152" t="s">
        <v>45</v>
      </c>
      <c r="C337" s="89">
        <v>45820</v>
      </c>
      <c r="D337" s="129">
        <v>25052</v>
      </c>
      <c r="E337" s="143" t="s">
        <v>304</v>
      </c>
      <c r="F337" s="90">
        <v>2506111623</v>
      </c>
      <c r="G337" s="129" t="s">
        <v>74</v>
      </c>
      <c r="H337" s="168" t="s">
        <v>46</v>
      </c>
      <c r="I337" s="129" t="s">
        <v>49</v>
      </c>
      <c r="J337" s="8" t="s">
        <v>66</v>
      </c>
      <c r="K337" s="16" t="s">
        <v>991</v>
      </c>
      <c r="L337" s="333">
        <v>46014</v>
      </c>
      <c r="M337" s="381">
        <f t="shared" si="60"/>
        <v>8</v>
      </c>
      <c r="N337" s="98" t="s">
        <v>62</v>
      </c>
      <c r="O337" s="92">
        <v>32000005</v>
      </c>
      <c r="P337" s="24" t="str">
        <f>VLOOKUP(O337,[1]Feuil2!$A:$M,5,FALSE)</f>
        <v>M24 PASSION ROUGE 187C BOITE LAGUIOLE HERITAGE</v>
      </c>
      <c r="Q337" s="90">
        <v>3096</v>
      </c>
      <c r="R337" s="93">
        <v>7.23</v>
      </c>
      <c r="S337" s="94">
        <f t="shared" si="61"/>
        <v>22384.080000000002</v>
      </c>
      <c r="T337" s="95">
        <f t="shared" si="51"/>
        <v>122852.16</v>
      </c>
      <c r="U337" s="138"/>
      <c r="V337" s="96">
        <f t="shared" si="62"/>
        <v>122852.16</v>
      </c>
      <c r="W337" s="4">
        <f>VLOOKUP(O337,[1]Feuil2!$A:$M,6,FALSE)</f>
        <v>6</v>
      </c>
      <c r="X337" s="5">
        <f>VLOOKUP(O337,[1]Feuil2!$A:$M,13,FALSE)</f>
        <v>2.3789999999999999E-2</v>
      </c>
      <c r="Y337" s="6">
        <f t="shared" si="49"/>
        <v>12.275639999999999</v>
      </c>
      <c r="Z337" s="97">
        <f t="shared" si="63"/>
        <v>67.373279999999994</v>
      </c>
      <c r="AA337" s="69" t="s">
        <v>57</v>
      </c>
      <c r="AB337" s="67" t="s">
        <v>48</v>
      </c>
      <c r="AC337" s="191" t="s">
        <v>55</v>
      </c>
      <c r="AD337" s="21" t="s">
        <v>57</v>
      </c>
      <c r="AE337" s="20">
        <v>45987</v>
      </c>
      <c r="AF337" s="21" t="s">
        <v>633</v>
      </c>
      <c r="AG337" s="21" t="s">
        <v>57</v>
      </c>
      <c r="AH337" s="519" t="s">
        <v>48</v>
      </c>
      <c r="AI337" s="160">
        <v>45899</v>
      </c>
      <c r="AJ337" s="145">
        <f>DATEDIF(AI337,$AK337,"D")</f>
        <v>104</v>
      </c>
      <c r="AK337" s="100">
        <f>VLOOKUP(AP337,'[2]CONTENEUR PLEIN'!$F:$L,3,FALSE)</f>
        <v>46003</v>
      </c>
      <c r="AL337" s="99">
        <f>VLOOKUP(AP337,'[2]CONTENEUR PLEIN'!$F:$L,5,FALSE)</f>
        <v>46060</v>
      </c>
      <c r="AM337" s="18">
        <f>VLOOKUP(AP337,'[2]CONTENEUR PLEIN'!$F:$L,7,FALSE)</f>
        <v>46066.291666666664</v>
      </c>
      <c r="AN337" s="130" t="s">
        <v>63</v>
      </c>
      <c r="AO337" s="290" t="s">
        <v>664</v>
      </c>
      <c r="AP337" s="290" t="s">
        <v>665</v>
      </c>
      <c r="AQ337" s="290" t="s">
        <v>670</v>
      </c>
      <c r="AR337" s="90" t="str">
        <f>VLOOKUP(AP337,'[2]CONTENEUR PLEIN'!$F:$L,2,FALSE)</f>
        <v>CMA CGM SCANDOLA</v>
      </c>
      <c r="AS337" s="290" t="s">
        <v>316</v>
      </c>
      <c r="AT337" s="98"/>
    </row>
    <row r="338" spans="1:47" s="72" customFormat="1" hidden="1" x14ac:dyDescent="0.25">
      <c r="B338" s="29" t="s">
        <v>45</v>
      </c>
      <c r="C338" s="48">
        <v>45838</v>
      </c>
      <c r="D338" s="49">
        <v>25053</v>
      </c>
      <c r="E338" s="50" t="s">
        <v>339</v>
      </c>
      <c r="F338" s="49">
        <v>2506161216</v>
      </c>
      <c r="G338" s="49" t="s">
        <v>64</v>
      </c>
      <c r="H338" s="49" t="s">
        <v>46</v>
      </c>
      <c r="I338" s="49" t="s">
        <v>49</v>
      </c>
      <c r="J338" s="49" t="s">
        <v>46</v>
      </c>
      <c r="K338" s="107" t="s">
        <v>71</v>
      </c>
      <c r="L338" s="49" t="s">
        <v>47</v>
      </c>
      <c r="M338" s="382" t="e">
        <f t="shared" si="60"/>
        <v>#N/A</v>
      </c>
      <c r="N338" s="57" t="s">
        <v>49</v>
      </c>
      <c r="O338" s="51">
        <v>21460018</v>
      </c>
      <c r="P338" s="30" t="str">
        <f>VLOOKUP(O338,[1]Feuil2!$A:$M,5,FALSE)</f>
        <v>CUILLERE TAPAS FUSEAU + GENCOD</v>
      </c>
      <c r="Q338" s="49">
        <v>4896</v>
      </c>
      <c r="R338" s="52">
        <v>0.375</v>
      </c>
      <c r="S338" s="53">
        <f t="shared" si="61"/>
        <v>1836</v>
      </c>
      <c r="T338" s="31">
        <f t="shared" si="51"/>
        <v>15814.432000000001</v>
      </c>
      <c r="U338" s="140"/>
      <c r="V338" s="32">
        <f t="shared" si="62"/>
        <v>15814.432000000001</v>
      </c>
      <c r="W338" s="33">
        <f>VLOOKUP(O338,[1]Feuil2!$A:$M,6,FALSE)</f>
        <v>144</v>
      </c>
      <c r="X338" s="34">
        <f>VLOOKUP(O338,[1]Feuil2!$A:$M,13,FALSE)</f>
        <v>5.94E-3</v>
      </c>
      <c r="Y338" s="35">
        <f t="shared" ref="Y338:Y401" si="64">(Q338/W338)*X338</f>
        <v>0.20196</v>
      </c>
      <c r="Z338" s="36">
        <f t="shared" si="63"/>
        <v>5.0184832499999992</v>
      </c>
      <c r="AA338" s="235" t="s">
        <v>61</v>
      </c>
      <c r="AB338" s="55" t="s">
        <v>61</v>
      </c>
      <c r="AC338" s="49"/>
      <c r="AD338" s="55" t="s">
        <v>61</v>
      </c>
      <c r="AE338" s="48"/>
      <c r="AF338" s="55"/>
      <c r="AG338" s="55"/>
      <c r="AH338" s="57"/>
      <c r="AI338" s="136">
        <v>45958</v>
      </c>
      <c r="AJ338" s="137" t="s">
        <v>49</v>
      </c>
      <c r="AK338" s="56" t="e">
        <f>VLOOKUP(AP338,'[2]CONTENEUR PLEIN'!$F:$L,3,FALSE)</f>
        <v>#N/A</v>
      </c>
      <c r="AL338" s="37" t="e">
        <f>VLOOKUP(AP338,'[2]CONTENEUR PLEIN'!$F:$L,5,FALSE)</f>
        <v>#N/A</v>
      </c>
      <c r="AM338" s="38" t="e">
        <f>VLOOKUP(AP338,'[2]CONTENEUR PLEIN'!$F:$L,7,FALSE)</f>
        <v>#N/A</v>
      </c>
      <c r="AN338" s="49" t="s">
        <v>63</v>
      </c>
      <c r="AO338" s="49"/>
      <c r="AP338" s="49"/>
      <c r="AQ338" s="49"/>
      <c r="AR338" s="49" t="e">
        <f>VLOOKUP(AP338,'[2]CONTENEUR PLEIN'!$F:$L,2,FALSE)</f>
        <v>#N/A</v>
      </c>
      <c r="AS338" s="49"/>
      <c r="AT338" s="57"/>
    </row>
    <row r="339" spans="1:47" s="72" customFormat="1" hidden="1" x14ac:dyDescent="0.25">
      <c r="B339" s="257" t="s">
        <v>45</v>
      </c>
      <c r="C339" s="146">
        <v>45838</v>
      </c>
      <c r="D339" s="147">
        <v>25053</v>
      </c>
      <c r="E339" s="258" t="s">
        <v>339</v>
      </c>
      <c r="F339" s="147">
        <v>2506161216</v>
      </c>
      <c r="G339" s="170" t="s">
        <v>64</v>
      </c>
      <c r="H339" s="170" t="s">
        <v>46</v>
      </c>
      <c r="I339" s="153" t="s">
        <v>49</v>
      </c>
      <c r="J339" s="170" t="s">
        <v>46</v>
      </c>
      <c r="K339" s="489" t="s">
        <v>68</v>
      </c>
      <c r="L339" s="300">
        <v>46072</v>
      </c>
      <c r="M339" s="380" t="e">
        <f t="shared" si="60"/>
        <v>#VALUE!</v>
      </c>
      <c r="N339" s="77" t="s">
        <v>49</v>
      </c>
      <c r="O339" s="78">
        <v>21870001</v>
      </c>
      <c r="P339" s="42" t="str">
        <f>VLOOKUP(O339,[1]Feuil2!$A:$M,5,FALSE)</f>
        <v>COUTEAU BUFFET EN BOITE BLANCHE</v>
      </c>
      <c r="Q339" s="75">
        <v>6336</v>
      </c>
      <c r="R339" s="79">
        <v>0.19400000000000001</v>
      </c>
      <c r="S339" s="80">
        <f t="shared" si="61"/>
        <v>1229.184</v>
      </c>
      <c r="T339" s="81">
        <f t="shared" si="51"/>
        <v>15814.432000000001</v>
      </c>
      <c r="U339" s="139"/>
      <c r="V339" s="82">
        <f t="shared" si="62"/>
        <v>15814.432000000001</v>
      </c>
      <c r="W339" s="9">
        <f>VLOOKUP(O339,[1]Feuil2!$A:$M,6,FALSE)</f>
        <v>72</v>
      </c>
      <c r="X339" s="10">
        <f>VLOOKUP(O339,[1]Feuil2!$A:$M,13,FALSE)</f>
        <v>1.029E-3</v>
      </c>
      <c r="Y339" s="11">
        <f t="shared" si="64"/>
        <v>9.0551999999999994E-2</v>
      </c>
      <c r="Z339" s="83">
        <f t="shared" si="63"/>
        <v>5.0184832499999992</v>
      </c>
      <c r="AA339" s="12" t="s">
        <v>57</v>
      </c>
      <c r="AB339" s="22" t="s">
        <v>48</v>
      </c>
      <c r="AC339" s="75"/>
      <c r="AD339" s="28" t="s">
        <v>61</v>
      </c>
      <c r="AE339" s="14">
        <v>46014</v>
      </c>
      <c r="AF339" s="45" t="s">
        <v>771</v>
      </c>
      <c r="AG339" s="45"/>
      <c r="AH339" s="84"/>
      <c r="AI339" s="171">
        <v>45958</v>
      </c>
      <c r="AJ339" s="144">
        <f ca="1">DATEDIF(AI339,$AJ$1,"D")</f>
        <v>140</v>
      </c>
      <c r="AK339" s="85">
        <f>VLOOKUP(AP339,'[2]CONTENEUR PLEIN'!$F:$L,3,FALSE)</f>
        <v>46072</v>
      </c>
      <c r="AL339" s="86">
        <f>VLOOKUP(AP339,'[2]CONTENEUR PLEIN'!$F:$L,5,FALSE)</f>
        <v>46112</v>
      </c>
      <c r="AM339" s="46" t="str">
        <f>VLOOKUP(AP339,'[2]CONTENEUR PLEIN'!$F:$L,7,FALSE)</f>
        <v>Estimée : 07-avril</v>
      </c>
      <c r="AN339" s="113" t="s">
        <v>63</v>
      </c>
      <c r="AO339" s="490" t="s">
        <v>975</v>
      </c>
      <c r="AP339" s="490" t="s">
        <v>976</v>
      </c>
      <c r="AQ339" s="75">
        <v>2506161216</v>
      </c>
      <c r="AR339" s="75" t="str">
        <f>VLOOKUP(AP339,'[2]CONTENEUR PLEIN'!$F:$L,2,FALSE)</f>
        <v>CMA CGM ALEXANDER VON HUMBOLDT</v>
      </c>
      <c r="AS339" s="490" t="s">
        <v>316</v>
      </c>
      <c r="AT339" s="84"/>
    </row>
    <row r="340" spans="1:47" s="72" customFormat="1" hidden="1" x14ac:dyDescent="0.25">
      <c r="B340" s="356" t="s">
        <v>45</v>
      </c>
      <c r="C340" s="89">
        <v>45838</v>
      </c>
      <c r="D340" s="90">
        <v>25053</v>
      </c>
      <c r="E340" s="357" t="s">
        <v>339</v>
      </c>
      <c r="F340" s="90">
        <v>2506161216</v>
      </c>
      <c r="G340" s="168" t="s">
        <v>64</v>
      </c>
      <c r="H340" s="168" t="s">
        <v>46</v>
      </c>
      <c r="I340" s="129" t="s">
        <v>49</v>
      </c>
      <c r="J340" s="168" t="s">
        <v>46</v>
      </c>
      <c r="K340" s="16" t="s">
        <v>862</v>
      </c>
      <c r="L340" s="300">
        <v>45995</v>
      </c>
      <c r="M340" s="381">
        <f t="shared" si="60"/>
        <v>6</v>
      </c>
      <c r="N340" s="98" t="s">
        <v>49</v>
      </c>
      <c r="O340" s="92">
        <v>21600002</v>
      </c>
      <c r="P340" s="24" t="str">
        <f>VLOOKUP(O340,[1]Feuil2!$A:$M,5,FALSE)</f>
        <v>COUTEAU ARABESQUE FINITION MIROIR VRAC+GENCOD</v>
      </c>
      <c r="Q340" s="90">
        <v>4560</v>
      </c>
      <c r="R340" s="93">
        <v>0.45600000000000002</v>
      </c>
      <c r="S340" s="94">
        <f t="shared" si="61"/>
        <v>2079.36</v>
      </c>
      <c r="T340" s="95">
        <f t="shared" si="51"/>
        <v>15814.432000000001</v>
      </c>
      <c r="U340" s="138"/>
      <c r="V340" s="96">
        <f t="shared" si="62"/>
        <v>15814.432000000001</v>
      </c>
      <c r="W340" s="4">
        <f>VLOOKUP(O340,[1]Feuil2!$A:$M,6,FALSE)</f>
        <v>120</v>
      </c>
      <c r="X340" s="5">
        <f>VLOOKUP(O340,[1]Feuil2!$A:$M,13,FALSE)</f>
        <v>1.0951874999999998E-2</v>
      </c>
      <c r="Y340" s="6">
        <f t="shared" si="64"/>
        <v>0.41617124999999994</v>
      </c>
      <c r="Z340" s="97">
        <f t="shared" si="63"/>
        <v>5.0184832499999992</v>
      </c>
      <c r="AA340" s="69" t="s">
        <v>57</v>
      </c>
      <c r="AB340" s="67" t="s">
        <v>48</v>
      </c>
      <c r="AC340" s="191" t="s">
        <v>55</v>
      </c>
      <c r="AD340" s="21" t="s">
        <v>57</v>
      </c>
      <c r="AE340" s="20">
        <v>45960</v>
      </c>
      <c r="AF340" s="21" t="s">
        <v>628</v>
      </c>
      <c r="AG340" s="21"/>
      <c r="AH340" s="98"/>
      <c r="AI340" s="160">
        <v>45958</v>
      </c>
      <c r="AJ340" s="145">
        <f t="shared" ref="AJ340:AJ347" si="65">DATEDIF(AI340,$AK340,"D")</f>
        <v>26</v>
      </c>
      <c r="AK340" s="100">
        <f>VLOOKUP(AP340,'[2]CONTENEUR PLEIN'!$F:$L,3,FALSE)</f>
        <v>45984</v>
      </c>
      <c r="AL340" s="99">
        <f>VLOOKUP(AP340,'[2]CONTENEUR PLEIN'!$F:$L,5,FALSE)</f>
        <v>46030</v>
      </c>
      <c r="AM340" s="18">
        <f>VLOOKUP(AP340,'[2]CONTENEUR PLEIN'!$F:$L,7,FALSE)</f>
        <v>46036.333333333336</v>
      </c>
      <c r="AN340" s="130" t="s">
        <v>63</v>
      </c>
      <c r="AO340" s="351" t="s">
        <v>577</v>
      </c>
      <c r="AP340" s="351" t="s">
        <v>578</v>
      </c>
      <c r="AQ340" s="351" t="s">
        <v>584</v>
      </c>
      <c r="AR340" s="90" t="str">
        <f>VLOOKUP(AP340,'[2]CONTENEUR PLEIN'!$F:$L,2,FALSE)</f>
        <v>CMA CGM GRACE BAY</v>
      </c>
      <c r="AS340" s="351" t="s">
        <v>316</v>
      </c>
      <c r="AT340" s="98"/>
    </row>
    <row r="341" spans="1:47" s="72" customFormat="1" hidden="1" x14ac:dyDescent="0.25">
      <c r="B341" s="356" t="s">
        <v>45</v>
      </c>
      <c r="C341" s="89">
        <v>45838</v>
      </c>
      <c r="D341" s="90">
        <v>25053</v>
      </c>
      <c r="E341" s="357" t="s">
        <v>339</v>
      </c>
      <c r="F341" s="90">
        <v>2506161216</v>
      </c>
      <c r="G341" s="168" t="s">
        <v>64</v>
      </c>
      <c r="H341" s="168" t="s">
        <v>46</v>
      </c>
      <c r="I341" s="129" t="s">
        <v>49</v>
      </c>
      <c r="J341" s="168" t="s">
        <v>46</v>
      </c>
      <c r="K341" s="16" t="s">
        <v>862</v>
      </c>
      <c r="L341" s="300">
        <v>45995</v>
      </c>
      <c r="M341" s="381">
        <f t="shared" si="60"/>
        <v>6</v>
      </c>
      <c r="N341" s="98" t="s">
        <v>49</v>
      </c>
      <c r="O341" s="92">
        <v>21870006</v>
      </c>
      <c r="P341" s="24" t="str">
        <f>VLOOKUP(O341,[1]Feuil2!$A:$M,5,FALSE)</f>
        <v>MAZAGRAN BUFFET EN BOITE BLANCHE</v>
      </c>
      <c r="Q341" s="90">
        <v>40000</v>
      </c>
      <c r="R341" s="93">
        <v>7.9000000000000001E-2</v>
      </c>
      <c r="S341" s="94">
        <f t="shared" si="61"/>
        <v>3160</v>
      </c>
      <c r="T341" s="95">
        <f t="shared" si="51"/>
        <v>15814.432000000001</v>
      </c>
      <c r="U341" s="138"/>
      <c r="V341" s="96">
        <f t="shared" si="62"/>
        <v>15814.432000000001</v>
      </c>
      <c r="W341" s="4">
        <f>VLOOKUP(O341,[1]Feuil2!$A:$M,6,FALSE)</f>
        <v>250</v>
      </c>
      <c r="X341" s="5">
        <f>VLOOKUP(O341,[1]Feuil2!$A:$M,13,FALSE)</f>
        <v>8.6399999999999984E-3</v>
      </c>
      <c r="Y341" s="6">
        <f t="shared" si="64"/>
        <v>1.3823999999999996</v>
      </c>
      <c r="Z341" s="97">
        <f t="shared" si="63"/>
        <v>5.0184832499999992</v>
      </c>
      <c r="AA341" s="69" t="s">
        <v>57</v>
      </c>
      <c r="AB341" s="67" t="s">
        <v>48</v>
      </c>
      <c r="AC341" s="87" t="s">
        <v>55</v>
      </c>
      <c r="AD341" s="21" t="s">
        <v>57</v>
      </c>
      <c r="AE341" s="20">
        <v>45959</v>
      </c>
      <c r="AF341" s="21" t="s">
        <v>622</v>
      </c>
      <c r="AG341" s="21" t="s">
        <v>57</v>
      </c>
      <c r="AH341" s="503" t="s">
        <v>48</v>
      </c>
      <c r="AI341" s="160">
        <v>45958</v>
      </c>
      <c r="AJ341" s="145">
        <f t="shared" si="65"/>
        <v>26</v>
      </c>
      <c r="AK341" s="100">
        <f>VLOOKUP(AP341,'[2]CONTENEUR PLEIN'!$F:$L,3,FALSE)</f>
        <v>45984</v>
      </c>
      <c r="AL341" s="99">
        <f>VLOOKUP(AP341,'[2]CONTENEUR PLEIN'!$F:$L,5,FALSE)</f>
        <v>46030</v>
      </c>
      <c r="AM341" s="18">
        <f>VLOOKUP(AP341,'[2]CONTENEUR PLEIN'!$F:$L,7,FALSE)</f>
        <v>46036.333333333336</v>
      </c>
      <c r="AN341" s="130" t="s">
        <v>63</v>
      </c>
      <c r="AO341" s="351" t="s">
        <v>577</v>
      </c>
      <c r="AP341" s="351" t="s">
        <v>578</v>
      </c>
      <c r="AQ341" s="351" t="s">
        <v>584</v>
      </c>
      <c r="AR341" s="90" t="str">
        <f>VLOOKUP(AP341,'[2]CONTENEUR PLEIN'!$F:$L,2,FALSE)</f>
        <v>CMA CGM GRACE BAY</v>
      </c>
      <c r="AS341" s="351" t="s">
        <v>316</v>
      </c>
      <c r="AT341" s="98"/>
    </row>
    <row r="342" spans="1:47" s="72" customFormat="1" hidden="1" x14ac:dyDescent="0.25">
      <c r="B342" s="257" t="s">
        <v>45</v>
      </c>
      <c r="C342" s="146">
        <v>45838</v>
      </c>
      <c r="D342" s="147">
        <v>25053</v>
      </c>
      <c r="E342" s="258" t="s">
        <v>339</v>
      </c>
      <c r="F342" s="147">
        <v>2506161216</v>
      </c>
      <c r="G342" s="170" t="s">
        <v>64</v>
      </c>
      <c r="H342" s="170" t="s">
        <v>46</v>
      </c>
      <c r="I342" s="170" t="s">
        <v>49</v>
      </c>
      <c r="J342" s="170" t="s">
        <v>46</v>
      </c>
      <c r="K342" s="329" t="s">
        <v>68</v>
      </c>
      <c r="L342" s="20">
        <v>46048</v>
      </c>
      <c r="M342" s="384">
        <f t="shared" si="60"/>
        <v>8</v>
      </c>
      <c r="N342" s="587" t="s">
        <v>146</v>
      </c>
      <c r="O342" s="78">
        <v>20160033</v>
      </c>
      <c r="P342" s="42" t="str">
        <f>VLOOKUP(O342,[1]Feuil2!$A:$M,5,FALSE)</f>
        <v>LOT 6 CUILLERES MAZAGRAN OSLO SUR CARTE</v>
      </c>
      <c r="Q342" s="75">
        <v>8856</v>
      </c>
      <c r="R342" s="79">
        <v>0.84799999999999998</v>
      </c>
      <c r="S342" s="80">
        <f t="shared" si="61"/>
        <v>7509.8879999999999</v>
      </c>
      <c r="T342" s="81">
        <f t="shared" si="51"/>
        <v>15814.432000000001</v>
      </c>
      <c r="U342" s="139"/>
      <c r="V342" s="82">
        <f t="shared" si="62"/>
        <v>15814.432000000001</v>
      </c>
      <c r="W342" s="9">
        <f>VLOOKUP(O342,[1]Feuil2!$A:$M,6,FALSE)</f>
        <v>72</v>
      </c>
      <c r="X342" s="10">
        <f>VLOOKUP(O342,[1]Feuil2!$A:$M,13,FALSE)</f>
        <v>2.3800000000000002E-2</v>
      </c>
      <c r="Y342" s="11">
        <f t="shared" si="64"/>
        <v>2.9274</v>
      </c>
      <c r="Z342" s="83">
        <f t="shared" si="63"/>
        <v>5.0184832499999992</v>
      </c>
      <c r="AA342" s="66" t="s">
        <v>61</v>
      </c>
      <c r="AB342" s="28" t="s">
        <v>61</v>
      </c>
      <c r="AC342" s="210" t="s">
        <v>55</v>
      </c>
      <c r="AD342" s="26" t="s">
        <v>57</v>
      </c>
      <c r="AE342" s="14">
        <v>46002</v>
      </c>
      <c r="AF342" s="45" t="s">
        <v>705</v>
      </c>
      <c r="AG342" s="13"/>
      <c r="AH342" s="84"/>
      <c r="AI342" s="328">
        <v>45958</v>
      </c>
      <c r="AJ342" s="144">
        <f t="shared" si="65"/>
        <v>68</v>
      </c>
      <c r="AK342" s="85">
        <f>VLOOKUP(AP342,'[2]CONTENEUR PLEIN'!$F:$L,3,FALSE)</f>
        <v>46026</v>
      </c>
      <c r="AL342" s="86">
        <f>VLOOKUP(AP342,'[2]CONTENEUR PLEIN'!$F:$L,5,FALSE)</f>
        <v>46081</v>
      </c>
      <c r="AM342" s="18">
        <f>VLOOKUP(AP342,'[2]CONTENEUR PLEIN'!$F:$L,7,FALSE)</f>
        <v>46099.333333333336</v>
      </c>
      <c r="AN342" s="113" t="s">
        <v>63</v>
      </c>
      <c r="AO342" s="325" t="s">
        <v>795</v>
      </c>
      <c r="AP342" s="325" t="s">
        <v>796</v>
      </c>
      <c r="AQ342" s="326" t="s">
        <v>799</v>
      </c>
      <c r="AR342" s="180" t="str">
        <f>VLOOKUP(AP342,'[2]CONTENEUR PLEIN'!$F:$L,2,FALSE)</f>
        <v>ZEPHYR LUMOS</v>
      </c>
      <c r="AS342" s="325" t="s">
        <v>316</v>
      </c>
      <c r="AT342" s="84"/>
    </row>
    <row r="343" spans="1:47" s="72" customFormat="1" hidden="1" x14ac:dyDescent="0.25">
      <c r="B343" s="356" t="s">
        <v>45</v>
      </c>
      <c r="C343" s="89">
        <v>45845</v>
      </c>
      <c r="D343" s="90">
        <v>25057</v>
      </c>
      <c r="E343" s="357" t="s">
        <v>350</v>
      </c>
      <c r="F343" s="90">
        <v>2507040854</v>
      </c>
      <c r="G343" s="168" t="s">
        <v>74</v>
      </c>
      <c r="H343" s="168" t="s">
        <v>46</v>
      </c>
      <c r="I343" s="168" t="s">
        <v>49</v>
      </c>
      <c r="J343" s="168" t="s">
        <v>46</v>
      </c>
      <c r="K343" s="16" t="s">
        <v>864</v>
      </c>
      <c r="L343" s="300">
        <v>45993</v>
      </c>
      <c r="M343" s="381">
        <f t="shared" si="60"/>
        <v>5</v>
      </c>
      <c r="N343" s="544" t="s">
        <v>146</v>
      </c>
      <c r="O343" s="92">
        <v>32070049</v>
      </c>
      <c r="P343" s="24" t="str">
        <f>VLOOKUP(O343,[1]Feuil2!$A:$M,5,FALSE)</f>
        <v>M24 OPEN DECOR POIS ROUGE 3517C POT PET TB COLLECTION</v>
      </c>
      <c r="Q343" s="90">
        <v>1308</v>
      </c>
      <c r="R343" s="93">
        <v>5.88</v>
      </c>
      <c r="S343" s="94">
        <f t="shared" si="61"/>
        <v>7691.04</v>
      </c>
      <c r="T343" s="95">
        <f t="shared" si="51"/>
        <v>18910.080000000002</v>
      </c>
      <c r="U343" s="138"/>
      <c r="V343" s="96">
        <f t="shared" si="62"/>
        <v>18910.080000000002</v>
      </c>
      <c r="W343" s="4">
        <f>VLOOKUP(O343,[1]Feuil2!$A:$M,6,FALSE)</f>
        <v>6</v>
      </c>
      <c r="X343" s="5">
        <f>VLOOKUP(O343,[1]Feuil2!$A:$M,13,FALSE)</f>
        <v>1.8528125000000003E-2</v>
      </c>
      <c r="Y343" s="6">
        <f t="shared" si="64"/>
        <v>4.0391312500000005</v>
      </c>
      <c r="Z343" s="97">
        <f t="shared" si="63"/>
        <v>9.9310749999999999</v>
      </c>
      <c r="AA343" s="69" t="s">
        <v>57</v>
      </c>
      <c r="AB343" s="133" t="s">
        <v>61</v>
      </c>
      <c r="AC343" s="218" t="s">
        <v>55</v>
      </c>
      <c r="AD343" s="21" t="s">
        <v>57</v>
      </c>
      <c r="AE343" s="20">
        <v>45948</v>
      </c>
      <c r="AF343" s="21" t="s">
        <v>543</v>
      </c>
      <c r="AG343" s="21"/>
      <c r="AH343" s="98"/>
      <c r="AI343" s="160">
        <v>45945</v>
      </c>
      <c r="AJ343" s="145">
        <f t="shared" si="65"/>
        <v>16</v>
      </c>
      <c r="AK343" s="100">
        <f>VLOOKUP(AP343,'[2]CONTENEUR PLEIN'!$F:$L,3,FALSE)</f>
        <v>45961</v>
      </c>
      <c r="AL343" s="99">
        <f>VLOOKUP(AP343,'[2]CONTENEUR PLEIN'!$F:$L,5,FALSE)</f>
        <v>46006</v>
      </c>
      <c r="AM343" s="18">
        <f>VLOOKUP(AP343,'[2]CONTENEUR PLEIN'!$F:$L,7,FALSE)</f>
        <v>46028.333333333336</v>
      </c>
      <c r="AN343" s="130" t="s">
        <v>63</v>
      </c>
      <c r="AO343" s="353" t="s">
        <v>540</v>
      </c>
      <c r="AP343" s="353" t="s">
        <v>541</v>
      </c>
      <c r="AQ343" s="353" t="s">
        <v>542</v>
      </c>
      <c r="AR343" s="90" t="str">
        <f>VLOOKUP(AP343,'[2]CONTENEUR PLEIN'!$F:$L,2,FALSE)</f>
        <v>APL CHANGI</v>
      </c>
      <c r="AS343" s="353" t="s">
        <v>316</v>
      </c>
      <c r="AT343" s="98"/>
    </row>
    <row r="344" spans="1:47" s="72" customFormat="1" hidden="1" x14ac:dyDescent="0.25">
      <c r="B344" s="356" t="s">
        <v>45</v>
      </c>
      <c r="C344" s="89">
        <v>45845</v>
      </c>
      <c r="D344" s="90">
        <v>25057</v>
      </c>
      <c r="E344" s="357" t="s">
        <v>350</v>
      </c>
      <c r="F344" s="90">
        <v>2507040854</v>
      </c>
      <c r="G344" s="168" t="s">
        <v>74</v>
      </c>
      <c r="H344" s="168" t="s">
        <v>46</v>
      </c>
      <c r="I344" s="168" t="s">
        <v>49</v>
      </c>
      <c r="J344" s="168" t="s">
        <v>46</v>
      </c>
      <c r="K344" s="16" t="s">
        <v>864</v>
      </c>
      <c r="L344" s="300">
        <v>45993</v>
      </c>
      <c r="M344" s="381">
        <f t="shared" si="60"/>
        <v>5</v>
      </c>
      <c r="N344" s="544" t="s">
        <v>146</v>
      </c>
      <c r="O344" s="92">
        <v>32070050</v>
      </c>
      <c r="P344" s="24" t="str">
        <f>VLOOKUP(O344,[1]Feuil2!$A:$M,5,FALSE)</f>
        <v>M24 OPEN DECOR POIS NOIR POT PET TB COLLECTION</v>
      </c>
      <c r="Q344" s="90">
        <v>1308</v>
      </c>
      <c r="R344" s="93">
        <v>5.88</v>
      </c>
      <c r="S344" s="94">
        <f t="shared" si="61"/>
        <v>7691.04</v>
      </c>
      <c r="T344" s="95">
        <f t="shared" ref="T344:T407" si="66">SUMIF($E$5:$E$9257,E344,$S$5:$S$9257)</f>
        <v>18910.080000000002</v>
      </c>
      <c r="U344" s="138"/>
      <c r="V344" s="96">
        <f t="shared" si="62"/>
        <v>18910.080000000002</v>
      </c>
      <c r="W344" s="4">
        <f>VLOOKUP(O344,[1]Feuil2!$A:$M,6,FALSE)</f>
        <v>6</v>
      </c>
      <c r="X344" s="5">
        <f>VLOOKUP(O344,[1]Feuil2!$A:$M,13,FALSE)</f>
        <v>1.8528125000000003E-2</v>
      </c>
      <c r="Y344" s="6">
        <f t="shared" si="64"/>
        <v>4.0391312500000005</v>
      </c>
      <c r="Z344" s="97">
        <f t="shared" si="63"/>
        <v>9.9310749999999999</v>
      </c>
      <c r="AA344" s="69" t="s">
        <v>57</v>
      </c>
      <c r="AB344" s="133" t="s">
        <v>61</v>
      </c>
      <c r="AC344" s="218" t="s">
        <v>55</v>
      </c>
      <c r="AD344" s="21" t="s">
        <v>57</v>
      </c>
      <c r="AE344" s="20">
        <v>45948</v>
      </c>
      <c r="AF344" s="47" t="s">
        <v>544</v>
      </c>
      <c r="AG344" s="21"/>
      <c r="AH344" s="98"/>
      <c r="AI344" s="160">
        <v>45945</v>
      </c>
      <c r="AJ344" s="145">
        <f t="shared" si="65"/>
        <v>16</v>
      </c>
      <c r="AK344" s="100">
        <f>VLOOKUP(AP344,'[2]CONTENEUR PLEIN'!$F:$L,3,FALSE)</f>
        <v>45961</v>
      </c>
      <c r="AL344" s="99">
        <f>VLOOKUP(AP344,'[2]CONTENEUR PLEIN'!$F:$L,5,FALSE)</f>
        <v>46006</v>
      </c>
      <c r="AM344" s="18">
        <f>VLOOKUP(AP344,'[2]CONTENEUR PLEIN'!$F:$L,7,FALSE)</f>
        <v>46028.333333333336</v>
      </c>
      <c r="AN344" s="130" t="s">
        <v>63</v>
      </c>
      <c r="AO344" s="353" t="s">
        <v>540</v>
      </c>
      <c r="AP344" s="353" t="s">
        <v>541</v>
      </c>
      <c r="AQ344" s="353" t="s">
        <v>542</v>
      </c>
      <c r="AR344" s="90" t="str">
        <f>VLOOKUP(AP344,'[2]CONTENEUR PLEIN'!$F:$L,2,FALSE)</f>
        <v>APL CHANGI</v>
      </c>
      <c r="AS344" s="353" t="s">
        <v>316</v>
      </c>
      <c r="AT344" s="98"/>
    </row>
    <row r="345" spans="1:47" s="72" customFormat="1" hidden="1" x14ac:dyDescent="0.25">
      <c r="B345" s="356" t="s">
        <v>45</v>
      </c>
      <c r="C345" s="89">
        <v>45845</v>
      </c>
      <c r="D345" s="90">
        <v>25057</v>
      </c>
      <c r="E345" s="357" t="s">
        <v>350</v>
      </c>
      <c r="F345" s="90">
        <v>2507040854</v>
      </c>
      <c r="G345" s="168" t="s">
        <v>74</v>
      </c>
      <c r="H345" s="168" t="s">
        <v>46</v>
      </c>
      <c r="I345" s="168" t="s">
        <v>49</v>
      </c>
      <c r="J345" s="168" t="s">
        <v>46</v>
      </c>
      <c r="K345" s="16" t="s">
        <v>991</v>
      </c>
      <c r="L345" s="300">
        <v>46014</v>
      </c>
      <c r="M345" s="381">
        <f t="shared" si="60"/>
        <v>7</v>
      </c>
      <c r="N345" s="544" t="s">
        <v>146</v>
      </c>
      <c r="O345" s="92">
        <v>32070049</v>
      </c>
      <c r="P345" s="24" t="str">
        <f>VLOOKUP(O345,[1]Feuil2!$A:$M,5,FALSE)</f>
        <v>M24 OPEN DECOR POIS ROUGE 3517C POT PET TB COLLECTION</v>
      </c>
      <c r="Q345" s="90">
        <f>1608-1308</f>
        <v>300</v>
      </c>
      <c r="R345" s="93">
        <v>5.88</v>
      </c>
      <c r="S345" s="94">
        <f t="shared" si="61"/>
        <v>1764</v>
      </c>
      <c r="T345" s="95">
        <f t="shared" si="66"/>
        <v>18910.080000000002</v>
      </c>
      <c r="U345" s="138"/>
      <c r="V345" s="96">
        <f t="shared" si="62"/>
        <v>18910.080000000002</v>
      </c>
      <c r="W345" s="4">
        <f>VLOOKUP(O345,[1]Feuil2!$A:$M,6,FALSE)</f>
        <v>6</v>
      </c>
      <c r="X345" s="5">
        <f>VLOOKUP(O345,[1]Feuil2!$A:$M,13,FALSE)</f>
        <v>1.8528125000000003E-2</v>
      </c>
      <c r="Y345" s="6">
        <f t="shared" si="64"/>
        <v>0.9264062500000001</v>
      </c>
      <c r="Z345" s="97">
        <f t="shared" si="63"/>
        <v>9.9310749999999999</v>
      </c>
      <c r="AA345" s="21" t="s">
        <v>57</v>
      </c>
      <c r="AB345" s="67" t="s">
        <v>48</v>
      </c>
      <c r="AC345" s="218" t="s">
        <v>55</v>
      </c>
      <c r="AD345" s="21" t="s">
        <v>57</v>
      </c>
      <c r="AE345" s="20">
        <v>45948</v>
      </c>
      <c r="AF345" s="21" t="s">
        <v>543</v>
      </c>
      <c r="AG345" s="21"/>
      <c r="AH345" s="98"/>
      <c r="AI345" s="160">
        <v>45945</v>
      </c>
      <c r="AJ345" s="145">
        <f t="shared" si="65"/>
        <v>58</v>
      </c>
      <c r="AK345" s="100">
        <f>VLOOKUP(AP345,'[2]CONTENEUR PLEIN'!$F:$L,3,FALSE)</f>
        <v>46003</v>
      </c>
      <c r="AL345" s="99">
        <f>VLOOKUP(AP345,'[2]CONTENEUR PLEIN'!$F:$L,5,FALSE)</f>
        <v>46060</v>
      </c>
      <c r="AM345" s="18">
        <f>VLOOKUP(AP345,'[2]CONTENEUR PLEIN'!$F:$L,7,FALSE)</f>
        <v>46066.291666666664</v>
      </c>
      <c r="AN345" s="130" t="s">
        <v>63</v>
      </c>
      <c r="AO345" s="290" t="s">
        <v>664</v>
      </c>
      <c r="AP345" s="290" t="s">
        <v>665</v>
      </c>
      <c r="AQ345" s="290" t="s">
        <v>667</v>
      </c>
      <c r="AR345" s="90" t="str">
        <f>VLOOKUP(AP345,'[2]CONTENEUR PLEIN'!$F:$L,2,FALSE)</f>
        <v>CMA CGM SCANDOLA</v>
      </c>
      <c r="AS345" s="290" t="s">
        <v>316</v>
      </c>
      <c r="AT345" s="98"/>
    </row>
    <row r="346" spans="1:47" s="72" customFormat="1" hidden="1" x14ac:dyDescent="0.25">
      <c r="B346" s="356" t="s">
        <v>45</v>
      </c>
      <c r="C346" s="89">
        <v>45845</v>
      </c>
      <c r="D346" s="90">
        <v>25057</v>
      </c>
      <c r="E346" s="357" t="s">
        <v>350</v>
      </c>
      <c r="F346" s="90">
        <v>2507040854</v>
      </c>
      <c r="G346" s="168" t="s">
        <v>74</v>
      </c>
      <c r="H346" s="168" t="s">
        <v>46</v>
      </c>
      <c r="I346" s="168" t="s">
        <v>49</v>
      </c>
      <c r="J346" s="168" t="s">
        <v>46</v>
      </c>
      <c r="K346" s="16" t="s">
        <v>991</v>
      </c>
      <c r="L346" s="300">
        <v>46014</v>
      </c>
      <c r="M346" s="381">
        <f t="shared" si="60"/>
        <v>7</v>
      </c>
      <c r="N346" s="544" t="s">
        <v>146</v>
      </c>
      <c r="O346" s="92">
        <v>32070050</v>
      </c>
      <c r="P346" s="24" t="str">
        <f>VLOOKUP(O346,[1]Feuil2!$A:$M,5,FALSE)</f>
        <v>M24 OPEN DECOR POIS NOIR POT PET TB COLLECTION</v>
      </c>
      <c r="Q346" s="90">
        <f>1608-1308</f>
        <v>300</v>
      </c>
      <c r="R346" s="93">
        <v>5.88</v>
      </c>
      <c r="S346" s="94">
        <f t="shared" si="61"/>
        <v>1764</v>
      </c>
      <c r="T346" s="95">
        <f t="shared" si="66"/>
        <v>18910.080000000002</v>
      </c>
      <c r="U346" s="138"/>
      <c r="V346" s="96">
        <f t="shared" si="62"/>
        <v>18910.080000000002</v>
      </c>
      <c r="W346" s="4">
        <f>VLOOKUP(O346,[1]Feuil2!$A:$M,6,FALSE)</f>
        <v>6</v>
      </c>
      <c r="X346" s="5">
        <f>VLOOKUP(O346,[1]Feuil2!$A:$M,13,FALSE)</f>
        <v>1.8528125000000003E-2</v>
      </c>
      <c r="Y346" s="6">
        <f t="shared" si="64"/>
        <v>0.9264062500000001</v>
      </c>
      <c r="Z346" s="97">
        <f t="shared" si="63"/>
        <v>9.9310749999999999</v>
      </c>
      <c r="AA346" s="69" t="s">
        <v>57</v>
      </c>
      <c r="AB346" s="67" t="s">
        <v>48</v>
      </c>
      <c r="AC346" s="218" t="s">
        <v>55</v>
      </c>
      <c r="AD346" s="21" t="s">
        <v>57</v>
      </c>
      <c r="AE346" s="20">
        <v>45948</v>
      </c>
      <c r="AF346" s="47" t="s">
        <v>544</v>
      </c>
      <c r="AG346" s="21"/>
      <c r="AH346" s="98"/>
      <c r="AI346" s="160">
        <v>45945</v>
      </c>
      <c r="AJ346" s="145">
        <f t="shared" si="65"/>
        <v>58</v>
      </c>
      <c r="AK346" s="100">
        <f>VLOOKUP(AP346,'[2]CONTENEUR PLEIN'!$F:$L,3,FALSE)</f>
        <v>46003</v>
      </c>
      <c r="AL346" s="99">
        <f>VLOOKUP(AP346,'[2]CONTENEUR PLEIN'!$F:$L,5,FALSE)</f>
        <v>46060</v>
      </c>
      <c r="AM346" s="18">
        <f>VLOOKUP(AP346,'[2]CONTENEUR PLEIN'!$F:$L,7,FALSE)</f>
        <v>46066.291666666664</v>
      </c>
      <c r="AN346" s="130" t="s">
        <v>63</v>
      </c>
      <c r="AO346" s="290" t="s">
        <v>664</v>
      </c>
      <c r="AP346" s="290" t="s">
        <v>665</v>
      </c>
      <c r="AQ346" s="290" t="s">
        <v>667</v>
      </c>
      <c r="AR346" s="90" t="str">
        <f>VLOOKUP(AP346,'[2]CONTENEUR PLEIN'!$F:$L,2,FALSE)</f>
        <v>CMA CGM SCANDOLA</v>
      </c>
      <c r="AS346" s="290" t="s">
        <v>316</v>
      </c>
      <c r="AT346" s="98"/>
    </row>
    <row r="347" spans="1:47" s="72" customFormat="1" hidden="1" x14ac:dyDescent="0.25">
      <c r="B347" s="356" t="s">
        <v>52</v>
      </c>
      <c r="C347" s="89">
        <v>45849</v>
      </c>
      <c r="D347" s="168" t="s">
        <v>53</v>
      </c>
      <c r="E347" s="357" t="s">
        <v>351</v>
      </c>
      <c r="F347" s="90">
        <v>2507091350</v>
      </c>
      <c r="G347" s="350" t="s">
        <v>72</v>
      </c>
      <c r="H347" s="168" t="s">
        <v>46</v>
      </c>
      <c r="I347" s="168" t="s">
        <v>49</v>
      </c>
      <c r="J347" s="168" t="s">
        <v>46</v>
      </c>
      <c r="K347" s="16" t="s">
        <v>863</v>
      </c>
      <c r="L347" s="20">
        <v>45993</v>
      </c>
      <c r="M347" s="383">
        <f t="shared" si="60"/>
        <v>5</v>
      </c>
      <c r="N347" s="98" t="s">
        <v>62</v>
      </c>
      <c r="O347" s="92">
        <v>10010197</v>
      </c>
      <c r="P347" s="24" t="str">
        <f>VLOOKUP(O347,[1]Feuil2!$A:$M,5,FALSE)</f>
        <v>OFFICE UNIVERSAL CERAMIC CRF SS BLISTER PEGB</v>
      </c>
      <c r="Q347" s="90">
        <v>39510</v>
      </c>
      <c r="R347" s="93">
        <v>0.9</v>
      </c>
      <c r="S347" s="94">
        <f t="shared" si="61"/>
        <v>35559</v>
      </c>
      <c r="T347" s="95">
        <f t="shared" si="66"/>
        <v>35559</v>
      </c>
      <c r="U347" s="138"/>
      <c r="V347" s="96">
        <f t="shared" si="62"/>
        <v>35559</v>
      </c>
      <c r="W347" s="4">
        <f>VLOOKUP(O347,[1]Feuil2!$A:$M,6,FALSE)</f>
        <v>18</v>
      </c>
      <c r="X347" s="5">
        <f>VLOOKUP(O347,[1]Feuil2!$A:$M,13,FALSE)</f>
        <v>9.9750000000000012E-3</v>
      </c>
      <c r="Y347" s="6">
        <f t="shared" si="64"/>
        <v>21.895125000000004</v>
      </c>
      <c r="Z347" s="97">
        <f t="shared" si="63"/>
        <v>21.895125000000004</v>
      </c>
      <c r="AA347" s="68" t="s">
        <v>48</v>
      </c>
      <c r="AB347" s="67" t="s">
        <v>48</v>
      </c>
      <c r="AC347" s="90" t="s">
        <v>48</v>
      </c>
      <c r="AD347" s="90" t="s">
        <v>48</v>
      </c>
      <c r="AE347" s="90" t="s">
        <v>48</v>
      </c>
      <c r="AF347" s="358" t="s">
        <v>49</v>
      </c>
      <c r="AG347" s="21"/>
      <c r="AH347" s="98"/>
      <c r="AI347" s="160">
        <v>45955</v>
      </c>
      <c r="AJ347" s="145">
        <f t="shared" si="65"/>
        <v>21</v>
      </c>
      <c r="AK347" s="100">
        <f>VLOOKUP(AP347,'[2]CONTENEUR PLEIN'!$F:$L,3,FALSE)</f>
        <v>45976</v>
      </c>
      <c r="AL347" s="99">
        <f>VLOOKUP(AP347,'[2]CONTENEUR PLEIN'!$F:$L,5,FALSE)</f>
        <v>46018</v>
      </c>
      <c r="AM347" s="18">
        <f>VLOOKUP(AP347,'[2]CONTENEUR PLEIN'!$F:$L,7,FALSE)</f>
        <v>46031.291666666664</v>
      </c>
      <c r="AN347" s="168" t="s">
        <v>63</v>
      </c>
      <c r="AO347" s="350" t="s">
        <v>574</v>
      </c>
      <c r="AP347" s="350" t="s">
        <v>575</v>
      </c>
      <c r="AQ347" s="350" t="s">
        <v>576</v>
      </c>
      <c r="AR347" s="90" t="str">
        <f>VLOOKUP(AP347,'[2]CONTENEUR PLEIN'!$F:$L,2,FALSE)</f>
        <v>CMA CGM UNITY</v>
      </c>
      <c r="AS347" s="353" t="s">
        <v>316</v>
      </c>
      <c r="AT347" s="98"/>
    </row>
    <row r="348" spans="1:47" s="72" customFormat="1" hidden="1" x14ac:dyDescent="0.25">
      <c r="B348" s="29" t="s">
        <v>45</v>
      </c>
      <c r="C348" s="48">
        <v>45863</v>
      </c>
      <c r="D348" s="49">
        <v>25063</v>
      </c>
      <c r="E348" s="50" t="s">
        <v>370</v>
      </c>
      <c r="F348" s="49">
        <v>2507091452</v>
      </c>
      <c r="G348" s="49" t="s">
        <v>64</v>
      </c>
      <c r="H348" s="49" t="s">
        <v>46</v>
      </c>
      <c r="I348" s="49" t="s">
        <v>49</v>
      </c>
      <c r="J348" s="49" t="s">
        <v>46</v>
      </c>
      <c r="K348" s="112" t="s">
        <v>71</v>
      </c>
      <c r="L348" s="49" t="s">
        <v>47</v>
      </c>
      <c r="M348" s="382" t="e">
        <f t="shared" si="60"/>
        <v>#N/A</v>
      </c>
      <c r="N348" s="57" t="s">
        <v>146</v>
      </c>
      <c r="O348" s="51">
        <v>20160001</v>
      </c>
      <c r="P348" s="30" t="str">
        <f>VLOOKUP(O348,[1]Feuil2!$A:$M,5,FALSE)</f>
        <v>LOT 3 COUTEAUX TABLE OSLO BRILLANT CLASSIQUE +SUSPENSION</v>
      </c>
      <c r="Q348" s="49">
        <v>4032</v>
      </c>
      <c r="R348" s="52">
        <v>0.69499999999999995</v>
      </c>
      <c r="S348" s="53">
        <f t="shared" si="61"/>
        <v>2802.24</v>
      </c>
      <c r="T348" s="31">
        <f t="shared" si="66"/>
        <v>62629.290000000008</v>
      </c>
      <c r="U348" s="140"/>
      <c r="V348" s="32">
        <f t="shared" si="62"/>
        <v>62629.290000000008</v>
      </c>
      <c r="W348" s="33">
        <f>VLOOKUP(O348,[1]Feuil2!$A:$M,6,FALSE)</f>
        <v>72</v>
      </c>
      <c r="X348" s="34">
        <f>VLOOKUP(O348,[1]Feuil2!$A:$M,13,FALSE)</f>
        <v>1.4699999999999998E-2</v>
      </c>
      <c r="Y348" s="35">
        <f t="shared" si="64"/>
        <v>0.82319999999999993</v>
      </c>
      <c r="Z348" s="36">
        <f t="shared" si="63"/>
        <v>42.901577499999995</v>
      </c>
      <c r="AA348" s="235" t="s">
        <v>61</v>
      </c>
      <c r="AB348" s="55" t="s">
        <v>61</v>
      </c>
      <c r="AC348" s="49"/>
      <c r="AD348" s="55" t="s">
        <v>61</v>
      </c>
      <c r="AE348" s="48"/>
      <c r="AF348" s="55"/>
      <c r="AG348" s="55"/>
      <c r="AH348" s="57"/>
      <c r="AI348" s="136">
        <v>45945</v>
      </c>
      <c r="AJ348" s="137" t="s">
        <v>49</v>
      </c>
      <c r="AK348" s="56" t="e">
        <f>VLOOKUP(AP348,'[2]CONTENEUR PLEIN'!$F:$L,3,FALSE)</f>
        <v>#N/A</v>
      </c>
      <c r="AL348" s="37" t="e">
        <f>VLOOKUP(AP348,'[2]CONTENEUR PLEIN'!$F:$L,5,FALSE)</f>
        <v>#N/A</v>
      </c>
      <c r="AM348" s="38" t="e">
        <f>VLOOKUP(AP348,'[2]CONTENEUR PLEIN'!$F:$L,7,FALSE)</f>
        <v>#N/A</v>
      </c>
      <c r="AN348" s="49" t="s">
        <v>63</v>
      </c>
      <c r="AO348" s="49"/>
      <c r="AP348" s="49"/>
      <c r="AQ348" s="49"/>
      <c r="AR348" s="49" t="e">
        <f>VLOOKUP(AP348,'[2]CONTENEUR PLEIN'!$F:$L,2,FALSE)</f>
        <v>#N/A</v>
      </c>
      <c r="AS348" s="49"/>
      <c r="AT348" s="57"/>
    </row>
    <row r="349" spans="1:47" s="72" customFormat="1" hidden="1" x14ac:dyDescent="0.25">
      <c r="B349" s="29" t="s">
        <v>45</v>
      </c>
      <c r="C349" s="48">
        <v>45863</v>
      </c>
      <c r="D349" s="49">
        <v>25063</v>
      </c>
      <c r="E349" s="50" t="s">
        <v>370</v>
      </c>
      <c r="F349" s="49">
        <v>2507091452</v>
      </c>
      <c r="G349" s="49" t="s">
        <v>64</v>
      </c>
      <c r="H349" s="49" t="s">
        <v>46</v>
      </c>
      <c r="I349" s="49" t="s">
        <v>49</v>
      </c>
      <c r="J349" s="49" t="s">
        <v>46</v>
      </c>
      <c r="K349" s="112" t="s">
        <v>71</v>
      </c>
      <c r="L349" s="49" t="s">
        <v>47</v>
      </c>
      <c r="M349" s="382" t="e">
        <f t="shared" si="60"/>
        <v>#N/A</v>
      </c>
      <c r="N349" s="57" t="s">
        <v>146</v>
      </c>
      <c r="O349" s="51">
        <v>20160002</v>
      </c>
      <c r="P349" s="30" t="str">
        <f>VLOOKUP(O349,[1]Feuil2!$A:$M,5,FALSE)</f>
        <v>LOT 3 STEAK POINTU OSLO BRILLANT CLASSIQUE +SUSPENSION</v>
      </c>
      <c r="Q349" s="49">
        <v>19008</v>
      </c>
      <c r="R349" s="52">
        <v>0.73</v>
      </c>
      <c r="S349" s="53">
        <f t="shared" si="61"/>
        <v>13875.84</v>
      </c>
      <c r="T349" s="31">
        <f t="shared" si="66"/>
        <v>62629.290000000008</v>
      </c>
      <c r="U349" s="140"/>
      <c r="V349" s="32">
        <f t="shared" si="62"/>
        <v>62629.290000000008</v>
      </c>
      <c r="W349" s="33">
        <f>VLOOKUP(O349,[1]Feuil2!$A:$M,6,FALSE)</f>
        <v>72</v>
      </c>
      <c r="X349" s="34">
        <f>VLOOKUP(O349,[1]Feuil2!$A:$M,13,FALSE)</f>
        <v>1.5007499999999998E-2</v>
      </c>
      <c r="Y349" s="35">
        <f t="shared" si="64"/>
        <v>3.9619799999999996</v>
      </c>
      <c r="Z349" s="36">
        <f t="shared" si="63"/>
        <v>42.901577499999995</v>
      </c>
      <c r="AA349" s="235" t="s">
        <v>61</v>
      </c>
      <c r="AB349" s="55" t="s">
        <v>61</v>
      </c>
      <c r="AC349" s="49"/>
      <c r="AD349" s="55" t="s">
        <v>61</v>
      </c>
      <c r="AE349" s="48"/>
      <c r="AF349" s="55"/>
      <c r="AG349" s="55"/>
      <c r="AH349" s="57"/>
      <c r="AI349" s="136">
        <v>45945</v>
      </c>
      <c r="AJ349" s="137" t="s">
        <v>49</v>
      </c>
      <c r="AK349" s="56" t="e">
        <f>VLOOKUP(AP349,'[2]CONTENEUR PLEIN'!$F:$L,3,FALSE)</f>
        <v>#N/A</v>
      </c>
      <c r="AL349" s="37" t="e">
        <f>VLOOKUP(AP349,'[2]CONTENEUR PLEIN'!$F:$L,5,FALSE)</f>
        <v>#N/A</v>
      </c>
      <c r="AM349" s="38" t="e">
        <f>VLOOKUP(AP349,'[2]CONTENEUR PLEIN'!$F:$L,7,FALSE)</f>
        <v>#N/A</v>
      </c>
      <c r="AN349" s="49" t="s">
        <v>63</v>
      </c>
      <c r="AO349" s="49"/>
      <c r="AP349" s="49"/>
      <c r="AQ349" s="49"/>
      <c r="AR349" s="49" t="e">
        <f>VLOOKUP(AP349,'[2]CONTENEUR PLEIN'!$F:$L,2,FALSE)</f>
        <v>#N/A</v>
      </c>
      <c r="AS349" s="49"/>
      <c r="AT349" s="57"/>
    </row>
    <row r="350" spans="1:47" s="72" customFormat="1" hidden="1" x14ac:dyDescent="0.25">
      <c r="B350" s="359" t="s">
        <v>45</v>
      </c>
      <c r="C350" s="89">
        <v>45863</v>
      </c>
      <c r="D350" s="218">
        <v>25063</v>
      </c>
      <c r="E350" s="360" t="s">
        <v>370</v>
      </c>
      <c r="F350" s="90">
        <v>2507091452</v>
      </c>
      <c r="G350" s="361" t="s">
        <v>64</v>
      </c>
      <c r="H350" s="361" t="s">
        <v>46</v>
      </c>
      <c r="I350" s="361" t="s">
        <v>49</v>
      </c>
      <c r="J350" s="361" t="s">
        <v>46</v>
      </c>
      <c r="K350" s="16" t="s">
        <v>862</v>
      </c>
      <c r="L350" s="303">
        <v>45995</v>
      </c>
      <c r="M350" s="381">
        <f t="shared" si="60"/>
        <v>5</v>
      </c>
      <c r="N350" s="98" t="s">
        <v>62</v>
      </c>
      <c r="O350" s="92">
        <v>20260006</v>
      </c>
      <c r="P350" s="24" t="str">
        <f>VLOOKUP(O350,[1]Feuil2!$A:$M,5,FALSE)</f>
        <v>CAFE CURVING FINITION BRILLANTE EN BOITE PEGBOARDABLE</v>
      </c>
      <c r="Q350" s="90">
        <v>5040</v>
      </c>
      <c r="R350" s="93">
        <v>0.308</v>
      </c>
      <c r="S350" s="94">
        <f t="shared" si="61"/>
        <v>1552.32</v>
      </c>
      <c r="T350" s="95">
        <f t="shared" si="66"/>
        <v>62629.290000000008</v>
      </c>
      <c r="U350" s="138"/>
      <c r="V350" s="96">
        <f t="shared" si="62"/>
        <v>62629.290000000008</v>
      </c>
      <c r="W350" s="4">
        <f>VLOOKUP(O350,[1]Feuil2!$A:$M,6,FALSE)</f>
        <v>72</v>
      </c>
      <c r="X350" s="5">
        <f>VLOOKUP(O350,[1]Feuil2!$A:$M,13,FALSE)</f>
        <v>6.3825000000000002E-3</v>
      </c>
      <c r="Y350" s="6">
        <f t="shared" si="64"/>
        <v>0.44677500000000003</v>
      </c>
      <c r="Z350" s="97">
        <f t="shared" si="63"/>
        <v>42.901577499999995</v>
      </c>
      <c r="AA350" s="167" t="s">
        <v>61</v>
      </c>
      <c r="AB350" s="133" t="s">
        <v>61</v>
      </c>
      <c r="AC350" s="218" t="s">
        <v>55</v>
      </c>
      <c r="AD350" s="21" t="s">
        <v>57</v>
      </c>
      <c r="AE350" s="20">
        <v>45959</v>
      </c>
      <c r="AF350" s="21" t="s">
        <v>625</v>
      </c>
      <c r="AG350" s="21" t="s">
        <v>57</v>
      </c>
      <c r="AH350" s="503" t="s">
        <v>48</v>
      </c>
      <c r="AI350" s="160">
        <v>45945</v>
      </c>
      <c r="AJ350" s="145">
        <f>DATEDIF(AI350,$AK350,"D")</f>
        <v>39</v>
      </c>
      <c r="AK350" s="100">
        <f>VLOOKUP(AP350,'[2]CONTENEUR PLEIN'!$F:$L,3,FALSE)</f>
        <v>45984</v>
      </c>
      <c r="AL350" s="99">
        <f>VLOOKUP(AP350,'[2]CONTENEUR PLEIN'!$F:$L,5,FALSE)</f>
        <v>46030</v>
      </c>
      <c r="AM350" s="18">
        <f>VLOOKUP(AP350,'[2]CONTENEUR PLEIN'!$F:$L,7,FALSE)</f>
        <v>46036.333333333336</v>
      </c>
      <c r="AN350" s="361" t="s">
        <v>63</v>
      </c>
      <c r="AO350" s="351" t="s">
        <v>577</v>
      </c>
      <c r="AP350" s="351" t="s">
        <v>578</v>
      </c>
      <c r="AQ350" s="351" t="s">
        <v>588</v>
      </c>
      <c r="AR350" s="90" t="str">
        <f>VLOOKUP(AP350,'[2]CONTENEUR PLEIN'!$F:$L,2,FALSE)</f>
        <v>CMA CGM GRACE BAY</v>
      </c>
      <c r="AS350" s="351" t="s">
        <v>316</v>
      </c>
      <c r="AT350" s="98"/>
    </row>
    <row r="351" spans="1:47" s="72" customFormat="1" hidden="1" x14ac:dyDescent="0.25">
      <c r="B351" s="116" t="s">
        <v>45</v>
      </c>
      <c r="C351" s="20">
        <v>45863</v>
      </c>
      <c r="D351" s="67">
        <v>25063</v>
      </c>
      <c r="E351" s="117" t="s">
        <v>370</v>
      </c>
      <c r="F351" s="67">
        <v>2507091452</v>
      </c>
      <c r="G351" s="67" t="s">
        <v>64</v>
      </c>
      <c r="H351" s="67" t="s">
        <v>46</v>
      </c>
      <c r="I351" s="67" t="s">
        <v>49</v>
      </c>
      <c r="J351" s="67" t="s">
        <v>46</v>
      </c>
      <c r="K351" s="16" t="s">
        <v>898</v>
      </c>
      <c r="L351" s="111">
        <v>46014</v>
      </c>
      <c r="M351" s="381">
        <f t="shared" si="60"/>
        <v>6</v>
      </c>
      <c r="N351" s="98" t="s">
        <v>62</v>
      </c>
      <c r="O351" s="68">
        <v>21960001</v>
      </c>
      <c r="P351" s="24" t="str">
        <f>VLOOKUP(O351,[1]Feuil2!$A:$M,5,FALSE)</f>
        <v>M24 GALAXY EN BOITE CARREFOUR HOME</v>
      </c>
      <c r="Q351" s="67">
        <v>5250</v>
      </c>
      <c r="R351" s="154">
        <v>3.95</v>
      </c>
      <c r="S351" s="155">
        <f t="shared" si="61"/>
        <v>20737.5</v>
      </c>
      <c r="T351" s="156">
        <f t="shared" si="66"/>
        <v>62629.290000000008</v>
      </c>
      <c r="U351" s="157"/>
      <c r="V351" s="158">
        <f t="shared" si="62"/>
        <v>62629.290000000008</v>
      </c>
      <c r="W351" s="4">
        <f>VLOOKUP(O351,[1]Feuil2!$A:$M,6,FALSE)</f>
        <v>3</v>
      </c>
      <c r="X351" s="5">
        <f>VLOOKUP(O351,[1]Feuil2!$A:$M,13,FALSE)</f>
        <v>1.0005E-2</v>
      </c>
      <c r="Y351" s="6">
        <f t="shared" si="64"/>
        <v>17.508749999999999</v>
      </c>
      <c r="Z351" s="159">
        <f t="shared" si="63"/>
        <v>42.901577499999995</v>
      </c>
      <c r="AA351" s="69" t="s">
        <v>57</v>
      </c>
      <c r="AB351" s="21" t="s">
        <v>57</v>
      </c>
      <c r="AC351" s="218" t="s">
        <v>55</v>
      </c>
      <c r="AD351" s="21" t="s">
        <v>57</v>
      </c>
      <c r="AE351" s="20">
        <v>45975</v>
      </c>
      <c r="AF351" s="21" t="s">
        <v>600</v>
      </c>
      <c r="AG351" s="7"/>
      <c r="AH351" s="110"/>
      <c r="AI351" s="160">
        <v>45945</v>
      </c>
      <c r="AJ351" s="145">
        <f>DATEDIF(AI351,$AK351,"D")</f>
        <v>53</v>
      </c>
      <c r="AK351" s="435">
        <f>VLOOKUP(AP351,'[2]CONTENEUR PLEIN'!$F:$L,3,FALSE)</f>
        <v>45998</v>
      </c>
      <c r="AL351" s="231">
        <f>VLOOKUP(AP351,'[2]CONTENEUR PLEIN'!$F:$L,5,FALSE)</f>
        <v>46040</v>
      </c>
      <c r="AM351" s="436">
        <f>VLOOKUP(AP351,'[2]CONTENEUR PLEIN'!$F:$L,7,FALSE)</f>
        <v>46049.333333333336</v>
      </c>
      <c r="AN351" s="67" t="s">
        <v>63</v>
      </c>
      <c r="AO351" s="67" t="s">
        <v>657</v>
      </c>
      <c r="AP351" s="67" t="s">
        <v>658</v>
      </c>
      <c r="AQ351" s="67" t="s">
        <v>659</v>
      </c>
      <c r="AR351" s="67" t="str">
        <f>VLOOKUP(AP351,'[2]CONTENEUR PLEIN'!$F:$L,2,FALSE)</f>
        <v>CMA CGM IGUACU</v>
      </c>
      <c r="AS351" s="67" t="s">
        <v>316</v>
      </c>
      <c r="AT351" s="110"/>
      <c r="AU351" s="241"/>
    </row>
    <row r="352" spans="1:47" s="72" customFormat="1" hidden="1" x14ac:dyDescent="0.25">
      <c r="B352" s="359" t="s">
        <v>45</v>
      </c>
      <c r="C352" s="89">
        <v>45863</v>
      </c>
      <c r="D352" s="218">
        <v>25063</v>
      </c>
      <c r="E352" s="360" t="s">
        <v>370</v>
      </c>
      <c r="F352" s="90">
        <v>2507091452</v>
      </c>
      <c r="G352" s="361" t="s">
        <v>64</v>
      </c>
      <c r="H352" s="361" t="s">
        <v>46</v>
      </c>
      <c r="I352" s="361" t="s">
        <v>49</v>
      </c>
      <c r="J352" s="361" t="s">
        <v>46</v>
      </c>
      <c r="K352" s="8" t="s">
        <v>970</v>
      </c>
      <c r="L352" s="128">
        <v>46041</v>
      </c>
      <c r="M352" s="381">
        <f t="shared" si="60"/>
        <v>6</v>
      </c>
      <c r="N352" s="98" t="s">
        <v>49</v>
      </c>
      <c r="O352" s="92">
        <v>427640</v>
      </c>
      <c r="P352" s="24" t="str">
        <f>VLOOKUP(O352,[1]Feuil2!$A:$M,5,FALSE)</f>
        <v>CUILLERE TABLE ROMANE+GENCOD</v>
      </c>
      <c r="Q352" s="90">
        <v>5040</v>
      </c>
      <c r="R352" s="93">
        <v>0.161</v>
      </c>
      <c r="S352" s="94">
        <f t="shared" si="61"/>
        <v>811.44</v>
      </c>
      <c r="T352" s="95">
        <f t="shared" si="66"/>
        <v>62629.290000000008</v>
      </c>
      <c r="U352" s="138"/>
      <c r="V352" s="96">
        <f t="shared" si="62"/>
        <v>62629.290000000008</v>
      </c>
      <c r="W352" s="4">
        <f>VLOOKUP(O352,[1]Feuil2!$A:$M,6,FALSE)</f>
        <v>144</v>
      </c>
      <c r="X352" s="5">
        <f>VLOOKUP(O352,[1]Feuil2!$A:$M,13,FALSE)</f>
        <v>1.0692500000000001E-2</v>
      </c>
      <c r="Y352" s="6">
        <f t="shared" si="64"/>
        <v>0.3742375</v>
      </c>
      <c r="Z352" s="97">
        <f t="shared" si="63"/>
        <v>42.901577499999995</v>
      </c>
      <c r="AA352" s="69" t="s">
        <v>57</v>
      </c>
      <c r="AB352" s="67" t="s">
        <v>48</v>
      </c>
      <c r="AC352" s="307" t="s">
        <v>55</v>
      </c>
      <c r="AD352" s="21" t="s">
        <v>57</v>
      </c>
      <c r="AE352" s="20">
        <v>46002</v>
      </c>
      <c r="AF352" s="21" t="s">
        <v>706</v>
      </c>
      <c r="AG352" s="21"/>
      <c r="AH352" s="98"/>
      <c r="AI352" s="160">
        <v>45945</v>
      </c>
      <c r="AJ352" s="145">
        <f>DATEDIF(AI352,AK352,"D")</f>
        <v>65</v>
      </c>
      <c r="AK352" s="100">
        <f>VLOOKUP(AP352,'[2]CONTENEUR PLEIN'!$F:$L,3,FALSE)</f>
        <v>46010</v>
      </c>
      <c r="AL352" s="99">
        <f>VLOOKUP(AP352,'[2]CONTENEUR PLEIN'!$F:$L,5,FALSE)</f>
        <v>46052</v>
      </c>
      <c r="AM352" s="18">
        <f>VLOOKUP(AP352,'[2]CONTENEUR PLEIN'!$F:$L,7,FALSE)</f>
        <v>46058.53125</v>
      </c>
      <c r="AN352" s="361" t="s">
        <v>63</v>
      </c>
      <c r="AO352" s="67" t="s">
        <v>734</v>
      </c>
      <c r="AP352" s="67" t="s">
        <v>735</v>
      </c>
      <c r="AQ352" s="67" t="s">
        <v>738</v>
      </c>
      <c r="AR352" s="67" t="str">
        <f>VLOOKUP(AP352,'[2]CONTENEUR PLEIN'!$F:$L,2,FALSE)</f>
        <v>CMA CGM KIMBERLEY</v>
      </c>
      <c r="AS352" s="67" t="s">
        <v>316</v>
      </c>
      <c r="AT352" s="98"/>
    </row>
    <row r="353" spans="2:47" s="72" customFormat="1" hidden="1" x14ac:dyDescent="0.25">
      <c r="B353" s="359" t="s">
        <v>45</v>
      </c>
      <c r="C353" s="89">
        <v>45863</v>
      </c>
      <c r="D353" s="218">
        <v>25063</v>
      </c>
      <c r="E353" s="360" t="s">
        <v>370</v>
      </c>
      <c r="F353" s="90">
        <v>2507091452</v>
      </c>
      <c r="G353" s="361" t="s">
        <v>64</v>
      </c>
      <c r="H353" s="361" t="s">
        <v>46</v>
      </c>
      <c r="I353" s="361" t="s">
        <v>49</v>
      </c>
      <c r="J353" s="361" t="s">
        <v>46</v>
      </c>
      <c r="K353" s="8" t="s">
        <v>970</v>
      </c>
      <c r="L353" s="128">
        <v>46041</v>
      </c>
      <c r="M353" s="381">
        <f t="shared" si="60"/>
        <v>6</v>
      </c>
      <c r="N353" s="544" t="s">
        <v>146</v>
      </c>
      <c r="O353" s="92">
        <v>21810001</v>
      </c>
      <c r="P353" s="24" t="str">
        <f>VLOOKUP(O353,[1]Feuil2!$A:$M,5,FALSE)</f>
        <v>M16 FACETTE BOITE TB COLLECTION</v>
      </c>
      <c r="Q353" s="90">
        <v>1500</v>
      </c>
      <c r="R353" s="93">
        <v>4.75</v>
      </c>
      <c r="S353" s="94">
        <f t="shared" si="61"/>
        <v>7125</v>
      </c>
      <c r="T353" s="95">
        <f t="shared" si="66"/>
        <v>62629.290000000008</v>
      </c>
      <c r="U353" s="138"/>
      <c r="V353" s="96">
        <f t="shared" si="62"/>
        <v>62629.290000000008</v>
      </c>
      <c r="W353" s="4">
        <f>VLOOKUP(O353,[1]Feuil2!$A:$M,6,FALSE)</f>
        <v>6</v>
      </c>
      <c r="X353" s="5">
        <f>VLOOKUP(O353,[1]Feuil2!$A:$M,13,FALSE)</f>
        <v>2.6040000000000001E-2</v>
      </c>
      <c r="Y353" s="6">
        <f t="shared" si="64"/>
        <v>6.51</v>
      </c>
      <c r="Z353" s="97">
        <f t="shared" si="63"/>
        <v>42.901577499999995</v>
      </c>
      <c r="AA353" s="167" t="s">
        <v>61</v>
      </c>
      <c r="AB353" s="133" t="s">
        <v>61</v>
      </c>
      <c r="AC353" s="90"/>
      <c r="AD353" s="133" t="s">
        <v>61</v>
      </c>
      <c r="AE353" s="20">
        <v>45994</v>
      </c>
      <c r="AF353" s="21" t="s">
        <v>650</v>
      </c>
      <c r="AG353" s="21"/>
      <c r="AH353" s="98"/>
      <c r="AI353" s="160">
        <v>45945</v>
      </c>
      <c r="AJ353" s="145">
        <f>DATEDIF(AI353,AK353,"D")</f>
        <v>65</v>
      </c>
      <c r="AK353" s="100">
        <f>VLOOKUP(AP353,'[2]CONTENEUR PLEIN'!$F:$L,3,FALSE)</f>
        <v>46010</v>
      </c>
      <c r="AL353" s="99">
        <f>VLOOKUP(AP353,'[2]CONTENEUR PLEIN'!$F:$L,5,FALSE)</f>
        <v>46052</v>
      </c>
      <c r="AM353" s="18">
        <f>VLOOKUP(AP353,'[2]CONTENEUR PLEIN'!$F:$L,7,FALSE)</f>
        <v>46058.53125</v>
      </c>
      <c r="AN353" s="361" t="s">
        <v>63</v>
      </c>
      <c r="AO353" s="67" t="s">
        <v>734</v>
      </c>
      <c r="AP353" s="67" t="s">
        <v>735</v>
      </c>
      <c r="AQ353" s="67" t="s">
        <v>738</v>
      </c>
      <c r="AR353" s="67" t="str">
        <f>VLOOKUP(AP353,'[2]CONTENEUR PLEIN'!$F:$L,2,FALSE)</f>
        <v>CMA CGM KIMBERLEY</v>
      </c>
      <c r="AS353" s="67" t="s">
        <v>316</v>
      </c>
      <c r="AT353" s="98"/>
    </row>
    <row r="354" spans="2:47" s="72" customFormat="1" hidden="1" x14ac:dyDescent="0.25">
      <c r="B354" s="359" t="s">
        <v>45</v>
      </c>
      <c r="C354" s="89">
        <v>45863</v>
      </c>
      <c r="D354" s="218">
        <v>25063</v>
      </c>
      <c r="E354" s="360" t="s">
        <v>370</v>
      </c>
      <c r="F354" s="90">
        <v>2507091452</v>
      </c>
      <c r="G354" s="361" t="s">
        <v>64</v>
      </c>
      <c r="H354" s="361" t="s">
        <v>46</v>
      </c>
      <c r="I354" s="361" t="s">
        <v>49</v>
      </c>
      <c r="J354" s="361" t="s">
        <v>46</v>
      </c>
      <c r="K354" s="8" t="s">
        <v>970</v>
      </c>
      <c r="L354" s="128">
        <v>46041</v>
      </c>
      <c r="M354" s="381">
        <f t="shared" si="60"/>
        <v>6</v>
      </c>
      <c r="N354" s="98" t="s">
        <v>62</v>
      </c>
      <c r="O354" s="68">
        <v>21960001</v>
      </c>
      <c r="P354" s="24" t="str">
        <f>VLOOKUP(O354,[1]Feuil2!$A:$M,5,FALSE)</f>
        <v>M24 GALAXY EN BOITE CARREFOUR HOME</v>
      </c>
      <c r="Q354" s="67">
        <f>9231-5250</f>
        <v>3981</v>
      </c>
      <c r="R354" s="154">
        <v>3.95</v>
      </c>
      <c r="S354" s="155">
        <f t="shared" si="61"/>
        <v>15724.95</v>
      </c>
      <c r="T354" s="156">
        <f t="shared" si="66"/>
        <v>62629.290000000008</v>
      </c>
      <c r="U354" s="157"/>
      <c r="V354" s="158">
        <f t="shared" si="62"/>
        <v>62629.290000000008</v>
      </c>
      <c r="W354" s="4">
        <f>VLOOKUP(O354,[1]Feuil2!$A:$M,6,FALSE)</f>
        <v>3</v>
      </c>
      <c r="X354" s="5">
        <f>VLOOKUP(O354,[1]Feuil2!$A:$M,13,FALSE)</f>
        <v>1.0005E-2</v>
      </c>
      <c r="Y354" s="6">
        <f t="shared" si="64"/>
        <v>13.276635000000001</v>
      </c>
      <c r="Z354" s="159">
        <f t="shared" si="63"/>
        <v>42.901577499999995</v>
      </c>
      <c r="AA354" s="69" t="s">
        <v>57</v>
      </c>
      <c r="AB354" s="21" t="s">
        <v>57</v>
      </c>
      <c r="AC354" s="218" t="s">
        <v>55</v>
      </c>
      <c r="AD354" s="21" t="s">
        <v>57</v>
      </c>
      <c r="AE354" s="20">
        <v>45975</v>
      </c>
      <c r="AF354" s="21" t="s">
        <v>600</v>
      </c>
      <c r="AG354" s="7"/>
      <c r="AH354" s="110"/>
      <c r="AI354" s="160">
        <v>45945</v>
      </c>
      <c r="AJ354" s="145">
        <f>DATEDIF(AI354,AK354,"D")</f>
        <v>65</v>
      </c>
      <c r="AK354" s="435">
        <f>VLOOKUP(AP354,'[2]CONTENEUR PLEIN'!$F:$L,3,FALSE)</f>
        <v>46010</v>
      </c>
      <c r="AL354" s="231">
        <f>VLOOKUP(AP354,'[2]CONTENEUR PLEIN'!$F:$L,5,FALSE)</f>
        <v>46052</v>
      </c>
      <c r="AM354" s="436">
        <f>VLOOKUP(AP354,'[2]CONTENEUR PLEIN'!$F:$L,7,FALSE)</f>
        <v>46058.53125</v>
      </c>
      <c r="AN354" s="67" t="s">
        <v>63</v>
      </c>
      <c r="AO354" s="67" t="s">
        <v>734</v>
      </c>
      <c r="AP354" s="67" t="s">
        <v>735</v>
      </c>
      <c r="AQ354" s="67" t="s">
        <v>738</v>
      </c>
      <c r="AR354" s="67" t="str">
        <f>VLOOKUP(AP354,'[2]CONTENEUR PLEIN'!$F:$L,2,FALSE)</f>
        <v>CMA CGM KIMBERLEY</v>
      </c>
      <c r="AS354" s="67" t="s">
        <v>316</v>
      </c>
      <c r="AT354" s="110"/>
      <c r="AU354" s="241"/>
    </row>
    <row r="355" spans="2:47" s="72" customFormat="1" hidden="1" x14ac:dyDescent="0.25">
      <c r="B355" s="359" t="s">
        <v>45</v>
      </c>
      <c r="C355" s="89">
        <v>45863</v>
      </c>
      <c r="D355" s="90">
        <v>25061</v>
      </c>
      <c r="E355" s="360" t="s">
        <v>365</v>
      </c>
      <c r="F355" s="90">
        <v>2507091501</v>
      </c>
      <c r="G355" s="361" t="s">
        <v>112</v>
      </c>
      <c r="H355" s="361" t="s">
        <v>46</v>
      </c>
      <c r="I355" s="361" t="s">
        <v>49</v>
      </c>
      <c r="J355" s="361" t="s">
        <v>46</v>
      </c>
      <c r="K355" s="8" t="s">
        <v>938</v>
      </c>
      <c r="L355" s="303">
        <v>46014</v>
      </c>
      <c r="M355" s="381">
        <f t="shared" si="60"/>
        <v>6</v>
      </c>
      <c r="N355" s="588" t="s">
        <v>366</v>
      </c>
      <c r="O355" s="92">
        <v>10100026</v>
      </c>
      <c r="P355" s="24" t="str">
        <f>VLOOKUP(O355,[1]Feuil2!$A:$M,5,FALSE)</f>
        <v>CISAILLE A VOLAILLE ABS NOIR CARREFOUR</v>
      </c>
      <c r="Q355" s="90">
        <v>5040</v>
      </c>
      <c r="R355" s="93">
        <v>1.66</v>
      </c>
      <c r="S355" s="94">
        <f t="shared" si="61"/>
        <v>8366.4</v>
      </c>
      <c r="T355" s="95">
        <f t="shared" si="66"/>
        <v>8366.4</v>
      </c>
      <c r="U355" s="138"/>
      <c r="V355" s="96">
        <f t="shared" si="62"/>
        <v>8366.4</v>
      </c>
      <c r="W355" s="4">
        <f>VLOOKUP(O355,[1]Feuil2!$A:$M,6,FALSE)</f>
        <v>48</v>
      </c>
      <c r="X355" s="5">
        <f>VLOOKUP(O355,[1]Feuil2!$A:$M,13,FALSE)</f>
        <v>4.4962500000000009E-2</v>
      </c>
      <c r="Y355" s="6">
        <f t="shared" si="64"/>
        <v>4.7210625000000013</v>
      </c>
      <c r="Z355" s="97">
        <f t="shared" si="63"/>
        <v>4.7210625000000013</v>
      </c>
      <c r="AA355" s="68" t="s">
        <v>48</v>
      </c>
      <c r="AB355" s="21" t="s">
        <v>57</v>
      </c>
      <c r="AC355" s="87" t="s">
        <v>55</v>
      </c>
      <c r="AD355" s="21" t="s">
        <v>57</v>
      </c>
      <c r="AE355" s="20">
        <v>45957</v>
      </c>
      <c r="AF355" s="21" t="s">
        <v>629</v>
      </c>
      <c r="AG355" s="21" t="s">
        <v>57</v>
      </c>
      <c r="AH355" s="503" t="s">
        <v>48</v>
      </c>
      <c r="AI355" s="160">
        <v>45945</v>
      </c>
      <c r="AJ355" s="145">
        <f>DATEDIF(AI355,$AK$347,"D")</f>
        <v>31</v>
      </c>
      <c r="AK355" s="100">
        <f>VLOOKUP(AP355,'[2]CONTENEUR PLEIN'!$F:$L,3,FALSE)</f>
        <v>46003</v>
      </c>
      <c r="AL355" s="99">
        <f>VLOOKUP(AP355,'[2]CONTENEUR PLEIN'!$F:$L,5,FALSE)</f>
        <v>46046</v>
      </c>
      <c r="AM355" s="18">
        <f>VLOOKUP(AP355,'[2]CONTENEUR PLEIN'!$F:$L,7,FALSE)</f>
        <v>46055.333333333336</v>
      </c>
      <c r="AN355" s="361" t="s">
        <v>63</v>
      </c>
      <c r="AO355" s="307" t="s">
        <v>717</v>
      </c>
      <c r="AP355" s="307" t="s">
        <v>681</v>
      </c>
      <c r="AQ355" s="307" t="s">
        <v>718</v>
      </c>
      <c r="AR355" s="90" t="str">
        <f>VLOOKUP(AP355,'[2]CONTENEUR PLEIN'!$F:$L,2,FALSE)</f>
        <v>CMA CGM SCANDOLA</v>
      </c>
      <c r="AS355" s="307" t="s">
        <v>316</v>
      </c>
      <c r="AT355" s="98"/>
    </row>
    <row r="356" spans="2:47" s="72" customFormat="1" hidden="1" x14ac:dyDescent="0.25">
      <c r="B356" s="359" t="s">
        <v>45</v>
      </c>
      <c r="C356" s="89">
        <v>45863</v>
      </c>
      <c r="D356" s="90">
        <v>25060</v>
      </c>
      <c r="E356" s="360" t="s">
        <v>367</v>
      </c>
      <c r="F356" s="90">
        <v>2507091506</v>
      </c>
      <c r="G356" s="361" t="s">
        <v>59</v>
      </c>
      <c r="H356" s="361" t="s">
        <v>46</v>
      </c>
      <c r="I356" s="361" t="s">
        <v>49</v>
      </c>
      <c r="J356" s="361" t="s">
        <v>46</v>
      </c>
      <c r="K356" s="8" t="s">
        <v>938</v>
      </c>
      <c r="L356" s="303">
        <v>46014</v>
      </c>
      <c r="M356" s="381">
        <f t="shared" si="60"/>
        <v>6</v>
      </c>
      <c r="N356" s="98" t="s">
        <v>49</v>
      </c>
      <c r="O356" s="92">
        <v>10340034</v>
      </c>
      <c r="P356" s="24" t="str">
        <f>VLOOKUP(O356,[1]Feuil2!$A:$M,5,FALSE)</f>
        <v>OFFICE BOIS CLAIR CRF VRAC + GENCOD</v>
      </c>
      <c r="Q356" s="90">
        <v>42120</v>
      </c>
      <c r="R356" s="93">
        <v>0.34100000000000003</v>
      </c>
      <c r="S356" s="94">
        <f t="shared" si="61"/>
        <v>14362.920000000002</v>
      </c>
      <c r="T356" s="95">
        <f t="shared" si="66"/>
        <v>52875.360000000001</v>
      </c>
      <c r="U356" s="138"/>
      <c r="V356" s="96">
        <f t="shared" si="62"/>
        <v>52875.360000000001</v>
      </c>
      <c r="W356" s="4">
        <f>VLOOKUP(O356,[1]Feuil2!$A:$M,6,FALSE)</f>
        <v>360</v>
      </c>
      <c r="X356" s="5">
        <f>VLOOKUP(O356,[1]Feuil2!$A:$M,13,FALSE)</f>
        <v>1.9822000000000003E-2</v>
      </c>
      <c r="Y356" s="6">
        <f t="shared" si="64"/>
        <v>2.3191740000000003</v>
      </c>
      <c r="Z356" s="97">
        <f t="shared" si="63"/>
        <v>14.416153000000001</v>
      </c>
      <c r="AA356" s="69" t="s">
        <v>57</v>
      </c>
      <c r="AB356" s="21" t="s">
        <v>57</v>
      </c>
      <c r="AC356" s="87" t="s">
        <v>55</v>
      </c>
      <c r="AD356" s="21" t="s">
        <v>57</v>
      </c>
      <c r="AE356" s="20">
        <v>45972</v>
      </c>
      <c r="AF356" s="21" t="s">
        <v>612</v>
      </c>
      <c r="AG356" s="21" t="s">
        <v>57</v>
      </c>
      <c r="AH356" s="503" t="s">
        <v>48</v>
      </c>
      <c r="AI356" s="160">
        <v>45945</v>
      </c>
      <c r="AJ356" s="145">
        <f>DATEDIF(AI356,AK356,"D")</f>
        <v>58</v>
      </c>
      <c r="AK356" s="100">
        <f>VLOOKUP(AP356,'[2]CONTENEUR PLEIN'!$F:$L,3,FALSE)</f>
        <v>46003</v>
      </c>
      <c r="AL356" s="99">
        <f>VLOOKUP(AP356,'[2]CONTENEUR PLEIN'!$F:$L,5,FALSE)</f>
        <v>46046</v>
      </c>
      <c r="AM356" s="18">
        <f>VLOOKUP(AP356,'[2]CONTENEUR PLEIN'!$F:$L,7,FALSE)</f>
        <v>46055.333333333336</v>
      </c>
      <c r="AN356" s="361" t="s">
        <v>63</v>
      </c>
      <c r="AO356" s="307" t="s">
        <v>713</v>
      </c>
      <c r="AP356" s="307" t="s">
        <v>681</v>
      </c>
      <c r="AQ356" s="307" t="s">
        <v>714</v>
      </c>
      <c r="AR356" s="90" t="str">
        <f>VLOOKUP(AP356,'[2]CONTENEUR PLEIN'!$F:$L,2,FALSE)</f>
        <v>CMA CGM SCANDOLA</v>
      </c>
      <c r="AS356" s="307" t="s">
        <v>316</v>
      </c>
      <c r="AT356" s="98"/>
    </row>
    <row r="357" spans="2:47" s="72" customFormat="1" hidden="1" x14ac:dyDescent="0.25">
      <c r="B357" s="359" t="s">
        <v>45</v>
      </c>
      <c r="C357" s="89">
        <v>45863</v>
      </c>
      <c r="D357" s="90">
        <v>25060</v>
      </c>
      <c r="E357" s="360" t="s">
        <v>367</v>
      </c>
      <c r="F357" s="90">
        <v>2507091506</v>
      </c>
      <c r="G357" s="361" t="s">
        <v>59</v>
      </c>
      <c r="H357" s="361" t="s">
        <v>46</v>
      </c>
      <c r="I357" s="361" t="s">
        <v>49</v>
      </c>
      <c r="J357" s="361" t="s">
        <v>46</v>
      </c>
      <c r="K357" s="8" t="s">
        <v>938</v>
      </c>
      <c r="L357" s="303">
        <v>46014</v>
      </c>
      <c r="M357" s="381">
        <f t="shared" si="60"/>
        <v>6</v>
      </c>
      <c r="N357" s="98" t="s">
        <v>49</v>
      </c>
      <c r="O357" s="92">
        <v>10340036</v>
      </c>
      <c r="P357" s="24" t="str">
        <f>VLOOKUP(O357,[1]Feuil2!$A:$M,5,FALSE)</f>
        <v>EPLUCHEUR BOIS CLAIR CRF VRAC + GENCOD</v>
      </c>
      <c r="Q357" s="90">
        <v>60840</v>
      </c>
      <c r="R357" s="93">
        <v>0.34100000000000003</v>
      </c>
      <c r="S357" s="94">
        <f t="shared" si="61"/>
        <v>20746.440000000002</v>
      </c>
      <c r="T357" s="95">
        <f t="shared" si="66"/>
        <v>52875.360000000001</v>
      </c>
      <c r="U357" s="138"/>
      <c r="V357" s="96">
        <f t="shared" si="62"/>
        <v>52875.360000000001</v>
      </c>
      <c r="W357" s="4">
        <f>VLOOKUP(O357,[1]Feuil2!$A:$M,6,FALSE)</f>
        <v>360</v>
      </c>
      <c r="X357" s="5">
        <f>VLOOKUP(O357,[1]Feuil2!$A:$M,13,FALSE)</f>
        <v>2.48455E-2</v>
      </c>
      <c r="Y357" s="6">
        <f t="shared" si="64"/>
        <v>4.1988894999999999</v>
      </c>
      <c r="Z357" s="97">
        <f t="shared" si="63"/>
        <v>14.416153000000001</v>
      </c>
      <c r="AA357" s="69" t="s">
        <v>57</v>
      </c>
      <c r="AB357" s="21" t="s">
        <v>57</v>
      </c>
      <c r="AC357" s="87" t="s">
        <v>55</v>
      </c>
      <c r="AD357" s="21" t="s">
        <v>57</v>
      </c>
      <c r="AE357" s="20">
        <v>45972</v>
      </c>
      <c r="AF357" s="21" t="s">
        <v>611</v>
      </c>
      <c r="AG357" s="47" t="s">
        <v>994</v>
      </c>
      <c r="AH357" s="503" t="s">
        <v>48</v>
      </c>
      <c r="AI357" s="160">
        <v>45945</v>
      </c>
      <c r="AJ357" s="145">
        <f>DATEDIF(AI357,AK357,"D")</f>
        <v>58</v>
      </c>
      <c r="AK357" s="100">
        <f>VLOOKUP(AP357,'[2]CONTENEUR PLEIN'!$F:$L,3,FALSE)</f>
        <v>46003</v>
      </c>
      <c r="AL357" s="99">
        <f>VLOOKUP(AP357,'[2]CONTENEUR PLEIN'!$F:$L,5,FALSE)</f>
        <v>46046</v>
      </c>
      <c r="AM357" s="18">
        <f>VLOOKUP(AP357,'[2]CONTENEUR PLEIN'!$F:$L,7,FALSE)</f>
        <v>46055.333333333336</v>
      </c>
      <c r="AN357" s="361" t="s">
        <v>63</v>
      </c>
      <c r="AO357" s="307" t="s">
        <v>713</v>
      </c>
      <c r="AP357" s="307" t="s">
        <v>681</v>
      </c>
      <c r="AQ357" s="307" t="s">
        <v>714</v>
      </c>
      <c r="AR357" s="90" t="str">
        <f>VLOOKUP(AP357,'[2]CONTENEUR PLEIN'!$F:$L,2,FALSE)</f>
        <v>CMA CGM SCANDOLA</v>
      </c>
      <c r="AS357" s="307" t="s">
        <v>316</v>
      </c>
      <c r="AT357" s="98"/>
    </row>
    <row r="358" spans="2:47" s="72" customFormat="1" hidden="1" x14ac:dyDescent="0.25">
      <c r="B358" s="259" t="s">
        <v>45</v>
      </c>
      <c r="C358" s="146">
        <v>45863</v>
      </c>
      <c r="D358" s="147">
        <v>25060</v>
      </c>
      <c r="E358" s="260" t="s">
        <v>367</v>
      </c>
      <c r="F358" s="147">
        <v>2507091506</v>
      </c>
      <c r="G358" s="261" t="s">
        <v>59</v>
      </c>
      <c r="H358" s="261" t="s">
        <v>46</v>
      </c>
      <c r="I358" s="261" t="s">
        <v>49</v>
      </c>
      <c r="J358" s="261" t="s">
        <v>46</v>
      </c>
      <c r="K358" s="305" t="s">
        <v>68</v>
      </c>
      <c r="L358" s="303">
        <v>46048</v>
      </c>
      <c r="M358" s="379">
        <f t="shared" si="60"/>
        <v>7</v>
      </c>
      <c r="N358" s="77" t="s">
        <v>49</v>
      </c>
      <c r="O358" s="78">
        <v>421310</v>
      </c>
      <c r="P358" s="42" t="str">
        <f>VLOOKUP(O358,[1]Feuil2!$A:$M,5,FALSE)</f>
        <v>LOT SCOTCHE 2 STEAKS ECO IMPORT</v>
      </c>
      <c r="Q358" s="75">
        <v>75600</v>
      </c>
      <c r="R358" s="79">
        <v>0.23499999999999999</v>
      </c>
      <c r="S358" s="80">
        <f t="shared" si="61"/>
        <v>17766</v>
      </c>
      <c r="T358" s="81">
        <f t="shared" si="66"/>
        <v>52875.360000000001</v>
      </c>
      <c r="U358" s="139"/>
      <c r="V358" s="82">
        <f t="shared" si="62"/>
        <v>52875.360000000001</v>
      </c>
      <c r="W358" s="9">
        <f>VLOOKUP(O358,[1]Feuil2!$A:$M,6,FALSE)</f>
        <v>240</v>
      </c>
      <c r="X358" s="10">
        <f>VLOOKUP(O358,[1]Feuil2!$A:$M,13,FALSE)</f>
        <v>2.50733E-2</v>
      </c>
      <c r="Y358" s="11">
        <f t="shared" si="64"/>
        <v>7.8980895000000002</v>
      </c>
      <c r="Z358" s="83">
        <f t="shared" si="63"/>
        <v>14.416153000000001</v>
      </c>
      <c r="AA358" s="12" t="s">
        <v>57</v>
      </c>
      <c r="AB358" s="13" t="s">
        <v>57</v>
      </c>
      <c r="AC358" s="87" t="s">
        <v>55</v>
      </c>
      <c r="AD358" s="13" t="s">
        <v>57</v>
      </c>
      <c r="AE358" s="14">
        <v>46013</v>
      </c>
      <c r="AF358" s="13" t="s">
        <v>763</v>
      </c>
      <c r="AG358" s="13"/>
      <c r="AH358" s="84"/>
      <c r="AI358" s="178">
        <v>45945</v>
      </c>
      <c r="AJ358" s="144">
        <f>DATEDIF(AI358,AK358,"D")</f>
        <v>81</v>
      </c>
      <c r="AK358" s="85">
        <f>VLOOKUP(AP358,'[2]CONTENEUR PLEIN'!$F:$L,3,FALSE)</f>
        <v>46026</v>
      </c>
      <c r="AL358" s="86">
        <f>VLOOKUP(AP358,'[2]CONTENEUR PLEIN'!$F:$L,5,FALSE)</f>
        <v>46081</v>
      </c>
      <c r="AM358" s="18">
        <f>VLOOKUP(AP358,'[2]CONTENEUR PLEIN'!$F:$L,7,FALSE)</f>
        <v>46099.53125</v>
      </c>
      <c r="AN358" s="179" t="s">
        <v>63</v>
      </c>
      <c r="AO358" s="335" t="s">
        <v>821</v>
      </c>
      <c r="AP358" s="335" t="s">
        <v>817</v>
      </c>
      <c r="AQ358" s="335" t="s">
        <v>823</v>
      </c>
      <c r="AR358" s="75" t="str">
        <f>VLOOKUP(AP358,'[2]CONTENEUR PLEIN'!$F:$L,2,FALSE)</f>
        <v>ZEPHYR LUMOS</v>
      </c>
      <c r="AS358" s="335" t="s">
        <v>316</v>
      </c>
      <c r="AT358" s="84"/>
    </row>
    <row r="359" spans="2:47" s="72" customFormat="1" hidden="1" x14ac:dyDescent="0.25">
      <c r="B359" s="359" t="s">
        <v>45</v>
      </c>
      <c r="C359" s="89">
        <v>45863</v>
      </c>
      <c r="D359" s="90">
        <v>25059</v>
      </c>
      <c r="E359" s="360" t="s">
        <v>369</v>
      </c>
      <c r="F359" s="90">
        <v>2507091513</v>
      </c>
      <c r="G359" s="361" t="s">
        <v>58</v>
      </c>
      <c r="H359" s="361" t="s">
        <v>46</v>
      </c>
      <c r="I359" s="361" t="s">
        <v>49</v>
      </c>
      <c r="J359" s="361" t="s">
        <v>46</v>
      </c>
      <c r="K359" s="8" t="s">
        <v>968</v>
      </c>
      <c r="L359" s="303">
        <v>46014</v>
      </c>
      <c r="M359" s="381">
        <f t="shared" si="60"/>
        <v>6</v>
      </c>
      <c r="N359" s="98" t="s">
        <v>49</v>
      </c>
      <c r="O359" s="92">
        <v>402711</v>
      </c>
      <c r="P359" s="24" t="str">
        <f>VLOOKUP(O359,[1]Feuil2!$A:$M,5,FALSE)</f>
        <v>COUTEAU DE POCHE NATU /CQUE CDF LAME 9CM</v>
      </c>
      <c r="Q359" s="90">
        <v>12024</v>
      </c>
      <c r="R359" s="93">
        <v>1.3779999999999999</v>
      </c>
      <c r="S359" s="94">
        <f t="shared" si="61"/>
        <v>16569.072</v>
      </c>
      <c r="T359" s="95">
        <f t="shared" si="66"/>
        <v>16569.072</v>
      </c>
      <c r="U359" s="138"/>
      <c r="V359" s="96">
        <f t="shared" si="62"/>
        <v>16569.072</v>
      </c>
      <c r="W359" s="4">
        <f>VLOOKUP(O359,[1]Feuil2!$A:$M,6,FALSE)</f>
        <v>36</v>
      </c>
      <c r="X359" s="5">
        <f>VLOOKUP(O359,[1]Feuil2!$A:$M,13,FALSE)</f>
        <v>3.8556E-2</v>
      </c>
      <c r="Y359" s="6">
        <f t="shared" si="64"/>
        <v>12.877704</v>
      </c>
      <c r="Z359" s="97">
        <f t="shared" si="63"/>
        <v>12.877704</v>
      </c>
      <c r="AA359" s="69" t="s">
        <v>57</v>
      </c>
      <c r="AB359" s="21" t="s">
        <v>57</v>
      </c>
      <c r="AC359" s="218" t="s">
        <v>55</v>
      </c>
      <c r="AD359" s="21" t="s">
        <v>57</v>
      </c>
      <c r="AE359" s="20">
        <v>45944</v>
      </c>
      <c r="AF359" s="21" t="s">
        <v>522</v>
      </c>
      <c r="AG359" s="21" t="s">
        <v>57</v>
      </c>
      <c r="AH359" s="503" t="s">
        <v>48</v>
      </c>
      <c r="AI359" s="160">
        <v>45945</v>
      </c>
      <c r="AJ359" s="145">
        <f>DATEDIF(AI359,AK359,"D")</f>
        <v>58</v>
      </c>
      <c r="AK359" s="100">
        <f>VLOOKUP(AP359,'[2]CONTENEUR PLEIN'!$F:$L,3,FALSE)</f>
        <v>46003</v>
      </c>
      <c r="AL359" s="99">
        <f>VLOOKUP(AP359,'[2]CONTENEUR PLEIN'!$F:$L,5,FALSE)</f>
        <v>46046</v>
      </c>
      <c r="AM359" s="18">
        <f>VLOOKUP(AP359,'[2]CONTENEUR PLEIN'!$F:$L,7,FALSE)</f>
        <v>46056.333333333336</v>
      </c>
      <c r="AN359" s="361" t="s">
        <v>63</v>
      </c>
      <c r="AO359" s="295" t="s">
        <v>690</v>
      </c>
      <c r="AP359" s="295" t="s">
        <v>691</v>
      </c>
      <c r="AQ359" s="295" t="s">
        <v>692</v>
      </c>
      <c r="AR359" s="90" t="str">
        <f>VLOOKUP(AP359,'[2]CONTENEUR PLEIN'!$F:$L,2,FALSE)</f>
        <v>CMA CGM SCANDOLA</v>
      </c>
      <c r="AS359" s="295" t="s">
        <v>316</v>
      </c>
      <c r="AT359" s="98"/>
    </row>
    <row r="360" spans="2:47" s="72" customFormat="1" hidden="1" x14ac:dyDescent="0.25">
      <c r="B360" s="359" t="s">
        <v>45</v>
      </c>
      <c r="C360" s="89">
        <v>45863</v>
      </c>
      <c r="D360" s="90">
        <v>25062</v>
      </c>
      <c r="E360" s="360" t="s">
        <v>368</v>
      </c>
      <c r="F360" s="90">
        <v>2507091518</v>
      </c>
      <c r="G360" s="361" t="s">
        <v>74</v>
      </c>
      <c r="H360" s="361" t="s">
        <v>46</v>
      </c>
      <c r="I360" s="361" t="s">
        <v>49</v>
      </c>
      <c r="J360" s="361" t="s">
        <v>46</v>
      </c>
      <c r="K360" s="16" t="s">
        <v>864</v>
      </c>
      <c r="L360" s="303">
        <v>45993</v>
      </c>
      <c r="M360" s="381">
        <f t="shared" si="60"/>
        <v>5</v>
      </c>
      <c r="N360" s="98" t="s">
        <v>49</v>
      </c>
      <c r="O360" s="92">
        <v>21970002</v>
      </c>
      <c r="P360" s="24" t="str">
        <f>VLOOKUP(O360,[1]Feuil2!$A:$M,5,FALSE)</f>
        <v>COUTEAU GRAPHITE SATINE VRAC+ GENCOD</v>
      </c>
      <c r="Q360" s="90">
        <v>11640</v>
      </c>
      <c r="R360" s="93">
        <v>0.22</v>
      </c>
      <c r="S360" s="94">
        <f t="shared" si="61"/>
        <v>2560.8000000000002</v>
      </c>
      <c r="T360" s="95">
        <f t="shared" si="66"/>
        <v>36158.520000000004</v>
      </c>
      <c r="U360" s="138"/>
      <c r="V360" s="96">
        <f t="shared" si="62"/>
        <v>36158.520000000004</v>
      </c>
      <c r="W360" s="4">
        <f>VLOOKUP(O360,[1]Feuil2!$A:$M,6,FALSE)</f>
        <v>120</v>
      </c>
      <c r="X360" s="5">
        <f>VLOOKUP(O360,[1]Feuil2!$A:$M,13,FALSE)</f>
        <v>1.1970000000000001E-2</v>
      </c>
      <c r="Y360" s="6">
        <f t="shared" si="64"/>
        <v>1.1610900000000002</v>
      </c>
      <c r="Z360" s="97">
        <f t="shared" si="63"/>
        <v>20.295068124999997</v>
      </c>
      <c r="AA360" s="69" t="s">
        <v>57</v>
      </c>
      <c r="AB360" s="133" t="s">
        <v>61</v>
      </c>
      <c r="AC360" s="87" t="s">
        <v>55</v>
      </c>
      <c r="AD360" s="21" t="s">
        <v>57</v>
      </c>
      <c r="AE360" s="20">
        <v>45944</v>
      </c>
      <c r="AF360" s="21" t="s">
        <v>523</v>
      </c>
      <c r="AG360" s="21"/>
      <c r="AH360" s="98"/>
      <c r="AI360" s="160">
        <v>45945</v>
      </c>
      <c r="AJ360" s="145">
        <f t="shared" ref="AJ360:AJ378" si="67">DATEDIF(AI360,$AK360,"D")</f>
        <v>16</v>
      </c>
      <c r="AK360" s="100">
        <f>VLOOKUP(AP360,'[2]CONTENEUR PLEIN'!$F:$L,3,FALSE)</f>
        <v>45961</v>
      </c>
      <c r="AL360" s="99">
        <f>VLOOKUP(AP360,'[2]CONTENEUR PLEIN'!$F:$L,5,FALSE)</f>
        <v>46006</v>
      </c>
      <c r="AM360" s="18">
        <f>VLOOKUP(AP360,'[2]CONTENEUR PLEIN'!$F:$L,7,FALSE)</f>
        <v>46028.333333333336</v>
      </c>
      <c r="AN360" s="361" t="s">
        <v>63</v>
      </c>
      <c r="AO360" s="353" t="s">
        <v>540</v>
      </c>
      <c r="AP360" s="353" t="s">
        <v>541</v>
      </c>
      <c r="AQ360" s="353" t="s">
        <v>550</v>
      </c>
      <c r="AR360" s="90" t="str">
        <f>VLOOKUP(AP360,'[2]CONTENEUR PLEIN'!$F:$L,2,FALSE)</f>
        <v>APL CHANGI</v>
      </c>
      <c r="AS360" s="353" t="s">
        <v>316</v>
      </c>
      <c r="AT360" s="98"/>
    </row>
    <row r="361" spans="2:47" s="72" customFormat="1" hidden="1" x14ac:dyDescent="0.25">
      <c r="B361" s="359" t="s">
        <v>45</v>
      </c>
      <c r="C361" s="89">
        <v>45863</v>
      </c>
      <c r="D361" s="90">
        <v>25062</v>
      </c>
      <c r="E361" s="360" t="s">
        <v>368</v>
      </c>
      <c r="F361" s="90">
        <v>2507091518</v>
      </c>
      <c r="G361" s="361" t="s">
        <v>74</v>
      </c>
      <c r="H361" s="361" t="s">
        <v>46</v>
      </c>
      <c r="I361" s="361" t="s">
        <v>49</v>
      </c>
      <c r="J361" s="361" t="s">
        <v>46</v>
      </c>
      <c r="K361" s="16" t="s">
        <v>864</v>
      </c>
      <c r="L361" s="303">
        <v>45993</v>
      </c>
      <c r="M361" s="381">
        <f t="shared" si="60"/>
        <v>5</v>
      </c>
      <c r="N361" s="98" t="s">
        <v>49</v>
      </c>
      <c r="O361" s="92">
        <v>21970003</v>
      </c>
      <c r="P361" s="24" t="str">
        <f>VLOOKUP(O361,[1]Feuil2!$A:$M,5,FALSE)</f>
        <v>FOURCHETTE GRAPHITE SATINE VRAC+ GENCOD</v>
      </c>
      <c r="Q361" s="90">
        <v>12960</v>
      </c>
      <c r="R361" s="93">
        <v>0.183</v>
      </c>
      <c r="S361" s="94">
        <f t="shared" si="61"/>
        <v>2371.6799999999998</v>
      </c>
      <c r="T361" s="95">
        <f t="shared" si="66"/>
        <v>36158.520000000004</v>
      </c>
      <c r="U361" s="138"/>
      <c r="V361" s="96">
        <f t="shared" si="62"/>
        <v>36158.520000000004</v>
      </c>
      <c r="W361" s="4">
        <f>VLOOKUP(O361,[1]Feuil2!$A:$M,6,FALSE)</f>
        <v>120</v>
      </c>
      <c r="X361" s="5">
        <f>VLOOKUP(O361,[1]Feuil2!$A:$M,13,FALSE)</f>
        <v>1.6875000000000001E-2</v>
      </c>
      <c r="Y361" s="6">
        <f t="shared" si="64"/>
        <v>1.8225000000000002</v>
      </c>
      <c r="Z361" s="97">
        <f t="shared" si="63"/>
        <v>20.295068124999997</v>
      </c>
      <c r="AA361" s="69" t="s">
        <v>57</v>
      </c>
      <c r="AB361" s="133" t="s">
        <v>61</v>
      </c>
      <c r="AC361" s="87" t="s">
        <v>55</v>
      </c>
      <c r="AD361" s="21" t="s">
        <v>57</v>
      </c>
      <c r="AE361" s="20">
        <v>45944</v>
      </c>
      <c r="AF361" s="21" t="s">
        <v>524</v>
      </c>
      <c r="AG361" s="21"/>
      <c r="AH361" s="98"/>
      <c r="AI361" s="160">
        <v>45945</v>
      </c>
      <c r="AJ361" s="145">
        <f t="shared" si="67"/>
        <v>16</v>
      </c>
      <c r="AK361" s="100">
        <f>VLOOKUP(AP361,'[2]CONTENEUR PLEIN'!$F:$L,3,FALSE)</f>
        <v>45961</v>
      </c>
      <c r="AL361" s="99">
        <f>VLOOKUP(AP361,'[2]CONTENEUR PLEIN'!$F:$L,5,FALSE)</f>
        <v>46006</v>
      </c>
      <c r="AM361" s="18">
        <f>VLOOKUP(AP361,'[2]CONTENEUR PLEIN'!$F:$L,7,FALSE)</f>
        <v>46028.333333333336</v>
      </c>
      <c r="AN361" s="361" t="s">
        <v>63</v>
      </c>
      <c r="AO361" s="353" t="s">
        <v>540</v>
      </c>
      <c r="AP361" s="353" t="s">
        <v>541</v>
      </c>
      <c r="AQ361" s="353" t="s">
        <v>550</v>
      </c>
      <c r="AR361" s="90" t="str">
        <f>VLOOKUP(AP361,'[2]CONTENEUR PLEIN'!$F:$L,2,FALSE)</f>
        <v>APL CHANGI</v>
      </c>
      <c r="AS361" s="353" t="s">
        <v>316</v>
      </c>
      <c r="AT361" s="98"/>
    </row>
    <row r="362" spans="2:47" s="72" customFormat="1" hidden="1" x14ac:dyDescent="0.25">
      <c r="B362" s="359" t="s">
        <v>45</v>
      </c>
      <c r="C362" s="89">
        <v>45863</v>
      </c>
      <c r="D362" s="90">
        <v>25062</v>
      </c>
      <c r="E362" s="360" t="s">
        <v>368</v>
      </c>
      <c r="F362" s="90">
        <v>2507091518</v>
      </c>
      <c r="G362" s="361" t="s">
        <v>74</v>
      </c>
      <c r="H362" s="361" t="s">
        <v>46</v>
      </c>
      <c r="I362" s="361" t="s">
        <v>49</v>
      </c>
      <c r="J362" s="361" t="s">
        <v>46</v>
      </c>
      <c r="K362" s="16" t="s">
        <v>864</v>
      </c>
      <c r="L362" s="303">
        <v>45993</v>
      </c>
      <c r="M362" s="381">
        <f t="shared" si="60"/>
        <v>5</v>
      </c>
      <c r="N362" s="98" t="s">
        <v>49</v>
      </c>
      <c r="O362" s="92">
        <v>21970004</v>
      </c>
      <c r="P362" s="24" t="str">
        <f>VLOOKUP(O362,[1]Feuil2!$A:$M,5,FALSE)</f>
        <v>CUILLERE GRAPHITE SATINE VRAC+ GENCOD</v>
      </c>
      <c r="Q362" s="90">
        <v>9240</v>
      </c>
      <c r="R362" s="93">
        <v>0.187</v>
      </c>
      <c r="S362" s="94">
        <f t="shared" si="61"/>
        <v>1727.88</v>
      </c>
      <c r="T362" s="95">
        <f t="shared" si="66"/>
        <v>36158.520000000004</v>
      </c>
      <c r="U362" s="138"/>
      <c r="V362" s="96">
        <f t="shared" si="62"/>
        <v>36158.520000000004</v>
      </c>
      <c r="W362" s="4">
        <f>VLOOKUP(O362,[1]Feuil2!$A:$M,6,FALSE)</f>
        <v>120</v>
      </c>
      <c r="X362" s="5">
        <f>VLOOKUP(O362,[1]Feuil2!$A:$M,13,FALSE)</f>
        <v>1.6224000000000002E-2</v>
      </c>
      <c r="Y362" s="6">
        <f t="shared" si="64"/>
        <v>1.2492480000000001</v>
      </c>
      <c r="Z362" s="97">
        <f t="shared" si="63"/>
        <v>20.295068124999997</v>
      </c>
      <c r="AA362" s="69" t="s">
        <v>57</v>
      </c>
      <c r="AB362" s="133" t="s">
        <v>61</v>
      </c>
      <c r="AC362" s="87" t="s">
        <v>55</v>
      </c>
      <c r="AD362" s="21" t="s">
        <v>57</v>
      </c>
      <c r="AE362" s="20">
        <v>45944</v>
      </c>
      <c r="AF362" s="21" t="s">
        <v>527</v>
      </c>
      <c r="AG362" s="21"/>
      <c r="AH362" s="98"/>
      <c r="AI362" s="160">
        <v>45945</v>
      </c>
      <c r="AJ362" s="145">
        <f t="shared" si="67"/>
        <v>16</v>
      </c>
      <c r="AK362" s="100">
        <f>VLOOKUP(AP362,'[2]CONTENEUR PLEIN'!$F:$L,3,FALSE)</f>
        <v>45961</v>
      </c>
      <c r="AL362" s="99">
        <f>VLOOKUP(AP362,'[2]CONTENEUR PLEIN'!$F:$L,5,FALSE)</f>
        <v>46006</v>
      </c>
      <c r="AM362" s="18">
        <f>VLOOKUP(AP362,'[2]CONTENEUR PLEIN'!$F:$L,7,FALSE)</f>
        <v>46028.333333333336</v>
      </c>
      <c r="AN362" s="361" t="s">
        <v>63</v>
      </c>
      <c r="AO362" s="353" t="s">
        <v>540</v>
      </c>
      <c r="AP362" s="353" t="s">
        <v>541</v>
      </c>
      <c r="AQ362" s="353" t="s">
        <v>550</v>
      </c>
      <c r="AR362" s="90" t="str">
        <f>VLOOKUP(AP362,'[2]CONTENEUR PLEIN'!$F:$L,2,FALSE)</f>
        <v>APL CHANGI</v>
      </c>
      <c r="AS362" s="353" t="s">
        <v>316</v>
      </c>
      <c r="AT362" s="98"/>
    </row>
    <row r="363" spans="2:47" s="72" customFormat="1" hidden="1" x14ac:dyDescent="0.25">
      <c r="B363" s="359" t="s">
        <v>45</v>
      </c>
      <c r="C363" s="89">
        <v>45863</v>
      </c>
      <c r="D363" s="90">
        <v>25062</v>
      </c>
      <c r="E363" s="360" t="s">
        <v>368</v>
      </c>
      <c r="F363" s="90">
        <v>2507091518</v>
      </c>
      <c r="G363" s="361" t="s">
        <v>74</v>
      </c>
      <c r="H363" s="361" t="s">
        <v>46</v>
      </c>
      <c r="I363" s="361" t="s">
        <v>49</v>
      </c>
      <c r="J363" s="361" t="s">
        <v>46</v>
      </c>
      <c r="K363" s="16" t="s">
        <v>864</v>
      </c>
      <c r="L363" s="303">
        <v>45993</v>
      </c>
      <c r="M363" s="381">
        <f t="shared" si="60"/>
        <v>5</v>
      </c>
      <c r="N363" s="98" t="s">
        <v>49</v>
      </c>
      <c r="O363" s="92">
        <v>21970005</v>
      </c>
      <c r="P363" s="24" t="str">
        <f>VLOOKUP(O363,[1]Feuil2!$A:$M,5,FALSE)</f>
        <v>CAFE GRAPHITE SATINE VRAC+ GENCOD</v>
      </c>
      <c r="Q363" s="90">
        <v>14880</v>
      </c>
      <c r="R363" s="93">
        <v>0.161</v>
      </c>
      <c r="S363" s="94">
        <f t="shared" si="61"/>
        <v>2395.6799999999998</v>
      </c>
      <c r="T363" s="95">
        <f t="shared" si="66"/>
        <v>36158.520000000004</v>
      </c>
      <c r="U363" s="138"/>
      <c r="V363" s="96">
        <f t="shared" si="62"/>
        <v>36158.520000000004</v>
      </c>
      <c r="W363" s="4">
        <f>VLOOKUP(O363,[1]Feuil2!$A:$M,6,FALSE)</f>
        <v>240</v>
      </c>
      <c r="X363" s="5">
        <f>VLOOKUP(O363,[1]Feuil2!$A:$M,13,FALSE)</f>
        <v>1.7010000000000001E-2</v>
      </c>
      <c r="Y363" s="6">
        <f t="shared" si="64"/>
        <v>1.0546200000000001</v>
      </c>
      <c r="Z363" s="97">
        <f t="shared" si="63"/>
        <v>20.295068124999997</v>
      </c>
      <c r="AA363" s="69" t="s">
        <v>57</v>
      </c>
      <c r="AB363" s="133" t="s">
        <v>61</v>
      </c>
      <c r="AC363" s="87" t="s">
        <v>55</v>
      </c>
      <c r="AD363" s="21" t="s">
        <v>57</v>
      </c>
      <c r="AE363" s="20">
        <v>45945</v>
      </c>
      <c r="AF363" s="21" t="s">
        <v>530</v>
      </c>
      <c r="AG363" s="21"/>
      <c r="AH363" s="98"/>
      <c r="AI363" s="160">
        <v>45945</v>
      </c>
      <c r="AJ363" s="145">
        <f t="shared" si="67"/>
        <v>16</v>
      </c>
      <c r="AK363" s="100">
        <f>VLOOKUP(AP363,'[2]CONTENEUR PLEIN'!$F:$L,3,FALSE)</f>
        <v>45961</v>
      </c>
      <c r="AL363" s="99">
        <f>VLOOKUP(AP363,'[2]CONTENEUR PLEIN'!$F:$L,5,FALSE)</f>
        <v>46006</v>
      </c>
      <c r="AM363" s="18">
        <f>VLOOKUP(AP363,'[2]CONTENEUR PLEIN'!$F:$L,7,FALSE)</f>
        <v>46028.333333333336</v>
      </c>
      <c r="AN363" s="361" t="s">
        <v>63</v>
      </c>
      <c r="AO363" s="353" t="s">
        <v>540</v>
      </c>
      <c r="AP363" s="353" t="s">
        <v>541</v>
      </c>
      <c r="AQ363" s="353" t="s">
        <v>550</v>
      </c>
      <c r="AR363" s="90" t="str">
        <f>VLOOKUP(AP363,'[2]CONTENEUR PLEIN'!$F:$L,2,FALSE)</f>
        <v>APL CHANGI</v>
      </c>
      <c r="AS363" s="353" t="s">
        <v>316</v>
      </c>
      <c r="AT363" s="98"/>
    </row>
    <row r="364" spans="2:47" s="72" customFormat="1" hidden="1" x14ac:dyDescent="0.25">
      <c r="B364" s="359" t="s">
        <v>45</v>
      </c>
      <c r="C364" s="89">
        <v>45863</v>
      </c>
      <c r="D364" s="90">
        <v>25062</v>
      </c>
      <c r="E364" s="360" t="s">
        <v>368</v>
      </c>
      <c r="F364" s="90">
        <v>2507091518</v>
      </c>
      <c r="G364" s="361" t="s">
        <v>74</v>
      </c>
      <c r="H364" s="361" t="s">
        <v>46</v>
      </c>
      <c r="I364" s="361" t="s">
        <v>49</v>
      </c>
      <c r="J364" s="361" t="s">
        <v>46</v>
      </c>
      <c r="K364" s="16" t="s">
        <v>864</v>
      </c>
      <c r="L364" s="303">
        <v>45993</v>
      </c>
      <c r="M364" s="381">
        <f t="shared" si="60"/>
        <v>5</v>
      </c>
      <c r="N364" s="98" t="s">
        <v>49</v>
      </c>
      <c r="O364" s="92">
        <v>30101105</v>
      </c>
      <c r="P364" s="24" t="str">
        <f>VLOOKUP(O364,[1]Feuil2!$A:$M,5,FALSE)</f>
        <v>COUTEAU LAGUIOLE ABS GRIS MARBRE VRAC + GENCOD</v>
      </c>
      <c r="Q364" s="90">
        <v>7200</v>
      </c>
      <c r="R364" s="362">
        <v>0.23</v>
      </c>
      <c r="S364" s="94">
        <f t="shared" si="61"/>
        <v>1656</v>
      </c>
      <c r="T364" s="95">
        <f t="shared" si="66"/>
        <v>36158.520000000004</v>
      </c>
      <c r="U364" s="138"/>
      <c r="V364" s="96">
        <f t="shared" si="62"/>
        <v>36158.520000000004</v>
      </c>
      <c r="W364" s="4">
        <f>VLOOKUP(O364,[1]Feuil2!$A:$M,6,FALSE)</f>
        <v>240</v>
      </c>
      <c r="X364" s="5">
        <f>VLOOKUP(O364,[1]Feuil2!$A:$M,13,FALSE)</f>
        <v>1.8980999999999998E-2</v>
      </c>
      <c r="Y364" s="6">
        <f t="shared" si="64"/>
        <v>0.56942999999999988</v>
      </c>
      <c r="Z364" s="97">
        <f t="shared" si="63"/>
        <v>20.295068124999997</v>
      </c>
      <c r="AA364" s="69" t="s">
        <v>57</v>
      </c>
      <c r="AB364" s="133" t="s">
        <v>61</v>
      </c>
      <c r="AC364" s="87" t="s">
        <v>55</v>
      </c>
      <c r="AD364" s="21" t="s">
        <v>57</v>
      </c>
      <c r="AE364" s="20">
        <v>45943</v>
      </c>
      <c r="AF364" s="21" t="s">
        <v>516</v>
      </c>
      <c r="AG364" s="21"/>
      <c r="AH364" s="98"/>
      <c r="AI364" s="160">
        <v>45945</v>
      </c>
      <c r="AJ364" s="145">
        <f t="shared" si="67"/>
        <v>16</v>
      </c>
      <c r="AK364" s="100">
        <f>VLOOKUP(AP364,'[2]CONTENEUR PLEIN'!$F:$L,3,FALSE)</f>
        <v>45961</v>
      </c>
      <c r="AL364" s="99">
        <f>VLOOKUP(AP364,'[2]CONTENEUR PLEIN'!$F:$L,5,FALSE)</f>
        <v>46006</v>
      </c>
      <c r="AM364" s="18">
        <f>VLOOKUP(AP364,'[2]CONTENEUR PLEIN'!$F:$L,7,FALSE)</f>
        <v>46028.333333333336</v>
      </c>
      <c r="AN364" s="361" t="s">
        <v>63</v>
      </c>
      <c r="AO364" s="353" t="s">
        <v>540</v>
      </c>
      <c r="AP364" s="353" t="s">
        <v>541</v>
      </c>
      <c r="AQ364" s="353" t="s">
        <v>550</v>
      </c>
      <c r="AR364" s="90" t="str">
        <f>VLOOKUP(AP364,'[2]CONTENEUR PLEIN'!$F:$L,2,FALSE)</f>
        <v>APL CHANGI</v>
      </c>
      <c r="AS364" s="353" t="s">
        <v>316</v>
      </c>
      <c r="AT364" s="98"/>
    </row>
    <row r="365" spans="2:47" s="72" customFormat="1" hidden="1" x14ac:dyDescent="0.25">
      <c r="B365" s="359" t="s">
        <v>45</v>
      </c>
      <c r="C365" s="89">
        <v>45863</v>
      </c>
      <c r="D365" s="90">
        <v>25062</v>
      </c>
      <c r="E365" s="360" t="s">
        <v>368</v>
      </c>
      <c r="F365" s="90">
        <v>2507091518</v>
      </c>
      <c r="G365" s="361" t="s">
        <v>74</v>
      </c>
      <c r="H365" s="361" t="s">
        <v>46</v>
      </c>
      <c r="I365" s="361" t="s">
        <v>49</v>
      </c>
      <c r="J365" s="361" t="s">
        <v>46</v>
      </c>
      <c r="K365" s="16" t="s">
        <v>864</v>
      </c>
      <c r="L365" s="303">
        <v>45993</v>
      </c>
      <c r="M365" s="381">
        <f t="shared" si="60"/>
        <v>5</v>
      </c>
      <c r="N365" s="98" t="s">
        <v>49</v>
      </c>
      <c r="O365" s="92">
        <v>30101109</v>
      </c>
      <c r="P365" s="24" t="str">
        <f>VLOOKUP(O365,[1]Feuil2!$A:$M,5,FALSE)</f>
        <v>COUTEAU LAGUIOLE ABS IVOIRE NACRE VRAC + GENCOD</v>
      </c>
      <c r="Q365" s="90">
        <v>7920</v>
      </c>
      <c r="R365" s="93">
        <v>0.255</v>
      </c>
      <c r="S365" s="94">
        <f t="shared" si="61"/>
        <v>2019.6000000000001</v>
      </c>
      <c r="T365" s="95">
        <f t="shared" si="66"/>
        <v>36158.520000000004</v>
      </c>
      <c r="U365" s="138"/>
      <c r="V365" s="96">
        <f t="shared" si="62"/>
        <v>36158.520000000004</v>
      </c>
      <c r="W365" s="4">
        <f>VLOOKUP(O365,[1]Feuil2!$A:$M,6,FALSE)</f>
        <v>240</v>
      </c>
      <c r="X365" s="5">
        <f>VLOOKUP(O365,[1]Feuil2!$A:$M,13,FALSE)</f>
        <v>3.0912000000000002E-2</v>
      </c>
      <c r="Y365" s="6">
        <f t="shared" si="64"/>
        <v>1.0200960000000001</v>
      </c>
      <c r="Z365" s="97">
        <f t="shared" si="63"/>
        <v>20.295068124999997</v>
      </c>
      <c r="AA365" s="69" t="s">
        <v>57</v>
      </c>
      <c r="AB365" s="133" t="s">
        <v>61</v>
      </c>
      <c r="AC365" s="218" t="s">
        <v>55</v>
      </c>
      <c r="AD365" s="21" t="s">
        <v>57</v>
      </c>
      <c r="AE365" s="20">
        <v>45943</v>
      </c>
      <c r="AF365" s="21" t="s">
        <v>517</v>
      </c>
      <c r="AG365" s="21"/>
      <c r="AH365" s="98"/>
      <c r="AI365" s="160">
        <v>45945</v>
      </c>
      <c r="AJ365" s="145">
        <f t="shared" si="67"/>
        <v>16</v>
      </c>
      <c r="AK365" s="100">
        <f>VLOOKUP(AP365,'[2]CONTENEUR PLEIN'!$F:$L,3,FALSE)</f>
        <v>45961</v>
      </c>
      <c r="AL365" s="99">
        <f>VLOOKUP(AP365,'[2]CONTENEUR PLEIN'!$F:$L,5,FALSE)</f>
        <v>46006</v>
      </c>
      <c r="AM365" s="18">
        <f>VLOOKUP(AP365,'[2]CONTENEUR PLEIN'!$F:$L,7,FALSE)</f>
        <v>46028.333333333336</v>
      </c>
      <c r="AN365" s="361" t="s">
        <v>63</v>
      </c>
      <c r="AO365" s="353" t="s">
        <v>540</v>
      </c>
      <c r="AP365" s="353" t="s">
        <v>541</v>
      </c>
      <c r="AQ365" s="353" t="s">
        <v>550</v>
      </c>
      <c r="AR365" s="90" t="str">
        <f>VLOOKUP(AP365,'[2]CONTENEUR PLEIN'!$F:$L,2,FALSE)</f>
        <v>APL CHANGI</v>
      </c>
      <c r="AS365" s="353" t="s">
        <v>316</v>
      </c>
      <c r="AT365" s="98"/>
    </row>
    <row r="366" spans="2:47" s="72" customFormat="1" hidden="1" x14ac:dyDescent="0.25">
      <c r="B366" s="359" t="s">
        <v>45</v>
      </c>
      <c r="C366" s="89">
        <v>45863</v>
      </c>
      <c r="D366" s="90">
        <v>25062</v>
      </c>
      <c r="E366" s="360" t="s">
        <v>368</v>
      </c>
      <c r="F366" s="90">
        <v>2507091518</v>
      </c>
      <c r="G366" s="361" t="s">
        <v>74</v>
      </c>
      <c r="H366" s="361" t="s">
        <v>46</v>
      </c>
      <c r="I366" s="361" t="s">
        <v>49</v>
      </c>
      <c r="J366" s="361" t="s">
        <v>46</v>
      </c>
      <c r="K366" s="16" t="s">
        <v>864</v>
      </c>
      <c r="L366" s="303">
        <v>45993</v>
      </c>
      <c r="M366" s="381">
        <f t="shared" si="60"/>
        <v>5</v>
      </c>
      <c r="N366" s="98" t="s">
        <v>49</v>
      </c>
      <c r="O366" s="92">
        <v>30150010</v>
      </c>
      <c r="P366" s="24" t="str">
        <f>VLOOKUP(O366,[1]Feuil2!$A:$M,5,FALSE)</f>
        <v>CUILLERE AMANDE VERT DE GRIS 622C + GENCOD</v>
      </c>
      <c r="Q366" s="90">
        <v>3120</v>
      </c>
      <c r="R366" s="93">
        <v>0.20300000000000001</v>
      </c>
      <c r="S366" s="94">
        <f t="shared" si="61"/>
        <v>633.36</v>
      </c>
      <c r="T366" s="95">
        <f t="shared" si="66"/>
        <v>36158.520000000004</v>
      </c>
      <c r="U366" s="138"/>
      <c r="V366" s="96">
        <f t="shared" si="62"/>
        <v>36158.520000000004</v>
      </c>
      <c r="W366" s="4">
        <f>VLOOKUP(O366,[1]Feuil2!$A:$M,6,FALSE)</f>
        <v>240</v>
      </c>
      <c r="X366" s="5">
        <f>VLOOKUP(O366,[1]Feuil2!$A:$M,13,FALSE)</f>
        <v>2.2137500000000001E-2</v>
      </c>
      <c r="Y366" s="6">
        <f t="shared" si="64"/>
        <v>0.28778750000000003</v>
      </c>
      <c r="Z366" s="97">
        <f t="shared" si="63"/>
        <v>20.295068124999997</v>
      </c>
      <c r="AA366" s="69" t="s">
        <v>57</v>
      </c>
      <c r="AB366" s="133" t="s">
        <v>61</v>
      </c>
      <c r="AC366" s="87" t="s">
        <v>55</v>
      </c>
      <c r="AD366" s="21" t="s">
        <v>57</v>
      </c>
      <c r="AE366" s="20">
        <v>45944</v>
      </c>
      <c r="AF366" s="21" t="s">
        <v>526</v>
      </c>
      <c r="AG366" s="21"/>
      <c r="AH366" s="98"/>
      <c r="AI366" s="160">
        <v>45945</v>
      </c>
      <c r="AJ366" s="145">
        <f t="shared" si="67"/>
        <v>16</v>
      </c>
      <c r="AK366" s="100">
        <f>VLOOKUP(AP366,'[2]CONTENEUR PLEIN'!$F:$L,3,FALSE)</f>
        <v>45961</v>
      </c>
      <c r="AL366" s="99">
        <f>VLOOKUP(AP366,'[2]CONTENEUR PLEIN'!$F:$L,5,FALSE)</f>
        <v>46006</v>
      </c>
      <c r="AM366" s="18">
        <f>VLOOKUP(AP366,'[2]CONTENEUR PLEIN'!$F:$L,7,FALSE)</f>
        <v>46028.333333333336</v>
      </c>
      <c r="AN366" s="361" t="s">
        <v>63</v>
      </c>
      <c r="AO366" s="353" t="s">
        <v>540</v>
      </c>
      <c r="AP366" s="353" t="s">
        <v>541</v>
      </c>
      <c r="AQ366" s="353" t="s">
        <v>550</v>
      </c>
      <c r="AR366" s="90" t="str">
        <f>VLOOKUP(AP366,'[2]CONTENEUR PLEIN'!$F:$L,2,FALSE)</f>
        <v>APL CHANGI</v>
      </c>
      <c r="AS366" s="353" t="s">
        <v>316</v>
      </c>
      <c r="AT366" s="98"/>
    </row>
    <row r="367" spans="2:47" s="72" customFormat="1" hidden="1" x14ac:dyDescent="0.25">
      <c r="B367" s="359" t="s">
        <v>45</v>
      </c>
      <c r="C367" s="89">
        <v>45863</v>
      </c>
      <c r="D367" s="90">
        <v>25062</v>
      </c>
      <c r="E367" s="360" t="s">
        <v>368</v>
      </c>
      <c r="F367" s="90">
        <v>2507091518</v>
      </c>
      <c r="G367" s="361" t="s">
        <v>74</v>
      </c>
      <c r="H367" s="361" t="s">
        <v>46</v>
      </c>
      <c r="I367" s="361" t="s">
        <v>49</v>
      </c>
      <c r="J367" s="361" t="s">
        <v>46</v>
      </c>
      <c r="K367" s="16" t="s">
        <v>864</v>
      </c>
      <c r="L367" s="303">
        <v>45993</v>
      </c>
      <c r="M367" s="381">
        <f t="shared" si="60"/>
        <v>5</v>
      </c>
      <c r="N367" s="98" t="s">
        <v>49</v>
      </c>
      <c r="O367" s="92">
        <v>30170027</v>
      </c>
      <c r="P367" s="24" t="str">
        <f>VLOOKUP(O367,[1]Feuil2!$A:$M,5,FALSE)</f>
        <v>CAFE LAG DUO NOIR+ GENCOD</v>
      </c>
      <c r="Q367" s="90">
        <v>4080</v>
      </c>
      <c r="R367" s="93">
        <v>0.23599999999999999</v>
      </c>
      <c r="S367" s="94">
        <f t="shared" si="61"/>
        <v>962.88</v>
      </c>
      <c r="T367" s="95">
        <f t="shared" si="66"/>
        <v>36158.520000000004</v>
      </c>
      <c r="U367" s="138"/>
      <c r="V367" s="96">
        <f t="shared" si="62"/>
        <v>36158.520000000004</v>
      </c>
      <c r="W367" s="4">
        <f>VLOOKUP(O367,[1]Feuil2!$A:$M,6,FALSE)</f>
        <v>240</v>
      </c>
      <c r="X367" s="5">
        <f>VLOOKUP(O367,[1]Feuil2!$A:$M,13,FALSE)</f>
        <v>2.0645625000000001E-2</v>
      </c>
      <c r="Y367" s="6">
        <f t="shared" si="64"/>
        <v>0.35097562500000001</v>
      </c>
      <c r="Z367" s="97">
        <f t="shared" si="63"/>
        <v>20.295068124999997</v>
      </c>
      <c r="AA367" s="69" t="s">
        <v>57</v>
      </c>
      <c r="AB367" s="133" t="s">
        <v>61</v>
      </c>
      <c r="AC367" s="87" t="s">
        <v>55</v>
      </c>
      <c r="AD367" s="21" t="s">
        <v>57</v>
      </c>
      <c r="AE367" s="20">
        <v>45944</v>
      </c>
      <c r="AF367" s="21" t="s">
        <v>525</v>
      </c>
      <c r="AG367" s="21"/>
      <c r="AH367" s="98"/>
      <c r="AI367" s="160">
        <v>45945</v>
      </c>
      <c r="AJ367" s="145">
        <f t="shared" si="67"/>
        <v>16</v>
      </c>
      <c r="AK367" s="100">
        <f>VLOOKUP(AP367,'[2]CONTENEUR PLEIN'!$F:$L,3,FALSE)</f>
        <v>45961</v>
      </c>
      <c r="AL367" s="99">
        <f>VLOOKUP(AP367,'[2]CONTENEUR PLEIN'!$F:$L,5,FALSE)</f>
        <v>46006</v>
      </c>
      <c r="AM367" s="18">
        <f>VLOOKUP(AP367,'[2]CONTENEUR PLEIN'!$F:$L,7,FALSE)</f>
        <v>46028.333333333336</v>
      </c>
      <c r="AN367" s="361" t="s">
        <v>63</v>
      </c>
      <c r="AO367" s="353" t="s">
        <v>540</v>
      </c>
      <c r="AP367" s="353" t="s">
        <v>541</v>
      </c>
      <c r="AQ367" s="353" t="s">
        <v>550</v>
      </c>
      <c r="AR367" s="90" t="str">
        <f>VLOOKUP(AP367,'[2]CONTENEUR PLEIN'!$F:$L,2,FALSE)</f>
        <v>APL CHANGI</v>
      </c>
      <c r="AS367" s="353" t="s">
        <v>316</v>
      </c>
      <c r="AT367" s="98"/>
    </row>
    <row r="368" spans="2:47" s="72" customFormat="1" hidden="1" x14ac:dyDescent="0.25">
      <c r="B368" s="359" t="s">
        <v>45</v>
      </c>
      <c r="C368" s="89">
        <v>45863</v>
      </c>
      <c r="D368" s="90">
        <v>25062</v>
      </c>
      <c r="E368" s="360" t="s">
        <v>368</v>
      </c>
      <c r="F368" s="90">
        <v>2507091518</v>
      </c>
      <c r="G368" s="361" t="s">
        <v>74</v>
      </c>
      <c r="H368" s="361" t="s">
        <v>46</v>
      </c>
      <c r="I368" s="361" t="s">
        <v>49</v>
      </c>
      <c r="J368" s="361" t="s">
        <v>46</v>
      </c>
      <c r="K368" s="16" t="s">
        <v>864</v>
      </c>
      <c r="L368" s="303">
        <v>45993</v>
      </c>
      <c r="M368" s="381">
        <f t="shared" si="60"/>
        <v>5</v>
      </c>
      <c r="N368" s="98" t="s">
        <v>49</v>
      </c>
      <c r="O368" s="92">
        <v>31930007</v>
      </c>
      <c r="P368" s="24" t="str">
        <f>VLOOKUP(O368,[1]Feuil2!$A:$M,5,FALSE)</f>
        <v>COUTEAU DROP GREY WOOD</v>
      </c>
      <c r="Q368" s="90">
        <v>7680</v>
      </c>
      <c r="R368" s="93">
        <v>0.26</v>
      </c>
      <c r="S368" s="94">
        <f t="shared" si="61"/>
        <v>1996.8000000000002</v>
      </c>
      <c r="T368" s="95">
        <f t="shared" si="66"/>
        <v>36158.520000000004</v>
      </c>
      <c r="U368" s="138"/>
      <c r="V368" s="96">
        <f t="shared" si="62"/>
        <v>36158.520000000004</v>
      </c>
      <c r="W368" s="4">
        <f>VLOOKUP(O368,[1]Feuil2!$A:$M,6,FALSE)</f>
        <v>240</v>
      </c>
      <c r="X368" s="5">
        <f>VLOOKUP(O368,[1]Feuil2!$A:$M,13,FALSE)</f>
        <v>3.1308749999999996E-2</v>
      </c>
      <c r="Y368" s="6">
        <f t="shared" si="64"/>
        <v>1.0018799999999999</v>
      </c>
      <c r="Z368" s="97">
        <f t="shared" si="63"/>
        <v>20.295068124999997</v>
      </c>
      <c r="AA368" s="69" t="s">
        <v>57</v>
      </c>
      <c r="AB368" s="21" t="s">
        <v>57</v>
      </c>
      <c r="AC368" s="87" t="s">
        <v>55</v>
      </c>
      <c r="AD368" s="21" t="s">
        <v>57</v>
      </c>
      <c r="AE368" s="20">
        <v>45945</v>
      </c>
      <c r="AF368" s="21" t="s">
        <v>532</v>
      </c>
      <c r="AG368" s="21"/>
      <c r="AH368" s="98"/>
      <c r="AI368" s="160">
        <v>45945</v>
      </c>
      <c r="AJ368" s="145">
        <f t="shared" si="67"/>
        <v>16</v>
      </c>
      <c r="AK368" s="100">
        <f>VLOOKUP(AP368,'[2]CONTENEUR PLEIN'!$F:$L,3,FALSE)</f>
        <v>45961</v>
      </c>
      <c r="AL368" s="99">
        <f>VLOOKUP(AP368,'[2]CONTENEUR PLEIN'!$F:$L,5,FALSE)</f>
        <v>46006</v>
      </c>
      <c r="AM368" s="18">
        <f>VLOOKUP(AP368,'[2]CONTENEUR PLEIN'!$F:$L,7,FALSE)</f>
        <v>46028.333333333336</v>
      </c>
      <c r="AN368" s="361" t="s">
        <v>63</v>
      </c>
      <c r="AO368" s="353" t="s">
        <v>540</v>
      </c>
      <c r="AP368" s="353" t="s">
        <v>541</v>
      </c>
      <c r="AQ368" s="353" t="s">
        <v>550</v>
      </c>
      <c r="AR368" s="90" t="str">
        <f>VLOOKUP(AP368,'[2]CONTENEUR PLEIN'!$F:$L,2,FALSE)</f>
        <v>APL CHANGI</v>
      </c>
      <c r="AS368" s="353" t="s">
        <v>316</v>
      </c>
      <c r="AT368" s="98"/>
    </row>
    <row r="369" spans="2:46" s="72" customFormat="1" hidden="1" x14ac:dyDescent="0.25">
      <c r="B369" s="359" t="s">
        <v>45</v>
      </c>
      <c r="C369" s="89">
        <v>45863</v>
      </c>
      <c r="D369" s="90">
        <v>25062</v>
      </c>
      <c r="E369" s="360" t="s">
        <v>368</v>
      </c>
      <c r="F369" s="90">
        <v>2507091518</v>
      </c>
      <c r="G369" s="361" t="s">
        <v>74</v>
      </c>
      <c r="H369" s="361" t="s">
        <v>46</v>
      </c>
      <c r="I369" s="361" t="s">
        <v>49</v>
      </c>
      <c r="J369" s="361" t="s">
        <v>46</v>
      </c>
      <c r="K369" s="16" t="s">
        <v>864</v>
      </c>
      <c r="L369" s="303">
        <v>45993</v>
      </c>
      <c r="M369" s="381">
        <f t="shared" si="60"/>
        <v>5</v>
      </c>
      <c r="N369" s="98" t="s">
        <v>49</v>
      </c>
      <c r="O369" s="92">
        <v>31930008</v>
      </c>
      <c r="P369" s="24" t="str">
        <f>VLOOKUP(O369,[1]Feuil2!$A:$M,5,FALSE)</f>
        <v>FOURCHETTE DROP GREY WOOD</v>
      </c>
      <c r="Q369" s="90">
        <v>6000</v>
      </c>
      <c r="R369" s="93">
        <v>0.21</v>
      </c>
      <c r="S369" s="94">
        <f t="shared" si="61"/>
        <v>1260</v>
      </c>
      <c r="T369" s="95">
        <f t="shared" si="66"/>
        <v>36158.520000000004</v>
      </c>
      <c r="U369" s="138"/>
      <c r="V369" s="96">
        <f t="shared" si="62"/>
        <v>36158.520000000004</v>
      </c>
      <c r="W369" s="4">
        <f>VLOOKUP(O369,[1]Feuil2!$A:$M,6,FALSE)</f>
        <v>240</v>
      </c>
      <c r="X369" s="5">
        <f>VLOOKUP(O369,[1]Feuil2!$A:$M,13,FALSE)</f>
        <v>3.0800000000000001E-2</v>
      </c>
      <c r="Y369" s="6">
        <f t="shared" si="64"/>
        <v>0.77</v>
      </c>
      <c r="Z369" s="97">
        <f t="shared" si="63"/>
        <v>20.295068124999997</v>
      </c>
      <c r="AA369" s="69" t="s">
        <v>57</v>
      </c>
      <c r="AB369" s="21" t="s">
        <v>57</v>
      </c>
      <c r="AC369" s="87" t="s">
        <v>55</v>
      </c>
      <c r="AD369" s="21" t="s">
        <v>57</v>
      </c>
      <c r="AE369" s="20">
        <v>45945</v>
      </c>
      <c r="AF369" s="21" t="s">
        <v>533</v>
      </c>
      <c r="AG369" s="21"/>
      <c r="AH369" s="98"/>
      <c r="AI369" s="160">
        <v>45945</v>
      </c>
      <c r="AJ369" s="145">
        <f t="shared" si="67"/>
        <v>16</v>
      </c>
      <c r="AK369" s="100">
        <f>VLOOKUP(AP369,'[2]CONTENEUR PLEIN'!$F:$L,3,FALSE)</f>
        <v>45961</v>
      </c>
      <c r="AL369" s="99">
        <f>VLOOKUP(AP369,'[2]CONTENEUR PLEIN'!$F:$L,5,FALSE)</f>
        <v>46006</v>
      </c>
      <c r="AM369" s="18">
        <f>VLOOKUP(AP369,'[2]CONTENEUR PLEIN'!$F:$L,7,FALSE)</f>
        <v>46028.333333333336</v>
      </c>
      <c r="AN369" s="361" t="s">
        <v>63</v>
      </c>
      <c r="AO369" s="353" t="s">
        <v>540</v>
      </c>
      <c r="AP369" s="353" t="s">
        <v>541</v>
      </c>
      <c r="AQ369" s="353" t="s">
        <v>550</v>
      </c>
      <c r="AR369" s="90" t="str">
        <f>VLOOKUP(AP369,'[2]CONTENEUR PLEIN'!$F:$L,2,FALSE)</f>
        <v>APL CHANGI</v>
      </c>
      <c r="AS369" s="353" t="s">
        <v>316</v>
      </c>
      <c r="AT369" s="98"/>
    </row>
    <row r="370" spans="2:46" s="72" customFormat="1" hidden="1" x14ac:dyDescent="0.25">
      <c r="B370" s="359" t="s">
        <v>45</v>
      </c>
      <c r="C370" s="89">
        <v>45863</v>
      </c>
      <c r="D370" s="90">
        <v>25062</v>
      </c>
      <c r="E370" s="360" t="s">
        <v>368</v>
      </c>
      <c r="F370" s="90">
        <v>2507091518</v>
      </c>
      <c r="G370" s="361" t="s">
        <v>74</v>
      </c>
      <c r="H370" s="361" t="s">
        <v>46</v>
      </c>
      <c r="I370" s="361" t="s">
        <v>49</v>
      </c>
      <c r="J370" s="361" t="s">
        <v>46</v>
      </c>
      <c r="K370" s="16" t="s">
        <v>864</v>
      </c>
      <c r="L370" s="303">
        <v>45993</v>
      </c>
      <c r="M370" s="381">
        <f t="shared" si="60"/>
        <v>5</v>
      </c>
      <c r="N370" s="98" t="s">
        <v>49</v>
      </c>
      <c r="O370" s="92">
        <v>31930009</v>
      </c>
      <c r="P370" s="24" t="str">
        <f>VLOOKUP(O370,[1]Feuil2!$A:$M,5,FALSE)</f>
        <v>CUILLERE DROP GREY WOOD</v>
      </c>
      <c r="Q370" s="90">
        <v>5520</v>
      </c>
      <c r="R370" s="93">
        <v>0.23</v>
      </c>
      <c r="S370" s="94">
        <f t="shared" si="61"/>
        <v>1269.6000000000001</v>
      </c>
      <c r="T370" s="95">
        <f t="shared" si="66"/>
        <v>36158.520000000004</v>
      </c>
      <c r="U370" s="138"/>
      <c r="V370" s="96">
        <f t="shared" si="62"/>
        <v>36158.520000000004</v>
      </c>
      <c r="W370" s="4">
        <f>VLOOKUP(O370,[1]Feuil2!$A:$M,6,FALSE)</f>
        <v>240</v>
      </c>
      <c r="X370" s="5">
        <f>VLOOKUP(O370,[1]Feuil2!$A:$M,13,FALSE)</f>
        <v>3.04E-2</v>
      </c>
      <c r="Y370" s="6">
        <f t="shared" si="64"/>
        <v>0.69920000000000004</v>
      </c>
      <c r="Z370" s="97">
        <f t="shared" si="63"/>
        <v>20.295068124999997</v>
      </c>
      <c r="AA370" s="69" t="s">
        <v>57</v>
      </c>
      <c r="AB370" s="21" t="s">
        <v>57</v>
      </c>
      <c r="AC370" s="87" t="s">
        <v>55</v>
      </c>
      <c r="AD370" s="21" t="s">
        <v>57</v>
      </c>
      <c r="AE370" s="20">
        <v>45945</v>
      </c>
      <c r="AF370" s="21" t="s">
        <v>534</v>
      </c>
      <c r="AG370" s="21"/>
      <c r="AH370" s="98"/>
      <c r="AI370" s="160">
        <v>45945</v>
      </c>
      <c r="AJ370" s="145">
        <f t="shared" si="67"/>
        <v>16</v>
      </c>
      <c r="AK370" s="100">
        <f>VLOOKUP(AP370,'[2]CONTENEUR PLEIN'!$F:$L,3,FALSE)</f>
        <v>45961</v>
      </c>
      <c r="AL370" s="99">
        <f>VLOOKUP(AP370,'[2]CONTENEUR PLEIN'!$F:$L,5,FALSE)</f>
        <v>46006</v>
      </c>
      <c r="AM370" s="18">
        <f>VLOOKUP(AP370,'[2]CONTENEUR PLEIN'!$F:$L,7,FALSE)</f>
        <v>46028.333333333336</v>
      </c>
      <c r="AN370" s="361" t="s">
        <v>63</v>
      </c>
      <c r="AO370" s="353" t="s">
        <v>540</v>
      </c>
      <c r="AP370" s="353" t="s">
        <v>541</v>
      </c>
      <c r="AQ370" s="353" t="s">
        <v>550</v>
      </c>
      <c r="AR370" s="90" t="str">
        <f>VLOOKUP(AP370,'[2]CONTENEUR PLEIN'!$F:$L,2,FALSE)</f>
        <v>APL CHANGI</v>
      </c>
      <c r="AS370" s="353" t="s">
        <v>316</v>
      </c>
      <c r="AT370" s="98"/>
    </row>
    <row r="371" spans="2:46" s="72" customFormat="1" hidden="1" x14ac:dyDescent="0.25">
      <c r="B371" s="359" t="s">
        <v>45</v>
      </c>
      <c r="C371" s="89">
        <v>45863</v>
      </c>
      <c r="D371" s="90">
        <v>25062</v>
      </c>
      <c r="E371" s="360" t="s">
        <v>368</v>
      </c>
      <c r="F371" s="90">
        <v>2507091518</v>
      </c>
      <c r="G371" s="361" t="s">
        <v>74</v>
      </c>
      <c r="H371" s="361" t="s">
        <v>46</v>
      </c>
      <c r="I371" s="361" t="s">
        <v>49</v>
      </c>
      <c r="J371" s="361" t="s">
        <v>46</v>
      </c>
      <c r="K371" s="16" t="s">
        <v>864</v>
      </c>
      <c r="L371" s="303">
        <v>45993</v>
      </c>
      <c r="M371" s="381">
        <f t="shared" si="60"/>
        <v>5</v>
      </c>
      <c r="N371" s="98" t="s">
        <v>49</v>
      </c>
      <c r="O371" s="92">
        <v>31930010</v>
      </c>
      <c r="P371" s="24" t="str">
        <f>VLOOKUP(O371,[1]Feuil2!$A:$M,5,FALSE)</f>
        <v>CAFE DROP GREY WOOD</v>
      </c>
      <c r="Q371" s="90">
        <v>9600</v>
      </c>
      <c r="R371" s="93">
        <v>0.182</v>
      </c>
      <c r="S371" s="94">
        <f t="shared" si="61"/>
        <v>1747.2</v>
      </c>
      <c r="T371" s="95">
        <f t="shared" si="66"/>
        <v>36158.520000000004</v>
      </c>
      <c r="U371" s="138"/>
      <c r="V371" s="96">
        <f t="shared" si="62"/>
        <v>36158.520000000004</v>
      </c>
      <c r="W371" s="4">
        <f>VLOOKUP(O371,[1]Feuil2!$A:$M,6,FALSE)</f>
        <v>240</v>
      </c>
      <c r="X371" s="5">
        <f>VLOOKUP(O371,[1]Feuil2!$A:$M,13,FALSE)</f>
        <v>2.1060000000000002E-2</v>
      </c>
      <c r="Y371" s="6">
        <f t="shared" si="64"/>
        <v>0.84240000000000004</v>
      </c>
      <c r="Z371" s="97">
        <f t="shared" si="63"/>
        <v>20.295068124999997</v>
      </c>
      <c r="AA371" s="69" t="s">
        <v>57</v>
      </c>
      <c r="AB371" s="21" t="s">
        <v>57</v>
      </c>
      <c r="AC371" s="87" t="s">
        <v>55</v>
      </c>
      <c r="AD371" s="21" t="s">
        <v>57</v>
      </c>
      <c r="AE371" s="20">
        <v>45946</v>
      </c>
      <c r="AF371" s="21" t="s">
        <v>535</v>
      </c>
      <c r="AG371" s="21"/>
      <c r="AH371" s="98"/>
      <c r="AI371" s="160">
        <v>45945</v>
      </c>
      <c r="AJ371" s="145">
        <f t="shared" si="67"/>
        <v>16</v>
      </c>
      <c r="AK371" s="100">
        <f>VLOOKUP(AP371,'[2]CONTENEUR PLEIN'!$F:$L,3,FALSE)</f>
        <v>45961</v>
      </c>
      <c r="AL371" s="99">
        <f>VLOOKUP(AP371,'[2]CONTENEUR PLEIN'!$F:$L,5,FALSE)</f>
        <v>46006</v>
      </c>
      <c r="AM371" s="18">
        <f>VLOOKUP(AP371,'[2]CONTENEUR PLEIN'!$F:$L,7,FALSE)</f>
        <v>46028.333333333336</v>
      </c>
      <c r="AN371" s="361" t="s">
        <v>63</v>
      </c>
      <c r="AO371" s="353" t="s">
        <v>540</v>
      </c>
      <c r="AP371" s="353" t="s">
        <v>541</v>
      </c>
      <c r="AQ371" s="353" t="s">
        <v>550</v>
      </c>
      <c r="AR371" s="90" t="str">
        <f>VLOOKUP(AP371,'[2]CONTENEUR PLEIN'!$F:$L,2,FALSE)</f>
        <v>APL CHANGI</v>
      </c>
      <c r="AS371" s="353" t="s">
        <v>316</v>
      </c>
      <c r="AT371" s="98"/>
    </row>
    <row r="372" spans="2:46" s="72" customFormat="1" hidden="1" x14ac:dyDescent="0.25">
      <c r="B372" s="359" t="s">
        <v>45</v>
      </c>
      <c r="C372" s="89">
        <v>45863</v>
      </c>
      <c r="D372" s="90">
        <v>25062</v>
      </c>
      <c r="E372" s="360" t="s">
        <v>368</v>
      </c>
      <c r="F372" s="90">
        <v>2507091518</v>
      </c>
      <c r="G372" s="361" t="s">
        <v>74</v>
      </c>
      <c r="H372" s="361" t="s">
        <v>46</v>
      </c>
      <c r="I372" s="361" t="s">
        <v>49</v>
      </c>
      <c r="J372" s="361" t="s">
        <v>46</v>
      </c>
      <c r="K372" s="16" t="s">
        <v>864</v>
      </c>
      <c r="L372" s="303">
        <v>45993</v>
      </c>
      <c r="M372" s="381">
        <f t="shared" si="60"/>
        <v>5</v>
      </c>
      <c r="N372" s="98" t="s">
        <v>49</v>
      </c>
      <c r="O372" s="92">
        <v>32070004</v>
      </c>
      <c r="P372" s="24" t="str">
        <f>VLOOKUP(O372,[1]Feuil2!$A:$M,5,FALSE)</f>
        <v>CAFE OPEN DECOR CARREAU DE CIMENT CARREFOUR HOME</v>
      </c>
      <c r="Q372" s="90">
        <v>12720</v>
      </c>
      <c r="R372" s="93">
        <v>0.20799999999999999</v>
      </c>
      <c r="S372" s="94">
        <f t="shared" si="61"/>
        <v>2645.7599999999998</v>
      </c>
      <c r="T372" s="95">
        <f t="shared" si="66"/>
        <v>36158.520000000004</v>
      </c>
      <c r="U372" s="138"/>
      <c r="V372" s="96">
        <f t="shared" si="62"/>
        <v>36158.520000000004</v>
      </c>
      <c r="W372" s="4">
        <f>VLOOKUP(O372,[1]Feuil2!$A:$M,6,FALSE)</f>
        <v>240</v>
      </c>
      <c r="X372" s="5">
        <f>VLOOKUP(O372,[1]Feuil2!$A:$M,13,FALSE)</f>
        <v>2.075625E-2</v>
      </c>
      <c r="Y372" s="6">
        <f t="shared" si="64"/>
        <v>1.1000812500000001</v>
      </c>
      <c r="Z372" s="97">
        <f t="shared" si="63"/>
        <v>20.295068124999997</v>
      </c>
      <c r="AA372" s="69" t="s">
        <v>57</v>
      </c>
      <c r="AB372" s="133" t="s">
        <v>61</v>
      </c>
      <c r="AC372" s="87" t="s">
        <v>55</v>
      </c>
      <c r="AD372" s="21" t="s">
        <v>57</v>
      </c>
      <c r="AE372" s="20">
        <v>45943</v>
      </c>
      <c r="AF372" s="21" t="s">
        <v>518</v>
      </c>
      <c r="AG372" s="21"/>
      <c r="AH372" s="98"/>
      <c r="AI372" s="160">
        <v>45945</v>
      </c>
      <c r="AJ372" s="145">
        <f t="shared" si="67"/>
        <v>16</v>
      </c>
      <c r="AK372" s="100">
        <f>VLOOKUP(AP372,'[2]CONTENEUR PLEIN'!$F:$L,3,FALSE)</f>
        <v>45961</v>
      </c>
      <c r="AL372" s="99">
        <f>VLOOKUP(AP372,'[2]CONTENEUR PLEIN'!$F:$L,5,FALSE)</f>
        <v>46006</v>
      </c>
      <c r="AM372" s="18">
        <f>VLOOKUP(AP372,'[2]CONTENEUR PLEIN'!$F:$L,7,FALSE)</f>
        <v>46028.333333333336</v>
      </c>
      <c r="AN372" s="361" t="s">
        <v>63</v>
      </c>
      <c r="AO372" s="353" t="s">
        <v>540</v>
      </c>
      <c r="AP372" s="353" t="s">
        <v>541</v>
      </c>
      <c r="AQ372" s="353" t="s">
        <v>550</v>
      </c>
      <c r="AR372" s="90" t="str">
        <f>VLOOKUP(AP372,'[2]CONTENEUR PLEIN'!$F:$L,2,FALSE)</f>
        <v>APL CHANGI</v>
      </c>
      <c r="AS372" s="353" t="s">
        <v>316</v>
      </c>
      <c r="AT372" s="98"/>
    </row>
    <row r="373" spans="2:46" s="72" customFormat="1" hidden="1" x14ac:dyDescent="0.25">
      <c r="B373" s="359" t="s">
        <v>45</v>
      </c>
      <c r="C373" s="89">
        <v>45863</v>
      </c>
      <c r="D373" s="90">
        <v>25062</v>
      </c>
      <c r="E373" s="360" t="s">
        <v>368</v>
      </c>
      <c r="F373" s="90">
        <v>2507091518</v>
      </c>
      <c r="G373" s="361" t="s">
        <v>74</v>
      </c>
      <c r="H373" s="361" t="s">
        <v>46</v>
      </c>
      <c r="I373" s="361" t="s">
        <v>49</v>
      </c>
      <c r="J373" s="361" t="s">
        <v>46</v>
      </c>
      <c r="K373" s="16" t="s">
        <v>864</v>
      </c>
      <c r="L373" s="303">
        <v>45993</v>
      </c>
      <c r="M373" s="381">
        <f t="shared" si="60"/>
        <v>5</v>
      </c>
      <c r="N373" s="98" t="s">
        <v>49</v>
      </c>
      <c r="O373" s="92">
        <v>32070024</v>
      </c>
      <c r="P373" s="24" t="str">
        <f>VLOOKUP(O373,[1]Feuil2!$A:$M,5,FALSE)</f>
        <v>CAFE OPEN DECOR POIS NOIR 6C CARREFOUR HOME</v>
      </c>
      <c r="Q373" s="90">
        <v>6480</v>
      </c>
      <c r="R373" s="93">
        <v>0.21299999999999999</v>
      </c>
      <c r="S373" s="94">
        <f t="shared" si="61"/>
        <v>1380.24</v>
      </c>
      <c r="T373" s="95">
        <f t="shared" si="66"/>
        <v>36158.520000000004</v>
      </c>
      <c r="U373" s="138"/>
      <c r="V373" s="96">
        <f t="shared" si="62"/>
        <v>36158.520000000004</v>
      </c>
      <c r="W373" s="4">
        <f>VLOOKUP(O373,[1]Feuil2!$A:$M,6,FALSE)</f>
        <v>240</v>
      </c>
      <c r="X373" s="5">
        <f>VLOOKUP(O373,[1]Feuil2!$A:$M,13,FALSE)</f>
        <v>4.6800000000000001E-3</v>
      </c>
      <c r="Y373" s="6">
        <f t="shared" si="64"/>
        <v>0.12636</v>
      </c>
      <c r="Z373" s="97">
        <f t="shared" si="63"/>
        <v>20.295068124999997</v>
      </c>
      <c r="AA373" s="69" t="s">
        <v>57</v>
      </c>
      <c r="AB373" s="133" t="s">
        <v>61</v>
      </c>
      <c r="AC373" s="87" t="s">
        <v>55</v>
      </c>
      <c r="AD373" s="21" t="s">
        <v>57</v>
      </c>
      <c r="AE373" s="20">
        <v>45946</v>
      </c>
      <c r="AF373" s="21" t="s">
        <v>536</v>
      </c>
      <c r="AG373" s="21"/>
      <c r="AH373" s="98"/>
      <c r="AI373" s="160">
        <v>45945</v>
      </c>
      <c r="AJ373" s="145">
        <f t="shared" si="67"/>
        <v>16</v>
      </c>
      <c r="AK373" s="100">
        <f>VLOOKUP(AP373,'[2]CONTENEUR PLEIN'!$F:$L,3,FALSE)</f>
        <v>45961</v>
      </c>
      <c r="AL373" s="99">
        <f>VLOOKUP(AP373,'[2]CONTENEUR PLEIN'!$F:$L,5,FALSE)</f>
        <v>46006</v>
      </c>
      <c r="AM373" s="18">
        <f>VLOOKUP(AP373,'[2]CONTENEUR PLEIN'!$F:$L,7,FALSE)</f>
        <v>46028.333333333336</v>
      </c>
      <c r="AN373" s="361" t="s">
        <v>63</v>
      </c>
      <c r="AO373" s="353" t="s">
        <v>540</v>
      </c>
      <c r="AP373" s="353" t="s">
        <v>541</v>
      </c>
      <c r="AQ373" s="353" t="s">
        <v>550</v>
      </c>
      <c r="AR373" s="90" t="str">
        <f>VLOOKUP(AP373,'[2]CONTENEUR PLEIN'!$F:$L,2,FALSE)</f>
        <v>APL CHANGI</v>
      </c>
      <c r="AS373" s="353" t="s">
        <v>316</v>
      </c>
      <c r="AT373" s="98"/>
    </row>
    <row r="374" spans="2:46" s="72" customFormat="1" hidden="1" x14ac:dyDescent="0.25">
      <c r="B374" s="359" t="s">
        <v>45</v>
      </c>
      <c r="C374" s="89">
        <v>45863</v>
      </c>
      <c r="D374" s="90">
        <v>25062</v>
      </c>
      <c r="E374" s="360" t="s">
        <v>368</v>
      </c>
      <c r="F374" s="90">
        <v>2507091518</v>
      </c>
      <c r="G374" s="361" t="s">
        <v>74</v>
      </c>
      <c r="H374" s="361" t="s">
        <v>46</v>
      </c>
      <c r="I374" s="361" t="s">
        <v>49</v>
      </c>
      <c r="J374" s="361" t="s">
        <v>46</v>
      </c>
      <c r="K374" s="16" t="s">
        <v>864</v>
      </c>
      <c r="L374" s="303">
        <v>45993</v>
      </c>
      <c r="M374" s="381">
        <f t="shared" si="60"/>
        <v>5</v>
      </c>
      <c r="N374" s="98" t="s">
        <v>49</v>
      </c>
      <c r="O374" s="92">
        <v>32070035</v>
      </c>
      <c r="P374" s="24" t="str">
        <f>VLOOKUP(O374,[1]Feuil2!$A:$M,5,FALSE)</f>
        <v>CUILLERE OPEN DECOR POIS ROUGE 3517C TB COLLECTION</v>
      </c>
      <c r="Q374" s="90">
        <v>1200</v>
      </c>
      <c r="R374" s="93">
        <v>0.249</v>
      </c>
      <c r="S374" s="94">
        <f t="shared" si="61"/>
        <v>298.8</v>
      </c>
      <c r="T374" s="95">
        <f t="shared" si="66"/>
        <v>36158.520000000004</v>
      </c>
      <c r="U374" s="138"/>
      <c r="V374" s="96">
        <f t="shared" si="62"/>
        <v>36158.520000000004</v>
      </c>
      <c r="W374" s="4">
        <f>VLOOKUP(O374,[1]Feuil2!$A:$M,6,FALSE)</f>
        <v>240</v>
      </c>
      <c r="X374" s="5">
        <f>VLOOKUP(O374,[1]Feuil2!$A:$M,13,FALSE)</f>
        <v>3.0318750000000002E-2</v>
      </c>
      <c r="Y374" s="6">
        <f t="shared" si="64"/>
        <v>0.15159375</v>
      </c>
      <c r="Z374" s="97">
        <f t="shared" si="63"/>
        <v>20.295068124999997</v>
      </c>
      <c r="AA374" s="69" t="s">
        <v>57</v>
      </c>
      <c r="AB374" s="133" t="s">
        <v>61</v>
      </c>
      <c r="AC374" s="87" t="s">
        <v>55</v>
      </c>
      <c r="AD374" s="21" t="s">
        <v>57</v>
      </c>
      <c r="AE374" s="20">
        <v>45947</v>
      </c>
      <c r="AF374" s="21" t="s">
        <v>551</v>
      </c>
      <c r="AG374" s="21"/>
      <c r="AH374" s="98"/>
      <c r="AI374" s="160">
        <v>45945</v>
      </c>
      <c r="AJ374" s="145">
        <f t="shared" si="67"/>
        <v>16</v>
      </c>
      <c r="AK374" s="100">
        <f>VLOOKUP(AP374,'[2]CONTENEUR PLEIN'!$F:$L,3,FALSE)</f>
        <v>45961</v>
      </c>
      <c r="AL374" s="99">
        <f>VLOOKUP(AP374,'[2]CONTENEUR PLEIN'!$F:$L,5,FALSE)</f>
        <v>46006</v>
      </c>
      <c r="AM374" s="18">
        <f>VLOOKUP(AP374,'[2]CONTENEUR PLEIN'!$F:$L,7,FALSE)</f>
        <v>46028.333333333336</v>
      </c>
      <c r="AN374" s="361" t="s">
        <v>63</v>
      </c>
      <c r="AO374" s="353" t="s">
        <v>540</v>
      </c>
      <c r="AP374" s="353" t="s">
        <v>541</v>
      </c>
      <c r="AQ374" s="353" t="s">
        <v>550</v>
      </c>
      <c r="AR374" s="90" t="str">
        <f>VLOOKUP(AP374,'[2]CONTENEUR PLEIN'!$F:$L,2,FALSE)</f>
        <v>APL CHANGI</v>
      </c>
      <c r="AS374" s="353" t="s">
        <v>316</v>
      </c>
      <c r="AT374" s="98"/>
    </row>
    <row r="375" spans="2:46" s="72" customFormat="1" hidden="1" x14ac:dyDescent="0.25">
      <c r="B375" s="359" t="s">
        <v>45</v>
      </c>
      <c r="C375" s="89">
        <v>45863</v>
      </c>
      <c r="D375" s="90">
        <v>25062</v>
      </c>
      <c r="E375" s="360" t="s">
        <v>368</v>
      </c>
      <c r="F375" s="90">
        <v>2507091518</v>
      </c>
      <c r="G375" s="361" t="s">
        <v>74</v>
      </c>
      <c r="H375" s="361" t="s">
        <v>46</v>
      </c>
      <c r="I375" s="361" t="s">
        <v>49</v>
      </c>
      <c r="J375" s="361" t="s">
        <v>46</v>
      </c>
      <c r="K375" s="16" t="s">
        <v>864</v>
      </c>
      <c r="L375" s="303">
        <v>45993</v>
      </c>
      <c r="M375" s="381">
        <f t="shared" si="60"/>
        <v>5</v>
      </c>
      <c r="N375" s="98" t="s">
        <v>49</v>
      </c>
      <c r="O375" s="92">
        <v>32070036</v>
      </c>
      <c r="P375" s="24" t="str">
        <f>VLOOKUP(O375,[1]Feuil2!$A:$M,5,FALSE)</f>
        <v>CAFE OPEN DECOR POIS ROUGE 3517C TB COLLECTION</v>
      </c>
      <c r="Q375" s="90">
        <v>1680</v>
      </c>
      <c r="R375" s="93">
        <v>0.21299999999999999</v>
      </c>
      <c r="S375" s="94">
        <f t="shared" si="61"/>
        <v>357.84</v>
      </c>
      <c r="T375" s="95">
        <f t="shared" si="66"/>
        <v>36158.520000000004</v>
      </c>
      <c r="U375" s="138"/>
      <c r="V375" s="96">
        <f t="shared" si="62"/>
        <v>36158.520000000004</v>
      </c>
      <c r="W375" s="4">
        <f>VLOOKUP(O375,[1]Feuil2!$A:$M,6,FALSE)</f>
        <v>240</v>
      </c>
      <c r="X375" s="5">
        <f>VLOOKUP(O375,[1]Feuil2!$A:$M,13,FALSE)</f>
        <v>1.6800000000000002E-2</v>
      </c>
      <c r="Y375" s="6">
        <f t="shared" si="64"/>
        <v>0.11760000000000001</v>
      </c>
      <c r="Z375" s="97">
        <f t="shared" si="63"/>
        <v>20.295068124999997</v>
      </c>
      <c r="AA375" s="69" t="s">
        <v>57</v>
      </c>
      <c r="AB375" s="133" t="s">
        <v>61</v>
      </c>
      <c r="AC375" s="87" t="s">
        <v>55</v>
      </c>
      <c r="AD375" s="21" t="s">
        <v>57</v>
      </c>
      <c r="AE375" s="20">
        <v>45946</v>
      </c>
      <c r="AF375" s="21" t="s">
        <v>537</v>
      </c>
      <c r="AG375" s="21"/>
      <c r="AH375" s="98"/>
      <c r="AI375" s="160">
        <v>45945</v>
      </c>
      <c r="AJ375" s="145">
        <f t="shared" si="67"/>
        <v>16</v>
      </c>
      <c r="AK375" s="100">
        <f>VLOOKUP(AP375,'[2]CONTENEUR PLEIN'!$F:$L,3,FALSE)</f>
        <v>45961</v>
      </c>
      <c r="AL375" s="99">
        <f>VLOOKUP(AP375,'[2]CONTENEUR PLEIN'!$F:$L,5,FALSE)</f>
        <v>46006</v>
      </c>
      <c r="AM375" s="18">
        <f>VLOOKUP(AP375,'[2]CONTENEUR PLEIN'!$F:$L,7,FALSE)</f>
        <v>46028.333333333336</v>
      </c>
      <c r="AN375" s="361" t="s">
        <v>63</v>
      </c>
      <c r="AO375" s="353" t="s">
        <v>540</v>
      </c>
      <c r="AP375" s="353" t="s">
        <v>541</v>
      </c>
      <c r="AQ375" s="353" t="s">
        <v>550</v>
      </c>
      <c r="AR375" s="90" t="str">
        <f>VLOOKUP(AP375,'[2]CONTENEUR PLEIN'!$F:$L,2,FALSE)</f>
        <v>APL CHANGI</v>
      </c>
      <c r="AS375" s="353" t="s">
        <v>316</v>
      </c>
      <c r="AT375" s="98"/>
    </row>
    <row r="376" spans="2:46" s="72" customFormat="1" hidden="1" x14ac:dyDescent="0.25">
      <c r="B376" s="359" t="s">
        <v>45</v>
      </c>
      <c r="C376" s="89">
        <v>45863</v>
      </c>
      <c r="D376" s="90">
        <v>25062</v>
      </c>
      <c r="E376" s="360" t="s">
        <v>368</v>
      </c>
      <c r="F376" s="90">
        <v>2507091518</v>
      </c>
      <c r="G376" s="361" t="s">
        <v>74</v>
      </c>
      <c r="H376" s="361" t="s">
        <v>46</v>
      </c>
      <c r="I376" s="361" t="s">
        <v>49</v>
      </c>
      <c r="J376" s="361" t="s">
        <v>46</v>
      </c>
      <c r="K376" s="16" t="s">
        <v>864</v>
      </c>
      <c r="L376" s="303">
        <v>45993</v>
      </c>
      <c r="M376" s="381">
        <f t="shared" si="60"/>
        <v>5</v>
      </c>
      <c r="N376" s="98" t="s">
        <v>49</v>
      </c>
      <c r="O376" s="92">
        <v>32210016</v>
      </c>
      <c r="P376" s="24" t="str">
        <f>VLOOKUP(O376,[1]Feuil2!$A:$M,5,FALSE)</f>
        <v>CAFE OPEN UNI COLOR BEIGE 7529C CARREFOUR HOME</v>
      </c>
      <c r="Q376" s="90">
        <v>16320</v>
      </c>
      <c r="R376" s="93">
        <v>0.17</v>
      </c>
      <c r="S376" s="94">
        <f t="shared" si="61"/>
        <v>2774.4</v>
      </c>
      <c r="T376" s="95">
        <f t="shared" si="66"/>
        <v>36158.520000000004</v>
      </c>
      <c r="U376" s="138"/>
      <c r="V376" s="96">
        <f t="shared" si="62"/>
        <v>36158.520000000004</v>
      </c>
      <c r="W376" s="4">
        <f>VLOOKUP(O376,[1]Feuil2!$A:$M,6,FALSE)</f>
        <v>240</v>
      </c>
      <c r="X376" s="5">
        <f>VLOOKUP(O376,[1]Feuil2!$A:$M,13,FALSE)</f>
        <v>2.3141999999999999E-2</v>
      </c>
      <c r="Y376" s="6">
        <f t="shared" si="64"/>
        <v>1.5736559999999999</v>
      </c>
      <c r="Z376" s="97">
        <f t="shared" si="63"/>
        <v>20.295068124999997</v>
      </c>
      <c r="AA376" s="69" t="s">
        <v>57</v>
      </c>
      <c r="AB376" s="133" t="s">
        <v>61</v>
      </c>
      <c r="AC376" s="87" t="s">
        <v>55</v>
      </c>
      <c r="AD376" s="69" t="s">
        <v>57</v>
      </c>
      <c r="AE376" s="20">
        <v>45943</v>
      </c>
      <c r="AF376" s="21" t="s">
        <v>519</v>
      </c>
      <c r="AG376" s="21"/>
      <c r="AH376" s="98"/>
      <c r="AI376" s="160">
        <v>45945</v>
      </c>
      <c r="AJ376" s="145">
        <f t="shared" si="67"/>
        <v>16</v>
      </c>
      <c r="AK376" s="100">
        <f>VLOOKUP(AP376,'[2]CONTENEUR PLEIN'!$F:$L,3,FALSE)</f>
        <v>45961</v>
      </c>
      <c r="AL376" s="99">
        <f>VLOOKUP(AP376,'[2]CONTENEUR PLEIN'!$F:$L,5,FALSE)</f>
        <v>46006</v>
      </c>
      <c r="AM376" s="18">
        <f>VLOOKUP(AP376,'[2]CONTENEUR PLEIN'!$F:$L,7,FALSE)</f>
        <v>46028.333333333336</v>
      </c>
      <c r="AN376" s="361" t="s">
        <v>63</v>
      </c>
      <c r="AO376" s="353" t="s">
        <v>540</v>
      </c>
      <c r="AP376" s="353" t="s">
        <v>541</v>
      </c>
      <c r="AQ376" s="353" t="s">
        <v>550</v>
      </c>
      <c r="AR376" s="90" t="str">
        <f>VLOOKUP(AP376,'[2]CONTENEUR PLEIN'!$F:$L,2,FALSE)</f>
        <v>APL CHANGI</v>
      </c>
      <c r="AS376" s="353" t="s">
        <v>316</v>
      </c>
      <c r="AT376" s="98"/>
    </row>
    <row r="377" spans="2:46" s="72" customFormat="1" hidden="1" x14ac:dyDescent="0.25">
      <c r="B377" s="359" t="s">
        <v>45</v>
      </c>
      <c r="C377" s="89">
        <v>45863</v>
      </c>
      <c r="D377" s="90">
        <v>25062</v>
      </c>
      <c r="E377" s="360" t="s">
        <v>368</v>
      </c>
      <c r="F377" s="90">
        <v>2507091518</v>
      </c>
      <c r="G377" s="361" t="s">
        <v>74</v>
      </c>
      <c r="H377" s="361" t="s">
        <v>46</v>
      </c>
      <c r="I377" s="361" t="s">
        <v>49</v>
      </c>
      <c r="J377" s="361" t="s">
        <v>46</v>
      </c>
      <c r="K377" s="16" t="s">
        <v>991</v>
      </c>
      <c r="L377" s="303">
        <v>46014</v>
      </c>
      <c r="M377" s="381">
        <f t="shared" si="60"/>
        <v>6</v>
      </c>
      <c r="N377" s="98" t="s">
        <v>49</v>
      </c>
      <c r="O377" s="92">
        <v>21520006</v>
      </c>
      <c r="P377" s="24" t="str">
        <f>VLOOKUP(O377,[1]Feuil2!$A:$M,5,FALSE)</f>
        <v>CAFE LAGUIOLE INTUITION BRILLANT + GENCOD</v>
      </c>
      <c r="Q377" s="90">
        <v>12000</v>
      </c>
      <c r="R377" s="93">
        <v>0.217</v>
      </c>
      <c r="S377" s="94">
        <f t="shared" si="61"/>
        <v>2604</v>
      </c>
      <c r="T377" s="95">
        <f t="shared" si="66"/>
        <v>36158.520000000004</v>
      </c>
      <c r="U377" s="138"/>
      <c r="V377" s="96">
        <f t="shared" si="62"/>
        <v>36158.520000000004</v>
      </c>
      <c r="W377" s="4">
        <f>VLOOKUP(O377,[1]Feuil2!$A:$M,6,FALSE)</f>
        <v>240</v>
      </c>
      <c r="X377" s="5">
        <f>VLOOKUP(O377,[1]Feuil2!$A:$M,13,FALSE)</f>
        <v>1.8314999999999998E-2</v>
      </c>
      <c r="Y377" s="6">
        <f t="shared" si="64"/>
        <v>0.91574999999999984</v>
      </c>
      <c r="Z377" s="97">
        <f t="shared" si="63"/>
        <v>20.295068124999997</v>
      </c>
      <c r="AA377" s="69" t="s">
        <v>57</v>
      </c>
      <c r="AB377" s="67" t="s">
        <v>48</v>
      </c>
      <c r="AC377" s="218" t="s">
        <v>55</v>
      </c>
      <c r="AD377" s="21" t="s">
        <v>57</v>
      </c>
      <c r="AE377" s="20">
        <v>45945</v>
      </c>
      <c r="AF377" s="21" t="s">
        <v>531</v>
      </c>
      <c r="AG377" s="21"/>
      <c r="AH377" s="98"/>
      <c r="AI377" s="160">
        <v>45945</v>
      </c>
      <c r="AJ377" s="145">
        <f t="shared" si="67"/>
        <v>58</v>
      </c>
      <c r="AK377" s="100">
        <f>VLOOKUP(AP377,'[2]CONTENEUR PLEIN'!$F:$L,3,FALSE)</f>
        <v>46003</v>
      </c>
      <c r="AL377" s="99">
        <f>VLOOKUP(AP377,'[2]CONTENEUR PLEIN'!$F:$L,5,FALSE)</f>
        <v>46060</v>
      </c>
      <c r="AM377" s="18">
        <f>VLOOKUP(AP377,'[2]CONTENEUR PLEIN'!$F:$L,7,FALSE)</f>
        <v>46066.291666666664</v>
      </c>
      <c r="AN377" s="361" t="s">
        <v>63</v>
      </c>
      <c r="AO377" s="290" t="s">
        <v>664</v>
      </c>
      <c r="AP377" s="290" t="s">
        <v>665</v>
      </c>
      <c r="AQ377" s="290" t="s">
        <v>672</v>
      </c>
      <c r="AR377" s="90" t="str">
        <f>VLOOKUP(AP377,'[2]CONTENEUR PLEIN'!$F:$L,2,FALSE)</f>
        <v>CMA CGM SCANDOLA</v>
      </c>
      <c r="AS377" s="290" t="s">
        <v>316</v>
      </c>
      <c r="AT377" s="98"/>
    </row>
    <row r="378" spans="2:46" s="72" customFormat="1" hidden="1" x14ac:dyDescent="0.25">
      <c r="B378" s="359" t="s">
        <v>45</v>
      </c>
      <c r="C378" s="89">
        <v>45863</v>
      </c>
      <c r="D378" s="90">
        <v>25062</v>
      </c>
      <c r="E378" s="360" t="s">
        <v>368</v>
      </c>
      <c r="F378" s="90">
        <v>2507091518</v>
      </c>
      <c r="G378" s="361" t="s">
        <v>74</v>
      </c>
      <c r="H378" s="361" t="s">
        <v>46</v>
      </c>
      <c r="I378" s="361" t="s">
        <v>49</v>
      </c>
      <c r="J378" s="361" t="s">
        <v>46</v>
      </c>
      <c r="K378" s="16" t="s">
        <v>996</v>
      </c>
      <c r="L378" s="128">
        <v>46041</v>
      </c>
      <c r="M378" s="381">
        <f t="shared" si="60"/>
        <v>6</v>
      </c>
      <c r="N378" s="98" t="s">
        <v>62</v>
      </c>
      <c r="O378" s="92">
        <v>21970001</v>
      </c>
      <c r="P378" s="24" t="str">
        <f>VLOOKUP(O378,[1]Feuil2!$A:$M,5,FALSE)</f>
        <v>M24 GRAPHITE SATINE BOITE TB COLLECTION</v>
      </c>
      <c r="Q378" s="90">
        <v>1200</v>
      </c>
      <c r="R378" s="93">
        <v>4.58</v>
      </c>
      <c r="S378" s="94">
        <f t="shared" si="61"/>
        <v>5496</v>
      </c>
      <c r="T378" s="95">
        <f t="shared" si="66"/>
        <v>36158.520000000004</v>
      </c>
      <c r="U378" s="138"/>
      <c r="V378" s="96">
        <f t="shared" si="62"/>
        <v>36158.520000000004</v>
      </c>
      <c r="W378" s="4">
        <f>VLOOKUP(O378,[1]Feuil2!$A:$M,6,FALSE)</f>
        <v>3</v>
      </c>
      <c r="X378" s="5">
        <f>VLOOKUP(O378,[1]Feuil2!$A:$M,13,FALSE)</f>
        <v>1.3701999999999999E-2</v>
      </c>
      <c r="Y378" s="6">
        <f t="shared" si="64"/>
        <v>5.4807999999999995</v>
      </c>
      <c r="Z378" s="97">
        <f t="shared" si="63"/>
        <v>20.295068124999997</v>
      </c>
      <c r="AA378" s="69" t="s">
        <v>57</v>
      </c>
      <c r="AB378" s="67" t="s">
        <v>48</v>
      </c>
      <c r="AC378" s="87" t="s">
        <v>55</v>
      </c>
      <c r="AD378" s="21" t="s">
        <v>57</v>
      </c>
      <c r="AE378" s="20">
        <v>45954</v>
      </c>
      <c r="AF378" s="21" t="s">
        <v>567</v>
      </c>
      <c r="AG378" s="21" t="s">
        <v>57</v>
      </c>
      <c r="AH378" s="519" t="s">
        <v>48</v>
      </c>
      <c r="AI378" s="160">
        <v>45945</v>
      </c>
      <c r="AJ378" s="145">
        <f t="shared" si="67"/>
        <v>58</v>
      </c>
      <c r="AK378" s="100">
        <f>VLOOKUP(AP378,'[2]CONTENEUR PLEIN'!$F:$L,3,FALSE)</f>
        <v>46003</v>
      </c>
      <c r="AL378" s="99">
        <f>VLOOKUP(AP378,'[2]CONTENEUR PLEIN'!$F:$L,5,FALSE)</f>
        <v>46060</v>
      </c>
      <c r="AM378" s="18">
        <f>VLOOKUP(AP378,'[2]CONTENEUR PLEIN'!$F:$L,7,FALSE)</f>
        <v>46069.333333333336</v>
      </c>
      <c r="AN378" s="361" t="s">
        <v>63</v>
      </c>
      <c r="AO378" s="290" t="s">
        <v>673</v>
      </c>
      <c r="AP378" s="290" t="s">
        <v>674</v>
      </c>
      <c r="AQ378" s="290" t="s">
        <v>675</v>
      </c>
      <c r="AR378" s="90" t="str">
        <f>VLOOKUP(AP378,'[2]CONTENEUR PLEIN'!$F:$L,2,FALSE)</f>
        <v>CMA CGM SCANDOLA</v>
      </c>
      <c r="AS378" s="290" t="s">
        <v>316</v>
      </c>
      <c r="AT378" s="98"/>
    </row>
    <row r="379" spans="2:46" s="72" customFormat="1" hidden="1" x14ac:dyDescent="0.25">
      <c r="B379" s="232" t="s">
        <v>45</v>
      </c>
      <c r="C379" s="89">
        <v>45881</v>
      </c>
      <c r="D379" s="90">
        <v>25068</v>
      </c>
      <c r="E379" s="195" t="s">
        <v>386</v>
      </c>
      <c r="F379" s="90">
        <v>2508111334</v>
      </c>
      <c r="G379" s="191" t="s">
        <v>74</v>
      </c>
      <c r="H379" s="191" t="s">
        <v>82</v>
      </c>
      <c r="I379" s="191" t="s">
        <v>49</v>
      </c>
      <c r="J379" s="191" t="s">
        <v>46</v>
      </c>
      <c r="K379" s="8" t="s">
        <v>897</v>
      </c>
      <c r="L379" s="128">
        <v>46041</v>
      </c>
      <c r="M379" s="381">
        <f t="shared" si="60"/>
        <v>5</v>
      </c>
      <c r="N379" s="98" t="s">
        <v>62</v>
      </c>
      <c r="O379" s="92">
        <v>10110030</v>
      </c>
      <c r="P379" s="24" t="str">
        <f>VLOOKUP(O379,[1]Feuil2!$A:$M,5,FALSE)</f>
        <v>LAG HERITAGE COFFRET 6PCS TOUT INOX POLYFLAME</v>
      </c>
      <c r="Q379" s="90">
        <v>2004</v>
      </c>
      <c r="R379" s="93">
        <v>2.2999999999999998</v>
      </c>
      <c r="S379" s="94">
        <f t="shared" si="61"/>
        <v>4609.2</v>
      </c>
      <c r="T379" s="95">
        <f t="shared" si="66"/>
        <v>9919.7999999999993</v>
      </c>
      <c r="U379" s="138"/>
      <c r="V379" s="96">
        <f t="shared" si="62"/>
        <v>9919.7999999999993</v>
      </c>
      <c r="W379" s="4">
        <f>VLOOKUP(O379,[1]Feuil2!$A:$M,6,FALSE)</f>
        <v>6</v>
      </c>
      <c r="X379" s="5">
        <f>VLOOKUP(O379,[1]Feuil2!$A:$M,13,FALSE)</f>
        <v>0</v>
      </c>
      <c r="Y379" s="6">
        <f t="shared" si="64"/>
        <v>0</v>
      </c>
      <c r="Z379" s="97">
        <f t="shared" si="63"/>
        <v>0</v>
      </c>
      <c r="AA379" s="69" t="s">
        <v>57</v>
      </c>
      <c r="AB379" s="67" t="s">
        <v>48</v>
      </c>
      <c r="AC379" s="87" t="s">
        <v>55</v>
      </c>
      <c r="AD379" s="21" t="s">
        <v>57</v>
      </c>
      <c r="AE379" s="20">
        <v>45997</v>
      </c>
      <c r="AF379" s="21" t="s">
        <v>686</v>
      </c>
      <c r="AG379" s="432" t="s">
        <v>48</v>
      </c>
      <c r="AH379" s="433" t="s">
        <v>48</v>
      </c>
      <c r="AI379" s="434">
        <v>45986</v>
      </c>
      <c r="AJ379" s="145" t="e">
        <f>DATEDIF(AI379,$AK$373,"D")</f>
        <v>#NUM!</v>
      </c>
      <c r="AK379" s="100">
        <v>46011</v>
      </c>
      <c r="AL379" s="99">
        <v>46040</v>
      </c>
      <c r="AM379" s="18">
        <v>46045</v>
      </c>
      <c r="AN379" s="191" t="s">
        <v>63</v>
      </c>
      <c r="AO379" s="432" t="s">
        <v>749</v>
      </c>
      <c r="AP379" s="432" t="s">
        <v>750</v>
      </c>
      <c r="AQ379" s="432" t="s">
        <v>751</v>
      </c>
      <c r="AR379" s="432" t="s">
        <v>752</v>
      </c>
      <c r="AS379" s="432" t="s">
        <v>123</v>
      </c>
      <c r="AT379" s="98"/>
    </row>
    <row r="380" spans="2:46" s="72" customFormat="1" hidden="1" x14ac:dyDescent="0.25">
      <c r="B380" s="232" t="s">
        <v>45</v>
      </c>
      <c r="C380" s="89">
        <v>45881</v>
      </c>
      <c r="D380" s="90">
        <v>25068</v>
      </c>
      <c r="E380" s="195" t="s">
        <v>386</v>
      </c>
      <c r="F380" s="90">
        <v>2508111334</v>
      </c>
      <c r="G380" s="191" t="s">
        <v>74</v>
      </c>
      <c r="H380" s="191" t="s">
        <v>82</v>
      </c>
      <c r="I380" s="191" t="s">
        <v>49</v>
      </c>
      <c r="J380" s="191" t="s">
        <v>46</v>
      </c>
      <c r="K380" s="8" t="s">
        <v>897</v>
      </c>
      <c r="L380" s="128">
        <v>46041</v>
      </c>
      <c r="M380" s="381">
        <f t="shared" si="60"/>
        <v>5</v>
      </c>
      <c r="N380" s="98" t="s">
        <v>62</v>
      </c>
      <c r="O380" s="92">
        <v>20110043</v>
      </c>
      <c r="P380" s="24" t="str">
        <f>VLOOKUP(O380,[1]Feuil2!$A:$M,5,FALSE)</f>
        <v>LAG HERITAGE MÉNAGÈRE  ARABESQUE 16PCS POLYFLAME</v>
      </c>
      <c r="Q380" s="90">
        <v>564</v>
      </c>
      <c r="R380" s="93">
        <v>5.3</v>
      </c>
      <c r="S380" s="94">
        <f t="shared" si="61"/>
        <v>2989.2</v>
      </c>
      <c r="T380" s="95">
        <f t="shared" si="66"/>
        <v>9919.7999999999993</v>
      </c>
      <c r="U380" s="138"/>
      <c r="V380" s="96">
        <f t="shared" si="62"/>
        <v>9919.7999999999993</v>
      </c>
      <c r="W380" s="4">
        <f>VLOOKUP(O380,[1]Feuil2!$A:$M,6,FALSE)</f>
        <v>6</v>
      </c>
      <c r="X380" s="5">
        <f>VLOOKUP(O380,[1]Feuil2!$A:$M,13,FALSE)</f>
        <v>0</v>
      </c>
      <c r="Y380" s="6">
        <f t="shared" si="64"/>
        <v>0</v>
      </c>
      <c r="Z380" s="97">
        <f t="shared" si="63"/>
        <v>0</v>
      </c>
      <c r="AA380" s="69" t="s">
        <v>57</v>
      </c>
      <c r="AB380" s="67" t="s">
        <v>48</v>
      </c>
      <c r="AC380" s="87" t="s">
        <v>55</v>
      </c>
      <c r="AD380" s="21" t="s">
        <v>57</v>
      </c>
      <c r="AE380" s="20">
        <v>45997</v>
      </c>
      <c r="AF380" s="21" t="s">
        <v>687</v>
      </c>
      <c r="AG380" s="432" t="s">
        <v>48</v>
      </c>
      <c r="AH380" s="433" t="s">
        <v>48</v>
      </c>
      <c r="AI380" s="434">
        <v>45986</v>
      </c>
      <c r="AJ380" s="145" t="e">
        <f>DATEDIF(AI380,$AK$374,"D")</f>
        <v>#NUM!</v>
      </c>
      <c r="AK380" s="100">
        <v>46011</v>
      </c>
      <c r="AL380" s="99">
        <v>46040</v>
      </c>
      <c r="AM380" s="18">
        <v>46045</v>
      </c>
      <c r="AN380" s="191" t="s">
        <v>63</v>
      </c>
      <c r="AO380" s="432" t="s">
        <v>749</v>
      </c>
      <c r="AP380" s="432" t="s">
        <v>750</v>
      </c>
      <c r="AQ380" s="432" t="s">
        <v>751</v>
      </c>
      <c r="AR380" s="432" t="s">
        <v>752</v>
      </c>
      <c r="AS380" s="432" t="s">
        <v>123</v>
      </c>
      <c r="AT380" s="98"/>
    </row>
    <row r="381" spans="2:46" s="72" customFormat="1" hidden="1" x14ac:dyDescent="0.25">
      <c r="B381" s="232" t="s">
        <v>45</v>
      </c>
      <c r="C381" s="89">
        <v>45881</v>
      </c>
      <c r="D381" s="90">
        <v>25068</v>
      </c>
      <c r="E381" s="195" t="s">
        <v>386</v>
      </c>
      <c r="F381" s="90">
        <v>2508111334</v>
      </c>
      <c r="G381" s="191" t="s">
        <v>74</v>
      </c>
      <c r="H381" s="191" t="s">
        <v>82</v>
      </c>
      <c r="I381" s="191" t="s">
        <v>49</v>
      </c>
      <c r="J381" s="191" t="s">
        <v>46</v>
      </c>
      <c r="K381" s="8" t="s">
        <v>997</v>
      </c>
      <c r="L381" s="128">
        <v>46041</v>
      </c>
      <c r="M381" s="381">
        <f t="shared" si="60"/>
        <v>6</v>
      </c>
      <c r="N381" s="98" t="s">
        <v>62</v>
      </c>
      <c r="O381" s="92">
        <v>20110043</v>
      </c>
      <c r="P381" s="24" t="str">
        <f>VLOOKUP(O381,[1]Feuil2!$A:$M,5,FALSE)</f>
        <v>LAG HERITAGE MÉNAGÈRE  ARABESQUE 16PCS POLYFLAME</v>
      </c>
      <c r="Q381" s="90">
        <f>1002-564</f>
        <v>438</v>
      </c>
      <c r="R381" s="93">
        <v>5.3</v>
      </c>
      <c r="S381" s="94">
        <f t="shared" si="61"/>
        <v>2321.4</v>
      </c>
      <c r="T381" s="95">
        <f t="shared" si="66"/>
        <v>9919.7999999999993</v>
      </c>
      <c r="U381" s="138"/>
      <c r="V381" s="96">
        <f t="shared" si="62"/>
        <v>9919.7999999999993</v>
      </c>
      <c r="W381" s="4">
        <f>VLOOKUP(O381,[1]Feuil2!$A:$M,6,FALSE)</f>
        <v>6</v>
      </c>
      <c r="X381" s="5">
        <f>VLOOKUP(O381,[1]Feuil2!$A:$M,13,FALSE)</f>
        <v>0</v>
      </c>
      <c r="Y381" s="6">
        <f t="shared" si="64"/>
        <v>0</v>
      </c>
      <c r="Z381" s="97">
        <f t="shared" si="63"/>
        <v>0</v>
      </c>
      <c r="AA381" s="69" t="s">
        <v>57</v>
      </c>
      <c r="AB381" s="67" t="s">
        <v>48</v>
      </c>
      <c r="AC381" s="87" t="s">
        <v>55</v>
      </c>
      <c r="AD381" s="21" t="s">
        <v>57</v>
      </c>
      <c r="AE381" s="20">
        <v>45997</v>
      </c>
      <c r="AF381" s="21" t="s">
        <v>687</v>
      </c>
      <c r="AG381" s="432" t="s">
        <v>48</v>
      </c>
      <c r="AH381" s="433" t="s">
        <v>48</v>
      </c>
      <c r="AI381" s="160">
        <v>45986</v>
      </c>
      <c r="AJ381" s="145" t="e">
        <f>DATEDIF(AI381,$AK$375,"D")</f>
        <v>#NUM!</v>
      </c>
      <c r="AK381" s="100">
        <v>46029</v>
      </c>
      <c r="AL381" s="99">
        <v>46061</v>
      </c>
      <c r="AM381" s="18">
        <v>46071</v>
      </c>
      <c r="AN381" s="239" t="s">
        <v>82</v>
      </c>
      <c r="AO381" s="515" t="s">
        <v>780</v>
      </c>
      <c r="AP381" s="515" t="s">
        <v>777</v>
      </c>
      <c r="AQ381" s="515" t="s">
        <v>781</v>
      </c>
      <c r="AR381" s="515" t="s">
        <v>779</v>
      </c>
      <c r="AS381" s="515" t="s">
        <v>123</v>
      </c>
      <c r="AT381" s="98"/>
    </row>
    <row r="382" spans="2:46" s="72" customFormat="1" hidden="1" x14ac:dyDescent="0.25">
      <c r="B382" s="232" t="s">
        <v>45</v>
      </c>
      <c r="C382" s="89">
        <v>45881</v>
      </c>
      <c r="D382" s="90">
        <v>25072</v>
      </c>
      <c r="E382" s="195" t="s">
        <v>385</v>
      </c>
      <c r="F382" s="90">
        <v>2508111406</v>
      </c>
      <c r="G382" s="191" t="s">
        <v>58</v>
      </c>
      <c r="H382" s="191" t="s">
        <v>82</v>
      </c>
      <c r="I382" s="191" t="s">
        <v>49</v>
      </c>
      <c r="J382" s="191" t="s">
        <v>46</v>
      </c>
      <c r="K382" s="8" t="s">
        <v>865</v>
      </c>
      <c r="L382" s="194">
        <v>46014</v>
      </c>
      <c r="M382" s="381">
        <f t="shared" si="60"/>
        <v>4</v>
      </c>
      <c r="N382" s="98" t="s">
        <v>62</v>
      </c>
      <c r="O382" s="92">
        <v>60110002</v>
      </c>
      <c r="P382" s="24" t="str">
        <f>VLOOKUP(O382,[1]Feuil2!$A:$M,5,FALSE)</f>
        <v>LAG HERITAGE TIRE-BOUCHON BOIS D'OLIVIER POLYFLAME</v>
      </c>
      <c r="Q382" s="90">
        <v>2040</v>
      </c>
      <c r="R382" s="93">
        <v>4.2</v>
      </c>
      <c r="S382" s="94">
        <f t="shared" si="61"/>
        <v>8568</v>
      </c>
      <c r="T382" s="95">
        <f t="shared" si="66"/>
        <v>8568</v>
      </c>
      <c r="U382" s="138"/>
      <c r="V382" s="96">
        <f t="shared" si="62"/>
        <v>8568</v>
      </c>
      <c r="W382" s="4">
        <f>VLOOKUP(O382,[1]Feuil2!$A:$M,6,FALSE)</f>
        <v>60</v>
      </c>
      <c r="X382" s="5">
        <f>VLOOKUP(O382,[1]Feuil2!$A:$M,13,FALSE)</f>
        <v>0</v>
      </c>
      <c r="Y382" s="6">
        <f t="shared" si="64"/>
        <v>0</v>
      </c>
      <c r="Z382" s="97">
        <f t="shared" si="63"/>
        <v>0</v>
      </c>
      <c r="AA382" s="68" t="s">
        <v>48</v>
      </c>
      <c r="AB382" s="21" t="s">
        <v>57</v>
      </c>
      <c r="AC382" s="87" t="s">
        <v>55</v>
      </c>
      <c r="AD382" s="21" t="s">
        <v>57</v>
      </c>
      <c r="AE382" s="20">
        <v>45979</v>
      </c>
      <c r="AF382" s="21" t="s">
        <v>598</v>
      </c>
      <c r="AG382" s="21"/>
      <c r="AH382" s="98"/>
      <c r="AI382" s="160">
        <v>45940</v>
      </c>
      <c r="AJ382" s="145">
        <f>DATEDIF(AI382,$AK382,"D")</f>
        <v>51</v>
      </c>
      <c r="AK382" s="100">
        <v>45991</v>
      </c>
      <c r="AL382" s="99">
        <v>46022</v>
      </c>
      <c r="AM382" s="18">
        <v>46027</v>
      </c>
      <c r="AN382" s="363" t="s">
        <v>82</v>
      </c>
      <c r="AO382" s="363" t="s">
        <v>642</v>
      </c>
      <c r="AP382" s="363" t="s">
        <v>643</v>
      </c>
      <c r="AQ382" s="363" t="s">
        <v>644</v>
      </c>
      <c r="AR382" s="363" t="s">
        <v>645</v>
      </c>
      <c r="AS382" s="363" t="s">
        <v>123</v>
      </c>
      <c r="AT382" s="98"/>
    </row>
    <row r="383" spans="2:46" s="72" customFormat="1" hidden="1" x14ac:dyDescent="0.25">
      <c r="B383" s="207" t="s">
        <v>45</v>
      </c>
      <c r="C383" s="146">
        <v>45881</v>
      </c>
      <c r="D383" s="147">
        <v>25070</v>
      </c>
      <c r="E383" s="208" t="s">
        <v>384</v>
      </c>
      <c r="F383" s="147">
        <v>2508111409</v>
      </c>
      <c r="G383" s="193" t="s">
        <v>83</v>
      </c>
      <c r="H383" s="193" t="s">
        <v>82</v>
      </c>
      <c r="I383" s="464">
        <v>864</v>
      </c>
      <c r="J383" s="193" t="s">
        <v>46</v>
      </c>
      <c r="K383" s="447" t="s">
        <v>68</v>
      </c>
      <c r="L383" s="194">
        <v>46056</v>
      </c>
      <c r="M383" s="380">
        <f t="shared" si="60"/>
        <v>7</v>
      </c>
      <c r="N383" s="98" t="s">
        <v>62</v>
      </c>
      <c r="O383" s="78">
        <v>10110027</v>
      </c>
      <c r="P383" s="42" t="str">
        <f>VLOOKUP(O383,[1]Feuil2!$A:$M,5,FALSE)</f>
        <v>LAG HERITAGE COUTEAU PLIANT ARABESQUE POLYFLAME</v>
      </c>
      <c r="Q383" s="75">
        <v>1000</v>
      </c>
      <c r="R383" s="79">
        <v>2.88</v>
      </c>
      <c r="S383" s="80">
        <f t="shared" si="61"/>
        <v>2880</v>
      </c>
      <c r="T383" s="81">
        <f t="shared" si="66"/>
        <v>2880</v>
      </c>
      <c r="U383" s="139"/>
      <c r="V383" s="82">
        <f t="shared" si="62"/>
        <v>2880</v>
      </c>
      <c r="W383" s="9">
        <f>VLOOKUP(O383,[1]Feuil2!$A:$M,6,FALSE)</f>
        <v>100</v>
      </c>
      <c r="X383" s="10">
        <f>VLOOKUP(O383,[1]Feuil2!$A:$M,13,FALSE)</f>
        <v>3.0477600000000004E-2</v>
      </c>
      <c r="Y383" s="11">
        <f t="shared" si="64"/>
        <v>0.30477600000000005</v>
      </c>
      <c r="Z383" s="83">
        <f t="shared" si="63"/>
        <v>0.30477600000000005</v>
      </c>
      <c r="AA383" s="13" t="s">
        <v>57</v>
      </c>
      <c r="AB383" s="22" t="s">
        <v>48</v>
      </c>
      <c r="AC383" s="342" t="s">
        <v>55</v>
      </c>
      <c r="AD383" s="13" t="s">
        <v>57</v>
      </c>
      <c r="AE383" s="14">
        <v>46007</v>
      </c>
      <c r="AF383" s="13" t="s">
        <v>851</v>
      </c>
      <c r="AG383" s="310" t="s">
        <v>48</v>
      </c>
      <c r="AH383" s="312" t="s">
        <v>48</v>
      </c>
      <c r="AI383" s="178">
        <v>45991</v>
      </c>
      <c r="AJ383" s="144">
        <f>DATEDIF(AI383,$AK$377,"D")</f>
        <v>12</v>
      </c>
      <c r="AK383" s="85">
        <v>46055</v>
      </c>
      <c r="AL383" s="86">
        <v>46085</v>
      </c>
      <c r="AM383" s="18">
        <v>46096</v>
      </c>
      <c r="AN383" s="446" t="s">
        <v>82</v>
      </c>
      <c r="AO383" s="446" t="s">
        <v>934</v>
      </c>
      <c r="AP383" s="446" t="s">
        <v>935</v>
      </c>
      <c r="AQ383" s="446" t="s">
        <v>936</v>
      </c>
      <c r="AR383" s="446" t="s">
        <v>937</v>
      </c>
      <c r="AS383" s="446" t="s">
        <v>123</v>
      </c>
      <c r="AT383" s="84"/>
    </row>
    <row r="384" spans="2:46" s="72" customFormat="1" hidden="1" x14ac:dyDescent="0.25">
      <c r="B384" s="232" t="s">
        <v>45</v>
      </c>
      <c r="C384" s="89">
        <v>45881</v>
      </c>
      <c r="D384" s="90">
        <v>25069</v>
      </c>
      <c r="E384" s="195" t="s">
        <v>383</v>
      </c>
      <c r="F384" s="90">
        <v>2508111444</v>
      </c>
      <c r="G384" s="191" t="s">
        <v>74</v>
      </c>
      <c r="H384" s="191" t="s">
        <v>46</v>
      </c>
      <c r="I384" s="191" t="s">
        <v>49</v>
      </c>
      <c r="J384" s="191" t="s">
        <v>419</v>
      </c>
      <c r="K384" s="16" t="s">
        <v>991</v>
      </c>
      <c r="L384" s="194">
        <v>46014</v>
      </c>
      <c r="M384" s="381">
        <f t="shared" si="60"/>
        <v>6</v>
      </c>
      <c r="N384" s="98" t="s">
        <v>49</v>
      </c>
      <c r="O384" s="92">
        <v>31930012</v>
      </c>
      <c r="P384" s="24" t="str">
        <f>VLOOKUP(O384,[1]Feuil2!$A:$M,5,FALSE)</f>
        <v>COUTEAU DARK WOOD CARREFOUR HOME</v>
      </c>
      <c r="Q384" s="90">
        <v>7440</v>
      </c>
      <c r="R384" s="93">
        <v>0.26800000000000002</v>
      </c>
      <c r="S384" s="94">
        <f t="shared" si="61"/>
        <v>1993.92</v>
      </c>
      <c r="T384" s="95">
        <f t="shared" si="66"/>
        <v>26164.079999999998</v>
      </c>
      <c r="U384" s="138"/>
      <c r="V384" s="96">
        <f t="shared" si="62"/>
        <v>26164.079999999998</v>
      </c>
      <c r="W384" s="4">
        <f>VLOOKUP(O384,[1]Feuil2!$A:$M,6,FALSE)</f>
        <v>240</v>
      </c>
      <c r="X384" s="5">
        <f>VLOOKUP(O384,[1]Feuil2!$A:$M,13,FALSE)</f>
        <v>3.2339999999999994E-2</v>
      </c>
      <c r="Y384" s="6">
        <f t="shared" si="64"/>
        <v>1.0025399999999998</v>
      </c>
      <c r="Z384" s="97">
        <f t="shared" si="63"/>
        <v>3.0478169999999998</v>
      </c>
      <c r="AA384" s="69" t="s">
        <v>57</v>
      </c>
      <c r="AB384" s="67" t="s">
        <v>48</v>
      </c>
      <c r="AC384" s="87" t="s">
        <v>55</v>
      </c>
      <c r="AD384" s="21" t="s">
        <v>57</v>
      </c>
      <c r="AE384" s="20">
        <v>45953</v>
      </c>
      <c r="AF384" s="21" t="s">
        <v>557</v>
      </c>
      <c r="AG384" s="21"/>
      <c r="AH384" s="98"/>
      <c r="AI384" s="160">
        <v>45940</v>
      </c>
      <c r="AJ384" s="145">
        <f t="shared" ref="AJ384:AJ391" si="68">DATEDIF(AI384,$AK384,"D")</f>
        <v>63</v>
      </c>
      <c r="AK384" s="100">
        <f>VLOOKUP(AP384,'[2]CONTENEUR PLEIN'!$F:$L,3,FALSE)</f>
        <v>46003</v>
      </c>
      <c r="AL384" s="99">
        <f>VLOOKUP(AP384,'[2]CONTENEUR PLEIN'!$F:$L,5,FALSE)</f>
        <v>46060</v>
      </c>
      <c r="AM384" s="18">
        <f>VLOOKUP(AP384,'[2]CONTENEUR PLEIN'!$F:$L,7,FALSE)</f>
        <v>46066.291666666664</v>
      </c>
      <c r="AN384" s="191" t="s">
        <v>63</v>
      </c>
      <c r="AO384" s="290" t="s">
        <v>664</v>
      </c>
      <c r="AP384" s="290" t="s">
        <v>665</v>
      </c>
      <c r="AQ384" s="290" t="s">
        <v>668</v>
      </c>
      <c r="AR384" s="90" t="str">
        <f>VLOOKUP(AP384,'[2]CONTENEUR PLEIN'!$F:$L,2,FALSE)</f>
        <v>CMA CGM SCANDOLA</v>
      </c>
      <c r="AS384" s="290" t="s">
        <v>316</v>
      </c>
      <c r="AT384" s="98"/>
    </row>
    <row r="385" spans="2:46" s="72" customFormat="1" hidden="1" x14ac:dyDescent="0.25">
      <c r="B385" s="232" t="s">
        <v>45</v>
      </c>
      <c r="C385" s="89">
        <v>45881</v>
      </c>
      <c r="D385" s="90">
        <v>25069</v>
      </c>
      <c r="E385" s="195" t="s">
        <v>383</v>
      </c>
      <c r="F385" s="90">
        <v>2508111444</v>
      </c>
      <c r="G385" s="191" t="s">
        <v>74</v>
      </c>
      <c r="H385" s="191" t="s">
        <v>46</v>
      </c>
      <c r="I385" s="191" t="s">
        <v>49</v>
      </c>
      <c r="J385" s="191" t="s">
        <v>419</v>
      </c>
      <c r="K385" s="16" t="s">
        <v>991</v>
      </c>
      <c r="L385" s="194">
        <v>46014</v>
      </c>
      <c r="M385" s="381">
        <f t="shared" si="60"/>
        <v>6</v>
      </c>
      <c r="N385" s="98" t="s">
        <v>49</v>
      </c>
      <c r="O385" s="92">
        <v>31930013</v>
      </c>
      <c r="P385" s="24" t="str">
        <f>VLOOKUP(O385,[1]Feuil2!$A:$M,5,FALSE)</f>
        <v>FOURCHETTE DARK WOOD CARREFOUR HOME</v>
      </c>
      <c r="Q385" s="90">
        <v>7440</v>
      </c>
      <c r="R385" s="93">
        <v>0.221</v>
      </c>
      <c r="S385" s="94">
        <f t="shared" si="61"/>
        <v>1644.24</v>
      </c>
      <c r="T385" s="95">
        <f t="shared" si="66"/>
        <v>26164.079999999998</v>
      </c>
      <c r="U385" s="138"/>
      <c r="V385" s="96">
        <f t="shared" si="62"/>
        <v>26164.079999999998</v>
      </c>
      <c r="W385" s="4">
        <f>VLOOKUP(O385,[1]Feuil2!$A:$M,6,FALSE)</f>
        <v>240</v>
      </c>
      <c r="X385" s="5">
        <f>VLOOKUP(O385,[1]Feuil2!$A:$M,13,FALSE)</f>
        <v>2.9791999999999999E-2</v>
      </c>
      <c r="Y385" s="6">
        <f t="shared" si="64"/>
        <v>0.92355199999999993</v>
      </c>
      <c r="Z385" s="97">
        <f t="shared" si="63"/>
        <v>3.0478169999999998</v>
      </c>
      <c r="AA385" s="69" t="s">
        <v>57</v>
      </c>
      <c r="AB385" s="67" t="s">
        <v>48</v>
      </c>
      <c r="AC385" s="87" t="s">
        <v>55</v>
      </c>
      <c r="AD385" s="21" t="s">
        <v>57</v>
      </c>
      <c r="AE385" s="20">
        <v>45953</v>
      </c>
      <c r="AF385" s="21" t="s">
        <v>558</v>
      </c>
      <c r="AG385" s="21" t="s">
        <v>57</v>
      </c>
      <c r="AH385" s="503" t="s">
        <v>48</v>
      </c>
      <c r="AI385" s="160">
        <v>45940</v>
      </c>
      <c r="AJ385" s="145">
        <f t="shared" si="68"/>
        <v>63</v>
      </c>
      <c r="AK385" s="100">
        <f>VLOOKUP(AP385,'[2]CONTENEUR PLEIN'!$F:$L,3,FALSE)</f>
        <v>46003</v>
      </c>
      <c r="AL385" s="99">
        <f>VLOOKUP(AP385,'[2]CONTENEUR PLEIN'!$F:$L,5,FALSE)</f>
        <v>46060</v>
      </c>
      <c r="AM385" s="18">
        <f>VLOOKUP(AP385,'[2]CONTENEUR PLEIN'!$F:$L,7,FALSE)</f>
        <v>46066.291666666664</v>
      </c>
      <c r="AN385" s="191" t="s">
        <v>63</v>
      </c>
      <c r="AO385" s="290" t="s">
        <v>664</v>
      </c>
      <c r="AP385" s="290" t="s">
        <v>665</v>
      </c>
      <c r="AQ385" s="290" t="s">
        <v>668</v>
      </c>
      <c r="AR385" s="90" t="str">
        <f>VLOOKUP(AP385,'[2]CONTENEUR PLEIN'!$F:$L,2,FALSE)</f>
        <v>CMA CGM SCANDOLA</v>
      </c>
      <c r="AS385" s="290" t="s">
        <v>316</v>
      </c>
      <c r="AT385" s="98"/>
    </row>
    <row r="386" spans="2:46" s="72" customFormat="1" hidden="1" x14ac:dyDescent="0.25">
      <c r="B386" s="232" t="s">
        <v>45</v>
      </c>
      <c r="C386" s="89">
        <v>45881</v>
      </c>
      <c r="D386" s="90">
        <v>25069</v>
      </c>
      <c r="E386" s="195" t="s">
        <v>383</v>
      </c>
      <c r="F386" s="90">
        <v>2508111444</v>
      </c>
      <c r="G386" s="191" t="s">
        <v>74</v>
      </c>
      <c r="H386" s="191" t="s">
        <v>46</v>
      </c>
      <c r="I386" s="191" t="s">
        <v>49</v>
      </c>
      <c r="J386" s="191" t="s">
        <v>419</v>
      </c>
      <c r="K386" s="16" t="s">
        <v>991</v>
      </c>
      <c r="L386" s="194">
        <v>46014</v>
      </c>
      <c r="M386" s="381">
        <f t="shared" si="60"/>
        <v>6</v>
      </c>
      <c r="N386" s="98" t="s">
        <v>49</v>
      </c>
      <c r="O386" s="92">
        <v>31930014</v>
      </c>
      <c r="P386" s="24" t="str">
        <f>VLOOKUP(O386,[1]Feuil2!$A:$M,5,FALSE)</f>
        <v>CUILLERE DARK WOOD CARREFOUR HOME</v>
      </c>
      <c r="Q386" s="90">
        <v>4080</v>
      </c>
      <c r="R386" s="93">
        <v>0.24</v>
      </c>
      <c r="S386" s="94">
        <f t="shared" si="61"/>
        <v>979.19999999999993</v>
      </c>
      <c r="T386" s="95">
        <f t="shared" si="66"/>
        <v>26164.079999999998</v>
      </c>
      <c r="U386" s="138"/>
      <c r="V386" s="96">
        <f t="shared" si="62"/>
        <v>26164.079999999998</v>
      </c>
      <c r="W386" s="4">
        <f>VLOOKUP(O386,[1]Feuil2!$A:$M,6,FALSE)</f>
        <v>240</v>
      </c>
      <c r="X386" s="5">
        <f>VLOOKUP(O386,[1]Feuil2!$A:$M,13,FALSE)</f>
        <v>3.0800000000000001E-2</v>
      </c>
      <c r="Y386" s="6">
        <f t="shared" si="64"/>
        <v>0.52360000000000007</v>
      </c>
      <c r="Z386" s="97">
        <f t="shared" si="63"/>
        <v>3.0478169999999998</v>
      </c>
      <c r="AA386" s="69" t="s">
        <v>57</v>
      </c>
      <c r="AB386" s="67" t="s">
        <v>48</v>
      </c>
      <c r="AC386" s="87" t="s">
        <v>55</v>
      </c>
      <c r="AD386" s="21" t="s">
        <v>57</v>
      </c>
      <c r="AE386" s="20">
        <v>45953</v>
      </c>
      <c r="AF386" s="21" t="s">
        <v>560</v>
      </c>
      <c r="AG386" s="21" t="s">
        <v>57</v>
      </c>
      <c r="AH386" s="503" t="s">
        <v>48</v>
      </c>
      <c r="AI386" s="160">
        <v>45940</v>
      </c>
      <c r="AJ386" s="145">
        <f t="shared" si="68"/>
        <v>63</v>
      </c>
      <c r="AK386" s="100">
        <f>VLOOKUP(AP386,'[2]CONTENEUR PLEIN'!$F:$L,3,FALSE)</f>
        <v>46003</v>
      </c>
      <c r="AL386" s="99">
        <f>VLOOKUP(AP386,'[2]CONTENEUR PLEIN'!$F:$L,5,FALSE)</f>
        <v>46060</v>
      </c>
      <c r="AM386" s="18">
        <f>VLOOKUP(AP386,'[2]CONTENEUR PLEIN'!$F:$L,7,FALSE)</f>
        <v>46066.291666666664</v>
      </c>
      <c r="AN386" s="191" t="s">
        <v>63</v>
      </c>
      <c r="AO386" s="290" t="s">
        <v>664</v>
      </c>
      <c r="AP386" s="290" t="s">
        <v>665</v>
      </c>
      <c r="AQ386" s="290" t="s">
        <v>668</v>
      </c>
      <c r="AR386" s="90" t="str">
        <f>VLOOKUP(AP386,'[2]CONTENEUR PLEIN'!$F:$L,2,FALSE)</f>
        <v>CMA CGM SCANDOLA</v>
      </c>
      <c r="AS386" s="290" t="s">
        <v>316</v>
      </c>
      <c r="AT386" s="98"/>
    </row>
    <row r="387" spans="2:46" s="72" customFormat="1" hidden="1" x14ac:dyDescent="0.25">
      <c r="B387" s="232" t="s">
        <v>45</v>
      </c>
      <c r="C387" s="89">
        <v>45881</v>
      </c>
      <c r="D387" s="90">
        <v>25069</v>
      </c>
      <c r="E387" s="195" t="s">
        <v>383</v>
      </c>
      <c r="F387" s="90">
        <v>2508111444</v>
      </c>
      <c r="G387" s="191" t="s">
        <v>74</v>
      </c>
      <c r="H387" s="191" t="s">
        <v>46</v>
      </c>
      <c r="I387" s="191" t="s">
        <v>49</v>
      </c>
      <c r="J387" s="191" t="s">
        <v>419</v>
      </c>
      <c r="K387" s="16" t="s">
        <v>991</v>
      </c>
      <c r="L387" s="194">
        <v>46014</v>
      </c>
      <c r="M387" s="381">
        <f t="shared" si="60"/>
        <v>6</v>
      </c>
      <c r="N387" s="98" t="s">
        <v>49</v>
      </c>
      <c r="O387" s="92">
        <v>31930015</v>
      </c>
      <c r="P387" s="24" t="str">
        <f>VLOOKUP(O387,[1]Feuil2!$A:$M,5,FALSE)</f>
        <v>CAFE DARK WOOD CARREFOUR HOME</v>
      </c>
      <c r="Q387" s="90">
        <v>6960</v>
      </c>
      <c r="R387" s="93">
        <v>0.192</v>
      </c>
      <c r="S387" s="94">
        <f t="shared" si="61"/>
        <v>1336.32</v>
      </c>
      <c r="T387" s="95">
        <f t="shared" si="66"/>
        <v>26164.079999999998</v>
      </c>
      <c r="U387" s="138"/>
      <c r="V387" s="96">
        <f t="shared" si="62"/>
        <v>26164.079999999998</v>
      </c>
      <c r="W387" s="4">
        <f>VLOOKUP(O387,[1]Feuil2!$A:$M,6,FALSE)</f>
        <v>240</v>
      </c>
      <c r="X387" s="5">
        <f>VLOOKUP(O387,[1]Feuil2!$A:$M,13,FALSE)</f>
        <v>2.0625000000000001E-2</v>
      </c>
      <c r="Y387" s="6">
        <f t="shared" si="64"/>
        <v>0.59812500000000002</v>
      </c>
      <c r="Z387" s="97">
        <f t="shared" si="63"/>
        <v>3.0478169999999998</v>
      </c>
      <c r="AA387" s="69" t="s">
        <v>57</v>
      </c>
      <c r="AB387" s="67" t="s">
        <v>48</v>
      </c>
      <c r="AC387" s="87" t="s">
        <v>55</v>
      </c>
      <c r="AD387" s="21" t="s">
        <v>57</v>
      </c>
      <c r="AE387" s="20">
        <v>45953</v>
      </c>
      <c r="AF387" s="21" t="s">
        <v>561</v>
      </c>
      <c r="AG387" s="21" t="s">
        <v>57</v>
      </c>
      <c r="AH387" s="503" t="s">
        <v>48</v>
      </c>
      <c r="AI387" s="160">
        <v>45940</v>
      </c>
      <c r="AJ387" s="145">
        <f t="shared" si="68"/>
        <v>63</v>
      </c>
      <c r="AK387" s="100">
        <f>VLOOKUP(AP387,'[2]CONTENEUR PLEIN'!$F:$L,3,FALSE)</f>
        <v>46003</v>
      </c>
      <c r="AL387" s="99">
        <f>VLOOKUP(AP387,'[2]CONTENEUR PLEIN'!$F:$L,5,FALSE)</f>
        <v>46060</v>
      </c>
      <c r="AM387" s="18">
        <f>VLOOKUP(AP387,'[2]CONTENEUR PLEIN'!$F:$L,7,FALSE)</f>
        <v>46066.291666666664</v>
      </c>
      <c r="AN387" s="191" t="s">
        <v>63</v>
      </c>
      <c r="AO387" s="290" t="s">
        <v>664</v>
      </c>
      <c r="AP387" s="290" t="s">
        <v>665</v>
      </c>
      <c r="AQ387" s="290" t="s">
        <v>668</v>
      </c>
      <c r="AR387" s="90" t="str">
        <f>VLOOKUP(AP387,'[2]CONTENEUR PLEIN'!$F:$L,2,FALSE)</f>
        <v>CMA CGM SCANDOLA</v>
      </c>
      <c r="AS387" s="290" t="s">
        <v>316</v>
      </c>
      <c r="AT387" s="98"/>
    </row>
    <row r="388" spans="2:46" s="72" customFormat="1" hidden="1" x14ac:dyDescent="0.25">
      <c r="B388" s="232" t="s">
        <v>45</v>
      </c>
      <c r="C388" s="89">
        <v>45881</v>
      </c>
      <c r="D388" s="90">
        <v>25069</v>
      </c>
      <c r="E388" s="195" t="s">
        <v>383</v>
      </c>
      <c r="F388" s="90">
        <v>2508111444</v>
      </c>
      <c r="G388" s="191" t="s">
        <v>74</v>
      </c>
      <c r="H388" s="191" t="s">
        <v>46</v>
      </c>
      <c r="I388" s="191" t="s">
        <v>49</v>
      </c>
      <c r="J388" s="8" t="s">
        <v>66</v>
      </c>
      <c r="K388" s="16" t="s">
        <v>996</v>
      </c>
      <c r="L388" s="128">
        <v>46041</v>
      </c>
      <c r="M388" s="381">
        <f t="shared" si="60"/>
        <v>6</v>
      </c>
      <c r="N388" s="98" t="s">
        <v>62</v>
      </c>
      <c r="O388" s="92">
        <v>31930011</v>
      </c>
      <c r="P388" s="24" t="str">
        <f>VLOOKUP(O388,[1]Feuil2!$A:$M,5,FALSE)</f>
        <v>M24 DARK WOOD EN BOITE CARREFOUR HOME</v>
      </c>
      <c r="Q388" s="90">
        <v>3600</v>
      </c>
      <c r="R388" s="93">
        <v>5.6139999999999999</v>
      </c>
      <c r="S388" s="94">
        <f t="shared" si="61"/>
        <v>20210.399999999998</v>
      </c>
      <c r="T388" s="95">
        <f t="shared" si="66"/>
        <v>26164.079999999998</v>
      </c>
      <c r="U388" s="138"/>
      <c r="V388" s="96">
        <f t="shared" si="62"/>
        <v>26164.079999999998</v>
      </c>
      <c r="W388" s="4">
        <f>VLOOKUP(O388,[1]Feuil2!$A:$M,6,FALSE)</f>
        <v>3</v>
      </c>
      <c r="X388" s="5">
        <f>VLOOKUP(O388,[1]Feuil2!$A:$M,13,FALSE)</f>
        <v>0</v>
      </c>
      <c r="Y388" s="6">
        <f t="shared" si="64"/>
        <v>0</v>
      </c>
      <c r="Z388" s="97">
        <f t="shared" si="63"/>
        <v>3.0478169999999998</v>
      </c>
      <c r="AA388" s="69" t="s">
        <v>57</v>
      </c>
      <c r="AB388" s="67" t="s">
        <v>48</v>
      </c>
      <c r="AC388" s="87" t="s">
        <v>55</v>
      </c>
      <c r="AD388" s="21" t="s">
        <v>57</v>
      </c>
      <c r="AE388" s="20">
        <v>45967</v>
      </c>
      <c r="AF388" s="21" t="s">
        <v>619</v>
      </c>
      <c r="AG388" s="21" t="s">
        <v>57</v>
      </c>
      <c r="AH388" s="503" t="s">
        <v>48</v>
      </c>
      <c r="AI388" s="160">
        <v>45940</v>
      </c>
      <c r="AJ388" s="145">
        <f t="shared" si="68"/>
        <v>63</v>
      </c>
      <c r="AK388" s="100">
        <f>VLOOKUP(AP388,'[2]CONTENEUR PLEIN'!$F:$L,3,FALSE)</f>
        <v>46003</v>
      </c>
      <c r="AL388" s="99">
        <f>VLOOKUP(AP388,'[2]CONTENEUR PLEIN'!$F:$L,5,FALSE)</f>
        <v>46060</v>
      </c>
      <c r="AM388" s="18">
        <f>VLOOKUP(AP388,'[2]CONTENEUR PLEIN'!$F:$L,7,FALSE)</f>
        <v>46069.333333333336</v>
      </c>
      <c r="AN388" s="191" t="s">
        <v>63</v>
      </c>
      <c r="AO388" s="290" t="s">
        <v>673</v>
      </c>
      <c r="AP388" s="290" t="s">
        <v>674</v>
      </c>
      <c r="AQ388" s="290" t="s">
        <v>677</v>
      </c>
      <c r="AR388" s="90" t="str">
        <f>VLOOKUP(AP388,'[2]CONTENEUR PLEIN'!$F:$L,2,FALSE)</f>
        <v>CMA CGM SCANDOLA</v>
      </c>
      <c r="AS388" s="290" t="s">
        <v>316</v>
      </c>
      <c r="AT388" s="98"/>
    </row>
    <row r="389" spans="2:46" s="72" customFormat="1" hidden="1" x14ac:dyDescent="0.25">
      <c r="B389" s="232" t="s">
        <v>52</v>
      </c>
      <c r="C389" s="89">
        <v>45881</v>
      </c>
      <c r="D389" s="191" t="s">
        <v>53</v>
      </c>
      <c r="E389" s="195" t="s">
        <v>382</v>
      </c>
      <c r="F389" s="90">
        <v>2508121435</v>
      </c>
      <c r="G389" s="191" t="s">
        <v>72</v>
      </c>
      <c r="H389" s="191" t="s">
        <v>46</v>
      </c>
      <c r="I389" s="191" t="s">
        <v>49</v>
      </c>
      <c r="J389" s="191" t="s">
        <v>46</v>
      </c>
      <c r="K389" s="16" t="s">
        <v>863</v>
      </c>
      <c r="L389" s="20">
        <v>45993</v>
      </c>
      <c r="M389" s="383">
        <f t="shared" si="60"/>
        <v>4</v>
      </c>
      <c r="N389" s="98" t="s">
        <v>62</v>
      </c>
      <c r="O389" s="92">
        <v>10010152</v>
      </c>
      <c r="P389" s="24" t="str">
        <f>VLOOKUP(O389,[1]Feuil2!$A:$M,5,FALSE)</f>
        <v>EPLUCHEUR CERAMIQUE SIPLEC10300667 LAME BLANCHE BLISTER PEGB</v>
      </c>
      <c r="Q389" s="90">
        <v>40014</v>
      </c>
      <c r="R389" s="93">
        <v>0.36899999999999999</v>
      </c>
      <c r="S389" s="94">
        <f t="shared" ref="S389:S444" si="69">Q389*R389</f>
        <v>14765.165999999999</v>
      </c>
      <c r="T389" s="95">
        <f t="shared" si="66"/>
        <v>31858.83</v>
      </c>
      <c r="U389" s="138"/>
      <c r="V389" s="96">
        <f t="shared" ref="V389:V444" si="70">U389+T389</f>
        <v>31858.83</v>
      </c>
      <c r="W389" s="4">
        <f>VLOOKUP(O389,[1]Feuil2!$A:$M,6,FALSE)</f>
        <v>18</v>
      </c>
      <c r="X389" s="5">
        <f>VLOOKUP(O389,[1]Feuil2!$A:$M,13,FALSE)</f>
        <v>1.4325999999999998E-2</v>
      </c>
      <c r="Y389" s="6">
        <f t="shared" si="64"/>
        <v>31.846697999999996</v>
      </c>
      <c r="Z389" s="97">
        <f t="shared" ref="Z389:Z452" si="71">SUMIF($E:$E,E389,$Y:$Y)</f>
        <v>43.588583999999997</v>
      </c>
      <c r="AA389" s="68" t="s">
        <v>48</v>
      </c>
      <c r="AB389" s="67" t="s">
        <v>48</v>
      </c>
      <c r="AC389" s="90" t="s">
        <v>48</v>
      </c>
      <c r="AD389" s="90" t="s">
        <v>48</v>
      </c>
      <c r="AE389" s="90" t="s">
        <v>48</v>
      </c>
      <c r="AF389" s="358" t="s">
        <v>49</v>
      </c>
      <c r="AG389" s="21"/>
      <c r="AH389" s="98"/>
      <c r="AI389" s="160">
        <v>45940</v>
      </c>
      <c r="AJ389" s="145">
        <f t="shared" si="68"/>
        <v>36</v>
      </c>
      <c r="AK389" s="100">
        <f>VLOOKUP(AP389,'[2]CONTENEUR PLEIN'!$F:$L,3,FALSE)</f>
        <v>45976</v>
      </c>
      <c r="AL389" s="99">
        <f>VLOOKUP(AP389,'[2]CONTENEUR PLEIN'!$F:$L,5,FALSE)</f>
        <v>46018</v>
      </c>
      <c r="AM389" s="18">
        <f>VLOOKUP(AP389,'[2]CONTENEUR PLEIN'!$F:$L,7,FALSE)</f>
        <v>46031.291666666664</v>
      </c>
      <c r="AN389" s="191" t="s">
        <v>63</v>
      </c>
      <c r="AO389" s="350" t="s">
        <v>574</v>
      </c>
      <c r="AP389" s="350" t="s">
        <v>575</v>
      </c>
      <c r="AQ389" s="350" t="s">
        <v>576</v>
      </c>
      <c r="AR389" s="90" t="str">
        <f>VLOOKUP(AP389,'[2]CONTENEUR PLEIN'!$F:$L,2,FALSE)</f>
        <v>CMA CGM UNITY</v>
      </c>
      <c r="AS389" s="353" t="s">
        <v>316</v>
      </c>
      <c r="AT389" s="98"/>
    </row>
    <row r="390" spans="2:46" s="72" customFormat="1" hidden="1" x14ac:dyDescent="0.25">
      <c r="B390" s="232" t="s">
        <v>52</v>
      </c>
      <c r="C390" s="89">
        <v>45881</v>
      </c>
      <c r="D390" s="191" t="s">
        <v>53</v>
      </c>
      <c r="E390" s="195" t="s">
        <v>382</v>
      </c>
      <c r="F390" s="90">
        <v>2508121435</v>
      </c>
      <c r="G390" s="191" t="s">
        <v>72</v>
      </c>
      <c r="H390" s="191" t="s">
        <v>46</v>
      </c>
      <c r="I390" s="191" t="s">
        <v>49</v>
      </c>
      <c r="J390" s="191" t="s">
        <v>46</v>
      </c>
      <c r="K390" s="16" t="s">
        <v>863</v>
      </c>
      <c r="L390" s="20">
        <v>45993</v>
      </c>
      <c r="M390" s="383">
        <f t="shared" si="60"/>
        <v>4</v>
      </c>
      <c r="N390" s="98" t="s">
        <v>62</v>
      </c>
      <c r="O390" s="92">
        <v>10010153</v>
      </c>
      <c r="P390" s="24" t="str">
        <f>VLOOKUP(O390,[1]Feuil2!$A:$M,5,FALSE)</f>
        <v>OFFICE CERAMIQUE SIPLEC10300664 LAME BLANCHE BLISTER PEGB</v>
      </c>
      <c r="Q390" s="90">
        <v>20016</v>
      </c>
      <c r="R390" s="93">
        <v>0.85399999999999998</v>
      </c>
      <c r="S390" s="94">
        <f t="shared" si="69"/>
        <v>17093.664000000001</v>
      </c>
      <c r="T390" s="95">
        <f t="shared" si="66"/>
        <v>31858.83</v>
      </c>
      <c r="U390" s="138"/>
      <c r="V390" s="96">
        <f t="shared" si="70"/>
        <v>31858.83</v>
      </c>
      <c r="W390" s="4">
        <f>VLOOKUP(O390,[1]Feuil2!$A:$M,6,FALSE)</f>
        <v>18</v>
      </c>
      <c r="X390" s="5">
        <f>VLOOKUP(O390,[1]Feuil2!$A:$M,13,FALSE)</f>
        <v>1.0559249999999997E-2</v>
      </c>
      <c r="Y390" s="6">
        <f t="shared" si="64"/>
        <v>11.741885999999997</v>
      </c>
      <c r="Z390" s="97">
        <f t="shared" si="71"/>
        <v>43.588583999999997</v>
      </c>
      <c r="AA390" s="68" t="s">
        <v>48</v>
      </c>
      <c r="AB390" s="67" t="s">
        <v>48</v>
      </c>
      <c r="AC390" s="90" t="s">
        <v>48</v>
      </c>
      <c r="AD390" s="90" t="s">
        <v>48</v>
      </c>
      <c r="AE390" s="90" t="s">
        <v>48</v>
      </c>
      <c r="AF390" s="358" t="s">
        <v>49</v>
      </c>
      <c r="AG390" s="21"/>
      <c r="AH390" s="98"/>
      <c r="AI390" s="160">
        <v>45940</v>
      </c>
      <c r="AJ390" s="145">
        <f t="shared" si="68"/>
        <v>36</v>
      </c>
      <c r="AK390" s="100">
        <f>VLOOKUP(AP390,'[2]CONTENEUR PLEIN'!$F:$L,3,FALSE)</f>
        <v>45976</v>
      </c>
      <c r="AL390" s="99">
        <f>VLOOKUP(AP390,'[2]CONTENEUR PLEIN'!$F:$L,5,FALSE)</f>
        <v>46018</v>
      </c>
      <c r="AM390" s="18">
        <f>VLOOKUP(AP390,'[2]CONTENEUR PLEIN'!$F:$L,7,FALSE)</f>
        <v>46031.291666666664</v>
      </c>
      <c r="AN390" s="191" t="s">
        <v>63</v>
      </c>
      <c r="AO390" s="350" t="s">
        <v>574</v>
      </c>
      <c r="AP390" s="350" t="s">
        <v>575</v>
      </c>
      <c r="AQ390" s="350" t="s">
        <v>576</v>
      </c>
      <c r="AR390" s="90" t="str">
        <f>VLOOKUP(AP390,'[2]CONTENEUR PLEIN'!$F:$L,2,FALSE)</f>
        <v>CMA CGM UNITY</v>
      </c>
      <c r="AS390" s="353" t="s">
        <v>316</v>
      </c>
      <c r="AT390" s="98"/>
    </row>
    <row r="391" spans="2:46" s="72" customFormat="1" hidden="1" x14ac:dyDescent="0.25">
      <c r="B391" s="232" t="s">
        <v>45</v>
      </c>
      <c r="C391" s="89">
        <v>45882</v>
      </c>
      <c r="D391" s="90">
        <v>25071</v>
      </c>
      <c r="E391" s="195" t="s">
        <v>388</v>
      </c>
      <c r="F391" s="90">
        <v>2508131040</v>
      </c>
      <c r="G391" s="191" t="s">
        <v>73</v>
      </c>
      <c r="H391" s="191" t="s">
        <v>46</v>
      </c>
      <c r="I391" s="191" t="s">
        <v>49</v>
      </c>
      <c r="J391" s="191" t="s">
        <v>46</v>
      </c>
      <c r="K391" s="8" t="s">
        <v>938</v>
      </c>
      <c r="L391" s="128">
        <v>46049</v>
      </c>
      <c r="M391" s="381">
        <f t="shared" si="60"/>
        <v>5</v>
      </c>
      <c r="N391" s="98" t="s">
        <v>62</v>
      </c>
      <c r="O391" s="223" t="s">
        <v>389</v>
      </c>
      <c r="P391" s="24" t="str">
        <f>VLOOKUP(O391,[1]Feuil2!$A:$M,5,FALSE)</f>
        <v>PIERRE A AIGUISER BOITE HOMESIDE SIPLEC</v>
      </c>
      <c r="Q391" s="90">
        <v>20040</v>
      </c>
      <c r="R391" s="93">
        <v>0.41299999999999998</v>
      </c>
      <c r="S391" s="94">
        <f t="shared" si="69"/>
        <v>8276.52</v>
      </c>
      <c r="T391" s="95">
        <f t="shared" si="66"/>
        <v>8276.52</v>
      </c>
      <c r="U391" s="138">
        <v>200</v>
      </c>
      <c r="V391" s="96">
        <f t="shared" si="70"/>
        <v>8476.52</v>
      </c>
      <c r="W391" s="4">
        <f>VLOOKUP(O391,[1]Feuil2!$A:$M,6,FALSE)</f>
        <v>60</v>
      </c>
      <c r="X391" s="5">
        <f>VLOOKUP(O391,[1]Feuil2!$A:$M,13,FALSE)</f>
        <v>1.7999999999999999E-2</v>
      </c>
      <c r="Y391" s="6">
        <f t="shared" si="64"/>
        <v>6.0119999999999996</v>
      </c>
      <c r="Z391" s="97">
        <f t="shared" si="71"/>
        <v>6.0119999999999996</v>
      </c>
      <c r="AA391" s="68" t="s">
        <v>48</v>
      </c>
      <c r="AB391" s="67" t="s">
        <v>48</v>
      </c>
      <c r="AC391" s="87" t="s">
        <v>55</v>
      </c>
      <c r="AD391" s="21" t="s">
        <v>57</v>
      </c>
      <c r="AE391" s="20">
        <v>45980</v>
      </c>
      <c r="AF391" s="21" t="s">
        <v>597</v>
      </c>
      <c r="AG391" s="21"/>
      <c r="AH391" s="98"/>
      <c r="AI391" s="160">
        <v>45940</v>
      </c>
      <c r="AJ391" s="145">
        <f t="shared" si="68"/>
        <v>63</v>
      </c>
      <c r="AK391" s="100">
        <f>VLOOKUP(AP391,'[2]CONTENEUR PLEIN'!$F:$L,3,FALSE)</f>
        <v>46003</v>
      </c>
      <c r="AL391" s="99">
        <f>VLOOKUP(AP391,'[2]CONTENEUR PLEIN'!$F:$L,5,FALSE)</f>
        <v>46046</v>
      </c>
      <c r="AM391" s="18">
        <f>VLOOKUP(AP391,'[2]CONTENEUR PLEIN'!$F:$L,7,FALSE)</f>
        <v>46055.333333333336</v>
      </c>
      <c r="AN391" s="191" t="s">
        <v>63</v>
      </c>
      <c r="AO391" s="290" t="s">
        <v>680</v>
      </c>
      <c r="AP391" s="290" t="s">
        <v>681</v>
      </c>
      <c r="AQ391" s="290" t="s">
        <v>682</v>
      </c>
      <c r="AR391" s="90" t="str">
        <f>VLOOKUP(AP391,'[2]CONTENEUR PLEIN'!$F:$L,2,FALSE)</f>
        <v>CMA CGM SCANDOLA</v>
      </c>
      <c r="AS391" s="290" t="s">
        <v>316</v>
      </c>
      <c r="AT391" s="98"/>
    </row>
    <row r="392" spans="2:46" s="72" customFormat="1" hidden="1" x14ac:dyDescent="0.25">
      <c r="B392" s="267" t="s">
        <v>45</v>
      </c>
      <c r="C392" s="89">
        <v>45915</v>
      </c>
      <c r="D392" s="90">
        <v>25078</v>
      </c>
      <c r="E392" s="268" t="s">
        <v>448</v>
      </c>
      <c r="F392" s="90">
        <v>2508191650</v>
      </c>
      <c r="G392" s="218" t="s">
        <v>58</v>
      </c>
      <c r="H392" s="218" t="s">
        <v>418</v>
      </c>
      <c r="I392" s="218" t="s">
        <v>49</v>
      </c>
      <c r="J392" s="218" t="s">
        <v>46</v>
      </c>
      <c r="K392" s="8" t="s">
        <v>969</v>
      </c>
      <c r="L392" s="269">
        <v>46048</v>
      </c>
      <c r="M392" s="381">
        <f t="shared" ref="M392:M444" si="72">DATEDIF(C392,AM392,"M")</f>
        <v>4</v>
      </c>
      <c r="N392" s="98" t="s">
        <v>49</v>
      </c>
      <c r="O392" s="92">
        <v>447810</v>
      </c>
      <c r="P392" s="24" t="str">
        <f>VLOOKUP(O392,[1]Feuil2!$A:$M,5,FALSE)</f>
        <v>CUILLERE A GLACE ACIDULE COUL PANACHE SACHET+GENCOD</v>
      </c>
      <c r="Q392" s="90">
        <v>2448</v>
      </c>
      <c r="R392" s="93">
        <v>0.95499999999999996</v>
      </c>
      <c r="S392" s="94">
        <f t="shared" si="69"/>
        <v>2337.8399999999997</v>
      </c>
      <c r="T392" s="95">
        <f t="shared" si="66"/>
        <v>4118.9759999999997</v>
      </c>
      <c r="U392" s="138"/>
      <c r="V392" s="96">
        <f t="shared" si="70"/>
        <v>4118.9759999999997</v>
      </c>
      <c r="W392" s="4">
        <f>VLOOKUP(O392,[1]Feuil2!$A:$M,6,FALSE)</f>
        <v>144</v>
      </c>
      <c r="X392" s="5">
        <f>VLOOKUP(O392,[1]Feuil2!$A:$M,13,FALSE)</f>
        <v>1.7784000000000001E-2</v>
      </c>
      <c r="Y392" s="6">
        <f t="shared" si="64"/>
        <v>0.30232800000000004</v>
      </c>
      <c r="Z392" s="97">
        <f t="shared" si="71"/>
        <v>0.47242800000000007</v>
      </c>
      <c r="AA392" s="69" t="s">
        <v>57</v>
      </c>
      <c r="AB392" s="133" t="s">
        <v>61</v>
      </c>
      <c r="AC392" s="283" t="s">
        <v>55</v>
      </c>
      <c r="AD392" s="133" t="s">
        <v>61</v>
      </c>
      <c r="AE392" s="20">
        <v>45993</v>
      </c>
      <c r="AF392" s="21" t="s">
        <v>654</v>
      </c>
      <c r="AG392" s="21"/>
      <c r="AH392" s="98"/>
      <c r="AI392" s="160">
        <v>45986</v>
      </c>
      <c r="AJ392" s="145">
        <f>DATEDIF(AI392,AK392,"D")</f>
        <v>24</v>
      </c>
      <c r="AK392" s="100">
        <f>VLOOKUP(AP392,'[2]CONTENEUR PLEIN'!$F:$L,3,FALSE)</f>
        <v>46010</v>
      </c>
      <c r="AL392" s="99">
        <f>VLOOKUP(AP392,'[2]CONTENEUR PLEIN'!$F:$L,5,FALSE)</f>
        <v>46052</v>
      </c>
      <c r="AM392" s="18">
        <f>VLOOKUP(AP392,'[2]CONTENEUR PLEIN'!$F:$L,7,FALSE)</f>
        <v>46057.333333333336</v>
      </c>
      <c r="AN392" s="191" t="s">
        <v>63</v>
      </c>
      <c r="AO392" s="486" t="s">
        <v>719</v>
      </c>
      <c r="AP392" s="486" t="s">
        <v>720</v>
      </c>
      <c r="AQ392" s="486" t="s">
        <v>721</v>
      </c>
      <c r="AR392" s="90" t="str">
        <f>VLOOKUP(AP392,'[2]CONTENEUR PLEIN'!$F:$L,2,FALSE)</f>
        <v>CMA CGM KIMBERLEY</v>
      </c>
      <c r="AS392" s="486" t="s">
        <v>316</v>
      </c>
      <c r="AT392" s="98"/>
    </row>
    <row r="393" spans="2:46" s="72" customFormat="1" hidden="1" x14ac:dyDescent="0.25">
      <c r="B393" s="267" t="s">
        <v>45</v>
      </c>
      <c r="C393" s="89">
        <v>45915</v>
      </c>
      <c r="D393" s="90">
        <v>25078</v>
      </c>
      <c r="E393" s="268" t="s">
        <v>448</v>
      </c>
      <c r="F393" s="90">
        <v>2508191650</v>
      </c>
      <c r="G393" s="218" t="s">
        <v>58</v>
      </c>
      <c r="H393" s="218" t="s">
        <v>418</v>
      </c>
      <c r="I393" s="218" t="s">
        <v>49</v>
      </c>
      <c r="J393" s="218" t="s">
        <v>46</v>
      </c>
      <c r="K393" s="8" t="s">
        <v>969</v>
      </c>
      <c r="L393" s="269">
        <v>46048</v>
      </c>
      <c r="M393" s="381">
        <f t="shared" si="72"/>
        <v>4</v>
      </c>
      <c r="N393" s="98" t="s">
        <v>49</v>
      </c>
      <c r="O393" s="92">
        <v>447830</v>
      </c>
      <c r="P393" s="24" t="str">
        <f>VLOOKUP(O393,[1]Feuil2!$A:$M,5,FALSE)</f>
        <v>ZESTEUR ACIDULE COUL PANACHE SACHET+GENCOD</v>
      </c>
      <c r="Q393" s="90">
        <v>3024</v>
      </c>
      <c r="R393" s="93">
        <v>0.58899999999999997</v>
      </c>
      <c r="S393" s="94">
        <f t="shared" si="69"/>
        <v>1781.136</v>
      </c>
      <c r="T393" s="95">
        <f t="shared" si="66"/>
        <v>4118.9759999999997</v>
      </c>
      <c r="U393" s="138"/>
      <c r="V393" s="96">
        <f t="shared" si="70"/>
        <v>4118.9759999999997</v>
      </c>
      <c r="W393" s="4">
        <f>VLOOKUP(O393,[1]Feuil2!$A:$M,6,FALSE)</f>
        <v>144</v>
      </c>
      <c r="X393" s="5">
        <f>VLOOKUP(O393,[1]Feuil2!$A:$M,13,FALSE)</f>
        <v>8.0999999999999996E-3</v>
      </c>
      <c r="Y393" s="6">
        <f t="shared" si="64"/>
        <v>0.1701</v>
      </c>
      <c r="Z393" s="97">
        <f t="shared" si="71"/>
        <v>0.47242800000000007</v>
      </c>
      <c r="AA393" s="69" t="s">
        <v>57</v>
      </c>
      <c r="AB393" s="133" t="s">
        <v>61</v>
      </c>
      <c r="AC393" s="283" t="s">
        <v>55</v>
      </c>
      <c r="AD393" s="133" t="s">
        <v>61</v>
      </c>
      <c r="AE393" s="20">
        <v>45993</v>
      </c>
      <c r="AF393" s="21" t="s">
        <v>655</v>
      </c>
      <c r="AG393" s="21"/>
      <c r="AH393" s="98"/>
      <c r="AI393" s="160">
        <v>45986</v>
      </c>
      <c r="AJ393" s="145">
        <f>DATEDIF(AI393,AK393,"D")</f>
        <v>24</v>
      </c>
      <c r="AK393" s="100">
        <f>VLOOKUP(AP393,'[2]CONTENEUR PLEIN'!$F:$L,3,FALSE)</f>
        <v>46010</v>
      </c>
      <c r="AL393" s="99">
        <f>VLOOKUP(AP393,'[2]CONTENEUR PLEIN'!$F:$L,5,FALSE)</f>
        <v>46052</v>
      </c>
      <c r="AM393" s="18">
        <f>VLOOKUP(AP393,'[2]CONTENEUR PLEIN'!$F:$L,7,FALSE)</f>
        <v>46057.333333333336</v>
      </c>
      <c r="AN393" s="191" t="s">
        <v>63</v>
      </c>
      <c r="AO393" s="486" t="s">
        <v>719</v>
      </c>
      <c r="AP393" s="486" t="s">
        <v>720</v>
      </c>
      <c r="AQ393" s="486" t="s">
        <v>721</v>
      </c>
      <c r="AR393" s="90" t="str">
        <f>VLOOKUP(AP393,'[2]CONTENEUR PLEIN'!$F:$L,2,FALSE)</f>
        <v>CMA CGM KIMBERLEY</v>
      </c>
      <c r="AS393" s="486" t="s">
        <v>316</v>
      </c>
      <c r="AT393" s="98"/>
    </row>
    <row r="394" spans="2:46" s="72" customFormat="1" hidden="1" x14ac:dyDescent="0.25">
      <c r="B394" s="232" t="s">
        <v>52</v>
      </c>
      <c r="C394" s="89">
        <v>45894</v>
      </c>
      <c r="D394" s="191" t="s">
        <v>53</v>
      </c>
      <c r="E394" s="195" t="s">
        <v>417</v>
      </c>
      <c r="F394" s="90">
        <v>2508191656</v>
      </c>
      <c r="G394" s="191" t="s">
        <v>72</v>
      </c>
      <c r="H394" s="191" t="s">
        <v>418</v>
      </c>
      <c r="I394" s="191" t="s">
        <v>49</v>
      </c>
      <c r="J394" s="191" t="s">
        <v>46</v>
      </c>
      <c r="K394" s="16" t="s">
        <v>863</v>
      </c>
      <c r="L394" s="20">
        <v>45993</v>
      </c>
      <c r="M394" s="383">
        <f t="shared" si="72"/>
        <v>4</v>
      </c>
      <c r="N394" s="98" t="s">
        <v>62</v>
      </c>
      <c r="O394" s="92">
        <v>441821</v>
      </c>
      <c r="P394" s="24" t="str">
        <f>VLOOKUP(O394,[1]Feuil2!$A:$M,5,FALSE)</f>
        <v>COFFRET CERAMIQUE CUISINE 125MM LAME BLANCHE</v>
      </c>
      <c r="Q394" s="90">
        <v>6012</v>
      </c>
      <c r="R394" s="93">
        <v>1.542</v>
      </c>
      <c r="S394" s="94">
        <f t="shared" si="69"/>
        <v>9270.5040000000008</v>
      </c>
      <c r="T394" s="95">
        <f t="shared" si="66"/>
        <v>9270.5040000000008</v>
      </c>
      <c r="U394" s="138"/>
      <c r="V394" s="96">
        <f t="shared" si="70"/>
        <v>9270.5040000000008</v>
      </c>
      <c r="W394" s="4">
        <f>VLOOKUP(O394,[1]Feuil2!$A:$M,6,FALSE)</f>
        <v>18</v>
      </c>
      <c r="X394" s="5">
        <f>VLOOKUP(O394,[1]Feuil2!$A:$M,13,FALSE)</f>
        <v>2.6825000000000002E-2</v>
      </c>
      <c r="Y394" s="6">
        <f t="shared" si="64"/>
        <v>8.9595500000000001</v>
      </c>
      <c r="Z394" s="97">
        <f t="shared" si="71"/>
        <v>8.9595500000000001</v>
      </c>
      <c r="AA394" s="68" t="s">
        <v>48</v>
      </c>
      <c r="AB394" s="67" t="s">
        <v>48</v>
      </c>
      <c r="AC394" s="90" t="s">
        <v>48</v>
      </c>
      <c r="AD394" s="90" t="s">
        <v>48</v>
      </c>
      <c r="AE394" s="90" t="s">
        <v>48</v>
      </c>
      <c r="AF394" s="358" t="s">
        <v>49</v>
      </c>
      <c r="AG394" s="21"/>
      <c r="AH394" s="98"/>
      <c r="AI394" s="160">
        <v>45960</v>
      </c>
      <c r="AJ394" s="145">
        <f>DATEDIF(AI394,$AK394,"D")</f>
        <v>16</v>
      </c>
      <c r="AK394" s="100">
        <f>VLOOKUP(AP394,'[2]CONTENEUR PLEIN'!$F:$L,3,FALSE)</f>
        <v>45976</v>
      </c>
      <c r="AL394" s="99">
        <f>VLOOKUP(AP394,'[2]CONTENEUR PLEIN'!$F:$L,5,FALSE)</f>
        <v>46018</v>
      </c>
      <c r="AM394" s="18">
        <f>VLOOKUP(AP394,'[2]CONTENEUR PLEIN'!$F:$L,7,FALSE)</f>
        <v>46031.291666666664</v>
      </c>
      <c r="AN394" s="191" t="s">
        <v>63</v>
      </c>
      <c r="AO394" s="350" t="s">
        <v>574</v>
      </c>
      <c r="AP394" s="350" t="s">
        <v>575</v>
      </c>
      <c r="AQ394" s="350" t="s">
        <v>576</v>
      </c>
      <c r="AR394" s="90" t="str">
        <f>VLOOKUP(AP394,'[2]CONTENEUR PLEIN'!$F:$L,2,FALSE)</f>
        <v>CMA CGM UNITY</v>
      </c>
      <c r="AS394" s="353" t="s">
        <v>316</v>
      </c>
      <c r="AT394" s="98"/>
    </row>
    <row r="395" spans="2:46" s="72" customFormat="1" hidden="1" x14ac:dyDescent="0.25">
      <c r="B395" s="498" t="s">
        <v>45</v>
      </c>
      <c r="C395" s="89">
        <v>45937</v>
      </c>
      <c r="D395" s="90">
        <v>25099</v>
      </c>
      <c r="E395" s="516" t="s">
        <v>488</v>
      </c>
      <c r="F395" s="90">
        <v>2508191700</v>
      </c>
      <c r="G395" s="239" t="s">
        <v>74</v>
      </c>
      <c r="H395" s="239" t="s">
        <v>418</v>
      </c>
      <c r="I395" s="239" t="s">
        <v>49</v>
      </c>
      <c r="J395" s="239" t="s">
        <v>46</v>
      </c>
      <c r="K395" s="16" t="s">
        <v>1051</v>
      </c>
      <c r="L395" s="238">
        <v>46056</v>
      </c>
      <c r="M395" s="381">
        <f t="shared" si="72"/>
        <v>5</v>
      </c>
      <c r="N395" s="98" t="s">
        <v>49</v>
      </c>
      <c r="O395" s="92">
        <v>30170025</v>
      </c>
      <c r="P395" s="24" t="str">
        <f>VLOOKUP(O395,[1]Feuil2!$A:$M,5,FALSE)</f>
        <v>FOURCHETTE LAG DUO NOIR+ GENCOD</v>
      </c>
      <c r="Q395" s="90">
        <v>3840</v>
      </c>
      <c r="R395" s="93">
        <v>0.318</v>
      </c>
      <c r="S395" s="94">
        <f t="shared" si="69"/>
        <v>1221.1200000000001</v>
      </c>
      <c r="T395" s="95">
        <f t="shared" si="66"/>
        <v>42403.920000000006</v>
      </c>
      <c r="U395" s="138"/>
      <c r="V395" s="96">
        <f t="shared" si="70"/>
        <v>42403.920000000006</v>
      </c>
      <c r="W395" s="4">
        <f>VLOOKUP(O395,[1]Feuil2!$A:$M,6,FALSE)</f>
        <v>240</v>
      </c>
      <c r="X395" s="5">
        <f>VLOOKUP(O395,[1]Feuil2!$A:$M,13,FALSE)</f>
        <v>2.8940625000000001E-2</v>
      </c>
      <c r="Y395" s="6">
        <f t="shared" si="64"/>
        <v>0.46305000000000002</v>
      </c>
      <c r="Z395" s="97">
        <f t="shared" si="71"/>
        <v>23.608576875000001</v>
      </c>
      <c r="AA395" s="69" t="s">
        <v>57</v>
      </c>
      <c r="AB395" s="67" t="s">
        <v>48</v>
      </c>
      <c r="AC395" s="295" t="s">
        <v>55</v>
      </c>
      <c r="AD395" s="21" t="s">
        <v>57</v>
      </c>
      <c r="AE395" s="20">
        <v>46002</v>
      </c>
      <c r="AF395" s="21" t="s">
        <v>711</v>
      </c>
      <c r="AG395" s="21"/>
      <c r="AH395" s="98"/>
      <c r="AI395" s="135">
        <v>46016</v>
      </c>
      <c r="AJ395" s="145">
        <f t="shared" ref="AJ395:AJ422" si="73">DATEDIF(AI395,AK395,"D")</f>
        <v>10</v>
      </c>
      <c r="AK395" s="100">
        <f>VLOOKUP(AP395,'[2]CONTENEUR PLEIN'!$F:$L,3,FALSE)</f>
        <v>46026</v>
      </c>
      <c r="AL395" s="99">
        <f>VLOOKUP(AP395,'[2]CONTENEUR PLEIN'!$F:$L,5,FALSE)</f>
        <v>46081</v>
      </c>
      <c r="AM395" s="18">
        <f>VLOOKUP(AP395,'[2]CONTENEUR PLEIN'!$F:$L,7,FALSE)</f>
        <v>46098.53125</v>
      </c>
      <c r="AN395" s="239" t="s">
        <v>63</v>
      </c>
      <c r="AO395" s="514" t="s">
        <v>786</v>
      </c>
      <c r="AP395" s="514" t="s">
        <v>787</v>
      </c>
      <c r="AQ395" s="514" t="s">
        <v>788</v>
      </c>
      <c r="AR395" s="90" t="str">
        <f>VLOOKUP(AP395,'[2]CONTENEUR PLEIN'!$F:$L,2,FALSE)</f>
        <v>ZEPHYR LUMOS</v>
      </c>
      <c r="AS395" s="514" t="s">
        <v>316</v>
      </c>
      <c r="AT395" s="98"/>
    </row>
    <row r="396" spans="2:46" s="72" customFormat="1" hidden="1" x14ac:dyDescent="0.25">
      <c r="B396" s="498" t="s">
        <v>45</v>
      </c>
      <c r="C396" s="89">
        <v>45937</v>
      </c>
      <c r="D396" s="90">
        <v>25099</v>
      </c>
      <c r="E396" s="516" t="s">
        <v>488</v>
      </c>
      <c r="F396" s="90">
        <v>2508191700</v>
      </c>
      <c r="G396" s="239" t="s">
        <v>74</v>
      </c>
      <c r="H396" s="239" t="s">
        <v>418</v>
      </c>
      <c r="I396" s="239" t="s">
        <v>49</v>
      </c>
      <c r="J396" s="239" t="s">
        <v>46</v>
      </c>
      <c r="K396" s="16" t="s">
        <v>1051</v>
      </c>
      <c r="L396" s="238">
        <v>46056</v>
      </c>
      <c r="M396" s="381">
        <f t="shared" si="72"/>
        <v>5</v>
      </c>
      <c r="N396" s="98" t="s">
        <v>49</v>
      </c>
      <c r="O396" s="92">
        <v>30170037</v>
      </c>
      <c r="P396" s="24" t="str">
        <f>VLOOKUP(O396,[1]Feuil2!$A:$M,5,FALSE)</f>
        <v>COUTEAU LAG DUO BLANC + GENCOD</v>
      </c>
      <c r="Q396" s="90">
        <v>6000</v>
      </c>
      <c r="R396" s="93">
        <v>0.33100000000000002</v>
      </c>
      <c r="S396" s="94">
        <f t="shared" si="69"/>
        <v>1986</v>
      </c>
      <c r="T396" s="95">
        <f t="shared" si="66"/>
        <v>42403.920000000006</v>
      </c>
      <c r="U396" s="138"/>
      <c r="V396" s="96">
        <f t="shared" si="70"/>
        <v>42403.920000000006</v>
      </c>
      <c r="W396" s="4">
        <f>VLOOKUP(O396,[1]Feuil2!$A:$M,6,FALSE)</f>
        <v>240</v>
      </c>
      <c r="X396" s="5">
        <f>VLOOKUP(O396,[1]Feuil2!$A:$M,13,FALSE)</f>
        <v>3.0485000000000002E-2</v>
      </c>
      <c r="Y396" s="6">
        <f t="shared" si="64"/>
        <v>0.76212500000000005</v>
      </c>
      <c r="Z396" s="97">
        <f t="shared" si="71"/>
        <v>23.608576875000001</v>
      </c>
      <c r="AA396" s="69" t="s">
        <v>57</v>
      </c>
      <c r="AB396" s="67" t="s">
        <v>48</v>
      </c>
      <c r="AC396" s="295" t="s">
        <v>55</v>
      </c>
      <c r="AD396" s="21" t="s">
        <v>57</v>
      </c>
      <c r="AE396" s="20">
        <v>46003</v>
      </c>
      <c r="AF396" s="21" t="s">
        <v>723</v>
      </c>
      <c r="AG396" s="21"/>
      <c r="AH396" s="98"/>
      <c r="AI396" s="135">
        <v>46016</v>
      </c>
      <c r="AJ396" s="145">
        <f t="shared" si="73"/>
        <v>10</v>
      </c>
      <c r="AK396" s="100">
        <f>VLOOKUP(AP396,'[2]CONTENEUR PLEIN'!$F:$L,3,FALSE)</f>
        <v>46026</v>
      </c>
      <c r="AL396" s="99">
        <f>VLOOKUP(AP396,'[2]CONTENEUR PLEIN'!$F:$L,5,FALSE)</f>
        <v>46081</v>
      </c>
      <c r="AM396" s="18">
        <f>VLOOKUP(AP396,'[2]CONTENEUR PLEIN'!$F:$L,7,FALSE)</f>
        <v>46098.53125</v>
      </c>
      <c r="AN396" s="239" t="s">
        <v>63</v>
      </c>
      <c r="AO396" s="514" t="s">
        <v>786</v>
      </c>
      <c r="AP396" s="514" t="s">
        <v>787</v>
      </c>
      <c r="AQ396" s="514" t="s">
        <v>788</v>
      </c>
      <c r="AR396" s="90" t="str">
        <f>VLOOKUP(AP396,'[2]CONTENEUR PLEIN'!$F:$L,2,FALSE)</f>
        <v>ZEPHYR LUMOS</v>
      </c>
      <c r="AS396" s="514" t="s">
        <v>316</v>
      </c>
      <c r="AT396" s="98"/>
    </row>
    <row r="397" spans="2:46" s="72" customFormat="1" hidden="1" x14ac:dyDescent="0.25">
      <c r="B397" s="498" t="s">
        <v>45</v>
      </c>
      <c r="C397" s="89">
        <v>45937</v>
      </c>
      <c r="D397" s="90">
        <v>25099</v>
      </c>
      <c r="E397" s="516" t="s">
        <v>488</v>
      </c>
      <c r="F397" s="90">
        <v>2508191700</v>
      </c>
      <c r="G397" s="239" t="s">
        <v>74</v>
      </c>
      <c r="H397" s="239" t="s">
        <v>418</v>
      </c>
      <c r="I397" s="239" t="s">
        <v>49</v>
      </c>
      <c r="J397" s="239" t="s">
        <v>46</v>
      </c>
      <c r="K397" s="16" t="s">
        <v>1051</v>
      </c>
      <c r="L397" s="238">
        <v>46056</v>
      </c>
      <c r="M397" s="381">
        <f t="shared" si="72"/>
        <v>5</v>
      </c>
      <c r="N397" s="98" t="s">
        <v>49</v>
      </c>
      <c r="O397" s="92">
        <v>30170038</v>
      </c>
      <c r="P397" s="24" t="str">
        <f>VLOOKUP(O397,[1]Feuil2!$A:$M,5,FALSE)</f>
        <v>FOURCHETTE LAG DUO BLANC + GENCOD</v>
      </c>
      <c r="Q397" s="90">
        <v>4080</v>
      </c>
      <c r="R397" s="93">
        <v>0.318</v>
      </c>
      <c r="S397" s="94">
        <f t="shared" si="69"/>
        <v>1297.44</v>
      </c>
      <c r="T397" s="95">
        <f t="shared" si="66"/>
        <v>42403.920000000006</v>
      </c>
      <c r="U397" s="138"/>
      <c r="V397" s="96">
        <f t="shared" si="70"/>
        <v>42403.920000000006</v>
      </c>
      <c r="W397" s="4">
        <f>VLOOKUP(O397,[1]Feuil2!$A:$M,6,FALSE)</f>
        <v>240</v>
      </c>
      <c r="X397" s="5">
        <f>VLOOKUP(O397,[1]Feuil2!$A:$M,13,FALSE)</f>
        <v>2.8940625000000001E-2</v>
      </c>
      <c r="Y397" s="6">
        <f t="shared" si="64"/>
        <v>0.49199062500000001</v>
      </c>
      <c r="Z397" s="97">
        <f t="shared" si="71"/>
        <v>23.608576875000001</v>
      </c>
      <c r="AA397" s="69" t="s">
        <v>57</v>
      </c>
      <c r="AB397" s="67" t="s">
        <v>48</v>
      </c>
      <c r="AC397" s="295" t="s">
        <v>55</v>
      </c>
      <c r="AD397" s="21" t="s">
        <v>57</v>
      </c>
      <c r="AE397" s="20">
        <v>46003</v>
      </c>
      <c r="AF397" s="21" t="s">
        <v>724</v>
      </c>
      <c r="AG397" s="21"/>
      <c r="AH397" s="98"/>
      <c r="AI397" s="135">
        <v>46016</v>
      </c>
      <c r="AJ397" s="145">
        <f t="shared" si="73"/>
        <v>10</v>
      </c>
      <c r="AK397" s="100">
        <f>VLOOKUP(AP397,'[2]CONTENEUR PLEIN'!$F:$L,3,FALSE)</f>
        <v>46026</v>
      </c>
      <c r="AL397" s="99">
        <f>VLOOKUP(AP397,'[2]CONTENEUR PLEIN'!$F:$L,5,FALSE)</f>
        <v>46081</v>
      </c>
      <c r="AM397" s="18">
        <f>VLOOKUP(AP397,'[2]CONTENEUR PLEIN'!$F:$L,7,FALSE)</f>
        <v>46098.53125</v>
      </c>
      <c r="AN397" s="239" t="s">
        <v>63</v>
      </c>
      <c r="AO397" s="514" t="s">
        <v>786</v>
      </c>
      <c r="AP397" s="514" t="s">
        <v>787</v>
      </c>
      <c r="AQ397" s="514" t="s">
        <v>788</v>
      </c>
      <c r="AR397" s="90" t="str">
        <f>VLOOKUP(AP397,'[2]CONTENEUR PLEIN'!$F:$L,2,FALSE)</f>
        <v>ZEPHYR LUMOS</v>
      </c>
      <c r="AS397" s="514" t="s">
        <v>316</v>
      </c>
      <c r="AT397" s="98"/>
    </row>
    <row r="398" spans="2:46" s="72" customFormat="1" hidden="1" x14ac:dyDescent="0.25">
      <c r="B398" s="498" t="s">
        <v>45</v>
      </c>
      <c r="C398" s="89">
        <v>45937</v>
      </c>
      <c r="D398" s="90">
        <v>25099</v>
      </c>
      <c r="E398" s="516" t="s">
        <v>488</v>
      </c>
      <c r="F398" s="90">
        <v>2508191700</v>
      </c>
      <c r="G398" s="239" t="s">
        <v>74</v>
      </c>
      <c r="H398" s="239" t="s">
        <v>418</v>
      </c>
      <c r="I398" s="239" t="s">
        <v>49</v>
      </c>
      <c r="J398" s="239" t="s">
        <v>46</v>
      </c>
      <c r="K398" s="16" t="s">
        <v>1051</v>
      </c>
      <c r="L398" s="238">
        <v>46056</v>
      </c>
      <c r="M398" s="381">
        <f t="shared" si="72"/>
        <v>5</v>
      </c>
      <c r="N398" s="98" t="s">
        <v>49</v>
      </c>
      <c r="O398" s="92">
        <v>30170040</v>
      </c>
      <c r="P398" s="24" t="str">
        <f>VLOOKUP(O398,[1]Feuil2!$A:$M,5,FALSE)</f>
        <v>CAFE LAG DUO BLANC + GENCOD</v>
      </c>
      <c r="Q398" s="90">
        <v>5520</v>
      </c>
      <c r="R398" s="93">
        <v>0.248</v>
      </c>
      <c r="S398" s="94">
        <f t="shared" si="69"/>
        <v>1368.96</v>
      </c>
      <c r="T398" s="95">
        <f t="shared" si="66"/>
        <v>42403.920000000006</v>
      </c>
      <c r="U398" s="138"/>
      <c r="V398" s="96">
        <f t="shared" si="70"/>
        <v>42403.920000000006</v>
      </c>
      <c r="W398" s="4">
        <f>VLOOKUP(O398,[1]Feuil2!$A:$M,6,FALSE)</f>
        <v>240</v>
      </c>
      <c r="X398" s="5">
        <f>VLOOKUP(O398,[1]Feuil2!$A:$M,13,FALSE)</f>
        <v>2.0645625000000001E-2</v>
      </c>
      <c r="Y398" s="6">
        <f t="shared" si="64"/>
        <v>0.47484937500000002</v>
      </c>
      <c r="Z398" s="97">
        <f t="shared" si="71"/>
        <v>23.608576875000001</v>
      </c>
      <c r="AA398" s="69" t="s">
        <v>57</v>
      </c>
      <c r="AB398" s="67" t="s">
        <v>48</v>
      </c>
      <c r="AC398" s="295" t="s">
        <v>55</v>
      </c>
      <c r="AD398" s="21" t="s">
        <v>57</v>
      </c>
      <c r="AE398" s="20">
        <v>46002</v>
      </c>
      <c r="AF398" s="21" t="s">
        <v>712</v>
      </c>
      <c r="AG398" s="21"/>
      <c r="AH398" s="98"/>
      <c r="AI398" s="135">
        <v>46016</v>
      </c>
      <c r="AJ398" s="145">
        <f t="shared" si="73"/>
        <v>10</v>
      </c>
      <c r="AK398" s="100">
        <f>VLOOKUP(AP398,'[2]CONTENEUR PLEIN'!$F:$L,3,FALSE)</f>
        <v>46026</v>
      </c>
      <c r="AL398" s="99">
        <f>VLOOKUP(AP398,'[2]CONTENEUR PLEIN'!$F:$L,5,FALSE)</f>
        <v>46081</v>
      </c>
      <c r="AM398" s="18">
        <f>VLOOKUP(AP398,'[2]CONTENEUR PLEIN'!$F:$L,7,FALSE)</f>
        <v>46098.53125</v>
      </c>
      <c r="AN398" s="239" t="s">
        <v>63</v>
      </c>
      <c r="AO398" s="514" t="s">
        <v>786</v>
      </c>
      <c r="AP398" s="514" t="s">
        <v>787</v>
      </c>
      <c r="AQ398" s="514" t="s">
        <v>788</v>
      </c>
      <c r="AR398" s="90" t="str">
        <f>VLOOKUP(AP398,'[2]CONTENEUR PLEIN'!$F:$L,2,FALSE)</f>
        <v>ZEPHYR LUMOS</v>
      </c>
      <c r="AS398" s="514" t="s">
        <v>316</v>
      </c>
      <c r="AT398" s="98"/>
    </row>
    <row r="399" spans="2:46" s="72" customFormat="1" hidden="1" x14ac:dyDescent="0.25">
      <c r="B399" s="498" t="s">
        <v>45</v>
      </c>
      <c r="C399" s="89">
        <v>45937</v>
      </c>
      <c r="D399" s="90">
        <v>25099</v>
      </c>
      <c r="E399" s="516" t="s">
        <v>488</v>
      </c>
      <c r="F399" s="90">
        <v>2508191700</v>
      </c>
      <c r="G399" s="239" t="s">
        <v>74</v>
      </c>
      <c r="H399" s="239" t="s">
        <v>418</v>
      </c>
      <c r="I399" s="239" t="s">
        <v>49</v>
      </c>
      <c r="J399" s="239" t="s">
        <v>46</v>
      </c>
      <c r="K399" s="16" t="s">
        <v>1051</v>
      </c>
      <c r="L399" s="238">
        <v>46056</v>
      </c>
      <c r="M399" s="381">
        <f t="shared" si="72"/>
        <v>5</v>
      </c>
      <c r="N399" s="98" t="s">
        <v>49</v>
      </c>
      <c r="O399" s="92">
        <v>30190002</v>
      </c>
      <c r="P399" s="24" t="str">
        <f>VLOOKUP(O399,[1]Feuil2!$A:$M,5,FALSE)</f>
        <v>FOURCHETTE INEDIT USA+GENCOD</v>
      </c>
      <c r="Q399" s="90">
        <v>2880</v>
      </c>
      <c r="R399" s="93">
        <v>0.32900000000000001</v>
      </c>
      <c r="S399" s="94">
        <f t="shared" si="69"/>
        <v>947.5200000000001</v>
      </c>
      <c r="T399" s="95">
        <f t="shared" si="66"/>
        <v>42403.920000000006</v>
      </c>
      <c r="U399" s="138"/>
      <c r="V399" s="96">
        <f t="shared" si="70"/>
        <v>42403.920000000006</v>
      </c>
      <c r="W399" s="4">
        <f>VLOOKUP(O399,[1]Feuil2!$A:$M,6,FALSE)</f>
        <v>240</v>
      </c>
      <c r="X399" s="5">
        <f>VLOOKUP(O399,[1]Feuil2!$A:$M,13,FALSE)</f>
        <v>2.9218750000000002E-2</v>
      </c>
      <c r="Y399" s="6">
        <f t="shared" si="64"/>
        <v>0.35062500000000002</v>
      </c>
      <c r="Z399" s="97">
        <f t="shared" si="71"/>
        <v>23.608576875000001</v>
      </c>
      <c r="AA399" s="69" t="s">
        <v>57</v>
      </c>
      <c r="AB399" s="67" t="s">
        <v>48</v>
      </c>
      <c r="AC399" s="295" t="s">
        <v>55</v>
      </c>
      <c r="AD399" s="21" t="s">
        <v>57</v>
      </c>
      <c r="AE399" s="20">
        <v>46004</v>
      </c>
      <c r="AF399" s="21" t="s">
        <v>733</v>
      </c>
      <c r="AG399" s="21"/>
      <c r="AH399" s="98"/>
      <c r="AI399" s="135">
        <v>46016</v>
      </c>
      <c r="AJ399" s="145">
        <f t="shared" si="73"/>
        <v>10</v>
      </c>
      <c r="AK399" s="100">
        <f>VLOOKUP(AP399,'[2]CONTENEUR PLEIN'!$F:$L,3,FALSE)</f>
        <v>46026</v>
      </c>
      <c r="AL399" s="99">
        <f>VLOOKUP(AP399,'[2]CONTENEUR PLEIN'!$F:$L,5,FALSE)</f>
        <v>46081</v>
      </c>
      <c r="AM399" s="18">
        <f>VLOOKUP(AP399,'[2]CONTENEUR PLEIN'!$F:$L,7,FALSE)</f>
        <v>46098.53125</v>
      </c>
      <c r="AN399" s="239" t="s">
        <v>63</v>
      </c>
      <c r="AO399" s="514" t="s">
        <v>786</v>
      </c>
      <c r="AP399" s="514" t="s">
        <v>787</v>
      </c>
      <c r="AQ399" s="514" t="s">
        <v>788</v>
      </c>
      <c r="AR399" s="90" t="str">
        <f>VLOOKUP(AP399,'[2]CONTENEUR PLEIN'!$F:$L,2,FALSE)</f>
        <v>ZEPHYR LUMOS</v>
      </c>
      <c r="AS399" s="514" t="s">
        <v>316</v>
      </c>
      <c r="AT399" s="98"/>
    </row>
    <row r="400" spans="2:46" s="72" customFormat="1" hidden="1" x14ac:dyDescent="0.25">
      <c r="B400" s="498" t="s">
        <v>45</v>
      </c>
      <c r="C400" s="89">
        <v>45937</v>
      </c>
      <c r="D400" s="90">
        <v>25099</v>
      </c>
      <c r="E400" s="516" t="s">
        <v>488</v>
      </c>
      <c r="F400" s="90">
        <v>2508191700</v>
      </c>
      <c r="G400" s="239" t="s">
        <v>74</v>
      </c>
      <c r="H400" s="239" t="s">
        <v>418</v>
      </c>
      <c r="I400" s="239" t="s">
        <v>49</v>
      </c>
      <c r="J400" s="239" t="s">
        <v>46</v>
      </c>
      <c r="K400" s="8" t="s">
        <v>997</v>
      </c>
      <c r="L400" s="128">
        <v>46048</v>
      </c>
      <c r="M400" s="381">
        <f t="shared" si="72"/>
        <v>4</v>
      </c>
      <c r="N400" s="98" t="s">
        <v>49</v>
      </c>
      <c r="O400" s="92">
        <v>30170024</v>
      </c>
      <c r="P400" s="24" t="str">
        <f>VLOOKUP(O400,[1]Feuil2!$A:$M,5,FALSE)</f>
        <v>COUTEAU LAG DUO NOIR+ GENCOD</v>
      </c>
      <c r="Q400" s="90">
        <v>15120</v>
      </c>
      <c r="R400" s="93">
        <v>0.33100000000000002</v>
      </c>
      <c r="S400" s="94">
        <f t="shared" si="69"/>
        <v>5004.72</v>
      </c>
      <c r="T400" s="95">
        <f t="shared" si="66"/>
        <v>42403.920000000006</v>
      </c>
      <c r="U400" s="138"/>
      <c r="V400" s="96">
        <f t="shared" si="70"/>
        <v>42403.920000000006</v>
      </c>
      <c r="W400" s="4">
        <f>VLOOKUP(O400,[1]Feuil2!$A:$M,6,FALSE)</f>
        <v>240</v>
      </c>
      <c r="X400" s="5">
        <f>VLOOKUP(O400,[1]Feuil2!$A:$M,13,FALSE)</f>
        <v>2.9940625000000002E-2</v>
      </c>
      <c r="Y400" s="6">
        <f t="shared" si="64"/>
        <v>1.8862593750000001</v>
      </c>
      <c r="Z400" s="97">
        <f t="shared" si="71"/>
        <v>23.608576875000001</v>
      </c>
      <c r="AA400" s="69" t="s">
        <v>57</v>
      </c>
      <c r="AB400" s="67" t="s">
        <v>48</v>
      </c>
      <c r="AC400" s="295" t="s">
        <v>55</v>
      </c>
      <c r="AD400" s="21" t="s">
        <v>57</v>
      </c>
      <c r="AE400" s="20">
        <v>46002</v>
      </c>
      <c r="AF400" s="21" t="s">
        <v>707</v>
      </c>
      <c r="AG400" s="21"/>
      <c r="AH400" s="98"/>
      <c r="AI400" s="485">
        <v>46016</v>
      </c>
      <c r="AJ400" s="145">
        <f t="shared" si="73"/>
        <v>6</v>
      </c>
      <c r="AK400" s="100">
        <f>VLOOKUP(AP400,'[2]CONTENEUR PLEIN'!$F:$L,3,FALSE)</f>
        <v>46022</v>
      </c>
      <c r="AL400" s="99">
        <f>VLOOKUP(AP400,'[2]CONTENEUR PLEIN'!$F:$L,5,FALSE)</f>
        <v>46066</v>
      </c>
      <c r="AM400" s="18">
        <f>VLOOKUP(AP400,'[2]CONTENEUR PLEIN'!$F:$L,7,FALSE)</f>
        <v>46071.333333333336</v>
      </c>
      <c r="AN400" s="239" t="s">
        <v>63</v>
      </c>
      <c r="AO400" s="514" t="s">
        <v>782</v>
      </c>
      <c r="AP400" s="514" t="s">
        <v>783</v>
      </c>
      <c r="AQ400" s="514" t="s">
        <v>784</v>
      </c>
      <c r="AR400" s="90" t="str">
        <f>VLOOKUP(AP400,'[2]CONTENEUR PLEIN'!$F:$L,2,FALSE)</f>
        <v>CMA CGM GREENLAND</v>
      </c>
      <c r="AS400" s="514" t="s">
        <v>316</v>
      </c>
      <c r="AT400" s="98"/>
    </row>
    <row r="401" spans="2:47" s="72" customFormat="1" hidden="1" x14ac:dyDescent="0.25">
      <c r="B401" s="498" t="s">
        <v>45</v>
      </c>
      <c r="C401" s="89">
        <v>45937</v>
      </c>
      <c r="D401" s="90">
        <v>25099</v>
      </c>
      <c r="E401" s="516" t="s">
        <v>488</v>
      </c>
      <c r="F401" s="90">
        <v>2508191700</v>
      </c>
      <c r="G401" s="239" t="s">
        <v>74</v>
      </c>
      <c r="H401" s="239" t="s">
        <v>418</v>
      </c>
      <c r="I401" s="239" t="s">
        <v>49</v>
      </c>
      <c r="J401" s="239" t="s">
        <v>46</v>
      </c>
      <c r="K401" s="8" t="s">
        <v>997</v>
      </c>
      <c r="L401" s="128">
        <v>46048</v>
      </c>
      <c r="M401" s="381">
        <f t="shared" si="72"/>
        <v>4</v>
      </c>
      <c r="N401" s="98" t="s">
        <v>49</v>
      </c>
      <c r="O401" s="92">
        <v>30170028</v>
      </c>
      <c r="P401" s="24" t="str">
        <f>VLOOKUP(O401,[1]Feuil2!$A:$M,5,FALSE)</f>
        <v>COUTEAU LAG DUO ROUGE 200 C+ GENCOD</v>
      </c>
      <c r="Q401" s="90">
        <v>5280</v>
      </c>
      <c r="R401" s="93">
        <v>0.33100000000000002</v>
      </c>
      <c r="S401" s="94">
        <f t="shared" si="69"/>
        <v>1747.68</v>
      </c>
      <c r="T401" s="95">
        <f t="shared" si="66"/>
        <v>42403.920000000006</v>
      </c>
      <c r="U401" s="138"/>
      <c r="V401" s="96">
        <f t="shared" si="70"/>
        <v>42403.920000000006</v>
      </c>
      <c r="W401" s="4">
        <f>VLOOKUP(O401,[1]Feuil2!$A:$M,6,FALSE)</f>
        <v>240</v>
      </c>
      <c r="X401" s="5">
        <f>VLOOKUP(O401,[1]Feuil2!$A:$M,13,FALSE)</f>
        <v>2.9940625000000002E-2</v>
      </c>
      <c r="Y401" s="6">
        <f t="shared" si="64"/>
        <v>0.65869375000000008</v>
      </c>
      <c r="Z401" s="97">
        <f t="shared" si="71"/>
        <v>23.608576875000001</v>
      </c>
      <c r="AA401" s="69" t="s">
        <v>57</v>
      </c>
      <c r="AB401" s="67" t="s">
        <v>48</v>
      </c>
      <c r="AC401" s="295" t="s">
        <v>55</v>
      </c>
      <c r="AD401" s="21" t="s">
        <v>57</v>
      </c>
      <c r="AE401" s="20">
        <v>46002</v>
      </c>
      <c r="AF401" s="21" t="s">
        <v>710</v>
      </c>
      <c r="AG401" s="21"/>
      <c r="AH401" s="98"/>
      <c r="AI401" s="485">
        <v>46016</v>
      </c>
      <c r="AJ401" s="145">
        <f t="shared" si="73"/>
        <v>6</v>
      </c>
      <c r="AK401" s="100">
        <f>VLOOKUP(AP401,'[2]CONTENEUR PLEIN'!$F:$L,3,FALSE)</f>
        <v>46022</v>
      </c>
      <c r="AL401" s="99">
        <f>VLOOKUP(AP401,'[2]CONTENEUR PLEIN'!$F:$L,5,FALSE)</f>
        <v>46066</v>
      </c>
      <c r="AM401" s="18">
        <f>VLOOKUP(AP401,'[2]CONTENEUR PLEIN'!$F:$L,7,FALSE)</f>
        <v>46071.333333333336</v>
      </c>
      <c r="AN401" s="239" t="s">
        <v>63</v>
      </c>
      <c r="AO401" s="514" t="s">
        <v>782</v>
      </c>
      <c r="AP401" s="514" t="s">
        <v>783</v>
      </c>
      <c r="AQ401" s="514" t="s">
        <v>784</v>
      </c>
      <c r="AR401" s="90" t="str">
        <f>VLOOKUP(AP401,'[2]CONTENEUR PLEIN'!$F:$L,2,FALSE)</f>
        <v>CMA CGM GREENLAND</v>
      </c>
      <c r="AS401" s="514" t="s">
        <v>316</v>
      </c>
      <c r="AT401" s="98"/>
    </row>
    <row r="402" spans="2:47" s="72" customFormat="1" hidden="1" x14ac:dyDescent="0.25">
      <c r="B402" s="498" t="s">
        <v>45</v>
      </c>
      <c r="C402" s="89">
        <v>45937</v>
      </c>
      <c r="D402" s="90">
        <v>25099</v>
      </c>
      <c r="E402" s="516" t="s">
        <v>488</v>
      </c>
      <c r="F402" s="90">
        <v>2508191700</v>
      </c>
      <c r="G402" s="239" t="s">
        <v>74</v>
      </c>
      <c r="H402" s="239" t="s">
        <v>418</v>
      </c>
      <c r="I402" s="239" t="s">
        <v>49</v>
      </c>
      <c r="J402" s="239" t="s">
        <v>46</v>
      </c>
      <c r="K402" s="8" t="s">
        <v>997</v>
      </c>
      <c r="L402" s="128">
        <v>46048</v>
      </c>
      <c r="M402" s="381">
        <f t="shared" si="72"/>
        <v>4</v>
      </c>
      <c r="N402" s="98" t="s">
        <v>49</v>
      </c>
      <c r="O402" s="92">
        <v>30170031</v>
      </c>
      <c r="P402" s="24" t="str">
        <f>VLOOKUP(O402,[1]Feuil2!$A:$M,5,FALSE)</f>
        <v>CAFE LAG DUO ROUGE 200 C+ GENCOD</v>
      </c>
      <c r="Q402" s="90">
        <v>7200</v>
      </c>
      <c r="R402" s="93">
        <v>0.248</v>
      </c>
      <c r="S402" s="94">
        <f t="shared" si="69"/>
        <v>1785.6</v>
      </c>
      <c r="T402" s="95">
        <f t="shared" si="66"/>
        <v>42403.920000000006</v>
      </c>
      <c r="U402" s="138"/>
      <c r="V402" s="96">
        <f t="shared" si="70"/>
        <v>42403.920000000006</v>
      </c>
      <c r="W402" s="4">
        <f>VLOOKUP(O402,[1]Feuil2!$A:$M,6,FALSE)</f>
        <v>240</v>
      </c>
      <c r="X402" s="5">
        <f>VLOOKUP(O402,[1]Feuil2!$A:$M,13,FALSE)</f>
        <v>2.0645625000000001E-2</v>
      </c>
      <c r="Y402" s="6">
        <f t="shared" ref="Y402:Y444" si="74">(Q402/W402)*X402</f>
        <v>0.61936875000000002</v>
      </c>
      <c r="Z402" s="97">
        <f t="shared" si="71"/>
        <v>23.608576875000001</v>
      </c>
      <c r="AA402" s="69" t="s">
        <v>57</v>
      </c>
      <c r="AB402" s="67" t="s">
        <v>48</v>
      </c>
      <c r="AC402" s="295" t="s">
        <v>55</v>
      </c>
      <c r="AD402" s="21" t="s">
        <v>57</v>
      </c>
      <c r="AE402" s="20">
        <v>46002</v>
      </c>
      <c r="AF402" s="21" t="s">
        <v>708</v>
      </c>
      <c r="AG402" s="21"/>
      <c r="AH402" s="98"/>
      <c r="AI402" s="485">
        <v>46016</v>
      </c>
      <c r="AJ402" s="145">
        <f t="shared" si="73"/>
        <v>6</v>
      </c>
      <c r="AK402" s="100">
        <f>VLOOKUP(AP402,'[2]CONTENEUR PLEIN'!$F:$L,3,FALSE)</f>
        <v>46022</v>
      </c>
      <c r="AL402" s="99">
        <f>VLOOKUP(AP402,'[2]CONTENEUR PLEIN'!$F:$L,5,FALSE)</f>
        <v>46066</v>
      </c>
      <c r="AM402" s="18">
        <f>VLOOKUP(AP402,'[2]CONTENEUR PLEIN'!$F:$L,7,FALSE)</f>
        <v>46071.333333333336</v>
      </c>
      <c r="AN402" s="239" t="s">
        <v>63</v>
      </c>
      <c r="AO402" s="514" t="s">
        <v>782</v>
      </c>
      <c r="AP402" s="514" t="s">
        <v>783</v>
      </c>
      <c r="AQ402" s="514" t="s">
        <v>784</v>
      </c>
      <c r="AR402" s="90" t="str">
        <f>VLOOKUP(AP402,'[2]CONTENEUR PLEIN'!$F:$L,2,FALSE)</f>
        <v>CMA CGM GREENLAND</v>
      </c>
      <c r="AS402" s="514" t="s">
        <v>316</v>
      </c>
      <c r="AT402" s="98"/>
    </row>
    <row r="403" spans="2:47" s="72" customFormat="1" hidden="1" x14ac:dyDescent="0.25">
      <c r="B403" s="498" t="s">
        <v>45</v>
      </c>
      <c r="C403" s="89">
        <v>45937</v>
      </c>
      <c r="D403" s="90">
        <v>25099</v>
      </c>
      <c r="E403" s="516" t="s">
        <v>488</v>
      </c>
      <c r="F403" s="90">
        <v>2508191700</v>
      </c>
      <c r="G403" s="239" t="s">
        <v>74</v>
      </c>
      <c r="H403" s="239" t="s">
        <v>418</v>
      </c>
      <c r="I403" s="239" t="s">
        <v>49</v>
      </c>
      <c r="J403" s="239" t="s">
        <v>46</v>
      </c>
      <c r="K403" s="8" t="s">
        <v>997</v>
      </c>
      <c r="L403" s="128">
        <v>46048</v>
      </c>
      <c r="M403" s="381">
        <f t="shared" si="72"/>
        <v>4</v>
      </c>
      <c r="N403" s="98" t="s">
        <v>49</v>
      </c>
      <c r="O403" s="92">
        <v>30170039</v>
      </c>
      <c r="P403" s="24" t="str">
        <f>VLOOKUP(O403,[1]Feuil2!$A:$M,5,FALSE)</f>
        <v>CUILLERE LAG DUO BLANC + GENCOD</v>
      </c>
      <c r="Q403" s="90">
        <v>2640</v>
      </c>
      <c r="R403" s="93">
        <v>0.32200000000000001</v>
      </c>
      <c r="S403" s="94">
        <f t="shared" si="69"/>
        <v>850.08</v>
      </c>
      <c r="T403" s="95">
        <f t="shared" si="66"/>
        <v>42403.920000000006</v>
      </c>
      <c r="U403" s="138"/>
      <c r="V403" s="96">
        <f t="shared" si="70"/>
        <v>42403.920000000006</v>
      </c>
      <c r="W403" s="4">
        <f>VLOOKUP(O403,[1]Feuil2!$A:$M,6,FALSE)</f>
        <v>240</v>
      </c>
      <c r="X403" s="5">
        <f>VLOOKUP(O403,[1]Feuil2!$A:$M,13,FALSE)</f>
        <v>2.9791999999999999E-2</v>
      </c>
      <c r="Y403" s="6">
        <f t="shared" si="74"/>
        <v>0.327712</v>
      </c>
      <c r="Z403" s="97">
        <f t="shared" si="71"/>
        <v>23.608576875000001</v>
      </c>
      <c r="AA403" s="69" t="s">
        <v>57</v>
      </c>
      <c r="AB403" s="67" t="s">
        <v>48</v>
      </c>
      <c r="AC403" s="295" t="s">
        <v>55</v>
      </c>
      <c r="AD403" s="21" t="s">
        <v>57</v>
      </c>
      <c r="AE403" s="20">
        <v>46002</v>
      </c>
      <c r="AF403" s="21" t="s">
        <v>709</v>
      </c>
      <c r="AG403" s="21"/>
      <c r="AH403" s="98"/>
      <c r="AI403" s="485">
        <v>46016</v>
      </c>
      <c r="AJ403" s="145">
        <f t="shared" si="73"/>
        <v>6</v>
      </c>
      <c r="AK403" s="100">
        <f>VLOOKUP(AP403,'[2]CONTENEUR PLEIN'!$F:$L,3,FALSE)</f>
        <v>46022</v>
      </c>
      <c r="AL403" s="99">
        <f>VLOOKUP(AP403,'[2]CONTENEUR PLEIN'!$F:$L,5,FALSE)</f>
        <v>46066</v>
      </c>
      <c r="AM403" s="18">
        <f>VLOOKUP(AP403,'[2]CONTENEUR PLEIN'!$F:$L,7,FALSE)</f>
        <v>46071.333333333336</v>
      </c>
      <c r="AN403" s="239" t="s">
        <v>63</v>
      </c>
      <c r="AO403" s="514" t="s">
        <v>782</v>
      </c>
      <c r="AP403" s="514" t="s">
        <v>783</v>
      </c>
      <c r="AQ403" s="514" t="s">
        <v>784</v>
      </c>
      <c r="AR403" s="90" t="str">
        <f>VLOOKUP(AP403,'[2]CONTENEUR PLEIN'!$F:$L,2,FALSE)</f>
        <v>CMA CGM GREENLAND</v>
      </c>
      <c r="AS403" s="514" t="s">
        <v>316</v>
      </c>
      <c r="AT403" s="98"/>
    </row>
    <row r="404" spans="2:47" s="72" customFormat="1" hidden="1" x14ac:dyDescent="0.25">
      <c r="B404" s="498" t="s">
        <v>45</v>
      </c>
      <c r="C404" s="89">
        <v>45937</v>
      </c>
      <c r="D404" s="90">
        <v>25099</v>
      </c>
      <c r="E404" s="516" t="s">
        <v>488</v>
      </c>
      <c r="F404" s="90">
        <v>2508191700</v>
      </c>
      <c r="G404" s="239" t="s">
        <v>74</v>
      </c>
      <c r="H404" s="239" t="s">
        <v>418</v>
      </c>
      <c r="I404" s="239" t="s">
        <v>49</v>
      </c>
      <c r="J404" s="239" t="s">
        <v>46</v>
      </c>
      <c r="K404" s="16" t="s">
        <v>1051</v>
      </c>
      <c r="L404" s="238">
        <v>46056</v>
      </c>
      <c r="M404" s="381">
        <f t="shared" si="72"/>
        <v>5</v>
      </c>
      <c r="N404" s="98" t="s">
        <v>49</v>
      </c>
      <c r="O404" s="92">
        <v>30190004</v>
      </c>
      <c r="P404" s="24" t="str">
        <f>VLOOKUP(O404,[1]Feuil2!$A:$M,5,FALSE)</f>
        <v>CAFE INEDIT USA+GENCOD</v>
      </c>
      <c r="Q404" s="90">
        <v>4560</v>
      </c>
      <c r="R404" s="93">
        <v>0.315</v>
      </c>
      <c r="S404" s="94">
        <f t="shared" si="69"/>
        <v>1436.4</v>
      </c>
      <c r="T404" s="95">
        <f t="shared" si="66"/>
        <v>42403.920000000006</v>
      </c>
      <c r="U404" s="138"/>
      <c r="V404" s="96">
        <f t="shared" si="70"/>
        <v>42403.920000000006</v>
      </c>
      <c r="W404" s="4">
        <f>VLOOKUP(O404,[1]Feuil2!$A:$M,6,FALSE)</f>
        <v>240</v>
      </c>
      <c r="X404" s="5">
        <f>VLOOKUP(O404,[1]Feuil2!$A:$M,13,FALSE)</f>
        <v>1.6982999999999998E-2</v>
      </c>
      <c r="Y404" s="6">
        <f t="shared" si="74"/>
        <v>0.32267699999999999</v>
      </c>
      <c r="Z404" s="97">
        <f t="shared" si="71"/>
        <v>23.608576875000001</v>
      </c>
      <c r="AA404" s="69" t="s">
        <v>57</v>
      </c>
      <c r="AB404" s="67" t="s">
        <v>48</v>
      </c>
      <c r="AC404" s="295" t="s">
        <v>55</v>
      </c>
      <c r="AD404" s="133" t="s">
        <v>61</v>
      </c>
      <c r="AE404" s="20">
        <v>46004</v>
      </c>
      <c r="AF404" s="21" t="s">
        <v>732</v>
      </c>
      <c r="AG404" s="21"/>
      <c r="AH404" s="98"/>
      <c r="AI404" s="135">
        <v>46016</v>
      </c>
      <c r="AJ404" s="145">
        <f t="shared" si="73"/>
        <v>10</v>
      </c>
      <c r="AK404" s="100">
        <f>VLOOKUP(AP404,'[2]CONTENEUR PLEIN'!$F:$L,3,FALSE)</f>
        <v>46026</v>
      </c>
      <c r="AL404" s="99">
        <f>VLOOKUP(AP404,'[2]CONTENEUR PLEIN'!$F:$L,5,FALSE)</f>
        <v>46081</v>
      </c>
      <c r="AM404" s="18">
        <f>VLOOKUP(AP404,'[2]CONTENEUR PLEIN'!$F:$L,7,FALSE)</f>
        <v>46098.53125</v>
      </c>
      <c r="AN404" s="239" t="s">
        <v>63</v>
      </c>
      <c r="AO404" s="514" t="s">
        <v>786</v>
      </c>
      <c r="AP404" s="514" t="s">
        <v>787</v>
      </c>
      <c r="AQ404" s="514" t="s">
        <v>788</v>
      </c>
      <c r="AR404" s="90" t="str">
        <f>VLOOKUP(AP404,'[2]CONTENEUR PLEIN'!$F:$L,2,FALSE)</f>
        <v>ZEPHYR LUMOS</v>
      </c>
      <c r="AS404" s="514" t="s">
        <v>316</v>
      </c>
      <c r="AT404" s="98"/>
    </row>
    <row r="405" spans="2:47" s="72" customFormat="1" hidden="1" x14ac:dyDescent="0.25">
      <c r="B405" s="498" t="s">
        <v>45</v>
      </c>
      <c r="C405" s="89">
        <v>45937</v>
      </c>
      <c r="D405" s="90">
        <v>25099</v>
      </c>
      <c r="E405" s="516" t="s">
        <v>488</v>
      </c>
      <c r="F405" s="90">
        <v>2508191700</v>
      </c>
      <c r="G405" s="239" t="s">
        <v>74</v>
      </c>
      <c r="H405" s="239" t="s">
        <v>418</v>
      </c>
      <c r="I405" s="239" t="s">
        <v>49</v>
      </c>
      <c r="J405" s="239" t="s">
        <v>46</v>
      </c>
      <c r="K405" s="16" t="s">
        <v>1051</v>
      </c>
      <c r="L405" s="238">
        <v>46056</v>
      </c>
      <c r="M405" s="381">
        <f t="shared" si="72"/>
        <v>5</v>
      </c>
      <c r="N405" s="98" t="s">
        <v>62</v>
      </c>
      <c r="O405" s="92">
        <v>32070006</v>
      </c>
      <c r="P405" s="24" t="str">
        <f>VLOOKUP(O405,[1]Feuil2!$A:$M,5,FALSE)</f>
        <v>FOURCHETTE OPEN DECOR FUROSHIKI CARREFOUR HOME</v>
      </c>
      <c r="Q405" s="90">
        <v>7200</v>
      </c>
      <c r="R405" s="93">
        <v>0.23699999999999999</v>
      </c>
      <c r="S405" s="94">
        <f t="shared" si="69"/>
        <v>1706.3999999999999</v>
      </c>
      <c r="T405" s="95">
        <f t="shared" si="66"/>
        <v>42403.920000000006</v>
      </c>
      <c r="U405" s="138"/>
      <c r="V405" s="96">
        <f t="shared" si="70"/>
        <v>42403.920000000006</v>
      </c>
      <c r="W405" s="4">
        <f>VLOOKUP(O405,[1]Feuil2!$A:$M,6,FALSE)</f>
        <v>240</v>
      </c>
      <c r="X405" s="5">
        <f>VLOOKUP(O405,[1]Feuil2!$A:$M,13,FALSE)</f>
        <v>3.04E-2</v>
      </c>
      <c r="Y405" s="6">
        <f t="shared" si="74"/>
        <v>0.91200000000000003</v>
      </c>
      <c r="Z405" s="97">
        <f t="shared" si="71"/>
        <v>23.608576875000001</v>
      </c>
      <c r="AA405" s="69" t="s">
        <v>57</v>
      </c>
      <c r="AB405" s="67" t="s">
        <v>48</v>
      </c>
      <c r="AC405" s="295" t="s">
        <v>55</v>
      </c>
      <c r="AD405" s="133" t="s">
        <v>61</v>
      </c>
      <c r="AE405" s="20">
        <v>46003</v>
      </c>
      <c r="AF405" s="21" t="s">
        <v>725</v>
      </c>
      <c r="AG405" s="21"/>
      <c r="AH405" s="98"/>
      <c r="AI405" s="135">
        <v>46016</v>
      </c>
      <c r="AJ405" s="145">
        <f t="shared" si="73"/>
        <v>10</v>
      </c>
      <c r="AK405" s="100">
        <f>VLOOKUP(AP405,'[2]CONTENEUR PLEIN'!$F:$L,3,FALSE)</f>
        <v>46026</v>
      </c>
      <c r="AL405" s="99">
        <f>VLOOKUP(AP405,'[2]CONTENEUR PLEIN'!$F:$L,5,FALSE)</f>
        <v>46081</v>
      </c>
      <c r="AM405" s="18">
        <f>VLOOKUP(AP405,'[2]CONTENEUR PLEIN'!$F:$L,7,FALSE)</f>
        <v>46098.53125</v>
      </c>
      <c r="AN405" s="239" t="s">
        <v>63</v>
      </c>
      <c r="AO405" s="514" t="s">
        <v>786</v>
      </c>
      <c r="AP405" s="514" t="s">
        <v>787</v>
      </c>
      <c r="AQ405" s="514" t="s">
        <v>788</v>
      </c>
      <c r="AR405" s="90" t="str">
        <f>VLOOKUP(AP405,'[2]CONTENEUR PLEIN'!$F:$L,2,FALSE)</f>
        <v>ZEPHYR LUMOS</v>
      </c>
      <c r="AS405" s="514" t="s">
        <v>316</v>
      </c>
      <c r="AT405" s="98"/>
    </row>
    <row r="406" spans="2:47" s="72" customFormat="1" hidden="1" x14ac:dyDescent="0.25">
      <c r="B406" s="498" t="s">
        <v>45</v>
      </c>
      <c r="C406" s="89">
        <v>45937</v>
      </c>
      <c r="D406" s="90">
        <v>25099</v>
      </c>
      <c r="E406" s="516" t="s">
        <v>488</v>
      </c>
      <c r="F406" s="90">
        <v>2508191700</v>
      </c>
      <c r="G406" s="239" t="s">
        <v>74</v>
      </c>
      <c r="H406" s="239" t="s">
        <v>418</v>
      </c>
      <c r="I406" s="239" t="s">
        <v>49</v>
      </c>
      <c r="J406" s="239" t="s">
        <v>46</v>
      </c>
      <c r="K406" s="16" t="s">
        <v>1051</v>
      </c>
      <c r="L406" s="238">
        <v>46056</v>
      </c>
      <c r="M406" s="381">
        <f t="shared" si="72"/>
        <v>5</v>
      </c>
      <c r="N406" s="98" t="s">
        <v>62</v>
      </c>
      <c r="O406" s="92">
        <v>32070018</v>
      </c>
      <c r="P406" s="24" t="str">
        <f>VLOOKUP(O406,[1]Feuil2!$A:$M,5,FALSE)</f>
        <v>FOURCHETTE OPEN DECOR POIS ROUGE 3517C CARREFOUR HOME</v>
      </c>
      <c r="Q406" s="90">
        <v>4800</v>
      </c>
      <c r="R406" s="93">
        <v>0.23699999999999999</v>
      </c>
      <c r="S406" s="94">
        <f t="shared" si="69"/>
        <v>1137.5999999999999</v>
      </c>
      <c r="T406" s="95">
        <f t="shared" si="66"/>
        <v>42403.920000000006</v>
      </c>
      <c r="U406" s="138"/>
      <c r="V406" s="96">
        <f t="shared" si="70"/>
        <v>42403.920000000006</v>
      </c>
      <c r="W406" s="4">
        <f>VLOOKUP(O406,[1]Feuil2!$A:$M,6,FALSE)</f>
        <v>240</v>
      </c>
      <c r="X406" s="5">
        <f>VLOOKUP(O406,[1]Feuil2!$A:$M,13,FALSE)</f>
        <v>2.9600000000000001E-2</v>
      </c>
      <c r="Y406" s="6">
        <f t="shared" si="74"/>
        <v>0.59200000000000008</v>
      </c>
      <c r="Z406" s="97">
        <f t="shared" si="71"/>
        <v>23.608576875000001</v>
      </c>
      <c r="AA406" s="69" t="s">
        <v>57</v>
      </c>
      <c r="AB406" s="67" t="s">
        <v>48</v>
      </c>
      <c r="AC406" s="295" t="s">
        <v>55</v>
      </c>
      <c r="AD406" s="133" t="s">
        <v>61</v>
      </c>
      <c r="AE406" s="20">
        <v>46004</v>
      </c>
      <c r="AF406" s="21" t="s">
        <v>731</v>
      </c>
      <c r="AG406" s="21"/>
      <c r="AH406" s="98"/>
      <c r="AI406" s="135">
        <v>46016</v>
      </c>
      <c r="AJ406" s="145">
        <f t="shared" si="73"/>
        <v>10</v>
      </c>
      <c r="AK406" s="100">
        <f>VLOOKUP(AP406,'[2]CONTENEUR PLEIN'!$F:$L,3,FALSE)</f>
        <v>46026</v>
      </c>
      <c r="AL406" s="99">
        <f>VLOOKUP(AP406,'[2]CONTENEUR PLEIN'!$F:$L,5,FALSE)</f>
        <v>46081</v>
      </c>
      <c r="AM406" s="18">
        <f>VLOOKUP(AP406,'[2]CONTENEUR PLEIN'!$F:$L,7,FALSE)</f>
        <v>46098.53125</v>
      </c>
      <c r="AN406" s="239" t="s">
        <v>63</v>
      </c>
      <c r="AO406" s="514" t="s">
        <v>786</v>
      </c>
      <c r="AP406" s="514" t="s">
        <v>787</v>
      </c>
      <c r="AQ406" s="514" t="s">
        <v>788</v>
      </c>
      <c r="AR406" s="90" t="str">
        <f>VLOOKUP(AP406,'[2]CONTENEUR PLEIN'!$F:$L,2,FALSE)</f>
        <v>ZEPHYR LUMOS</v>
      </c>
      <c r="AS406" s="514" t="s">
        <v>316</v>
      </c>
      <c r="AT406" s="98"/>
    </row>
    <row r="407" spans="2:47" s="72" customFormat="1" hidden="1" x14ac:dyDescent="0.25">
      <c r="B407" s="498" t="s">
        <v>45</v>
      </c>
      <c r="C407" s="89">
        <v>45937</v>
      </c>
      <c r="D407" s="90">
        <v>25099</v>
      </c>
      <c r="E407" s="516" t="s">
        <v>488</v>
      </c>
      <c r="F407" s="90">
        <v>2508191700</v>
      </c>
      <c r="G407" s="239" t="s">
        <v>74</v>
      </c>
      <c r="H407" s="239" t="s">
        <v>418</v>
      </c>
      <c r="I407" s="239" t="s">
        <v>49</v>
      </c>
      <c r="J407" s="239" t="s">
        <v>46</v>
      </c>
      <c r="K407" s="16" t="s">
        <v>1051</v>
      </c>
      <c r="L407" s="238">
        <v>46056</v>
      </c>
      <c r="M407" s="381">
        <f t="shared" si="72"/>
        <v>5</v>
      </c>
      <c r="N407" s="98" t="s">
        <v>49</v>
      </c>
      <c r="O407" s="92">
        <v>32070033</v>
      </c>
      <c r="P407" s="24" t="str">
        <f>VLOOKUP(O407,[1]Feuil2!$A:$M,5,FALSE)</f>
        <v>COUTEAU OPEN DECOR POIS ROUGE 3517C TB COLLECTION</v>
      </c>
      <c r="Q407" s="90">
        <v>3600</v>
      </c>
      <c r="R407" s="93">
        <v>0.23899999999999999</v>
      </c>
      <c r="S407" s="94">
        <f t="shared" si="69"/>
        <v>860.4</v>
      </c>
      <c r="T407" s="95">
        <f t="shared" si="66"/>
        <v>42403.920000000006</v>
      </c>
      <c r="U407" s="138"/>
      <c r="V407" s="96">
        <f t="shared" si="70"/>
        <v>42403.920000000006</v>
      </c>
      <c r="W407" s="4">
        <f>VLOOKUP(O407,[1]Feuil2!$A:$M,6,FALSE)</f>
        <v>240</v>
      </c>
      <c r="X407" s="5">
        <f>VLOOKUP(O407,[1]Feuil2!$A:$M,13,FALSE)</f>
        <v>2.6600000000000002E-2</v>
      </c>
      <c r="Y407" s="6">
        <f t="shared" si="74"/>
        <v>0.39900000000000002</v>
      </c>
      <c r="Z407" s="97">
        <f t="shared" si="71"/>
        <v>23.608576875000001</v>
      </c>
      <c r="AA407" s="69" t="s">
        <v>57</v>
      </c>
      <c r="AB407" s="67" t="s">
        <v>48</v>
      </c>
      <c r="AC407" s="295" t="s">
        <v>55</v>
      </c>
      <c r="AD407" s="133" t="s">
        <v>61</v>
      </c>
      <c r="AE407" s="20">
        <v>46004</v>
      </c>
      <c r="AF407" s="21" t="s">
        <v>730</v>
      </c>
      <c r="AG407" s="21"/>
      <c r="AH407" s="98"/>
      <c r="AI407" s="135">
        <v>46016</v>
      </c>
      <c r="AJ407" s="145">
        <f t="shared" si="73"/>
        <v>10</v>
      </c>
      <c r="AK407" s="100">
        <f>VLOOKUP(AP407,'[2]CONTENEUR PLEIN'!$F:$L,3,FALSE)</f>
        <v>46026</v>
      </c>
      <c r="AL407" s="99">
        <f>VLOOKUP(AP407,'[2]CONTENEUR PLEIN'!$F:$L,5,FALSE)</f>
        <v>46081</v>
      </c>
      <c r="AM407" s="18">
        <f>VLOOKUP(AP407,'[2]CONTENEUR PLEIN'!$F:$L,7,FALSE)</f>
        <v>46098.53125</v>
      </c>
      <c r="AN407" s="239" t="s">
        <v>63</v>
      </c>
      <c r="AO407" s="514" t="s">
        <v>786</v>
      </c>
      <c r="AP407" s="514" t="s">
        <v>787</v>
      </c>
      <c r="AQ407" s="514" t="s">
        <v>788</v>
      </c>
      <c r="AR407" s="90" t="str">
        <f>VLOOKUP(AP407,'[2]CONTENEUR PLEIN'!$F:$L,2,FALSE)</f>
        <v>ZEPHYR LUMOS</v>
      </c>
      <c r="AS407" s="514" t="s">
        <v>316</v>
      </c>
      <c r="AT407" s="98"/>
    </row>
    <row r="408" spans="2:47" s="72" customFormat="1" hidden="1" x14ac:dyDescent="0.25">
      <c r="B408" s="498" t="s">
        <v>45</v>
      </c>
      <c r="C408" s="89">
        <v>45937</v>
      </c>
      <c r="D408" s="90">
        <v>25099</v>
      </c>
      <c r="E408" s="516" t="s">
        <v>488</v>
      </c>
      <c r="F408" s="90">
        <v>2508191700</v>
      </c>
      <c r="G408" s="239" t="s">
        <v>74</v>
      </c>
      <c r="H408" s="239" t="s">
        <v>418</v>
      </c>
      <c r="I408" s="239" t="s">
        <v>49</v>
      </c>
      <c r="J408" s="239" t="s">
        <v>46</v>
      </c>
      <c r="K408" s="16" t="s">
        <v>1051</v>
      </c>
      <c r="L408" s="238">
        <v>46056</v>
      </c>
      <c r="M408" s="381">
        <f t="shared" si="72"/>
        <v>5</v>
      </c>
      <c r="N408" s="98" t="s">
        <v>49</v>
      </c>
      <c r="O408" s="92">
        <v>32070034</v>
      </c>
      <c r="P408" s="24" t="str">
        <f>VLOOKUP(O408,[1]Feuil2!$A:$M,5,FALSE)</f>
        <v>FOURCHETTE OPEN DECOR POIS ROUGE 3517C TB COLLECTION</v>
      </c>
      <c r="Q408" s="90">
        <v>3600</v>
      </c>
      <c r="R408" s="93">
        <v>0.23699999999999999</v>
      </c>
      <c r="S408" s="94">
        <f t="shared" si="69"/>
        <v>853.19999999999993</v>
      </c>
      <c r="T408" s="95">
        <f t="shared" ref="T408:T473" si="75">SUMIF($E$5:$E$9257,E408,$S$5:$S$9257)</f>
        <v>42403.920000000006</v>
      </c>
      <c r="U408" s="138"/>
      <c r="V408" s="96">
        <f t="shared" si="70"/>
        <v>42403.920000000006</v>
      </c>
      <c r="W408" s="4">
        <f>VLOOKUP(O408,[1]Feuil2!$A:$M,6,FALSE)</f>
        <v>240</v>
      </c>
      <c r="X408" s="5">
        <f>VLOOKUP(O408,[1]Feuil2!$A:$M,13,FALSE)</f>
        <v>2.9303999999999997E-2</v>
      </c>
      <c r="Y408" s="6">
        <f t="shared" si="74"/>
        <v>0.43955999999999995</v>
      </c>
      <c r="Z408" s="97">
        <f t="shared" si="71"/>
        <v>23.608576875000001</v>
      </c>
      <c r="AA408" s="69" t="s">
        <v>57</v>
      </c>
      <c r="AB408" s="67" t="s">
        <v>48</v>
      </c>
      <c r="AC408" s="295" t="s">
        <v>55</v>
      </c>
      <c r="AD408" s="133" t="s">
        <v>61</v>
      </c>
      <c r="AE408" s="20">
        <v>46004</v>
      </c>
      <c r="AF408" s="21" t="s">
        <v>729</v>
      </c>
      <c r="AG408" s="21"/>
      <c r="AH408" s="98"/>
      <c r="AI408" s="135">
        <v>46016</v>
      </c>
      <c r="AJ408" s="145">
        <f t="shared" si="73"/>
        <v>10</v>
      </c>
      <c r="AK408" s="100">
        <f>VLOOKUP(AP408,'[2]CONTENEUR PLEIN'!$F:$L,3,FALSE)</f>
        <v>46026</v>
      </c>
      <c r="AL408" s="99">
        <f>VLOOKUP(AP408,'[2]CONTENEUR PLEIN'!$F:$L,5,FALSE)</f>
        <v>46081</v>
      </c>
      <c r="AM408" s="18">
        <f>VLOOKUP(AP408,'[2]CONTENEUR PLEIN'!$F:$L,7,FALSE)</f>
        <v>46098.53125</v>
      </c>
      <c r="AN408" s="239" t="s">
        <v>63</v>
      </c>
      <c r="AO408" s="514" t="s">
        <v>786</v>
      </c>
      <c r="AP408" s="514" t="s">
        <v>787</v>
      </c>
      <c r="AQ408" s="514" t="s">
        <v>788</v>
      </c>
      <c r="AR408" s="90" t="str">
        <f>VLOOKUP(AP408,'[2]CONTENEUR PLEIN'!$F:$L,2,FALSE)</f>
        <v>ZEPHYR LUMOS</v>
      </c>
      <c r="AS408" s="514" t="s">
        <v>316</v>
      </c>
      <c r="AT408" s="98"/>
    </row>
    <row r="409" spans="2:47" s="72" customFormat="1" hidden="1" x14ac:dyDescent="0.25">
      <c r="B409" s="498" t="s">
        <v>45</v>
      </c>
      <c r="C409" s="89">
        <v>45937</v>
      </c>
      <c r="D409" s="90">
        <v>25099</v>
      </c>
      <c r="E409" s="516" t="s">
        <v>488</v>
      </c>
      <c r="F409" s="90">
        <v>2508191700</v>
      </c>
      <c r="G409" s="239" t="s">
        <v>74</v>
      </c>
      <c r="H409" s="239" t="s">
        <v>418</v>
      </c>
      <c r="I409" s="239" t="s">
        <v>49</v>
      </c>
      <c r="J409" s="239" t="s">
        <v>46</v>
      </c>
      <c r="K409" s="16" t="s">
        <v>1051</v>
      </c>
      <c r="L409" s="238">
        <v>46056</v>
      </c>
      <c r="M409" s="381">
        <f t="shared" si="72"/>
        <v>5</v>
      </c>
      <c r="N409" s="98" t="s">
        <v>49</v>
      </c>
      <c r="O409" s="92">
        <v>32070041</v>
      </c>
      <c r="P409" s="24" t="str">
        <f>VLOOKUP(O409,[1]Feuil2!$A:$M,5,FALSE)</f>
        <v>COUTEAU OPEN DECOR GUINGUETTE BLEU TB COLLECTION</v>
      </c>
      <c r="Q409" s="90">
        <v>1440</v>
      </c>
      <c r="R409" s="93">
        <v>0.23899999999999999</v>
      </c>
      <c r="S409" s="94">
        <f t="shared" si="69"/>
        <v>344.15999999999997</v>
      </c>
      <c r="T409" s="95">
        <f t="shared" si="75"/>
        <v>42403.920000000006</v>
      </c>
      <c r="U409" s="138"/>
      <c r="V409" s="96">
        <f t="shared" si="70"/>
        <v>42403.920000000006</v>
      </c>
      <c r="W409" s="4">
        <f>VLOOKUP(O409,[1]Feuil2!$A:$M,6,FALSE)</f>
        <v>240</v>
      </c>
      <c r="X409" s="5">
        <f>VLOOKUP(O409,[1]Feuil2!$A:$M,13,FALSE)</f>
        <v>2.4624000000000007E-2</v>
      </c>
      <c r="Y409" s="6">
        <f t="shared" si="74"/>
        <v>0.14774400000000004</v>
      </c>
      <c r="Z409" s="97">
        <f t="shared" si="71"/>
        <v>23.608576875000001</v>
      </c>
      <c r="AA409" s="69" t="s">
        <v>57</v>
      </c>
      <c r="AB409" s="67" t="s">
        <v>48</v>
      </c>
      <c r="AC409" s="295" t="s">
        <v>55</v>
      </c>
      <c r="AD409" s="133" t="s">
        <v>61</v>
      </c>
      <c r="AE409" s="20">
        <v>46003</v>
      </c>
      <c r="AF409" s="21" t="s">
        <v>726</v>
      </c>
      <c r="AG409" s="21"/>
      <c r="AH409" s="98"/>
      <c r="AI409" s="135">
        <v>46016</v>
      </c>
      <c r="AJ409" s="145">
        <f t="shared" si="73"/>
        <v>10</v>
      </c>
      <c r="AK409" s="100">
        <f>VLOOKUP(AP409,'[2]CONTENEUR PLEIN'!$F:$L,3,FALSE)</f>
        <v>46026</v>
      </c>
      <c r="AL409" s="99">
        <f>VLOOKUP(AP409,'[2]CONTENEUR PLEIN'!$F:$L,5,FALSE)</f>
        <v>46081</v>
      </c>
      <c r="AM409" s="18">
        <f>VLOOKUP(AP409,'[2]CONTENEUR PLEIN'!$F:$L,7,FALSE)</f>
        <v>46098.53125</v>
      </c>
      <c r="AN409" s="239" t="s">
        <v>63</v>
      </c>
      <c r="AO409" s="514" t="s">
        <v>786</v>
      </c>
      <c r="AP409" s="514" t="s">
        <v>787</v>
      </c>
      <c r="AQ409" s="514" t="s">
        <v>788</v>
      </c>
      <c r="AR409" s="90" t="str">
        <f>VLOOKUP(AP409,'[2]CONTENEUR PLEIN'!$F:$L,2,FALSE)</f>
        <v>ZEPHYR LUMOS</v>
      </c>
      <c r="AS409" s="514" t="s">
        <v>316</v>
      </c>
      <c r="AT409" s="98"/>
    </row>
    <row r="410" spans="2:47" s="72" customFormat="1" hidden="1" x14ac:dyDescent="0.25">
      <c r="B410" s="498" t="s">
        <v>45</v>
      </c>
      <c r="C410" s="89">
        <v>45937</v>
      </c>
      <c r="D410" s="90">
        <v>25099</v>
      </c>
      <c r="E410" s="516" t="s">
        <v>488</v>
      </c>
      <c r="F410" s="90">
        <v>2508191700</v>
      </c>
      <c r="G410" s="239" t="s">
        <v>74</v>
      </c>
      <c r="H410" s="239" t="s">
        <v>418</v>
      </c>
      <c r="I410" s="239" t="s">
        <v>49</v>
      </c>
      <c r="J410" s="239" t="s">
        <v>46</v>
      </c>
      <c r="K410" s="16" t="s">
        <v>1051</v>
      </c>
      <c r="L410" s="238">
        <v>46056</v>
      </c>
      <c r="M410" s="381">
        <f t="shared" si="72"/>
        <v>5</v>
      </c>
      <c r="N410" s="98" t="s">
        <v>49</v>
      </c>
      <c r="O410" s="92">
        <v>32070042</v>
      </c>
      <c r="P410" s="24" t="str">
        <f>VLOOKUP(O410,[1]Feuil2!$A:$M,5,FALSE)</f>
        <v>FOURCHETTE OPEN DECOR GUINGUETTE BLEU  TB COLLECTION</v>
      </c>
      <c r="Q410" s="90">
        <v>1440</v>
      </c>
      <c r="R410" s="93">
        <v>0.23699999999999999</v>
      </c>
      <c r="S410" s="94">
        <f t="shared" si="69"/>
        <v>341.28</v>
      </c>
      <c r="T410" s="95">
        <f t="shared" si="75"/>
        <v>42403.920000000006</v>
      </c>
      <c r="U410" s="138"/>
      <c r="V410" s="96">
        <f t="shared" si="70"/>
        <v>42403.920000000006</v>
      </c>
      <c r="W410" s="4">
        <f>VLOOKUP(O410,[1]Feuil2!$A:$M,6,FALSE)</f>
        <v>240</v>
      </c>
      <c r="X410" s="5">
        <f>VLOOKUP(O410,[1]Feuil2!$A:$M,13,FALSE)</f>
        <v>3.0095999999999998E-2</v>
      </c>
      <c r="Y410" s="6">
        <f t="shared" si="74"/>
        <v>0.18057599999999999</v>
      </c>
      <c r="Z410" s="97">
        <f t="shared" si="71"/>
        <v>23.608576875000001</v>
      </c>
      <c r="AA410" s="69" t="s">
        <v>57</v>
      </c>
      <c r="AB410" s="67" t="s">
        <v>48</v>
      </c>
      <c r="AC410" s="295" t="s">
        <v>55</v>
      </c>
      <c r="AD410" s="133" t="s">
        <v>61</v>
      </c>
      <c r="AE410" s="20">
        <v>46000</v>
      </c>
      <c r="AF410" s="47" t="s">
        <v>696</v>
      </c>
      <c r="AG410" s="21"/>
      <c r="AH410" s="98"/>
      <c r="AI410" s="135">
        <v>46016</v>
      </c>
      <c r="AJ410" s="145">
        <f t="shared" si="73"/>
        <v>10</v>
      </c>
      <c r="AK410" s="100">
        <f>VLOOKUP(AP410,'[2]CONTENEUR PLEIN'!$F:$L,3,FALSE)</f>
        <v>46026</v>
      </c>
      <c r="AL410" s="99">
        <f>VLOOKUP(AP410,'[2]CONTENEUR PLEIN'!$F:$L,5,FALSE)</f>
        <v>46081</v>
      </c>
      <c r="AM410" s="18">
        <f>VLOOKUP(AP410,'[2]CONTENEUR PLEIN'!$F:$L,7,FALSE)</f>
        <v>46098.53125</v>
      </c>
      <c r="AN410" s="239" t="s">
        <v>63</v>
      </c>
      <c r="AO410" s="514" t="s">
        <v>786</v>
      </c>
      <c r="AP410" s="514" t="s">
        <v>787</v>
      </c>
      <c r="AQ410" s="514" t="s">
        <v>788</v>
      </c>
      <c r="AR410" s="90" t="str">
        <f>VLOOKUP(AP410,'[2]CONTENEUR PLEIN'!$F:$L,2,FALSE)</f>
        <v>ZEPHYR LUMOS</v>
      </c>
      <c r="AS410" s="514" t="s">
        <v>316</v>
      </c>
      <c r="AT410" s="98"/>
    </row>
    <row r="411" spans="2:47" s="72" customFormat="1" hidden="1" x14ac:dyDescent="0.25">
      <c r="B411" s="498" t="s">
        <v>45</v>
      </c>
      <c r="C411" s="89">
        <v>45937</v>
      </c>
      <c r="D411" s="90">
        <v>25099</v>
      </c>
      <c r="E411" s="516" t="s">
        <v>488</v>
      </c>
      <c r="F411" s="90">
        <v>2508191700</v>
      </c>
      <c r="G411" s="239" t="s">
        <v>74</v>
      </c>
      <c r="H411" s="239" t="s">
        <v>418</v>
      </c>
      <c r="I411" s="239" t="s">
        <v>49</v>
      </c>
      <c r="J411" s="239" t="s">
        <v>46</v>
      </c>
      <c r="K411" s="16" t="s">
        <v>1051</v>
      </c>
      <c r="L411" s="238">
        <v>46056</v>
      </c>
      <c r="M411" s="381">
        <f t="shared" si="72"/>
        <v>5</v>
      </c>
      <c r="N411" s="98" t="s">
        <v>49</v>
      </c>
      <c r="O411" s="92">
        <v>32070043</v>
      </c>
      <c r="P411" s="24" t="str">
        <f>VLOOKUP(O411,[1]Feuil2!$A:$M,5,FALSE)</f>
        <v>CUILLERE OPEN DECOR GUINGUETTE BLEU  TB COLLECTION</v>
      </c>
      <c r="Q411" s="90">
        <v>1440</v>
      </c>
      <c r="R411" s="93">
        <v>0.249</v>
      </c>
      <c r="S411" s="94">
        <f t="shared" si="69"/>
        <v>358.56</v>
      </c>
      <c r="T411" s="95">
        <f t="shared" si="75"/>
        <v>42403.920000000006</v>
      </c>
      <c r="U411" s="138"/>
      <c r="V411" s="96">
        <f t="shared" si="70"/>
        <v>42403.920000000006</v>
      </c>
      <c r="W411" s="4">
        <f>VLOOKUP(O411,[1]Feuil2!$A:$M,6,FALSE)</f>
        <v>240</v>
      </c>
      <c r="X411" s="5">
        <f>VLOOKUP(O411,[1]Feuil2!$A:$M,13,FALSE)</f>
        <v>2.8415999999999997E-2</v>
      </c>
      <c r="Y411" s="6">
        <f t="shared" si="74"/>
        <v>0.17049599999999998</v>
      </c>
      <c r="Z411" s="97">
        <f t="shared" si="71"/>
        <v>23.608576875000001</v>
      </c>
      <c r="AA411" s="69" t="s">
        <v>57</v>
      </c>
      <c r="AB411" s="67" t="s">
        <v>48</v>
      </c>
      <c r="AC411" s="295" t="s">
        <v>55</v>
      </c>
      <c r="AD411" s="133" t="s">
        <v>61</v>
      </c>
      <c r="AE411" s="20">
        <v>46003</v>
      </c>
      <c r="AF411" s="21" t="s">
        <v>728</v>
      </c>
      <c r="AG411" s="21"/>
      <c r="AH411" s="98"/>
      <c r="AI411" s="135">
        <v>46016</v>
      </c>
      <c r="AJ411" s="145">
        <f t="shared" si="73"/>
        <v>10</v>
      </c>
      <c r="AK411" s="100">
        <f>VLOOKUP(AP411,'[2]CONTENEUR PLEIN'!$F:$L,3,FALSE)</f>
        <v>46026</v>
      </c>
      <c r="AL411" s="99">
        <f>VLOOKUP(AP411,'[2]CONTENEUR PLEIN'!$F:$L,5,FALSE)</f>
        <v>46081</v>
      </c>
      <c r="AM411" s="18">
        <f>VLOOKUP(AP411,'[2]CONTENEUR PLEIN'!$F:$L,7,FALSE)</f>
        <v>46098.53125</v>
      </c>
      <c r="AN411" s="239" t="s">
        <v>63</v>
      </c>
      <c r="AO411" s="514" t="s">
        <v>786</v>
      </c>
      <c r="AP411" s="514" t="s">
        <v>787</v>
      </c>
      <c r="AQ411" s="514" t="s">
        <v>788</v>
      </c>
      <c r="AR411" s="90" t="str">
        <f>VLOOKUP(AP411,'[2]CONTENEUR PLEIN'!$F:$L,2,FALSE)</f>
        <v>ZEPHYR LUMOS</v>
      </c>
      <c r="AS411" s="514" t="s">
        <v>316</v>
      </c>
      <c r="AT411" s="98"/>
    </row>
    <row r="412" spans="2:47" s="72" customFormat="1" hidden="1" x14ac:dyDescent="0.25">
      <c r="B412" s="498" t="s">
        <v>45</v>
      </c>
      <c r="C412" s="89">
        <v>45937</v>
      </c>
      <c r="D412" s="90">
        <v>25099</v>
      </c>
      <c r="E412" s="516" t="s">
        <v>488</v>
      </c>
      <c r="F412" s="90">
        <v>2508191700</v>
      </c>
      <c r="G412" s="239" t="s">
        <v>74</v>
      </c>
      <c r="H412" s="239" t="s">
        <v>418</v>
      </c>
      <c r="I412" s="239" t="s">
        <v>49</v>
      </c>
      <c r="J412" s="239" t="s">
        <v>46</v>
      </c>
      <c r="K412" s="16" t="s">
        <v>1051</v>
      </c>
      <c r="L412" s="238">
        <v>46056</v>
      </c>
      <c r="M412" s="381">
        <f t="shared" si="72"/>
        <v>5</v>
      </c>
      <c r="N412" s="98" t="s">
        <v>49</v>
      </c>
      <c r="O412" s="92">
        <v>32070044</v>
      </c>
      <c r="P412" s="24" t="str">
        <f>VLOOKUP(O412,[1]Feuil2!$A:$M,5,FALSE)</f>
        <v>CAFE OPEN DECOR GUINGUETTE BLEU  TB COLLECTION</v>
      </c>
      <c r="Q412" s="90">
        <v>1200</v>
      </c>
      <c r="R412" s="93">
        <v>0.21299999999999999</v>
      </c>
      <c r="S412" s="94">
        <f t="shared" si="69"/>
        <v>255.6</v>
      </c>
      <c r="T412" s="95">
        <f t="shared" si="75"/>
        <v>42403.920000000006</v>
      </c>
      <c r="U412" s="138"/>
      <c r="V412" s="96">
        <f t="shared" si="70"/>
        <v>42403.920000000006</v>
      </c>
      <c r="W412" s="4">
        <f>VLOOKUP(O412,[1]Feuil2!$A:$M,6,FALSE)</f>
        <v>240</v>
      </c>
      <c r="X412" s="5">
        <f>VLOOKUP(O412,[1]Feuil2!$A:$M,13,FALSE)</f>
        <v>2.0625000000000001E-2</v>
      </c>
      <c r="Y412" s="6">
        <f t="shared" si="74"/>
        <v>0.10312500000000001</v>
      </c>
      <c r="Z412" s="97">
        <f t="shared" si="71"/>
        <v>23.608576875000001</v>
      </c>
      <c r="AA412" s="69" t="s">
        <v>57</v>
      </c>
      <c r="AB412" s="67" t="s">
        <v>48</v>
      </c>
      <c r="AC412" s="295" t="s">
        <v>55</v>
      </c>
      <c r="AD412" s="133" t="s">
        <v>61</v>
      </c>
      <c r="AE412" s="20">
        <v>46003</v>
      </c>
      <c r="AF412" s="21" t="s">
        <v>727</v>
      </c>
      <c r="AG412" s="21"/>
      <c r="AH412" s="98"/>
      <c r="AI412" s="160">
        <v>46016</v>
      </c>
      <c r="AJ412" s="145">
        <f t="shared" si="73"/>
        <v>10</v>
      </c>
      <c r="AK412" s="100">
        <f>VLOOKUP(AP412,'[2]CONTENEUR PLEIN'!$F:$L,3,FALSE)</f>
        <v>46026</v>
      </c>
      <c r="AL412" s="99">
        <f>VLOOKUP(AP412,'[2]CONTENEUR PLEIN'!$F:$L,5,FALSE)</f>
        <v>46081</v>
      </c>
      <c r="AM412" s="18">
        <f>VLOOKUP(AP412,'[2]CONTENEUR PLEIN'!$F:$L,7,FALSE)</f>
        <v>46098.53125</v>
      </c>
      <c r="AN412" s="239" t="s">
        <v>63</v>
      </c>
      <c r="AO412" s="514" t="s">
        <v>786</v>
      </c>
      <c r="AP412" s="514" t="s">
        <v>787</v>
      </c>
      <c r="AQ412" s="514" t="s">
        <v>788</v>
      </c>
      <c r="AR412" s="90" t="str">
        <f>VLOOKUP(AP412,'[2]CONTENEUR PLEIN'!$F:$L,2,FALSE)</f>
        <v>ZEPHYR LUMOS</v>
      </c>
      <c r="AS412" s="514" t="s">
        <v>316</v>
      </c>
      <c r="AT412" s="98"/>
    </row>
    <row r="413" spans="2:47" s="72" customFormat="1" hidden="1" x14ac:dyDescent="0.25">
      <c r="B413" s="498" t="s">
        <v>45</v>
      </c>
      <c r="C413" s="89">
        <v>45937</v>
      </c>
      <c r="D413" s="90">
        <v>25099</v>
      </c>
      <c r="E413" s="516" t="s">
        <v>488</v>
      </c>
      <c r="F413" s="90">
        <v>2508191700</v>
      </c>
      <c r="G413" s="239" t="s">
        <v>74</v>
      </c>
      <c r="H413" s="239" t="s">
        <v>418</v>
      </c>
      <c r="I413" s="239" t="s">
        <v>49</v>
      </c>
      <c r="J413" s="239" t="s">
        <v>46</v>
      </c>
      <c r="K413" s="16" t="s">
        <v>1051</v>
      </c>
      <c r="L413" s="238">
        <v>46056</v>
      </c>
      <c r="M413" s="381">
        <f t="shared" si="72"/>
        <v>5</v>
      </c>
      <c r="N413" s="98" t="s">
        <v>62</v>
      </c>
      <c r="O413" s="92">
        <v>30020297</v>
      </c>
      <c r="P413" s="24" t="str">
        <f>VLOOKUP(O413,[1]Feuil2!$A:$M,5,FALSE)</f>
        <v>M16 ACIDULE BEE BLANC GLACIER BOITE LAGUIOLE BLEUE</v>
      </c>
      <c r="Q413" s="90">
        <v>3900</v>
      </c>
      <c r="R413" s="93">
        <v>4.6719999999999997</v>
      </c>
      <c r="S413" s="94">
        <f t="shared" si="69"/>
        <v>18220.8</v>
      </c>
      <c r="T413" s="95">
        <f t="shared" si="75"/>
        <v>42403.920000000006</v>
      </c>
      <c r="U413" s="138"/>
      <c r="V413" s="96">
        <f t="shared" si="70"/>
        <v>42403.920000000006</v>
      </c>
      <c r="W413" s="4">
        <f>VLOOKUP(O413,[1]Feuil2!$A:$M,6,FALSE)</f>
        <v>3</v>
      </c>
      <c r="X413" s="5">
        <f>VLOOKUP(O413,[1]Feuil2!$A:$M,13,FALSE)</f>
        <v>1.0671999999999999E-2</v>
      </c>
      <c r="Y413" s="6">
        <f t="shared" si="74"/>
        <v>13.8736</v>
      </c>
      <c r="Z413" s="97">
        <f t="shared" si="71"/>
        <v>23.608576875000001</v>
      </c>
      <c r="AA413" s="69" t="s">
        <v>57</v>
      </c>
      <c r="AB413" s="67" t="s">
        <v>48</v>
      </c>
      <c r="AC413" s="90"/>
      <c r="AD413" s="133" t="s">
        <v>61</v>
      </c>
      <c r="AE413" s="20"/>
      <c r="AF413" s="21"/>
      <c r="AG413" s="21"/>
      <c r="AH413" s="98"/>
      <c r="AI413" s="160">
        <v>46016</v>
      </c>
      <c r="AJ413" s="145">
        <f t="shared" si="73"/>
        <v>10</v>
      </c>
      <c r="AK413" s="100">
        <f>VLOOKUP(AP413,'[2]CONTENEUR PLEIN'!$F:$L,3,FALSE)</f>
        <v>46026</v>
      </c>
      <c r="AL413" s="99">
        <f>VLOOKUP(AP413,'[2]CONTENEUR PLEIN'!$F:$L,5,FALSE)</f>
        <v>46081</v>
      </c>
      <c r="AM413" s="18">
        <f>VLOOKUP(AP413,'[2]CONTENEUR PLEIN'!$F:$L,7,FALSE)</f>
        <v>46098.53125</v>
      </c>
      <c r="AN413" s="239" t="s">
        <v>63</v>
      </c>
      <c r="AO413" s="514" t="s">
        <v>786</v>
      </c>
      <c r="AP413" s="514" t="s">
        <v>787</v>
      </c>
      <c r="AQ413" s="514" t="s">
        <v>788</v>
      </c>
      <c r="AR413" s="90" t="str">
        <f>VLOOKUP(AP413,'[2]CONTENEUR PLEIN'!$F:$L,2,FALSE)</f>
        <v>ZEPHYR LUMOS</v>
      </c>
      <c r="AS413" s="514" t="s">
        <v>316</v>
      </c>
      <c r="AT413" s="98"/>
    </row>
    <row r="414" spans="2:47" s="72" customFormat="1" hidden="1" x14ac:dyDescent="0.25">
      <c r="B414" s="29" t="s">
        <v>45</v>
      </c>
      <c r="C414" s="48">
        <v>45937</v>
      </c>
      <c r="D414" s="49">
        <v>25099</v>
      </c>
      <c r="E414" s="50" t="s">
        <v>488</v>
      </c>
      <c r="F414" s="49">
        <v>2508191700</v>
      </c>
      <c r="G414" s="49" t="s">
        <v>74</v>
      </c>
      <c r="H414" s="49" t="s">
        <v>418</v>
      </c>
      <c r="I414" s="49" t="s">
        <v>49</v>
      </c>
      <c r="J414" s="49" t="s">
        <v>46</v>
      </c>
      <c r="K414" s="112" t="s">
        <v>71</v>
      </c>
      <c r="L414" s="49" t="s">
        <v>47</v>
      </c>
      <c r="M414" s="382" t="e">
        <f t="shared" si="72"/>
        <v>#N/A</v>
      </c>
      <c r="N414" s="57" t="s">
        <v>62</v>
      </c>
      <c r="O414" s="51">
        <v>32210010</v>
      </c>
      <c r="P414" s="30" t="str">
        <f>VLOOKUP(O414,[1]Feuil2!$A:$M,5,FALSE)</f>
        <v>FOURCHETTE OPEN UNI COLOR ROUGE 3517C CARREFOUR HOME</v>
      </c>
      <c r="Q414" s="49">
        <v>3600</v>
      </c>
      <c r="R414" s="52">
        <v>0.189</v>
      </c>
      <c r="S414" s="53">
        <f t="shared" si="69"/>
        <v>680.4</v>
      </c>
      <c r="T414" s="31">
        <f t="shared" si="75"/>
        <v>42403.920000000006</v>
      </c>
      <c r="U414" s="140"/>
      <c r="V414" s="32">
        <f t="shared" si="70"/>
        <v>42403.920000000006</v>
      </c>
      <c r="W414" s="33">
        <f>VLOOKUP(O414,[1]Feuil2!$A:$M,6,FALSE)</f>
        <v>240</v>
      </c>
      <c r="X414" s="34">
        <f>VLOOKUP(O414,[1]Feuil2!$A:$M,13,FALSE)</f>
        <v>2.8875000000000001E-2</v>
      </c>
      <c r="Y414" s="35">
        <f t="shared" si="74"/>
        <v>0.43312500000000004</v>
      </c>
      <c r="Z414" s="36">
        <f t="shared" si="71"/>
        <v>23.608576875000001</v>
      </c>
      <c r="AA414" s="235" t="s">
        <v>61</v>
      </c>
      <c r="AB414" s="55" t="s">
        <v>61</v>
      </c>
      <c r="AC414" s="49"/>
      <c r="AD414" s="55" t="s">
        <v>61</v>
      </c>
      <c r="AE414" s="48"/>
      <c r="AF414" s="55"/>
      <c r="AG414" s="55"/>
      <c r="AH414" s="57"/>
      <c r="AI414" s="136">
        <v>46016</v>
      </c>
      <c r="AJ414" s="137" t="e">
        <f t="shared" si="73"/>
        <v>#N/A</v>
      </c>
      <c r="AK414" s="56" t="e">
        <f>VLOOKUP(AP414,'[2]CONTENEUR PLEIN'!$F:$L,3,FALSE)</f>
        <v>#N/A</v>
      </c>
      <c r="AL414" s="37" t="e">
        <f>VLOOKUP(AP414,'[2]CONTENEUR PLEIN'!$F:$L,5,FALSE)</f>
        <v>#N/A</v>
      </c>
      <c r="AM414" s="38" t="e">
        <f>VLOOKUP(AP414,'[2]CONTENEUR PLEIN'!$F:$L,7,FALSE)</f>
        <v>#N/A</v>
      </c>
      <c r="AN414" s="49" t="s">
        <v>63</v>
      </c>
      <c r="AO414" s="49"/>
      <c r="AP414" s="49"/>
      <c r="AQ414" s="49"/>
      <c r="AR414" s="49" t="e">
        <f>VLOOKUP(AP414,'[2]CONTENEUR PLEIN'!$F:$L,2,FALSE)</f>
        <v>#N/A</v>
      </c>
      <c r="AS414" s="49"/>
      <c r="AT414" s="57"/>
      <c r="AU414" s="241"/>
    </row>
    <row r="415" spans="2:47" s="72" customFormat="1" hidden="1" x14ac:dyDescent="0.25">
      <c r="B415" s="286" t="s">
        <v>45</v>
      </c>
      <c r="C415" s="146">
        <v>45915</v>
      </c>
      <c r="D415" s="147">
        <v>25077</v>
      </c>
      <c r="E415" s="287" t="s">
        <v>447</v>
      </c>
      <c r="F415" s="147">
        <v>2508211041</v>
      </c>
      <c r="G415" s="272" t="s">
        <v>59</v>
      </c>
      <c r="H415" s="272" t="s">
        <v>418</v>
      </c>
      <c r="I415" s="272" t="s">
        <v>49</v>
      </c>
      <c r="J415" s="272" t="s">
        <v>46</v>
      </c>
      <c r="K415" s="338" t="s">
        <v>68</v>
      </c>
      <c r="L415" s="269">
        <v>46048</v>
      </c>
      <c r="M415" s="379">
        <f t="shared" si="72"/>
        <v>6</v>
      </c>
      <c r="N415" s="77" t="s">
        <v>49</v>
      </c>
      <c r="O415" s="78">
        <v>404530</v>
      </c>
      <c r="P415" s="42" t="str">
        <f>VLOOKUP(O415,[1]Feuil2!$A:$M,5,FALSE)</f>
        <v>CT OFFICE BOIS COULEUR RIV + SLV</v>
      </c>
      <c r="Q415" s="75">
        <v>62640</v>
      </c>
      <c r="R415" s="79">
        <v>0.19</v>
      </c>
      <c r="S415" s="80">
        <f t="shared" si="69"/>
        <v>11901.6</v>
      </c>
      <c r="T415" s="81">
        <f t="shared" si="75"/>
        <v>11901.6</v>
      </c>
      <c r="U415" s="139"/>
      <c r="V415" s="82">
        <f t="shared" si="70"/>
        <v>11901.6</v>
      </c>
      <c r="W415" s="9">
        <f>VLOOKUP(O415,[1]Feuil2!$A:$M,6,FALSE)</f>
        <v>360</v>
      </c>
      <c r="X415" s="10">
        <f>VLOOKUP(O415,[1]Feuil2!$A:$M,13,FALSE)</f>
        <v>2.7551250000000006E-2</v>
      </c>
      <c r="Y415" s="11">
        <f t="shared" si="74"/>
        <v>4.7939175000000009</v>
      </c>
      <c r="Z415" s="83">
        <f t="shared" si="71"/>
        <v>4.7939175000000009</v>
      </c>
      <c r="AA415" s="27" t="s">
        <v>48</v>
      </c>
      <c r="AB415" s="13" t="s">
        <v>57</v>
      </c>
      <c r="AC415" s="314" t="s">
        <v>55</v>
      </c>
      <c r="AD415" s="13" t="s">
        <v>57</v>
      </c>
      <c r="AE415" s="14">
        <v>46013</v>
      </c>
      <c r="AF415" s="13" t="s">
        <v>764</v>
      </c>
      <c r="AG415" s="13"/>
      <c r="AH415" s="84"/>
      <c r="AI415" s="178">
        <v>45991</v>
      </c>
      <c r="AJ415" s="144">
        <f t="shared" si="73"/>
        <v>35</v>
      </c>
      <c r="AK415" s="85">
        <f>VLOOKUP(AP415,'[2]CONTENEUR PLEIN'!$F:$L,3,FALSE)</f>
        <v>46026</v>
      </c>
      <c r="AL415" s="86">
        <f>VLOOKUP(AP415,'[2]CONTENEUR PLEIN'!$F:$L,5,FALSE)</f>
        <v>46081</v>
      </c>
      <c r="AM415" s="18">
        <f>VLOOKUP(AP415,'[2]CONTENEUR PLEIN'!$F:$L,7,FALSE)</f>
        <v>46099.53125</v>
      </c>
      <c r="AN415" s="184" t="s">
        <v>63</v>
      </c>
      <c r="AO415" s="335" t="s">
        <v>821</v>
      </c>
      <c r="AP415" s="335" t="s">
        <v>817</v>
      </c>
      <c r="AQ415" s="335" t="s">
        <v>824</v>
      </c>
      <c r="AR415" s="75" t="str">
        <f>VLOOKUP(AP415,'[2]CONTENEUR PLEIN'!$F:$L,2,FALSE)</f>
        <v>ZEPHYR LUMOS</v>
      </c>
      <c r="AS415" s="335" t="s">
        <v>316</v>
      </c>
      <c r="AT415" s="84"/>
    </row>
    <row r="416" spans="2:47" s="72" customFormat="1" hidden="1" x14ac:dyDescent="0.25">
      <c r="B416" s="498" t="s">
        <v>45</v>
      </c>
      <c r="C416" s="89">
        <v>45930</v>
      </c>
      <c r="D416" s="90">
        <v>25085</v>
      </c>
      <c r="E416" s="499" t="s">
        <v>474</v>
      </c>
      <c r="F416" s="90">
        <v>2509030932</v>
      </c>
      <c r="G416" s="239" t="s">
        <v>73</v>
      </c>
      <c r="H416" s="218" t="s">
        <v>451</v>
      </c>
      <c r="I416" s="218" t="s">
        <v>49</v>
      </c>
      <c r="J416" s="8" t="s">
        <v>695</v>
      </c>
      <c r="K416" s="8" t="s">
        <v>997</v>
      </c>
      <c r="L416" s="269">
        <v>46056</v>
      </c>
      <c r="M416" s="381">
        <f t="shared" si="72"/>
        <v>4</v>
      </c>
      <c r="N416" s="98" t="s">
        <v>62</v>
      </c>
      <c r="O416" s="497" t="s">
        <v>473</v>
      </c>
      <c r="P416" s="24" t="str">
        <f>VLOOKUP(O416,[1]Feuil2!$A:$M,5,FALSE)</f>
        <v>AIGUISEUR DOUBLE DIAMANT SOUS BLISTER LAGUIOLE HERITAGE</v>
      </c>
      <c r="Q416" s="90">
        <v>39492</v>
      </c>
      <c r="R416" s="93">
        <v>1.98</v>
      </c>
      <c r="S416" s="94">
        <f t="shared" si="69"/>
        <v>78194.16</v>
      </c>
      <c r="T416" s="95">
        <f t="shared" si="75"/>
        <v>158455.44</v>
      </c>
      <c r="U416" s="138"/>
      <c r="V416" s="96">
        <f t="shared" si="70"/>
        <v>158455.44</v>
      </c>
      <c r="W416" s="4">
        <f>VLOOKUP(O416,[1]Feuil2!$A:$M,6,FALSE)</f>
        <v>36</v>
      </c>
      <c r="X416" s="5">
        <f>VLOOKUP(O416,[1]Feuil2!$A:$M,13,FALSE)</f>
        <v>6.2480000000000008E-2</v>
      </c>
      <c r="Y416" s="6">
        <f t="shared" si="74"/>
        <v>68.540560000000013</v>
      </c>
      <c r="Z416" s="97">
        <f t="shared" si="71"/>
        <v>138.89304000000004</v>
      </c>
      <c r="AA416" s="68" t="s">
        <v>48</v>
      </c>
      <c r="AB416" s="67" t="s">
        <v>48</v>
      </c>
      <c r="AC416" s="317" t="s">
        <v>55</v>
      </c>
      <c r="AD416" s="21" t="s">
        <v>57</v>
      </c>
      <c r="AE416" s="20">
        <v>46009</v>
      </c>
      <c r="AF416" s="21" t="s">
        <v>761</v>
      </c>
      <c r="AG416" s="21"/>
      <c r="AH416" s="98"/>
      <c r="AI416" s="160">
        <v>46014</v>
      </c>
      <c r="AJ416" s="145">
        <f t="shared" si="73"/>
        <v>8</v>
      </c>
      <c r="AK416" s="100">
        <f>VLOOKUP(AP416,'[2]CONTENEUR PLEIN'!$F:$L,3,FALSE)</f>
        <v>46022</v>
      </c>
      <c r="AL416" s="99">
        <f>VLOOKUP(AP416,'[2]CONTENEUR PLEIN'!$F:$L,5,FALSE)</f>
        <v>46065</v>
      </c>
      <c r="AM416" s="18">
        <f>VLOOKUP(AP416,'[2]CONTENEUR PLEIN'!$F:$L,7,FALSE)</f>
        <v>46071.53125</v>
      </c>
      <c r="AN416" s="191" t="s">
        <v>63</v>
      </c>
      <c r="AO416" s="517" t="s">
        <v>800</v>
      </c>
      <c r="AP416" s="517" t="s">
        <v>802</v>
      </c>
      <c r="AQ416" s="517" t="s">
        <v>803</v>
      </c>
      <c r="AR416" s="90" t="str">
        <f>VLOOKUP(AP416,'[2]CONTENEUR PLEIN'!$F:$L,2,FALSE)</f>
        <v>CMA CGM LAGUNA</v>
      </c>
      <c r="AS416" s="517" t="s">
        <v>316</v>
      </c>
      <c r="AT416" s="98"/>
    </row>
    <row r="417" spans="2:46" s="72" customFormat="1" hidden="1" x14ac:dyDescent="0.25">
      <c r="B417" s="498" t="s">
        <v>45</v>
      </c>
      <c r="C417" s="89">
        <v>45930</v>
      </c>
      <c r="D417" s="90">
        <v>25085</v>
      </c>
      <c r="E417" s="499" t="s">
        <v>474</v>
      </c>
      <c r="F417" s="90">
        <v>2509030932</v>
      </c>
      <c r="G417" s="239" t="s">
        <v>73</v>
      </c>
      <c r="H417" s="218" t="s">
        <v>451</v>
      </c>
      <c r="I417" s="218" t="s">
        <v>49</v>
      </c>
      <c r="J417" s="8" t="s">
        <v>695</v>
      </c>
      <c r="K417" s="8" t="s">
        <v>998</v>
      </c>
      <c r="L417" s="269">
        <v>46056</v>
      </c>
      <c r="M417" s="381">
        <f t="shared" si="72"/>
        <v>4</v>
      </c>
      <c r="N417" s="98" t="s">
        <v>62</v>
      </c>
      <c r="O417" s="497" t="s">
        <v>473</v>
      </c>
      <c r="P417" s="24" t="str">
        <f>VLOOKUP(O417,[1]Feuil2!$A:$M,5,FALSE)</f>
        <v>AIGUISEUR DOUBLE DIAMANT SOUS BLISTER LAGUIOLE HERITAGE</v>
      </c>
      <c r="Q417" s="90">
        <v>40536</v>
      </c>
      <c r="R417" s="93">
        <v>1.98</v>
      </c>
      <c r="S417" s="94">
        <f t="shared" si="69"/>
        <v>80261.279999999999</v>
      </c>
      <c r="T417" s="95">
        <f t="shared" si="75"/>
        <v>158455.44</v>
      </c>
      <c r="U417" s="138"/>
      <c r="V417" s="96">
        <f t="shared" si="70"/>
        <v>158455.44</v>
      </c>
      <c r="W417" s="4">
        <f>VLOOKUP(O417,[1]Feuil2!$A:$M,6,FALSE)</f>
        <v>36</v>
      </c>
      <c r="X417" s="5">
        <f>VLOOKUP(O417,[1]Feuil2!$A:$M,13,FALSE)</f>
        <v>6.2480000000000008E-2</v>
      </c>
      <c r="Y417" s="6">
        <f t="shared" si="74"/>
        <v>70.352480000000014</v>
      </c>
      <c r="Z417" s="97">
        <f t="shared" si="71"/>
        <v>138.89304000000004</v>
      </c>
      <c r="AA417" s="68" t="s">
        <v>48</v>
      </c>
      <c r="AB417" s="67" t="s">
        <v>48</v>
      </c>
      <c r="AC417" s="317" t="s">
        <v>55</v>
      </c>
      <c r="AD417" s="21" t="s">
        <v>57</v>
      </c>
      <c r="AE417" s="20">
        <v>46009</v>
      </c>
      <c r="AF417" s="21" t="s">
        <v>761</v>
      </c>
      <c r="AG417" s="21"/>
      <c r="AH417" s="98"/>
      <c r="AI417" s="160">
        <v>46014</v>
      </c>
      <c r="AJ417" s="145">
        <f t="shared" si="73"/>
        <v>8</v>
      </c>
      <c r="AK417" s="100">
        <f>VLOOKUP(AP417,'[2]CONTENEUR PLEIN'!$F:$L,3,FALSE)</f>
        <v>46022</v>
      </c>
      <c r="AL417" s="99">
        <f>VLOOKUP(AP417,'[2]CONTENEUR PLEIN'!$F:$L,5,FALSE)</f>
        <v>46065</v>
      </c>
      <c r="AM417" s="18">
        <f>VLOOKUP(AP417,'[2]CONTENEUR PLEIN'!$F:$L,7,FALSE)</f>
        <v>46072.333333333336</v>
      </c>
      <c r="AN417" s="191" t="s">
        <v>63</v>
      </c>
      <c r="AO417" s="517" t="s">
        <v>800</v>
      </c>
      <c r="AP417" s="517" t="s">
        <v>801</v>
      </c>
      <c r="AQ417" s="517" t="s">
        <v>803</v>
      </c>
      <c r="AR417" s="90" t="str">
        <f>VLOOKUP(AP417,'[2]CONTENEUR PLEIN'!$F:$L,2,FALSE)</f>
        <v>CMA CGM LAGUNA</v>
      </c>
      <c r="AS417" s="517" t="s">
        <v>316</v>
      </c>
      <c r="AT417" s="98"/>
    </row>
    <row r="418" spans="2:46" s="72" customFormat="1" hidden="1" x14ac:dyDescent="0.25">
      <c r="B418" s="311" t="s">
        <v>45</v>
      </c>
      <c r="C418" s="146">
        <v>45930</v>
      </c>
      <c r="D418" s="147">
        <v>25090</v>
      </c>
      <c r="E418" s="323" t="s">
        <v>476</v>
      </c>
      <c r="F418" s="147">
        <v>2509031018</v>
      </c>
      <c r="G418" s="294" t="s">
        <v>75</v>
      </c>
      <c r="H418" s="272" t="s">
        <v>451</v>
      </c>
      <c r="I418" s="309">
        <v>39231.360000000001</v>
      </c>
      <c r="J418" s="297" t="s">
        <v>695</v>
      </c>
      <c r="K418" s="438" t="s">
        <v>68</v>
      </c>
      <c r="L418" s="269">
        <v>46056</v>
      </c>
      <c r="M418" s="380" t="e">
        <f t="shared" si="72"/>
        <v>#VALUE!</v>
      </c>
      <c r="N418" s="98" t="s">
        <v>62</v>
      </c>
      <c r="O418" s="78">
        <v>10110034</v>
      </c>
      <c r="P418" s="42" t="str">
        <f>VLOOKUP(O418,[1]Feuil2!$A:$M,5,FALSE)</f>
        <v>COUTEAU PLIANT MANCHE PAKKAWOOD SS COQUE LAGUIOLE HERITAGE</v>
      </c>
      <c r="Q418" s="75">
        <v>40032</v>
      </c>
      <c r="R418" s="79">
        <v>4.9000000000000004</v>
      </c>
      <c r="S418" s="80">
        <f t="shared" si="69"/>
        <v>196156.80000000002</v>
      </c>
      <c r="T418" s="81">
        <f t="shared" si="75"/>
        <v>196156.80000000002</v>
      </c>
      <c r="U418" s="139"/>
      <c r="V418" s="82">
        <f t="shared" si="70"/>
        <v>196156.80000000002</v>
      </c>
      <c r="W418" s="9">
        <f>VLOOKUP(O418,[1]Feuil2!$A:$M,6,FALSE)</f>
        <v>36</v>
      </c>
      <c r="X418" s="10">
        <f>VLOOKUP(O418,[1]Feuil2!$A:$M,13,FALSE)</f>
        <v>0</v>
      </c>
      <c r="Y418" s="11">
        <f t="shared" si="74"/>
        <v>0</v>
      </c>
      <c r="Z418" s="83">
        <f t="shared" si="71"/>
        <v>0</v>
      </c>
      <c r="AA418" s="12" t="s">
        <v>57</v>
      </c>
      <c r="AB418" s="13" t="s">
        <v>57</v>
      </c>
      <c r="AC418" s="345" t="s">
        <v>55</v>
      </c>
      <c r="AD418" s="13" t="s">
        <v>57</v>
      </c>
      <c r="AE418" s="14">
        <v>46037</v>
      </c>
      <c r="AF418" s="45" t="s">
        <v>842</v>
      </c>
      <c r="AG418" s="13"/>
      <c r="AH418" s="84"/>
      <c r="AI418" s="178">
        <v>46044</v>
      </c>
      <c r="AJ418" s="144">
        <f t="shared" si="73"/>
        <v>15</v>
      </c>
      <c r="AK418" s="85">
        <f>VLOOKUP(AP418,'[2]CONTENEUR PLEIN'!$F:$L,3,FALSE)</f>
        <v>46059</v>
      </c>
      <c r="AL418" s="86">
        <f>VLOOKUP(AP418,'[2]CONTENEUR PLEIN'!$F:$L,5,FALSE)</f>
        <v>46105</v>
      </c>
      <c r="AM418" s="46" t="str">
        <f>VLOOKUP(AP418,'[2]CONTENEUR PLEIN'!$F:$L,7,FALSE)</f>
        <v>Estimée : 31-mars</v>
      </c>
      <c r="AN418" s="184" t="s">
        <v>63</v>
      </c>
      <c r="AO418" s="439" t="s">
        <v>928</v>
      </c>
      <c r="AP418" s="439" t="s">
        <v>929</v>
      </c>
      <c r="AQ418" s="439" t="s">
        <v>930</v>
      </c>
      <c r="AR418" s="75" t="str">
        <f>VLOOKUP(AP418,'[2]CONTENEUR PLEIN'!$F:$L,2,FALSE)</f>
        <v>CMA CGM APOLLON</v>
      </c>
      <c r="AS418" s="439" t="s">
        <v>316</v>
      </c>
      <c r="AT418" s="84"/>
    </row>
    <row r="419" spans="2:46" s="72" customFormat="1" hidden="1" x14ac:dyDescent="0.25">
      <c r="B419" s="267" t="s">
        <v>45</v>
      </c>
      <c r="C419" s="89">
        <v>45919</v>
      </c>
      <c r="D419" s="90">
        <v>25080</v>
      </c>
      <c r="E419" s="268" t="s">
        <v>452</v>
      </c>
      <c r="F419" s="90">
        <v>2509031020</v>
      </c>
      <c r="G419" s="218" t="s">
        <v>74</v>
      </c>
      <c r="H419" s="218" t="s">
        <v>451</v>
      </c>
      <c r="I419" s="218" t="s">
        <v>49</v>
      </c>
      <c r="J419" s="8" t="s">
        <v>695</v>
      </c>
      <c r="K419" s="16" t="s">
        <v>1051</v>
      </c>
      <c r="L419" s="238">
        <v>46056</v>
      </c>
      <c r="M419" s="381">
        <f t="shared" si="72"/>
        <v>5</v>
      </c>
      <c r="N419" s="98" t="s">
        <v>62</v>
      </c>
      <c r="O419" s="92">
        <v>11520003</v>
      </c>
      <c r="P419" s="24" t="str">
        <f>VLOOKUP(O419,[1]Feuil2!$A:$M,5,FALSE)</f>
        <v>COFFRET 4 CUILLERES INTUITION BRILLANT BOITE LAGUIOLE</v>
      </c>
      <c r="Q419" s="90">
        <v>4200</v>
      </c>
      <c r="R419" s="93">
        <v>1.284</v>
      </c>
      <c r="S419" s="94">
        <f t="shared" si="69"/>
        <v>5392.8</v>
      </c>
      <c r="T419" s="95">
        <f t="shared" si="75"/>
        <v>60179.64</v>
      </c>
      <c r="U419" s="138"/>
      <c r="V419" s="96">
        <f t="shared" si="70"/>
        <v>60179.64</v>
      </c>
      <c r="W419" s="4">
        <f>VLOOKUP(O419,[1]Feuil2!$A:$M,6,FALSE)</f>
        <v>6</v>
      </c>
      <c r="X419" s="5">
        <f>VLOOKUP(O419,[1]Feuil2!$A:$M,13,FALSE)</f>
        <v>1.2870000000000001E-2</v>
      </c>
      <c r="Y419" s="6">
        <f t="shared" si="74"/>
        <v>9.0090000000000003</v>
      </c>
      <c r="Z419" s="97">
        <f t="shared" si="71"/>
        <v>79.969000800000003</v>
      </c>
      <c r="AA419" s="69" t="s">
        <v>57</v>
      </c>
      <c r="AB419" s="67" t="s">
        <v>48</v>
      </c>
      <c r="AC419" s="283" t="s">
        <v>55</v>
      </c>
      <c r="AD419" s="21" t="s">
        <v>57</v>
      </c>
      <c r="AE419" s="20">
        <v>46000</v>
      </c>
      <c r="AF419" s="47" t="s">
        <v>697</v>
      </c>
      <c r="AG419" s="21"/>
      <c r="AH419" s="98"/>
      <c r="AI419" s="160">
        <v>45986</v>
      </c>
      <c r="AJ419" s="145">
        <f t="shared" si="73"/>
        <v>40</v>
      </c>
      <c r="AK419" s="100">
        <f>VLOOKUP(AP419,'[2]CONTENEUR PLEIN'!$F:$L,3,FALSE)</f>
        <v>46026</v>
      </c>
      <c r="AL419" s="99">
        <f>VLOOKUP(AP419,'[2]CONTENEUR PLEIN'!$F:$L,5,FALSE)</f>
        <v>46081</v>
      </c>
      <c r="AM419" s="18">
        <f>VLOOKUP(AP419,'[2]CONTENEUR PLEIN'!$F:$L,7,FALSE)</f>
        <v>46098.53125</v>
      </c>
      <c r="AN419" s="218" t="s">
        <v>63</v>
      </c>
      <c r="AO419" s="514" t="s">
        <v>786</v>
      </c>
      <c r="AP419" s="514" t="s">
        <v>787</v>
      </c>
      <c r="AQ419" s="514" t="s">
        <v>789</v>
      </c>
      <c r="AR419" s="90" t="str">
        <f>VLOOKUP(AP419,'[2]CONTENEUR PLEIN'!$F:$L,2,FALSE)</f>
        <v>ZEPHYR LUMOS</v>
      </c>
      <c r="AS419" s="514" t="s">
        <v>316</v>
      </c>
      <c r="AT419" s="98"/>
    </row>
    <row r="420" spans="2:46" s="72" customFormat="1" hidden="1" x14ac:dyDescent="0.25">
      <c r="B420" s="267" t="s">
        <v>45</v>
      </c>
      <c r="C420" s="89">
        <v>45919</v>
      </c>
      <c r="D420" s="90">
        <v>25080</v>
      </c>
      <c r="E420" s="499" t="s">
        <v>452</v>
      </c>
      <c r="F420" s="90">
        <v>2509031020</v>
      </c>
      <c r="G420" s="218" t="s">
        <v>74</v>
      </c>
      <c r="H420" s="218" t="s">
        <v>451</v>
      </c>
      <c r="I420" s="218" t="s">
        <v>49</v>
      </c>
      <c r="J420" s="8" t="s">
        <v>695</v>
      </c>
      <c r="K420" s="16" t="s">
        <v>1051</v>
      </c>
      <c r="L420" s="238">
        <v>46056</v>
      </c>
      <c r="M420" s="381">
        <f t="shared" si="72"/>
        <v>5</v>
      </c>
      <c r="N420" s="98" t="s">
        <v>62</v>
      </c>
      <c r="O420" s="92">
        <v>11520001</v>
      </c>
      <c r="P420" s="24" t="str">
        <f>VLOOKUP(O420,[1]Feuil2!$A:$M,5,FALSE)</f>
        <v>COFFRET 4 COUTEAUX INTUITION BRILLANT BOITE LAGUIOLE</v>
      </c>
      <c r="Q420" s="90">
        <v>12432</v>
      </c>
      <c r="R420" s="93">
        <v>1.64</v>
      </c>
      <c r="S420" s="94">
        <f t="shared" si="69"/>
        <v>20388.48</v>
      </c>
      <c r="T420" s="95">
        <f t="shared" si="75"/>
        <v>60179.64</v>
      </c>
      <c r="U420" s="138"/>
      <c r="V420" s="96">
        <f t="shared" si="70"/>
        <v>60179.64</v>
      </c>
      <c r="W420" s="4">
        <f>VLOOKUP(O420,[1]Feuil2!$A:$M,6,FALSE)</f>
        <v>6</v>
      </c>
      <c r="X420" s="5">
        <f>VLOOKUP(O420,[1]Feuil2!$A:$M,13,FALSE)</f>
        <v>7.0719999999999993E-3</v>
      </c>
      <c r="Y420" s="6">
        <f t="shared" si="74"/>
        <v>14.653183999999998</v>
      </c>
      <c r="Z420" s="97">
        <f t="shared" si="71"/>
        <v>79.969000800000003</v>
      </c>
      <c r="AA420" s="69" t="s">
        <v>57</v>
      </c>
      <c r="AB420" s="67" t="s">
        <v>48</v>
      </c>
      <c r="AC420" s="283" t="s">
        <v>55</v>
      </c>
      <c r="AD420" s="21" t="s">
        <v>57</v>
      </c>
      <c r="AE420" s="20">
        <v>46014</v>
      </c>
      <c r="AF420" s="21" t="s">
        <v>773</v>
      </c>
      <c r="AG420" s="21"/>
      <c r="AH420" s="98"/>
      <c r="AI420" s="160">
        <v>45986</v>
      </c>
      <c r="AJ420" s="145">
        <f t="shared" si="73"/>
        <v>40</v>
      </c>
      <c r="AK420" s="100">
        <f>VLOOKUP(AP420,'[2]CONTENEUR PLEIN'!$F:$L,3,FALSE)</f>
        <v>46026</v>
      </c>
      <c r="AL420" s="99">
        <f>VLOOKUP(AP420,'[2]CONTENEUR PLEIN'!$F:$L,5,FALSE)</f>
        <v>46081</v>
      </c>
      <c r="AM420" s="18">
        <f>VLOOKUP(AP420,'[2]CONTENEUR PLEIN'!$F:$L,7,FALSE)</f>
        <v>46098.53125</v>
      </c>
      <c r="AN420" s="218" t="s">
        <v>63</v>
      </c>
      <c r="AO420" s="514" t="s">
        <v>786</v>
      </c>
      <c r="AP420" s="514" t="s">
        <v>787</v>
      </c>
      <c r="AQ420" s="514" t="s">
        <v>789</v>
      </c>
      <c r="AR420" s="90" t="str">
        <f>VLOOKUP(AP420,'[2]CONTENEUR PLEIN'!$F:$L,2,FALSE)</f>
        <v>ZEPHYR LUMOS</v>
      </c>
      <c r="AS420" s="514" t="s">
        <v>316</v>
      </c>
      <c r="AT420" s="98"/>
    </row>
    <row r="421" spans="2:46" s="72" customFormat="1" hidden="1" x14ac:dyDescent="0.25">
      <c r="B421" s="267" t="s">
        <v>45</v>
      </c>
      <c r="C421" s="89">
        <v>45919</v>
      </c>
      <c r="D421" s="90">
        <v>25080</v>
      </c>
      <c r="E421" s="268" t="s">
        <v>452</v>
      </c>
      <c r="F421" s="90">
        <v>2509031020</v>
      </c>
      <c r="G421" s="218" t="s">
        <v>74</v>
      </c>
      <c r="H421" s="218" t="s">
        <v>451</v>
      </c>
      <c r="I421" s="218" t="s">
        <v>49</v>
      </c>
      <c r="J421" s="8" t="s">
        <v>695</v>
      </c>
      <c r="K421" s="8" t="s">
        <v>997</v>
      </c>
      <c r="L421" s="128">
        <v>46048</v>
      </c>
      <c r="M421" s="381">
        <f t="shared" si="72"/>
        <v>4</v>
      </c>
      <c r="N421" s="98" t="s">
        <v>62</v>
      </c>
      <c r="O421" s="92">
        <v>11520003</v>
      </c>
      <c r="P421" s="24" t="str">
        <f>VLOOKUP(O421,[1]Feuil2!$A:$M,5,FALSE)</f>
        <v>COFFRET 4 CUILLERES INTUITION BRILLANT BOITE LAGUIOLE</v>
      </c>
      <c r="Q421" s="90">
        <f>11052-4200</f>
        <v>6852</v>
      </c>
      <c r="R421" s="93">
        <v>1.284</v>
      </c>
      <c r="S421" s="94">
        <f t="shared" si="69"/>
        <v>8797.9680000000008</v>
      </c>
      <c r="T421" s="95">
        <f t="shared" si="75"/>
        <v>60179.64</v>
      </c>
      <c r="U421" s="138"/>
      <c r="V421" s="96">
        <f t="shared" si="70"/>
        <v>60179.64</v>
      </c>
      <c r="W421" s="4">
        <f>VLOOKUP(O421,[1]Feuil2!$A:$M,6,FALSE)</f>
        <v>6</v>
      </c>
      <c r="X421" s="5">
        <f>VLOOKUP(O421,[1]Feuil2!$A:$M,13,FALSE)</f>
        <v>1.2870000000000001E-2</v>
      </c>
      <c r="Y421" s="6">
        <f t="shared" si="74"/>
        <v>14.697540000000002</v>
      </c>
      <c r="Z421" s="97">
        <f t="shared" si="71"/>
        <v>79.969000800000003</v>
      </c>
      <c r="AA421" s="69" t="s">
        <v>57</v>
      </c>
      <c r="AB421" s="67" t="s">
        <v>48</v>
      </c>
      <c r="AC421" s="283" t="s">
        <v>55</v>
      </c>
      <c r="AD421" s="21" t="s">
        <v>57</v>
      </c>
      <c r="AE421" s="20">
        <v>46000</v>
      </c>
      <c r="AF421" s="47" t="s">
        <v>697</v>
      </c>
      <c r="AG421" s="21"/>
      <c r="AH421" s="98"/>
      <c r="AI421" s="160">
        <v>45986</v>
      </c>
      <c r="AJ421" s="145">
        <f t="shared" si="73"/>
        <v>36</v>
      </c>
      <c r="AK421" s="100">
        <f>VLOOKUP(AP421,'[2]CONTENEUR PLEIN'!$F:$L,3,FALSE)</f>
        <v>46022</v>
      </c>
      <c r="AL421" s="99">
        <f>VLOOKUP(AP421,'[2]CONTENEUR PLEIN'!$F:$L,5,FALSE)</f>
        <v>46066</v>
      </c>
      <c r="AM421" s="18">
        <f>VLOOKUP(AP421,'[2]CONTENEUR PLEIN'!$F:$L,7,FALSE)</f>
        <v>46071.333333333336</v>
      </c>
      <c r="AN421" s="218" t="s">
        <v>63</v>
      </c>
      <c r="AO421" s="514" t="s">
        <v>782</v>
      </c>
      <c r="AP421" s="514" t="s">
        <v>783</v>
      </c>
      <c r="AQ421" s="514" t="s">
        <v>794</v>
      </c>
      <c r="AR421" s="90" t="str">
        <f>VLOOKUP(AP421,'[2]CONTENEUR PLEIN'!$F:$L,2,FALSE)</f>
        <v>CMA CGM GREENLAND</v>
      </c>
      <c r="AS421" s="514" t="s">
        <v>316</v>
      </c>
      <c r="AT421" s="98"/>
    </row>
    <row r="422" spans="2:46" s="72" customFormat="1" hidden="1" x14ac:dyDescent="0.25">
      <c r="B422" s="267" t="s">
        <v>45</v>
      </c>
      <c r="C422" s="89">
        <v>45919</v>
      </c>
      <c r="D422" s="90">
        <v>25080</v>
      </c>
      <c r="E422" s="268" t="s">
        <v>452</v>
      </c>
      <c r="F422" s="90">
        <v>2509031020</v>
      </c>
      <c r="G422" s="218" t="s">
        <v>74</v>
      </c>
      <c r="H422" s="218" t="s">
        <v>451</v>
      </c>
      <c r="I422" s="218" t="s">
        <v>49</v>
      </c>
      <c r="J422" s="8" t="s">
        <v>695</v>
      </c>
      <c r="K422" s="8" t="s">
        <v>967</v>
      </c>
      <c r="L422" s="128">
        <v>46041</v>
      </c>
      <c r="M422" s="381">
        <f t="shared" si="72"/>
        <v>4</v>
      </c>
      <c r="N422" s="98" t="s">
        <v>62</v>
      </c>
      <c r="O422" s="92">
        <v>11520002</v>
      </c>
      <c r="P422" s="24" t="str">
        <f>VLOOKUP(O422,[1]Feuil2!$A:$M,5,FALSE)</f>
        <v>COFFRET 4 FOURCHETTES INTUITION BRILLANT BOITE LAGUIOLE</v>
      </c>
      <c r="Q422" s="90">
        <v>19938</v>
      </c>
      <c r="R422" s="93">
        <v>1.284</v>
      </c>
      <c r="S422" s="94">
        <f t="shared" si="69"/>
        <v>25600.392</v>
      </c>
      <c r="T422" s="95">
        <f t="shared" si="75"/>
        <v>60179.64</v>
      </c>
      <c r="U422" s="138"/>
      <c r="V422" s="96">
        <f t="shared" si="70"/>
        <v>60179.64</v>
      </c>
      <c r="W422" s="4">
        <f>VLOOKUP(O422,[1]Feuil2!$A:$M,6,FALSE)</f>
        <v>6</v>
      </c>
      <c r="X422" s="5">
        <f>VLOOKUP(O422,[1]Feuil2!$A:$M,13,FALSE)</f>
        <v>1.2521599999999999E-2</v>
      </c>
      <c r="Y422" s="6">
        <f t="shared" si="74"/>
        <v>41.609276799999996</v>
      </c>
      <c r="Z422" s="97">
        <f t="shared" si="71"/>
        <v>79.969000800000003</v>
      </c>
      <c r="AA422" s="69" t="s">
        <v>57</v>
      </c>
      <c r="AB422" s="68" t="s">
        <v>48</v>
      </c>
      <c r="AC422" s="283" t="s">
        <v>55</v>
      </c>
      <c r="AD422" s="69" t="s">
        <v>57</v>
      </c>
      <c r="AE422" s="20">
        <v>45993</v>
      </c>
      <c r="AF422" s="21" t="s">
        <v>656</v>
      </c>
      <c r="AG422" s="21"/>
      <c r="AH422" s="98"/>
      <c r="AI422" s="160">
        <v>45986</v>
      </c>
      <c r="AJ422" s="145">
        <f t="shared" si="73"/>
        <v>24</v>
      </c>
      <c r="AK422" s="100">
        <f>VLOOKUP(AP422,'[2]CONTENEUR PLEIN'!$F:$L,3,FALSE)</f>
        <v>46010</v>
      </c>
      <c r="AL422" s="99">
        <f>VLOOKUP(AP422,'[2]CONTENEUR PLEIN'!$F:$L,5,FALSE)</f>
        <v>46052</v>
      </c>
      <c r="AM422" s="18">
        <f>VLOOKUP(AP422,'[2]CONTENEUR PLEIN'!$F:$L,7,FALSE)</f>
        <v>46059.333333333336</v>
      </c>
      <c r="AN422" s="218" t="s">
        <v>63</v>
      </c>
      <c r="AO422" s="479" t="s">
        <v>740</v>
      </c>
      <c r="AP422" s="479" t="s">
        <v>741</v>
      </c>
      <c r="AQ422" s="479" t="s">
        <v>743</v>
      </c>
      <c r="AR422" s="90" t="str">
        <f>VLOOKUP(AP422,'[2]CONTENEUR PLEIN'!$F:$L,2,FALSE)</f>
        <v>CMA CGM KIMBERLEY</v>
      </c>
      <c r="AS422" s="479" t="s">
        <v>316</v>
      </c>
      <c r="AT422" s="98"/>
    </row>
    <row r="423" spans="2:46" s="72" customFormat="1" hidden="1" x14ac:dyDescent="0.25">
      <c r="B423" s="311" t="s">
        <v>45</v>
      </c>
      <c r="C423" s="146">
        <v>45930</v>
      </c>
      <c r="D423" s="147">
        <v>25098</v>
      </c>
      <c r="E423" s="323" t="s">
        <v>472</v>
      </c>
      <c r="F423" s="147">
        <v>2509031026</v>
      </c>
      <c r="G423" s="294" t="s">
        <v>58</v>
      </c>
      <c r="H423" s="272" t="s">
        <v>451</v>
      </c>
      <c r="I423" s="272" t="s">
        <v>49</v>
      </c>
      <c r="J423" s="297" t="s">
        <v>695</v>
      </c>
      <c r="K423" s="580" t="s">
        <v>68</v>
      </c>
      <c r="L423" s="221" t="s">
        <v>47</v>
      </c>
      <c r="M423" s="380" t="e">
        <f t="shared" si="72"/>
        <v>#VALUE!</v>
      </c>
      <c r="N423" s="98" t="s">
        <v>62</v>
      </c>
      <c r="O423" s="78">
        <v>40590005</v>
      </c>
      <c r="P423" s="42" t="str">
        <f>VLOOKUP(O423,[1]Feuil2!$A:$M,5,FALSE)</f>
        <v>RAPE MANCHE BICOLORE LAGUIOLE HERITAGE</v>
      </c>
      <c r="Q423" s="75">
        <v>73008</v>
      </c>
      <c r="R423" s="79">
        <v>0.87</v>
      </c>
      <c r="S423" s="80">
        <f t="shared" si="69"/>
        <v>63516.959999999999</v>
      </c>
      <c r="T423" s="81">
        <f t="shared" si="75"/>
        <v>165598.56</v>
      </c>
      <c r="U423" s="139"/>
      <c r="V423" s="82">
        <f t="shared" si="70"/>
        <v>165598.56</v>
      </c>
      <c r="W423" s="9">
        <f>VLOOKUP(O423,[1]Feuil2!$A:$M,6,FALSE)</f>
        <v>48</v>
      </c>
      <c r="X423" s="10">
        <f>VLOOKUP(O423,[1]Feuil2!$A:$M,13,FALSE)</f>
        <v>1.9525000000000001E-2</v>
      </c>
      <c r="Y423" s="11">
        <f t="shared" si="74"/>
        <v>29.697525000000002</v>
      </c>
      <c r="Z423" s="83">
        <f t="shared" si="71"/>
        <v>29.697525000000002</v>
      </c>
      <c r="AA423" s="12" t="s">
        <v>57</v>
      </c>
      <c r="AB423" s="558" t="s">
        <v>48</v>
      </c>
      <c r="AC423" s="462" t="s">
        <v>55</v>
      </c>
      <c r="AD423" s="12" t="s">
        <v>57</v>
      </c>
      <c r="AE423" s="14">
        <v>46057</v>
      </c>
      <c r="AF423" s="13" t="s">
        <v>966</v>
      </c>
      <c r="AG423" s="13"/>
      <c r="AH423" s="84"/>
      <c r="AI423" s="171">
        <v>46052</v>
      </c>
      <c r="AJ423" s="144">
        <f ca="1">DATEDIF(AI423,$AJ$1,"D")</f>
        <v>46</v>
      </c>
      <c r="AK423" s="85">
        <f>VLOOKUP(AP423,'[2]CONTENEUR PLEIN'!$F:$L,3,FALSE)</f>
        <v>46082</v>
      </c>
      <c r="AL423" s="86">
        <f>VLOOKUP(AP423,'[2]CONTENEUR PLEIN'!$F:$L,5,FALSE)</f>
        <v>46119</v>
      </c>
      <c r="AM423" s="46" t="str">
        <f>VLOOKUP(AP423,'[2]CONTENEUR PLEIN'!$F:$L,7,FALSE)</f>
        <v>Estimée : 20-avril</v>
      </c>
      <c r="AN423" s="184" t="s">
        <v>63</v>
      </c>
      <c r="AO423" s="578" t="s">
        <v>1025</v>
      </c>
      <c r="AP423" s="578" t="s">
        <v>1030</v>
      </c>
      <c r="AQ423" s="578" t="s">
        <v>1031</v>
      </c>
      <c r="AR423" s="75" t="str">
        <f>VLOOKUP(AP423,'[2]CONTENEUR PLEIN'!$F:$L,2,FALSE)</f>
        <v>CMA CGM GRACE BAY</v>
      </c>
      <c r="AS423" s="578" t="s">
        <v>316</v>
      </c>
      <c r="AT423" s="84"/>
    </row>
    <row r="424" spans="2:46" s="72" customFormat="1" hidden="1" x14ac:dyDescent="0.25">
      <c r="B424" s="311" t="s">
        <v>45</v>
      </c>
      <c r="C424" s="146">
        <v>45930</v>
      </c>
      <c r="D424" s="147">
        <v>25098</v>
      </c>
      <c r="E424" s="323" t="s">
        <v>472</v>
      </c>
      <c r="F424" s="147">
        <v>2509031026</v>
      </c>
      <c r="G424" s="294" t="s">
        <v>58</v>
      </c>
      <c r="H424" s="272" t="s">
        <v>451</v>
      </c>
      <c r="I424" s="272" t="s">
        <v>49</v>
      </c>
      <c r="J424" s="297" t="s">
        <v>695</v>
      </c>
      <c r="K424" s="580" t="s">
        <v>68</v>
      </c>
      <c r="L424" s="221" t="s">
        <v>47</v>
      </c>
      <c r="M424" s="380" t="e">
        <f t="shared" si="72"/>
        <v>#VALUE!</v>
      </c>
      <c r="N424" s="98" t="s">
        <v>62</v>
      </c>
      <c r="O424" s="78">
        <v>60110003</v>
      </c>
      <c r="P424" s="42" t="str">
        <f>VLOOKUP(O424,[1]Feuil2!$A:$M,5,FALSE)</f>
        <v>SOMMELIER MANCHE PAKKAWOOD SS COQUE LAGUIOLE HERITAGE</v>
      </c>
      <c r="Q424" s="75">
        <v>40032</v>
      </c>
      <c r="R424" s="79">
        <v>2.5499999999999998</v>
      </c>
      <c r="S424" s="80">
        <f t="shared" si="69"/>
        <v>102081.59999999999</v>
      </c>
      <c r="T424" s="81">
        <f t="shared" si="75"/>
        <v>165598.56</v>
      </c>
      <c r="U424" s="139"/>
      <c r="V424" s="82">
        <f t="shared" si="70"/>
        <v>165598.56</v>
      </c>
      <c r="W424" s="9">
        <f>VLOOKUP(O424,[1]Feuil2!$A:$M,6,FALSE)</f>
        <v>36</v>
      </c>
      <c r="X424" s="10">
        <f>VLOOKUP(O424,[1]Feuil2!$A:$M,13,FALSE)</f>
        <v>0</v>
      </c>
      <c r="Y424" s="11">
        <f t="shared" si="74"/>
        <v>0</v>
      </c>
      <c r="Z424" s="83">
        <f t="shared" si="71"/>
        <v>29.697525000000002</v>
      </c>
      <c r="AA424" s="12" t="s">
        <v>57</v>
      </c>
      <c r="AB424" s="13" t="s">
        <v>57</v>
      </c>
      <c r="AC424" s="462" t="s">
        <v>55</v>
      </c>
      <c r="AD424" s="13" t="s">
        <v>57</v>
      </c>
      <c r="AE424" s="14">
        <v>46057</v>
      </c>
      <c r="AF424" s="13" t="s">
        <v>965</v>
      </c>
      <c r="AG424" s="13"/>
      <c r="AH424" s="84"/>
      <c r="AI424" s="171">
        <v>46052</v>
      </c>
      <c r="AJ424" s="144">
        <f ca="1">DATEDIF(AI424,$AJ$1,"D")</f>
        <v>46</v>
      </c>
      <c r="AK424" s="85">
        <f>VLOOKUP(AP424,'[2]CONTENEUR PLEIN'!$F:$L,3,FALSE)</f>
        <v>46082</v>
      </c>
      <c r="AL424" s="86">
        <f>VLOOKUP(AP424,'[2]CONTENEUR PLEIN'!$F:$L,5,FALSE)</f>
        <v>46119</v>
      </c>
      <c r="AM424" s="46" t="str">
        <f>VLOOKUP(AP424,'[2]CONTENEUR PLEIN'!$F:$L,7,FALSE)</f>
        <v>Estimée : 20-avril</v>
      </c>
      <c r="AN424" s="184" t="s">
        <v>63</v>
      </c>
      <c r="AO424" s="578" t="s">
        <v>1025</v>
      </c>
      <c r="AP424" s="578" t="s">
        <v>1030</v>
      </c>
      <c r="AQ424" s="578" t="s">
        <v>1031</v>
      </c>
      <c r="AR424" s="75" t="str">
        <f>VLOOKUP(AP424,'[2]CONTENEUR PLEIN'!$F:$L,2,FALSE)</f>
        <v>CMA CGM GRACE BAY</v>
      </c>
      <c r="AS424" s="578" t="s">
        <v>316</v>
      </c>
      <c r="AT424" s="84"/>
    </row>
    <row r="425" spans="2:46" s="72" customFormat="1" hidden="1" x14ac:dyDescent="0.25">
      <c r="B425" s="311" t="s">
        <v>45</v>
      </c>
      <c r="C425" s="146">
        <v>45930</v>
      </c>
      <c r="D425" s="147">
        <v>25085</v>
      </c>
      <c r="E425" s="306" t="s">
        <v>475</v>
      </c>
      <c r="F425" s="147">
        <v>2509031031</v>
      </c>
      <c r="G425" s="294" t="s">
        <v>282</v>
      </c>
      <c r="H425" s="272" t="s">
        <v>451</v>
      </c>
      <c r="I425" s="272" t="s">
        <v>49</v>
      </c>
      <c r="J425" s="297" t="s">
        <v>695</v>
      </c>
      <c r="K425" s="316" t="s">
        <v>68</v>
      </c>
      <c r="L425" s="128">
        <v>46041</v>
      </c>
      <c r="M425" s="379">
        <f t="shared" si="72"/>
        <v>5</v>
      </c>
      <c r="N425" s="98" t="s">
        <v>62</v>
      </c>
      <c r="O425" s="78">
        <v>10610003</v>
      </c>
      <c r="P425" s="42" t="str">
        <f>VLOOKUP(O425,[1]Feuil2!$A:$M,5,FALSE)</f>
        <v>FUSIL PROFESSIONNEL TB COLLECTION</v>
      </c>
      <c r="Q425" s="75">
        <v>20016</v>
      </c>
      <c r="R425" s="79">
        <v>2</v>
      </c>
      <c r="S425" s="80">
        <f t="shared" si="69"/>
        <v>40032</v>
      </c>
      <c r="T425" s="81">
        <f t="shared" si="75"/>
        <v>40032</v>
      </c>
      <c r="U425" s="139">
        <v>300</v>
      </c>
      <c r="V425" s="82">
        <f t="shared" si="70"/>
        <v>40332</v>
      </c>
      <c r="W425" s="9">
        <f>VLOOKUP(O425,[1]Feuil2!$A:$M,6,FALSE)</f>
        <v>36</v>
      </c>
      <c r="X425" s="10">
        <f>VLOOKUP(O425,[1]Feuil2!$A:$M,13,FALSE)</f>
        <v>3.2399999999999998E-2</v>
      </c>
      <c r="Y425" s="11">
        <f t="shared" si="74"/>
        <v>18.014399999999998</v>
      </c>
      <c r="Z425" s="83">
        <f t="shared" si="71"/>
        <v>18.014399999999998</v>
      </c>
      <c r="AA425" s="66" t="s">
        <v>61</v>
      </c>
      <c r="AB425" s="28" t="s">
        <v>61</v>
      </c>
      <c r="AC425" s="75"/>
      <c r="AD425" s="28" t="s">
        <v>61</v>
      </c>
      <c r="AE425" s="14">
        <v>46015</v>
      </c>
      <c r="AF425" s="13" t="s">
        <v>852</v>
      </c>
      <c r="AG425" s="13"/>
      <c r="AH425" s="84"/>
      <c r="AI425" s="178">
        <v>45986</v>
      </c>
      <c r="AJ425" s="144">
        <f>DATEDIF(AI425,AK425,"D")</f>
        <v>40</v>
      </c>
      <c r="AK425" s="85">
        <f>VLOOKUP(AP425,'[2]CONTENEUR PLEIN'!$F:$L,3,FALSE)</f>
        <v>46026</v>
      </c>
      <c r="AL425" s="86">
        <f>VLOOKUP(AP425,'[2]CONTENEUR PLEIN'!$F:$L,5,FALSE)</f>
        <v>46081</v>
      </c>
      <c r="AM425" s="18">
        <f>VLOOKUP(AP425,'[2]CONTENEUR PLEIN'!$F:$L,7,FALSE)</f>
        <v>46099.53125</v>
      </c>
      <c r="AN425" s="184" t="s">
        <v>63</v>
      </c>
      <c r="AO425" s="335" t="s">
        <v>819</v>
      </c>
      <c r="AP425" s="335" t="s">
        <v>817</v>
      </c>
      <c r="AQ425" s="335" t="s">
        <v>820</v>
      </c>
      <c r="AR425" s="75" t="str">
        <f>VLOOKUP(AP425,'[2]CONTENEUR PLEIN'!$F:$L,2,FALSE)</f>
        <v>ZEPHYR LUMOS</v>
      </c>
      <c r="AS425" s="335" t="s">
        <v>316</v>
      </c>
      <c r="AT425" s="84"/>
    </row>
    <row r="426" spans="2:46" s="72" customFormat="1" hidden="1" x14ac:dyDescent="0.25">
      <c r="B426" s="498" t="s">
        <v>45</v>
      </c>
      <c r="C426" s="89">
        <v>45937</v>
      </c>
      <c r="D426" s="90">
        <v>25101</v>
      </c>
      <c r="E426" s="499" t="s">
        <v>487</v>
      </c>
      <c r="F426" s="90">
        <v>2509031033</v>
      </c>
      <c r="G426" s="239" t="s">
        <v>486</v>
      </c>
      <c r="H426" s="239" t="s">
        <v>451</v>
      </c>
      <c r="I426" s="302">
        <v>14880</v>
      </c>
      <c r="J426" s="8" t="s">
        <v>695</v>
      </c>
      <c r="K426" s="8" t="s">
        <v>993</v>
      </c>
      <c r="L426" s="128">
        <v>46041</v>
      </c>
      <c r="M426" s="381">
        <f t="shared" si="72"/>
        <v>4</v>
      </c>
      <c r="N426" s="98" t="s">
        <v>49</v>
      </c>
      <c r="O426" s="92">
        <v>10110011</v>
      </c>
      <c r="P426" s="24" t="str">
        <f>VLOOKUP(O426,[1]Feuil2!$A:$M,5,FALSE)</f>
        <v>BLOC POUR CTX DE CUISINE LAG HERITAGE ACACIA EN BOITE CARTON</v>
      </c>
      <c r="Q426" s="90">
        <f>15000-8350</f>
        <v>6650</v>
      </c>
      <c r="R426" s="93">
        <v>4.96</v>
      </c>
      <c r="S426" s="94">
        <f t="shared" si="69"/>
        <v>32984</v>
      </c>
      <c r="T426" s="95">
        <f t="shared" si="75"/>
        <v>74400</v>
      </c>
      <c r="U426" s="138"/>
      <c r="V426" s="96">
        <f t="shared" si="70"/>
        <v>74400</v>
      </c>
      <c r="W426" s="4">
        <f>VLOOKUP(O426,[1]Feuil2!$A:$M,6,FALSE)</f>
        <v>2</v>
      </c>
      <c r="X426" s="5">
        <f>VLOOKUP(O426,[1]Feuil2!$A:$M,13,FALSE)</f>
        <v>1.5224999999999999E-2</v>
      </c>
      <c r="Y426" s="6">
        <f t="shared" si="74"/>
        <v>50.623124999999995</v>
      </c>
      <c r="Z426" s="97">
        <f t="shared" si="71"/>
        <v>114.1875</v>
      </c>
      <c r="AA426" s="497" t="s">
        <v>48</v>
      </c>
      <c r="AB426" s="239" t="s">
        <v>48</v>
      </c>
      <c r="AC426" s="290" t="s">
        <v>55</v>
      </c>
      <c r="AD426" s="21" t="s">
        <v>57</v>
      </c>
      <c r="AE426" s="20">
        <v>45995</v>
      </c>
      <c r="AF426" s="21" t="s">
        <v>684</v>
      </c>
      <c r="AG426" s="21"/>
      <c r="AH426" s="98"/>
      <c r="AI426" s="160">
        <v>45991</v>
      </c>
      <c r="AJ426" s="145">
        <f>DATEDIF(AI426,AK426,"D")</f>
        <v>19</v>
      </c>
      <c r="AK426" s="100">
        <f>VLOOKUP(AP426,'[2]CONTENEUR PLEIN'!$F:$L,3,FALSE)</f>
        <v>46010</v>
      </c>
      <c r="AL426" s="99">
        <f>VLOOKUP(AP426,'[2]CONTENEUR PLEIN'!$F:$L,5,FALSE)</f>
        <v>46052</v>
      </c>
      <c r="AM426" s="18">
        <f>VLOOKUP(AP426,'[2]CONTENEUR PLEIN'!$F:$L,7,FALSE)</f>
        <v>46062.53125</v>
      </c>
      <c r="AN426" s="239" t="s">
        <v>63</v>
      </c>
      <c r="AO426" s="317" t="s">
        <v>756</v>
      </c>
      <c r="AP426" s="317" t="s">
        <v>704</v>
      </c>
      <c r="AQ426" s="317" t="s">
        <v>758</v>
      </c>
      <c r="AR426" s="90" t="str">
        <f>VLOOKUP(AP426,'[2]CONTENEUR PLEIN'!$F:$L,2,FALSE)</f>
        <v>CMA CGM KIMBERLEY</v>
      </c>
      <c r="AS426" s="317" t="s">
        <v>316</v>
      </c>
      <c r="AT426" s="98"/>
    </row>
    <row r="427" spans="2:46" s="72" customFormat="1" hidden="1" x14ac:dyDescent="0.25">
      <c r="B427" s="498" t="s">
        <v>45</v>
      </c>
      <c r="C427" s="89">
        <v>45937</v>
      </c>
      <c r="D427" s="90">
        <v>25101</v>
      </c>
      <c r="E427" s="499" t="s">
        <v>487</v>
      </c>
      <c r="F427" s="90">
        <v>2509031033</v>
      </c>
      <c r="G427" s="239" t="s">
        <v>486</v>
      </c>
      <c r="H427" s="239" t="s">
        <v>451</v>
      </c>
      <c r="I427" s="302">
        <v>14880</v>
      </c>
      <c r="J427" s="8" t="s">
        <v>695</v>
      </c>
      <c r="K427" s="8" t="s">
        <v>992</v>
      </c>
      <c r="L427" s="128">
        <v>46041</v>
      </c>
      <c r="M427" s="381">
        <f t="shared" si="72"/>
        <v>4</v>
      </c>
      <c r="N427" s="98" t="s">
        <v>49</v>
      </c>
      <c r="O427" s="92">
        <v>10110011</v>
      </c>
      <c r="P427" s="24" t="str">
        <f>VLOOKUP(O427,[1]Feuil2!$A:$M,5,FALSE)</f>
        <v>BLOC POUR CTX DE CUISINE LAG HERITAGE ACACIA EN BOITE CARTON</v>
      </c>
      <c r="Q427" s="90">
        <v>8350</v>
      </c>
      <c r="R427" s="93">
        <v>4.96</v>
      </c>
      <c r="S427" s="94">
        <f t="shared" si="69"/>
        <v>41416</v>
      </c>
      <c r="T427" s="95">
        <f t="shared" si="75"/>
        <v>74400</v>
      </c>
      <c r="U427" s="138"/>
      <c r="V427" s="96">
        <f t="shared" si="70"/>
        <v>74400</v>
      </c>
      <c r="W427" s="4">
        <f>VLOOKUP(O427,[1]Feuil2!$A:$M,6,FALSE)</f>
        <v>2</v>
      </c>
      <c r="X427" s="5">
        <f>VLOOKUP(O427,[1]Feuil2!$A:$M,13,FALSE)</f>
        <v>1.5224999999999999E-2</v>
      </c>
      <c r="Y427" s="6">
        <f t="shared" si="74"/>
        <v>63.564374999999998</v>
      </c>
      <c r="Z427" s="97">
        <f t="shared" si="71"/>
        <v>114.1875</v>
      </c>
      <c r="AA427" s="497" t="s">
        <v>48</v>
      </c>
      <c r="AB427" s="239" t="s">
        <v>48</v>
      </c>
      <c r="AC427" s="290" t="s">
        <v>55</v>
      </c>
      <c r="AD427" s="21" t="s">
        <v>57</v>
      </c>
      <c r="AE427" s="20">
        <v>45995</v>
      </c>
      <c r="AF427" s="21" t="s">
        <v>684</v>
      </c>
      <c r="AG427" s="21"/>
      <c r="AH427" s="98"/>
      <c r="AI427" s="160">
        <v>45991</v>
      </c>
      <c r="AJ427" s="145">
        <f>DATEDIF(AI427,AK427,"D")</f>
        <v>19</v>
      </c>
      <c r="AK427" s="100">
        <f>VLOOKUP(AP427,'[2]CONTENEUR PLEIN'!$F:$L,3,FALSE)</f>
        <v>46010</v>
      </c>
      <c r="AL427" s="99">
        <f>VLOOKUP(AP427,'[2]CONTENEUR PLEIN'!$F:$L,5,FALSE)</f>
        <v>46052</v>
      </c>
      <c r="AM427" s="18">
        <f>VLOOKUP(AP427,'[2]CONTENEUR PLEIN'!$F:$L,7,FALSE)</f>
        <v>46063.333333333336</v>
      </c>
      <c r="AN427" s="239" t="s">
        <v>63</v>
      </c>
      <c r="AO427" s="317" t="s">
        <v>756</v>
      </c>
      <c r="AP427" s="317" t="s">
        <v>757</v>
      </c>
      <c r="AQ427" s="317" t="s">
        <v>758</v>
      </c>
      <c r="AR427" s="90" t="str">
        <f>VLOOKUP(AP427,'[2]CONTENEUR PLEIN'!$F:$L,2,FALSE)</f>
        <v>CMA CGM KIMBERLEY</v>
      </c>
      <c r="AS427" s="317" t="s">
        <v>316</v>
      </c>
      <c r="AT427" s="98"/>
    </row>
    <row r="428" spans="2:46" s="72" customFormat="1" hidden="1" x14ac:dyDescent="0.25">
      <c r="B428" s="311" t="s">
        <v>45</v>
      </c>
      <c r="C428" s="146">
        <v>45930</v>
      </c>
      <c r="D428" s="147">
        <v>25087</v>
      </c>
      <c r="E428" s="306" t="s">
        <v>471</v>
      </c>
      <c r="F428" s="147">
        <v>2509031047</v>
      </c>
      <c r="G428" s="294" t="s">
        <v>112</v>
      </c>
      <c r="H428" s="272" t="s">
        <v>451</v>
      </c>
      <c r="I428" s="315">
        <v>13684.32</v>
      </c>
      <c r="J428" s="297" t="s">
        <v>695</v>
      </c>
      <c r="K428" s="305" t="s">
        <v>68</v>
      </c>
      <c r="L428" s="269">
        <v>46048</v>
      </c>
      <c r="M428" s="379">
        <f t="shared" si="72"/>
        <v>5</v>
      </c>
      <c r="N428" s="98" t="s">
        <v>62</v>
      </c>
      <c r="O428" s="78">
        <v>10100019</v>
      </c>
      <c r="P428" s="42" t="str">
        <f>VLOOKUP(O428,[1]Feuil2!$A:$M,5,FALSE)</f>
        <v>CISEAU UNIVERSEL LAGUIOLE HERITAGE ABS NOIR</v>
      </c>
      <c r="Q428" s="75">
        <v>53040</v>
      </c>
      <c r="R428" s="79">
        <v>1.29</v>
      </c>
      <c r="S428" s="80">
        <f t="shared" si="69"/>
        <v>68421.600000000006</v>
      </c>
      <c r="T428" s="81">
        <f t="shared" si="75"/>
        <v>68421.600000000006</v>
      </c>
      <c r="U428" s="139"/>
      <c r="V428" s="82">
        <f t="shared" si="70"/>
        <v>68421.600000000006</v>
      </c>
      <c r="W428" s="9">
        <f>VLOOKUP(O428,[1]Feuil2!$A:$M,6,FALSE)</f>
        <v>48</v>
      </c>
      <c r="X428" s="10">
        <f>VLOOKUP(O428,[1]Feuil2!$A:$M,13,FALSE)</f>
        <v>3.2735999999999994E-2</v>
      </c>
      <c r="Y428" s="11">
        <f t="shared" si="74"/>
        <v>36.173279999999991</v>
      </c>
      <c r="Z428" s="83">
        <f t="shared" si="71"/>
        <v>36.173279999999991</v>
      </c>
      <c r="AA428" s="66" t="s">
        <v>61</v>
      </c>
      <c r="AB428" s="28" t="s">
        <v>61</v>
      </c>
      <c r="AC428" s="75"/>
      <c r="AD428" s="28" t="s">
        <v>61</v>
      </c>
      <c r="AE428" s="14">
        <v>46017</v>
      </c>
      <c r="AF428" s="13"/>
      <c r="AG428" s="13"/>
      <c r="AH428" s="84"/>
      <c r="AI428" s="134">
        <v>46011</v>
      </c>
      <c r="AJ428" s="144">
        <f>DATEDIF(AI428,$AK$420,"D")</f>
        <v>15</v>
      </c>
      <c r="AK428" s="85">
        <f>VLOOKUP(AP428,'[2]CONTENEUR PLEIN'!$F:$L,3,FALSE)</f>
        <v>46026</v>
      </c>
      <c r="AL428" s="86">
        <f>VLOOKUP(AP428,'[2]CONTENEUR PLEIN'!$F:$L,5,FALSE)</f>
        <v>46081</v>
      </c>
      <c r="AM428" s="18">
        <f>VLOOKUP(AP428,'[2]CONTENEUR PLEIN'!$F:$L,7,FALSE)</f>
        <v>46099.53125</v>
      </c>
      <c r="AN428" s="184" t="s">
        <v>63</v>
      </c>
      <c r="AO428" s="334" t="s">
        <v>816</v>
      </c>
      <c r="AP428" s="334" t="s">
        <v>817</v>
      </c>
      <c r="AQ428" s="334" t="s">
        <v>818</v>
      </c>
      <c r="AR428" s="75" t="str">
        <f>VLOOKUP(AP428,'[2]CONTENEUR PLEIN'!$F:$L,2,FALSE)</f>
        <v>ZEPHYR LUMOS</v>
      </c>
      <c r="AS428" s="334" t="s">
        <v>316</v>
      </c>
      <c r="AT428" s="84"/>
    </row>
    <row r="429" spans="2:46" s="72" customFormat="1" hidden="1" x14ac:dyDescent="0.25">
      <c r="B429" s="185" t="s">
        <v>45</v>
      </c>
      <c r="C429" s="186">
        <v>45930</v>
      </c>
      <c r="D429" s="187">
        <v>25088</v>
      </c>
      <c r="E429" s="188" t="s">
        <v>469</v>
      </c>
      <c r="F429" s="187">
        <v>2509041001</v>
      </c>
      <c r="G429" s="187" t="s">
        <v>470</v>
      </c>
      <c r="H429" s="187" t="s">
        <v>451</v>
      </c>
      <c r="I429" s="477">
        <v>45240</v>
      </c>
      <c r="J429" s="478" t="s">
        <v>695</v>
      </c>
      <c r="K429" s="187" t="s">
        <v>68</v>
      </c>
      <c r="L429" s="269">
        <v>46072</v>
      </c>
      <c r="M429" s="380" t="e">
        <f t="shared" si="72"/>
        <v>#VALUE!</v>
      </c>
      <c r="N429" s="98" t="s">
        <v>62</v>
      </c>
      <c r="O429" s="78">
        <v>40110011</v>
      </c>
      <c r="P429" s="42" t="str">
        <f>VLOOKUP(O429,[1]Feuil2!$A:$M,5,FALSE)</f>
        <v>MANDOLINE BOITE LAGUIOLE HERITAGE</v>
      </c>
      <c r="Q429" s="75">
        <v>11656</v>
      </c>
      <c r="R429" s="79">
        <v>3.82</v>
      </c>
      <c r="S429" s="80">
        <f t="shared" si="69"/>
        <v>44525.919999999998</v>
      </c>
      <c r="T429" s="81">
        <f t="shared" si="75"/>
        <v>229200</v>
      </c>
      <c r="U429" s="139"/>
      <c r="V429" s="82">
        <f t="shared" si="70"/>
        <v>229200</v>
      </c>
      <c r="W429" s="9">
        <f>VLOOKUP(O429,[1]Feuil2!$A:$M,6,FALSE)</f>
        <v>4</v>
      </c>
      <c r="X429" s="10">
        <f>VLOOKUP(O429,[1]Feuil2!$A:$M,13,FALSE)</f>
        <v>0</v>
      </c>
      <c r="Y429" s="11">
        <f t="shared" si="74"/>
        <v>0</v>
      </c>
      <c r="Z429" s="83">
        <f t="shared" si="71"/>
        <v>0</v>
      </c>
      <c r="AA429" s="12" t="s">
        <v>57</v>
      </c>
      <c r="AB429" s="13" t="s">
        <v>57</v>
      </c>
      <c r="AC429" s="87" t="s">
        <v>55</v>
      </c>
      <c r="AD429" s="13" t="s">
        <v>57</v>
      </c>
      <c r="AE429" s="14">
        <v>46036</v>
      </c>
      <c r="AF429" s="13" t="s">
        <v>837</v>
      </c>
      <c r="AG429" s="13"/>
      <c r="AH429" s="84"/>
      <c r="AI429" s="171">
        <v>45986</v>
      </c>
      <c r="AJ429" s="144">
        <f ca="1">DATEDIF(AI429,$AJ$1,"D")</f>
        <v>112</v>
      </c>
      <c r="AK429" s="85">
        <f>VLOOKUP(AP429,'[2]CONTENEUR PLEIN'!$F:$L,3,FALSE)</f>
        <v>46072</v>
      </c>
      <c r="AL429" s="86">
        <f>VLOOKUP(AP429,'[2]CONTENEUR PLEIN'!$F:$L,5,FALSE)</f>
        <v>46112</v>
      </c>
      <c r="AM429" s="46" t="str">
        <f>VLOOKUP(AP429,'[2]CONTENEUR PLEIN'!$F:$L,7,FALSE)</f>
        <v>Estimée : 07-avril</v>
      </c>
      <c r="AN429" s="184" t="s">
        <v>63</v>
      </c>
      <c r="AO429" s="473" t="s">
        <v>962</v>
      </c>
      <c r="AP429" s="473" t="s">
        <v>963</v>
      </c>
      <c r="AQ429" s="473" t="s">
        <v>964</v>
      </c>
      <c r="AR429" s="75" t="str">
        <f>VLOOKUP(AP429,'[2]CONTENEUR PLEIN'!$F:$L,2,FALSE)</f>
        <v>CMA CGM ALEXANDER VON HUMBOLDT</v>
      </c>
      <c r="AS429" s="473" t="s">
        <v>316</v>
      </c>
      <c r="AT429" s="84"/>
    </row>
    <row r="430" spans="2:46" s="72" customFormat="1" hidden="1" x14ac:dyDescent="0.25">
      <c r="B430" s="219" t="s">
        <v>45</v>
      </c>
      <c r="C430" s="74">
        <v>45930</v>
      </c>
      <c r="D430" s="75">
        <v>25088</v>
      </c>
      <c r="E430" s="237" t="s">
        <v>469</v>
      </c>
      <c r="F430" s="75">
        <v>2509041001</v>
      </c>
      <c r="G430" s="236" t="s">
        <v>470</v>
      </c>
      <c r="H430" s="221" t="s">
        <v>451</v>
      </c>
      <c r="I430" s="302">
        <v>45240</v>
      </c>
      <c r="J430" s="296" t="s">
        <v>695</v>
      </c>
      <c r="K430" s="594" t="s">
        <v>76</v>
      </c>
      <c r="L430" s="221" t="s">
        <v>47</v>
      </c>
      <c r="M430" s="380" t="e">
        <f t="shared" si="72"/>
        <v>#N/A</v>
      </c>
      <c r="N430" s="98" t="s">
        <v>62</v>
      </c>
      <c r="O430" s="78">
        <v>40110011</v>
      </c>
      <c r="P430" s="42" t="str">
        <f>VLOOKUP(O430,[1]Feuil2!$A:$M,5,FALSE)</f>
        <v>MANDOLINE BOITE LAGUIOLE HERITAGE</v>
      </c>
      <c r="Q430" s="75">
        <v>24000</v>
      </c>
      <c r="R430" s="79">
        <v>3.82</v>
      </c>
      <c r="S430" s="80">
        <f t="shared" si="69"/>
        <v>91680</v>
      </c>
      <c r="T430" s="81">
        <f t="shared" si="75"/>
        <v>229200</v>
      </c>
      <c r="U430" s="139"/>
      <c r="V430" s="82">
        <f t="shared" si="70"/>
        <v>229200</v>
      </c>
      <c r="W430" s="9">
        <f>VLOOKUP(O430,[1]Feuil2!$A:$M,6,FALSE)</f>
        <v>4</v>
      </c>
      <c r="X430" s="10">
        <f>VLOOKUP(O430,[1]Feuil2!$A:$M,13,FALSE)</f>
        <v>0</v>
      </c>
      <c r="Y430" s="11">
        <f t="shared" si="74"/>
        <v>0</v>
      </c>
      <c r="Z430" s="83">
        <f t="shared" si="71"/>
        <v>0</v>
      </c>
      <c r="AA430" s="12" t="s">
        <v>57</v>
      </c>
      <c r="AB430" s="13" t="s">
        <v>57</v>
      </c>
      <c r="AC430" s="87" t="s">
        <v>55</v>
      </c>
      <c r="AD430" s="13" t="s">
        <v>57</v>
      </c>
      <c r="AE430" s="14">
        <v>46085</v>
      </c>
      <c r="AF430" s="13" t="s">
        <v>1036</v>
      </c>
      <c r="AG430" s="13"/>
      <c r="AH430" s="84"/>
      <c r="AI430" s="171">
        <v>45986</v>
      </c>
      <c r="AJ430" s="144">
        <f ca="1">DATEDIF(AI430,$AJ$1,"D")</f>
        <v>112</v>
      </c>
      <c r="AK430" s="85" t="e">
        <f>VLOOKUP(AP430,'[2]CONTENEUR PLEIN'!$F:$L,3,FALSE)</f>
        <v>#N/A</v>
      </c>
      <c r="AL430" s="86" t="e">
        <f>VLOOKUP(AP430,'[2]CONTENEUR PLEIN'!$F:$L,5,FALSE)</f>
        <v>#N/A</v>
      </c>
      <c r="AM430" s="15" t="e">
        <f>VLOOKUP(AP430,'[2]CONTENEUR PLEIN'!$F:$L,7,FALSE)</f>
        <v>#N/A</v>
      </c>
      <c r="AN430" s="184" t="s">
        <v>63</v>
      </c>
      <c r="AO430" s="75"/>
      <c r="AP430" s="75"/>
      <c r="AQ430" s="75"/>
      <c r="AR430" s="75" t="e">
        <f>VLOOKUP(AP430,'[2]CONTENEUR PLEIN'!$F:$L,2,FALSE)</f>
        <v>#N/A</v>
      </c>
      <c r="AS430" s="75"/>
      <c r="AT430" s="84"/>
    </row>
    <row r="431" spans="2:46" s="72" customFormat="1" hidden="1" x14ac:dyDescent="0.25">
      <c r="B431" s="219" t="s">
        <v>45</v>
      </c>
      <c r="C431" s="74">
        <v>45930</v>
      </c>
      <c r="D431" s="75">
        <v>25088</v>
      </c>
      <c r="E431" s="237" t="s">
        <v>469</v>
      </c>
      <c r="F431" s="75">
        <v>2509041001</v>
      </c>
      <c r="G431" s="236" t="s">
        <v>470</v>
      </c>
      <c r="H431" s="221" t="s">
        <v>451</v>
      </c>
      <c r="I431" s="302">
        <v>45240</v>
      </c>
      <c r="J431" s="296" t="s">
        <v>695</v>
      </c>
      <c r="K431" s="75" t="s">
        <v>60</v>
      </c>
      <c r="L431" s="221" t="s">
        <v>47</v>
      </c>
      <c r="M431" s="380" t="e">
        <f t="shared" si="72"/>
        <v>#N/A</v>
      </c>
      <c r="N431" s="98" t="s">
        <v>62</v>
      </c>
      <c r="O431" s="78">
        <v>40110011</v>
      </c>
      <c r="P431" s="42" t="str">
        <f>VLOOKUP(O431,[1]Feuil2!$A:$M,5,FALSE)</f>
        <v>MANDOLINE BOITE LAGUIOLE HERITAGE</v>
      </c>
      <c r="Q431" s="75">
        <f>60000-11656-24000</f>
        <v>24344</v>
      </c>
      <c r="R431" s="79">
        <v>3.82</v>
      </c>
      <c r="S431" s="80">
        <f t="shared" si="69"/>
        <v>92994.08</v>
      </c>
      <c r="T431" s="81">
        <f t="shared" si="75"/>
        <v>229200</v>
      </c>
      <c r="U431" s="139"/>
      <c r="V431" s="82">
        <f t="shared" si="70"/>
        <v>229200</v>
      </c>
      <c r="W431" s="9">
        <f>VLOOKUP(O431,[1]Feuil2!$A:$M,6,FALSE)</f>
        <v>4</v>
      </c>
      <c r="X431" s="10">
        <f>VLOOKUP(O431,[1]Feuil2!$A:$M,13,FALSE)</f>
        <v>0</v>
      </c>
      <c r="Y431" s="11">
        <f t="shared" si="74"/>
        <v>0</v>
      </c>
      <c r="Z431" s="83">
        <f t="shared" si="71"/>
        <v>0</v>
      </c>
      <c r="AA431" s="12" t="s">
        <v>57</v>
      </c>
      <c r="AB431" s="13" t="s">
        <v>57</v>
      </c>
      <c r="AC431" s="87" t="s">
        <v>55</v>
      </c>
      <c r="AD431" s="13" t="s">
        <v>57</v>
      </c>
      <c r="AE431" s="14"/>
      <c r="AF431" s="13"/>
      <c r="AG431" s="13"/>
      <c r="AH431" s="84"/>
      <c r="AI431" s="171">
        <v>45986</v>
      </c>
      <c r="AJ431" s="144">
        <f ca="1">DATEDIF(AI431,$AJ$1,"D")</f>
        <v>112</v>
      </c>
      <c r="AK431" s="85" t="e">
        <f>VLOOKUP(AP431,'[2]CONTENEUR PLEIN'!$F:$L,3,FALSE)</f>
        <v>#N/A</v>
      </c>
      <c r="AL431" s="86" t="e">
        <f>VLOOKUP(AP431,'[2]CONTENEUR PLEIN'!$F:$L,5,FALSE)</f>
        <v>#N/A</v>
      </c>
      <c r="AM431" s="15" t="e">
        <f>VLOOKUP(AP431,'[2]CONTENEUR PLEIN'!$F:$L,7,FALSE)</f>
        <v>#N/A</v>
      </c>
      <c r="AN431" s="184" t="s">
        <v>63</v>
      </c>
      <c r="AO431" s="75"/>
      <c r="AP431" s="75"/>
      <c r="AQ431" s="75"/>
      <c r="AR431" s="75" t="e">
        <f>VLOOKUP(AP431,'[2]CONTENEUR PLEIN'!$F:$L,2,FALSE)</f>
        <v>#N/A</v>
      </c>
      <c r="AS431" s="75"/>
      <c r="AT431" s="84"/>
    </row>
    <row r="432" spans="2:46" s="72" customFormat="1" hidden="1" x14ac:dyDescent="0.25">
      <c r="B432" s="267" t="s">
        <v>45</v>
      </c>
      <c r="C432" s="89">
        <v>45929</v>
      </c>
      <c r="D432" s="90">
        <v>25084</v>
      </c>
      <c r="E432" s="499" t="s">
        <v>466</v>
      </c>
      <c r="F432" s="90">
        <v>2509111410</v>
      </c>
      <c r="G432" s="90" t="s">
        <v>73</v>
      </c>
      <c r="H432" s="239" t="s">
        <v>467</v>
      </c>
      <c r="I432" s="218" t="s">
        <v>49</v>
      </c>
      <c r="J432" s="8" t="s">
        <v>694</v>
      </c>
      <c r="K432" s="8" t="s">
        <v>993</v>
      </c>
      <c r="L432" s="128">
        <v>46049</v>
      </c>
      <c r="M432" s="381">
        <f t="shared" si="72"/>
        <v>4</v>
      </c>
      <c r="N432" s="98" t="s">
        <v>62</v>
      </c>
      <c r="O432" s="92" t="s">
        <v>463</v>
      </c>
      <c r="P432" s="24" t="str">
        <f>VLOOKUP(O432,[1]Feuil2!$A:$M,5,FALSE)</f>
        <v>AIGUISEUR DOUBLE DIAMANT SOUS BLISTER TOP CHEF</v>
      </c>
      <c r="Q432" s="90">
        <v>6912</v>
      </c>
      <c r="R432" s="93">
        <v>1.98</v>
      </c>
      <c r="S432" s="94">
        <f t="shared" si="69"/>
        <v>13685.76</v>
      </c>
      <c r="T432" s="95">
        <f t="shared" si="75"/>
        <v>13685.76</v>
      </c>
      <c r="U432" s="138">
        <v>200</v>
      </c>
      <c r="V432" s="96">
        <f t="shared" si="70"/>
        <v>13885.76</v>
      </c>
      <c r="W432" s="4">
        <f>VLOOKUP(O432,[1]Feuil2!$A:$M,6,FALSE)</f>
        <v>36</v>
      </c>
      <c r="X432" s="5">
        <f>VLOOKUP(O432,[1]Feuil2!$A:$M,13,FALSE)</f>
        <v>6.2480000000000008E-2</v>
      </c>
      <c r="Y432" s="6">
        <f t="shared" si="74"/>
        <v>11.996160000000001</v>
      </c>
      <c r="Z432" s="97">
        <f t="shared" si="71"/>
        <v>11.996160000000001</v>
      </c>
      <c r="AA432" s="68" t="s">
        <v>48</v>
      </c>
      <c r="AB432" s="67" t="s">
        <v>48</v>
      </c>
      <c r="AC432" s="290" t="s">
        <v>55</v>
      </c>
      <c r="AD432" s="21" t="s">
        <v>57</v>
      </c>
      <c r="AE432" s="20">
        <v>45996</v>
      </c>
      <c r="AF432" s="21" t="s">
        <v>685</v>
      </c>
      <c r="AG432" s="21"/>
      <c r="AH432" s="98"/>
      <c r="AI432" s="160">
        <v>45986</v>
      </c>
      <c r="AJ432" s="145">
        <f t="shared" ref="AJ432:AJ444" si="76">DATEDIF(AI432,AK432,"D")</f>
        <v>24</v>
      </c>
      <c r="AK432" s="100">
        <f>VLOOKUP(AP432,'[2]CONTENEUR PLEIN'!$F:$L,3,FALSE)</f>
        <v>46010</v>
      </c>
      <c r="AL432" s="99">
        <f>VLOOKUP(AP432,'[2]CONTENEUR PLEIN'!$F:$L,5,FALSE)</f>
        <v>46052</v>
      </c>
      <c r="AM432" s="18">
        <f>VLOOKUP(AP432,'[2]CONTENEUR PLEIN'!$F:$L,7,FALSE)</f>
        <v>46062.53125</v>
      </c>
      <c r="AN432" s="191" t="s">
        <v>63</v>
      </c>
      <c r="AO432" s="307" t="s">
        <v>703</v>
      </c>
      <c r="AP432" s="307" t="s">
        <v>704</v>
      </c>
      <c r="AQ432" s="307" t="s">
        <v>682</v>
      </c>
      <c r="AR432" s="90" t="str">
        <f>VLOOKUP(AP432,'[2]CONTENEUR PLEIN'!$F:$L,2,FALSE)</f>
        <v>CMA CGM KIMBERLEY</v>
      </c>
      <c r="AS432" s="307" t="s">
        <v>316</v>
      </c>
      <c r="AT432" s="98"/>
    </row>
    <row r="433" spans="2:46" s="72" customFormat="1" hidden="1" x14ac:dyDescent="0.25">
      <c r="B433" s="267" t="s">
        <v>45</v>
      </c>
      <c r="C433" s="89">
        <v>45929</v>
      </c>
      <c r="D433" s="90">
        <v>25074</v>
      </c>
      <c r="E433" s="91" t="s">
        <v>465</v>
      </c>
      <c r="F433" s="90">
        <v>2509111413</v>
      </c>
      <c r="G433" s="90" t="s">
        <v>58</v>
      </c>
      <c r="H433" s="239" t="s">
        <v>467</v>
      </c>
      <c r="I433" s="218" t="s">
        <v>49</v>
      </c>
      <c r="J433" s="8" t="s">
        <v>694</v>
      </c>
      <c r="K433" s="8" t="s">
        <v>968</v>
      </c>
      <c r="L433" s="269">
        <v>46014</v>
      </c>
      <c r="M433" s="381">
        <f t="shared" si="72"/>
        <v>4</v>
      </c>
      <c r="N433" s="98" t="s">
        <v>62</v>
      </c>
      <c r="O433" s="92">
        <v>40590004</v>
      </c>
      <c r="P433" s="24" t="str">
        <f>VLOOKUP(O433,[1]Feuil2!$A:$M,5,FALSE)</f>
        <v>RAPE MANCHE BICOLOR TOP CHEF</v>
      </c>
      <c r="Q433" s="90">
        <v>20592</v>
      </c>
      <c r="R433" s="93">
        <v>0.87</v>
      </c>
      <c r="S433" s="94">
        <f t="shared" si="69"/>
        <v>17915.04</v>
      </c>
      <c r="T433" s="95">
        <f t="shared" si="75"/>
        <v>17915.04</v>
      </c>
      <c r="U433" s="138"/>
      <c r="V433" s="96">
        <f t="shared" si="70"/>
        <v>17915.04</v>
      </c>
      <c r="W433" s="4">
        <f>VLOOKUP(O433,[1]Feuil2!$A:$M,6,FALSE)</f>
        <v>48</v>
      </c>
      <c r="X433" s="5">
        <f>VLOOKUP(O433,[1]Feuil2!$A:$M,13,FALSE)</f>
        <v>1.8007499999999999E-2</v>
      </c>
      <c r="Y433" s="6">
        <f t="shared" si="74"/>
        <v>7.7252174999999994</v>
      </c>
      <c r="Z433" s="97">
        <f t="shared" si="71"/>
        <v>7.7252174999999994</v>
      </c>
      <c r="AA433" s="69" t="s">
        <v>57</v>
      </c>
      <c r="AB433" s="67" t="s">
        <v>48</v>
      </c>
      <c r="AC433" s="283" t="s">
        <v>55</v>
      </c>
      <c r="AD433" s="21" t="s">
        <v>57</v>
      </c>
      <c r="AE433" s="20">
        <v>45993</v>
      </c>
      <c r="AF433" s="21" t="s">
        <v>653</v>
      </c>
      <c r="AG433" s="21"/>
      <c r="AH433" s="98"/>
      <c r="AI433" s="160">
        <v>45986</v>
      </c>
      <c r="AJ433" s="145">
        <f t="shared" si="76"/>
        <v>17</v>
      </c>
      <c r="AK433" s="100">
        <f>VLOOKUP(AP433,'[2]CONTENEUR PLEIN'!$F:$L,3,FALSE)</f>
        <v>46003</v>
      </c>
      <c r="AL433" s="99">
        <f>VLOOKUP(AP433,'[2]CONTENEUR PLEIN'!$F:$L,5,FALSE)</f>
        <v>46046</v>
      </c>
      <c r="AM433" s="18">
        <f>VLOOKUP(AP433,'[2]CONTENEUR PLEIN'!$F:$L,7,FALSE)</f>
        <v>46056.333333333336</v>
      </c>
      <c r="AN433" s="191" t="s">
        <v>63</v>
      </c>
      <c r="AO433" s="295" t="s">
        <v>690</v>
      </c>
      <c r="AP433" s="295" t="s">
        <v>691</v>
      </c>
      <c r="AQ433" s="295" t="s">
        <v>693</v>
      </c>
      <c r="AR433" s="90" t="str">
        <f>VLOOKUP(AP433,'[2]CONTENEUR PLEIN'!$F:$L,2,FALSE)</f>
        <v>CMA CGM SCANDOLA</v>
      </c>
      <c r="AS433" s="295" t="s">
        <v>316</v>
      </c>
      <c r="AT433" s="98"/>
    </row>
    <row r="434" spans="2:46" s="72" customFormat="1" hidden="1" x14ac:dyDescent="0.25">
      <c r="B434" s="267" t="s">
        <v>45</v>
      </c>
      <c r="C434" s="89">
        <v>45929</v>
      </c>
      <c r="D434" s="90">
        <v>25083</v>
      </c>
      <c r="E434" s="91" t="s">
        <v>464</v>
      </c>
      <c r="F434" s="90">
        <v>2509111358</v>
      </c>
      <c r="G434" s="90" t="s">
        <v>112</v>
      </c>
      <c r="H434" s="239" t="s">
        <v>467</v>
      </c>
      <c r="I434" s="487">
        <v>5448.96</v>
      </c>
      <c r="J434" s="8" t="s">
        <v>694</v>
      </c>
      <c r="K434" s="8" t="s">
        <v>969</v>
      </c>
      <c r="L434" s="269">
        <v>46014</v>
      </c>
      <c r="M434" s="381">
        <f t="shared" si="72"/>
        <v>4</v>
      </c>
      <c r="N434" s="98" t="s">
        <v>62</v>
      </c>
      <c r="O434" s="92">
        <v>10590014</v>
      </c>
      <c r="P434" s="24" t="str">
        <f>VLOOKUP(O434,[1]Feuil2!$A:$M,5,FALSE)</f>
        <v>CISEAU UNIVERSEL ABS NOIR TOP CHEF</v>
      </c>
      <c r="Q434" s="90">
        <v>22896</v>
      </c>
      <c r="R434" s="93">
        <v>1.29</v>
      </c>
      <c r="S434" s="94">
        <f t="shared" si="69"/>
        <v>29535.84</v>
      </c>
      <c r="T434" s="95">
        <f t="shared" si="75"/>
        <v>29535.84</v>
      </c>
      <c r="U434" s="138"/>
      <c r="V434" s="96">
        <f t="shared" si="70"/>
        <v>29535.84</v>
      </c>
      <c r="W434" s="4">
        <f>VLOOKUP(O434,[1]Feuil2!$A:$M,6,FALSE)</f>
        <v>48</v>
      </c>
      <c r="X434" s="5">
        <f>VLOOKUP(O434,[1]Feuil2!$A:$M,13,FALSE)</f>
        <v>3.2735999999999994E-2</v>
      </c>
      <c r="Y434" s="6">
        <f t="shared" si="74"/>
        <v>15.615071999999998</v>
      </c>
      <c r="Z434" s="97">
        <f t="shared" si="71"/>
        <v>15.615071999999998</v>
      </c>
      <c r="AA434" s="69" t="s">
        <v>57</v>
      </c>
      <c r="AB434" s="21" t="s">
        <v>57</v>
      </c>
      <c r="AC434" s="301" t="s">
        <v>55</v>
      </c>
      <c r="AD434" s="133" t="s">
        <v>61</v>
      </c>
      <c r="AE434" s="20">
        <v>46001</v>
      </c>
      <c r="AF434" s="21" t="s">
        <v>700</v>
      </c>
      <c r="AG434" s="21"/>
      <c r="AH434" s="98"/>
      <c r="AI434" s="160">
        <v>45986</v>
      </c>
      <c r="AJ434" s="145">
        <f t="shared" si="76"/>
        <v>24</v>
      </c>
      <c r="AK434" s="100">
        <f>VLOOKUP(AP434,'[2]CONTENEUR PLEIN'!$F:$L,3,FALSE)</f>
        <v>46010</v>
      </c>
      <c r="AL434" s="99">
        <f>VLOOKUP(AP434,'[2]CONTENEUR PLEIN'!$F:$L,5,FALSE)</f>
        <v>46052</v>
      </c>
      <c r="AM434" s="18">
        <f>VLOOKUP(AP434,'[2]CONTENEUR PLEIN'!$F:$L,7,FALSE)</f>
        <v>46057.333333333336</v>
      </c>
      <c r="AN434" s="191" t="s">
        <v>63</v>
      </c>
      <c r="AO434" s="479" t="s">
        <v>744</v>
      </c>
      <c r="AP434" s="479" t="s">
        <v>720</v>
      </c>
      <c r="AQ434" s="479" t="s">
        <v>745</v>
      </c>
      <c r="AR434" s="90" t="str">
        <f>VLOOKUP(AP434,'[2]CONTENEUR PLEIN'!$F:$L,2,FALSE)</f>
        <v>CMA CGM KIMBERLEY</v>
      </c>
      <c r="AS434" s="479" t="s">
        <v>316</v>
      </c>
      <c r="AT434" s="98"/>
    </row>
    <row r="435" spans="2:46" s="72" customFormat="1" hidden="1" x14ac:dyDescent="0.25">
      <c r="B435" s="267" t="s">
        <v>45</v>
      </c>
      <c r="C435" s="89">
        <v>45912</v>
      </c>
      <c r="D435" s="90">
        <v>25075</v>
      </c>
      <c r="E435" s="268" t="s">
        <v>446</v>
      </c>
      <c r="F435" s="90">
        <v>2509120848</v>
      </c>
      <c r="G435" s="218" t="s">
        <v>74</v>
      </c>
      <c r="H435" s="218" t="s">
        <v>418</v>
      </c>
      <c r="I435" s="218" t="s">
        <v>49</v>
      </c>
      <c r="J435" s="218" t="s">
        <v>50</v>
      </c>
      <c r="K435" s="16" t="s">
        <v>996</v>
      </c>
      <c r="L435" s="128">
        <v>46041</v>
      </c>
      <c r="M435" s="381">
        <f t="shared" si="72"/>
        <v>5</v>
      </c>
      <c r="N435" s="98" t="s">
        <v>49</v>
      </c>
      <c r="O435" s="92">
        <v>31040026</v>
      </c>
      <c r="P435" s="24" t="str">
        <f>VLOOKUP(O435,[1]Feuil2!$A:$M,5,FALSE)</f>
        <v>COUTEAU DROP COLOR BLEU VRAC + GENCOD</v>
      </c>
      <c r="Q435" s="90">
        <v>11040</v>
      </c>
      <c r="R435" s="93">
        <v>0.22</v>
      </c>
      <c r="S435" s="94">
        <f t="shared" si="69"/>
        <v>2428.8000000000002</v>
      </c>
      <c r="T435" s="95">
        <f t="shared" si="75"/>
        <v>50314.464000000007</v>
      </c>
      <c r="U435" s="138"/>
      <c r="V435" s="96">
        <f t="shared" si="70"/>
        <v>50314.464000000007</v>
      </c>
      <c r="W435" s="4">
        <f>VLOOKUP(O435,[1]Feuil2!$A:$M,6,FALSE)</f>
        <v>240</v>
      </c>
      <c r="X435" s="5">
        <f>VLOOKUP(O435,[1]Feuil2!$A:$M,13,FALSE)</f>
        <v>3.0800000000000001E-2</v>
      </c>
      <c r="Y435" s="6">
        <f t="shared" si="74"/>
        <v>1.4168000000000001</v>
      </c>
      <c r="Z435" s="97">
        <f t="shared" si="71"/>
        <v>41.516200125000012</v>
      </c>
      <c r="AA435" s="69" t="s">
        <v>57</v>
      </c>
      <c r="AB435" s="67" t="s">
        <v>48</v>
      </c>
      <c r="AC435" s="87" t="s">
        <v>55</v>
      </c>
      <c r="AD435" s="21" t="s">
        <v>57</v>
      </c>
      <c r="AE435" s="20">
        <v>45987</v>
      </c>
      <c r="AF435" s="21" t="s">
        <v>635</v>
      </c>
      <c r="AG435" s="21"/>
      <c r="AH435" s="98"/>
      <c r="AI435" s="160">
        <v>45976</v>
      </c>
      <c r="AJ435" s="145">
        <f t="shared" si="76"/>
        <v>27</v>
      </c>
      <c r="AK435" s="100">
        <f>VLOOKUP(AP435,'[2]CONTENEUR PLEIN'!$F:$L,3,FALSE)</f>
        <v>46003</v>
      </c>
      <c r="AL435" s="99">
        <f>VLOOKUP(AP435,'[2]CONTENEUR PLEIN'!$F:$L,5,FALSE)</f>
        <v>46060</v>
      </c>
      <c r="AM435" s="18">
        <f>VLOOKUP(AP435,'[2]CONTENEUR PLEIN'!$F:$L,7,FALSE)</f>
        <v>46069.333333333336</v>
      </c>
      <c r="AN435" s="191" t="s">
        <v>63</v>
      </c>
      <c r="AO435" s="290" t="s">
        <v>673</v>
      </c>
      <c r="AP435" s="290" t="s">
        <v>674</v>
      </c>
      <c r="AQ435" s="290" t="s">
        <v>678</v>
      </c>
      <c r="AR435" s="90" t="str">
        <f>VLOOKUP(AP435,'[2]CONTENEUR PLEIN'!$F:$L,2,FALSE)</f>
        <v>CMA CGM SCANDOLA</v>
      </c>
      <c r="AS435" s="290" t="s">
        <v>316</v>
      </c>
      <c r="AT435" s="98"/>
    </row>
    <row r="436" spans="2:46" s="72" customFormat="1" hidden="1" x14ac:dyDescent="0.25">
      <c r="B436" s="267" t="s">
        <v>45</v>
      </c>
      <c r="C436" s="89">
        <v>45912</v>
      </c>
      <c r="D436" s="90">
        <v>25075</v>
      </c>
      <c r="E436" s="268" t="s">
        <v>446</v>
      </c>
      <c r="F436" s="90">
        <v>2509120848</v>
      </c>
      <c r="G436" s="218" t="s">
        <v>74</v>
      </c>
      <c r="H436" s="218" t="s">
        <v>418</v>
      </c>
      <c r="I436" s="218" t="s">
        <v>49</v>
      </c>
      <c r="J436" s="218" t="s">
        <v>50</v>
      </c>
      <c r="K436" s="16" t="s">
        <v>996</v>
      </c>
      <c r="L436" s="128">
        <v>46041</v>
      </c>
      <c r="M436" s="381">
        <f t="shared" si="72"/>
        <v>5</v>
      </c>
      <c r="N436" s="98" t="s">
        <v>49</v>
      </c>
      <c r="O436" s="92">
        <v>31040027</v>
      </c>
      <c r="P436" s="24" t="str">
        <f>VLOOKUP(O436,[1]Feuil2!$A:$M,5,FALSE)</f>
        <v>FOURCHETTE DROP COLOR BLEU VRAC + GENCOD</v>
      </c>
      <c r="Q436" s="90">
        <v>11040</v>
      </c>
      <c r="R436" s="93">
        <v>0.18</v>
      </c>
      <c r="S436" s="94">
        <f t="shared" si="69"/>
        <v>1987.1999999999998</v>
      </c>
      <c r="T436" s="95">
        <f t="shared" si="75"/>
        <v>50314.464000000007</v>
      </c>
      <c r="U436" s="138"/>
      <c r="V436" s="96">
        <f t="shared" si="70"/>
        <v>50314.464000000007</v>
      </c>
      <c r="W436" s="4">
        <f>VLOOKUP(O436,[1]Feuil2!$A:$M,6,FALSE)</f>
        <v>240</v>
      </c>
      <c r="X436" s="5">
        <f>VLOOKUP(O436,[1]Feuil2!$A:$M,13,FALSE)</f>
        <v>3.0358124999999996E-2</v>
      </c>
      <c r="Y436" s="6">
        <f t="shared" si="74"/>
        <v>1.3964737499999997</v>
      </c>
      <c r="Z436" s="97">
        <f t="shared" si="71"/>
        <v>41.516200125000012</v>
      </c>
      <c r="AA436" s="69" t="s">
        <v>57</v>
      </c>
      <c r="AB436" s="68" t="s">
        <v>48</v>
      </c>
      <c r="AC436" s="87" t="s">
        <v>55</v>
      </c>
      <c r="AD436" s="21" t="s">
        <v>57</v>
      </c>
      <c r="AE436" s="20">
        <v>45987</v>
      </c>
      <c r="AF436" s="21" t="s">
        <v>636</v>
      </c>
      <c r="AG436" s="21"/>
      <c r="AH436" s="98"/>
      <c r="AI436" s="160">
        <v>45976</v>
      </c>
      <c r="AJ436" s="145">
        <f t="shared" si="76"/>
        <v>27</v>
      </c>
      <c r="AK436" s="100">
        <f>VLOOKUP(AP436,'[2]CONTENEUR PLEIN'!$F:$L,3,FALSE)</f>
        <v>46003</v>
      </c>
      <c r="AL436" s="99">
        <f>VLOOKUP(AP436,'[2]CONTENEUR PLEIN'!$F:$L,5,FALSE)</f>
        <v>46060</v>
      </c>
      <c r="AM436" s="18">
        <f>VLOOKUP(AP436,'[2]CONTENEUR PLEIN'!$F:$L,7,FALSE)</f>
        <v>46069.333333333336</v>
      </c>
      <c r="AN436" s="191" t="s">
        <v>63</v>
      </c>
      <c r="AO436" s="290" t="s">
        <v>673</v>
      </c>
      <c r="AP436" s="290" t="s">
        <v>674</v>
      </c>
      <c r="AQ436" s="290" t="s">
        <v>678</v>
      </c>
      <c r="AR436" s="90" t="str">
        <f>VLOOKUP(AP436,'[2]CONTENEUR PLEIN'!$F:$L,2,FALSE)</f>
        <v>CMA CGM SCANDOLA</v>
      </c>
      <c r="AS436" s="290" t="s">
        <v>316</v>
      </c>
      <c r="AT436" s="98"/>
    </row>
    <row r="437" spans="2:46" s="72" customFormat="1" hidden="1" x14ac:dyDescent="0.25">
      <c r="B437" s="267" t="s">
        <v>45</v>
      </c>
      <c r="C437" s="89">
        <v>45912</v>
      </c>
      <c r="D437" s="90">
        <v>25075</v>
      </c>
      <c r="E437" s="268" t="s">
        <v>446</v>
      </c>
      <c r="F437" s="90">
        <v>2509120848</v>
      </c>
      <c r="G437" s="218" t="s">
        <v>74</v>
      </c>
      <c r="H437" s="218" t="s">
        <v>418</v>
      </c>
      <c r="I437" s="218" t="s">
        <v>49</v>
      </c>
      <c r="J437" s="218" t="s">
        <v>50</v>
      </c>
      <c r="K437" s="16" t="s">
        <v>996</v>
      </c>
      <c r="L437" s="128">
        <v>46041</v>
      </c>
      <c r="M437" s="381">
        <f t="shared" si="72"/>
        <v>5</v>
      </c>
      <c r="N437" s="98" t="s">
        <v>49</v>
      </c>
      <c r="O437" s="92">
        <v>31040028</v>
      </c>
      <c r="P437" s="24" t="str">
        <f>VLOOKUP(O437,[1]Feuil2!$A:$M,5,FALSE)</f>
        <v>CUILLERE DROP COLOR BLEU VRAC + GENCOD</v>
      </c>
      <c r="Q437" s="90">
        <v>11040</v>
      </c>
      <c r="R437" s="93">
        <v>0.19400000000000001</v>
      </c>
      <c r="S437" s="94">
        <f t="shared" si="69"/>
        <v>2141.7600000000002</v>
      </c>
      <c r="T437" s="95">
        <f t="shared" si="75"/>
        <v>50314.464000000007</v>
      </c>
      <c r="U437" s="138"/>
      <c r="V437" s="96">
        <f t="shared" si="70"/>
        <v>50314.464000000007</v>
      </c>
      <c r="W437" s="4">
        <f>VLOOKUP(O437,[1]Feuil2!$A:$M,6,FALSE)</f>
        <v>240</v>
      </c>
      <c r="X437" s="5">
        <f>VLOOKUP(O437,[1]Feuil2!$A:$M,13,FALSE)</f>
        <v>3.1188500000000001E-2</v>
      </c>
      <c r="Y437" s="6">
        <f t="shared" si="74"/>
        <v>1.434671</v>
      </c>
      <c r="Z437" s="97">
        <f t="shared" si="71"/>
        <v>41.516200125000012</v>
      </c>
      <c r="AA437" s="69" t="s">
        <v>57</v>
      </c>
      <c r="AB437" s="68" t="s">
        <v>48</v>
      </c>
      <c r="AC437" s="87" t="s">
        <v>55</v>
      </c>
      <c r="AD437" s="69" t="s">
        <v>57</v>
      </c>
      <c r="AE437" s="20">
        <v>45967</v>
      </c>
      <c r="AF437" s="21" t="s">
        <v>617</v>
      </c>
      <c r="AG437" s="21"/>
      <c r="AH437" s="98"/>
      <c r="AI437" s="160">
        <v>45976</v>
      </c>
      <c r="AJ437" s="145">
        <f t="shared" si="76"/>
        <v>27</v>
      </c>
      <c r="AK437" s="100">
        <f>VLOOKUP(AP437,'[2]CONTENEUR PLEIN'!$F:$L,3,FALSE)</f>
        <v>46003</v>
      </c>
      <c r="AL437" s="99">
        <f>VLOOKUP(AP437,'[2]CONTENEUR PLEIN'!$F:$L,5,FALSE)</f>
        <v>46060</v>
      </c>
      <c r="AM437" s="18">
        <f>VLOOKUP(AP437,'[2]CONTENEUR PLEIN'!$F:$L,7,FALSE)</f>
        <v>46069.333333333336</v>
      </c>
      <c r="AN437" s="191" t="s">
        <v>63</v>
      </c>
      <c r="AO437" s="290" t="s">
        <v>673</v>
      </c>
      <c r="AP437" s="290" t="s">
        <v>674</v>
      </c>
      <c r="AQ437" s="290" t="s">
        <v>678</v>
      </c>
      <c r="AR437" s="90" t="str">
        <f>VLOOKUP(AP437,'[2]CONTENEUR PLEIN'!$F:$L,2,FALSE)</f>
        <v>CMA CGM SCANDOLA</v>
      </c>
      <c r="AS437" s="290" t="s">
        <v>316</v>
      </c>
      <c r="AT437" s="98"/>
    </row>
    <row r="438" spans="2:46" s="72" customFormat="1" hidden="1" x14ac:dyDescent="0.25">
      <c r="B438" s="267" t="s">
        <v>45</v>
      </c>
      <c r="C438" s="89">
        <v>45912</v>
      </c>
      <c r="D438" s="90">
        <v>25075</v>
      </c>
      <c r="E438" s="268" t="s">
        <v>446</v>
      </c>
      <c r="F438" s="90">
        <v>2509120848</v>
      </c>
      <c r="G438" s="218" t="s">
        <v>74</v>
      </c>
      <c r="H438" s="218" t="s">
        <v>418</v>
      </c>
      <c r="I438" s="218" t="s">
        <v>49</v>
      </c>
      <c r="J438" s="218" t="s">
        <v>50</v>
      </c>
      <c r="K438" s="16" t="s">
        <v>991</v>
      </c>
      <c r="L438" s="333">
        <v>46014</v>
      </c>
      <c r="M438" s="381">
        <f t="shared" si="72"/>
        <v>5</v>
      </c>
      <c r="N438" s="98" t="s">
        <v>49</v>
      </c>
      <c r="O438" s="92">
        <v>31040029</v>
      </c>
      <c r="P438" s="24" t="str">
        <f>VLOOKUP(O438,[1]Feuil2!$A:$M,5,FALSE)</f>
        <v>CAFE DROP COLOR BLEU VRAC + GENCOD</v>
      </c>
      <c r="Q438" s="90">
        <v>11040</v>
      </c>
      <c r="R438" s="93">
        <v>0.15</v>
      </c>
      <c r="S438" s="94">
        <f t="shared" si="69"/>
        <v>1656</v>
      </c>
      <c r="T438" s="95">
        <f t="shared" si="75"/>
        <v>50314.464000000007</v>
      </c>
      <c r="U438" s="138"/>
      <c r="V438" s="96">
        <f t="shared" si="70"/>
        <v>50314.464000000007</v>
      </c>
      <c r="W438" s="4">
        <f>VLOOKUP(O438,[1]Feuil2!$A:$M,6,FALSE)</f>
        <v>240</v>
      </c>
      <c r="X438" s="5">
        <f>VLOOKUP(O438,[1]Feuil2!$A:$M,13,FALSE)</f>
        <v>2.2888249999999995E-2</v>
      </c>
      <c r="Y438" s="6">
        <f t="shared" si="74"/>
        <v>1.0528594999999998</v>
      </c>
      <c r="Z438" s="97">
        <f t="shared" si="71"/>
        <v>41.516200125000012</v>
      </c>
      <c r="AA438" s="69" t="s">
        <v>57</v>
      </c>
      <c r="AB438" s="68" t="s">
        <v>48</v>
      </c>
      <c r="AC438" s="87" t="s">
        <v>55</v>
      </c>
      <c r="AD438" s="69" t="s">
        <v>57</v>
      </c>
      <c r="AE438" s="20">
        <v>45953</v>
      </c>
      <c r="AF438" s="21" t="s">
        <v>559</v>
      </c>
      <c r="AG438" s="21"/>
      <c r="AH438" s="98"/>
      <c r="AI438" s="160">
        <v>45976</v>
      </c>
      <c r="AJ438" s="145">
        <f t="shared" si="76"/>
        <v>27</v>
      </c>
      <c r="AK438" s="100">
        <f>VLOOKUP(AP438,'[2]CONTENEUR PLEIN'!$F:$L,3,FALSE)</f>
        <v>46003</v>
      </c>
      <c r="AL438" s="99">
        <f>VLOOKUP(AP438,'[2]CONTENEUR PLEIN'!$F:$L,5,FALSE)</f>
        <v>46060</v>
      </c>
      <c r="AM438" s="18">
        <f>VLOOKUP(AP438,'[2]CONTENEUR PLEIN'!$F:$L,7,FALSE)</f>
        <v>46066.291666666664</v>
      </c>
      <c r="AN438" s="191" t="s">
        <v>63</v>
      </c>
      <c r="AO438" s="290" t="s">
        <v>664</v>
      </c>
      <c r="AP438" s="290" t="s">
        <v>665</v>
      </c>
      <c r="AQ438" s="290" t="s">
        <v>671</v>
      </c>
      <c r="AR438" s="90" t="str">
        <f>VLOOKUP(AP438,'[2]CONTENEUR PLEIN'!$F:$L,2,FALSE)</f>
        <v>CMA CGM SCANDOLA</v>
      </c>
      <c r="AS438" s="290" t="s">
        <v>316</v>
      </c>
      <c r="AT438" s="98"/>
    </row>
    <row r="439" spans="2:46" s="72" customFormat="1" hidden="1" x14ac:dyDescent="0.25">
      <c r="B439" s="267" t="s">
        <v>45</v>
      </c>
      <c r="C439" s="89">
        <v>45912</v>
      </c>
      <c r="D439" s="90">
        <v>25075</v>
      </c>
      <c r="E439" s="268" t="s">
        <v>446</v>
      </c>
      <c r="F439" s="90">
        <v>2509120848</v>
      </c>
      <c r="G439" s="218" t="s">
        <v>74</v>
      </c>
      <c r="H439" s="218" t="s">
        <v>418</v>
      </c>
      <c r="I439" s="218" t="s">
        <v>49</v>
      </c>
      <c r="J439" s="218" t="s">
        <v>50</v>
      </c>
      <c r="K439" s="16" t="s">
        <v>996</v>
      </c>
      <c r="L439" s="128">
        <v>46041</v>
      </c>
      <c r="M439" s="381">
        <f t="shared" si="72"/>
        <v>5</v>
      </c>
      <c r="N439" s="98" t="s">
        <v>49</v>
      </c>
      <c r="O439" s="92">
        <v>31040030</v>
      </c>
      <c r="P439" s="24" t="str">
        <f>VLOOKUP(O439,[1]Feuil2!$A:$M,5,FALSE)</f>
        <v>COUTEAU DROP COLOR NOIR VRAC + GENCOD</v>
      </c>
      <c r="Q439" s="90">
        <v>5040</v>
      </c>
      <c r="R439" s="93">
        <v>0.22</v>
      </c>
      <c r="S439" s="94">
        <f t="shared" si="69"/>
        <v>1108.8</v>
      </c>
      <c r="T439" s="95">
        <f t="shared" si="75"/>
        <v>50314.464000000007</v>
      </c>
      <c r="U439" s="138"/>
      <c r="V439" s="96">
        <f t="shared" si="70"/>
        <v>50314.464000000007</v>
      </c>
      <c r="W439" s="4">
        <f>VLOOKUP(O439,[1]Feuil2!$A:$M,6,FALSE)</f>
        <v>240</v>
      </c>
      <c r="X439" s="5">
        <f>VLOOKUP(O439,[1]Feuil2!$A:$M,13,FALSE)</f>
        <v>3.0800000000000001E-2</v>
      </c>
      <c r="Y439" s="6">
        <f t="shared" si="74"/>
        <v>0.64680000000000004</v>
      </c>
      <c r="Z439" s="97">
        <f t="shared" si="71"/>
        <v>41.516200125000012</v>
      </c>
      <c r="AA439" s="69" t="s">
        <v>57</v>
      </c>
      <c r="AB439" s="68" t="s">
        <v>48</v>
      </c>
      <c r="AC439" s="87" t="s">
        <v>55</v>
      </c>
      <c r="AD439" s="69" t="s">
        <v>57</v>
      </c>
      <c r="AE439" s="20">
        <v>45988</v>
      </c>
      <c r="AF439" s="47" t="s">
        <v>639</v>
      </c>
      <c r="AG439" s="21" t="s">
        <v>57</v>
      </c>
      <c r="AH439" s="519" t="s">
        <v>48</v>
      </c>
      <c r="AI439" s="160">
        <v>45976</v>
      </c>
      <c r="AJ439" s="145">
        <f t="shared" si="76"/>
        <v>27</v>
      </c>
      <c r="AK439" s="100">
        <f>VLOOKUP(AP439,'[2]CONTENEUR PLEIN'!$F:$L,3,FALSE)</f>
        <v>46003</v>
      </c>
      <c r="AL439" s="99">
        <f>VLOOKUP(AP439,'[2]CONTENEUR PLEIN'!$F:$L,5,FALSE)</f>
        <v>46060</v>
      </c>
      <c r="AM439" s="18">
        <f>VLOOKUP(AP439,'[2]CONTENEUR PLEIN'!$F:$L,7,FALSE)</f>
        <v>46069.333333333336</v>
      </c>
      <c r="AN439" s="191" t="s">
        <v>63</v>
      </c>
      <c r="AO439" s="290" t="s">
        <v>673</v>
      </c>
      <c r="AP439" s="290" t="s">
        <v>674</v>
      </c>
      <c r="AQ439" s="290" t="s">
        <v>678</v>
      </c>
      <c r="AR439" s="90" t="str">
        <f>VLOOKUP(AP439,'[2]CONTENEUR PLEIN'!$F:$L,2,FALSE)</f>
        <v>CMA CGM SCANDOLA</v>
      </c>
      <c r="AS439" s="290" t="s">
        <v>316</v>
      </c>
      <c r="AT439" s="98"/>
    </row>
    <row r="440" spans="2:46" s="72" customFormat="1" hidden="1" x14ac:dyDescent="0.25">
      <c r="B440" s="267" t="s">
        <v>45</v>
      </c>
      <c r="C440" s="89">
        <v>45912</v>
      </c>
      <c r="D440" s="90">
        <v>25075</v>
      </c>
      <c r="E440" s="268" t="s">
        <v>446</v>
      </c>
      <c r="F440" s="90">
        <v>2509120848</v>
      </c>
      <c r="G440" s="218" t="s">
        <v>74</v>
      </c>
      <c r="H440" s="218" t="s">
        <v>418</v>
      </c>
      <c r="I440" s="218" t="s">
        <v>49</v>
      </c>
      <c r="J440" s="218" t="s">
        <v>50</v>
      </c>
      <c r="K440" s="16" t="s">
        <v>996</v>
      </c>
      <c r="L440" s="128">
        <v>46041</v>
      </c>
      <c r="M440" s="381">
        <f t="shared" si="72"/>
        <v>5</v>
      </c>
      <c r="N440" s="98" t="s">
        <v>49</v>
      </c>
      <c r="O440" s="92">
        <v>31040031</v>
      </c>
      <c r="P440" s="24" t="str">
        <f>VLOOKUP(O440,[1]Feuil2!$A:$M,5,FALSE)</f>
        <v>FOURCHETTE DROP COLOR NOIR VRAC + GENCOD</v>
      </c>
      <c r="Q440" s="90">
        <v>5040</v>
      </c>
      <c r="R440" s="93">
        <v>0.18</v>
      </c>
      <c r="S440" s="94">
        <f t="shared" si="69"/>
        <v>907.19999999999993</v>
      </c>
      <c r="T440" s="95">
        <f t="shared" si="75"/>
        <v>50314.464000000007</v>
      </c>
      <c r="U440" s="138"/>
      <c r="V440" s="96">
        <f t="shared" si="70"/>
        <v>50314.464000000007</v>
      </c>
      <c r="W440" s="4">
        <f>VLOOKUP(O440,[1]Feuil2!$A:$M,6,FALSE)</f>
        <v>240</v>
      </c>
      <c r="X440" s="5">
        <f>VLOOKUP(O440,[1]Feuil2!$A:$M,13,FALSE)</f>
        <v>3.0358124999999996E-2</v>
      </c>
      <c r="Y440" s="6">
        <f t="shared" si="74"/>
        <v>0.63752062499999995</v>
      </c>
      <c r="Z440" s="97">
        <f t="shared" si="71"/>
        <v>41.516200125000012</v>
      </c>
      <c r="AA440" s="69" t="s">
        <v>57</v>
      </c>
      <c r="AB440" s="68" t="s">
        <v>48</v>
      </c>
      <c r="AC440" s="87" t="s">
        <v>55</v>
      </c>
      <c r="AD440" s="21" t="s">
        <v>57</v>
      </c>
      <c r="AE440" s="20">
        <v>45988</v>
      </c>
      <c r="AF440" s="21" t="s">
        <v>641</v>
      </c>
      <c r="AG440" s="21" t="s">
        <v>57</v>
      </c>
      <c r="AH440" s="519" t="s">
        <v>48</v>
      </c>
      <c r="AI440" s="160">
        <v>45976</v>
      </c>
      <c r="AJ440" s="145">
        <f t="shared" si="76"/>
        <v>27</v>
      </c>
      <c r="AK440" s="100">
        <f>VLOOKUP(AP440,'[2]CONTENEUR PLEIN'!$F:$L,3,FALSE)</f>
        <v>46003</v>
      </c>
      <c r="AL440" s="99">
        <f>VLOOKUP(AP440,'[2]CONTENEUR PLEIN'!$F:$L,5,FALSE)</f>
        <v>46060</v>
      </c>
      <c r="AM440" s="18">
        <f>VLOOKUP(AP440,'[2]CONTENEUR PLEIN'!$F:$L,7,FALSE)</f>
        <v>46069.333333333336</v>
      </c>
      <c r="AN440" s="191" t="s">
        <v>63</v>
      </c>
      <c r="AO440" s="290" t="s">
        <v>673</v>
      </c>
      <c r="AP440" s="290" t="s">
        <v>674</v>
      </c>
      <c r="AQ440" s="290" t="s">
        <v>678</v>
      </c>
      <c r="AR440" s="90" t="str">
        <f>VLOOKUP(AP440,'[2]CONTENEUR PLEIN'!$F:$L,2,FALSE)</f>
        <v>CMA CGM SCANDOLA</v>
      </c>
      <c r="AS440" s="290" t="s">
        <v>316</v>
      </c>
      <c r="AT440" s="98"/>
    </row>
    <row r="441" spans="2:46" s="72" customFormat="1" hidden="1" x14ac:dyDescent="0.25">
      <c r="B441" s="267" t="s">
        <v>45</v>
      </c>
      <c r="C441" s="89">
        <v>45912</v>
      </c>
      <c r="D441" s="90">
        <v>25075</v>
      </c>
      <c r="E441" s="268" t="s">
        <v>446</v>
      </c>
      <c r="F441" s="90">
        <v>2509120848</v>
      </c>
      <c r="G441" s="218" t="s">
        <v>74</v>
      </c>
      <c r="H441" s="218" t="s">
        <v>418</v>
      </c>
      <c r="I441" s="218" t="s">
        <v>49</v>
      </c>
      <c r="J441" s="218" t="s">
        <v>50</v>
      </c>
      <c r="K441" s="16" t="s">
        <v>996</v>
      </c>
      <c r="L441" s="128">
        <v>46041</v>
      </c>
      <c r="M441" s="381">
        <f t="shared" si="72"/>
        <v>5</v>
      </c>
      <c r="N441" s="98" t="s">
        <v>49</v>
      </c>
      <c r="O441" s="92">
        <v>31040032</v>
      </c>
      <c r="P441" s="24" t="str">
        <f>VLOOKUP(O441,[1]Feuil2!$A:$M,5,FALSE)</f>
        <v>CUILLERE DROP COLOR NOIR VRAC + GENCOD</v>
      </c>
      <c r="Q441" s="90">
        <v>2880</v>
      </c>
      <c r="R441" s="93">
        <v>0.19400000000000001</v>
      </c>
      <c r="S441" s="94">
        <f t="shared" si="69"/>
        <v>558.72</v>
      </c>
      <c r="T441" s="95">
        <f t="shared" si="75"/>
        <v>50314.464000000007</v>
      </c>
      <c r="U441" s="138"/>
      <c r="V441" s="96">
        <f t="shared" si="70"/>
        <v>50314.464000000007</v>
      </c>
      <c r="W441" s="4">
        <f>VLOOKUP(O441,[1]Feuil2!$A:$M,6,FALSE)</f>
        <v>240</v>
      </c>
      <c r="X441" s="5">
        <f>VLOOKUP(O441,[1]Feuil2!$A:$M,13,FALSE)</f>
        <v>3.1188500000000001E-2</v>
      </c>
      <c r="Y441" s="6">
        <f t="shared" si="74"/>
        <v>0.37426199999999998</v>
      </c>
      <c r="Z441" s="97">
        <f t="shared" si="71"/>
        <v>41.516200125000012</v>
      </c>
      <c r="AA441" s="69" t="s">
        <v>57</v>
      </c>
      <c r="AB441" s="68" t="s">
        <v>48</v>
      </c>
      <c r="AC441" s="87" t="s">
        <v>55</v>
      </c>
      <c r="AD441" s="21" t="s">
        <v>57</v>
      </c>
      <c r="AE441" s="20">
        <v>45967</v>
      </c>
      <c r="AF441" s="21" t="s">
        <v>618</v>
      </c>
      <c r="AG441" s="21" t="s">
        <v>57</v>
      </c>
      <c r="AH441" s="519" t="s">
        <v>48</v>
      </c>
      <c r="AI441" s="160">
        <v>45976</v>
      </c>
      <c r="AJ441" s="145">
        <f t="shared" si="76"/>
        <v>27</v>
      </c>
      <c r="AK441" s="100">
        <f>VLOOKUP(AP441,'[2]CONTENEUR PLEIN'!$F:$L,3,FALSE)</f>
        <v>46003</v>
      </c>
      <c r="AL441" s="99">
        <f>VLOOKUP(AP441,'[2]CONTENEUR PLEIN'!$F:$L,5,FALSE)</f>
        <v>46060</v>
      </c>
      <c r="AM441" s="18">
        <f>VLOOKUP(AP441,'[2]CONTENEUR PLEIN'!$F:$L,7,FALSE)</f>
        <v>46069.333333333336</v>
      </c>
      <c r="AN441" s="191" t="s">
        <v>63</v>
      </c>
      <c r="AO441" s="290" t="s">
        <v>673</v>
      </c>
      <c r="AP441" s="290" t="s">
        <v>674</v>
      </c>
      <c r="AQ441" s="290" t="s">
        <v>678</v>
      </c>
      <c r="AR441" s="90" t="str">
        <f>VLOOKUP(AP441,'[2]CONTENEUR PLEIN'!$F:$L,2,FALSE)</f>
        <v>CMA CGM SCANDOLA</v>
      </c>
      <c r="AS441" s="290" t="s">
        <v>316</v>
      </c>
      <c r="AT441" s="98"/>
    </row>
    <row r="442" spans="2:46" s="72" customFormat="1" hidden="1" x14ac:dyDescent="0.25">
      <c r="B442" s="267" t="s">
        <v>45</v>
      </c>
      <c r="C442" s="89">
        <v>45912</v>
      </c>
      <c r="D442" s="90">
        <v>25075</v>
      </c>
      <c r="E442" s="268" t="s">
        <v>446</v>
      </c>
      <c r="F442" s="90">
        <v>2509120848</v>
      </c>
      <c r="G442" s="218" t="s">
        <v>74</v>
      </c>
      <c r="H442" s="218" t="s">
        <v>418</v>
      </c>
      <c r="I442" s="218" t="s">
        <v>49</v>
      </c>
      <c r="J442" s="218" t="s">
        <v>50</v>
      </c>
      <c r="K442" s="16" t="s">
        <v>991</v>
      </c>
      <c r="L442" s="333">
        <v>46014</v>
      </c>
      <c r="M442" s="381">
        <f t="shared" si="72"/>
        <v>5</v>
      </c>
      <c r="N442" s="98" t="s">
        <v>49</v>
      </c>
      <c r="O442" s="92">
        <v>31040033</v>
      </c>
      <c r="P442" s="24" t="str">
        <f>VLOOKUP(O442,[1]Feuil2!$A:$M,5,FALSE)</f>
        <v>CAFE DROP COLOR NOIR VRAC + GENCOD</v>
      </c>
      <c r="Q442" s="90">
        <v>5040</v>
      </c>
      <c r="R442" s="93">
        <v>0.15</v>
      </c>
      <c r="S442" s="94">
        <f t="shared" si="69"/>
        <v>756</v>
      </c>
      <c r="T442" s="95">
        <f t="shared" si="75"/>
        <v>50314.464000000007</v>
      </c>
      <c r="U442" s="138"/>
      <c r="V442" s="96">
        <f t="shared" si="70"/>
        <v>50314.464000000007</v>
      </c>
      <c r="W442" s="4">
        <f>VLOOKUP(O442,[1]Feuil2!$A:$M,6,FALSE)</f>
        <v>240</v>
      </c>
      <c r="X442" s="5">
        <f>VLOOKUP(O442,[1]Feuil2!$A:$M,13,FALSE)</f>
        <v>2.2888249999999995E-2</v>
      </c>
      <c r="Y442" s="6">
        <f t="shared" si="74"/>
        <v>0.48065324999999992</v>
      </c>
      <c r="Z442" s="97">
        <f t="shared" si="71"/>
        <v>41.516200125000012</v>
      </c>
      <c r="AA442" s="69" t="s">
        <v>57</v>
      </c>
      <c r="AB442" s="68" t="s">
        <v>48</v>
      </c>
      <c r="AC442" s="87" t="s">
        <v>55</v>
      </c>
      <c r="AD442" s="21" t="s">
        <v>57</v>
      </c>
      <c r="AE442" s="20">
        <v>45953</v>
      </c>
      <c r="AF442" s="21" t="s">
        <v>562</v>
      </c>
      <c r="AG442" s="21"/>
      <c r="AH442" s="98"/>
      <c r="AI442" s="160">
        <v>45976</v>
      </c>
      <c r="AJ442" s="145">
        <f t="shared" si="76"/>
        <v>27</v>
      </c>
      <c r="AK442" s="100">
        <f>VLOOKUP(AP442,'[2]CONTENEUR PLEIN'!$F:$L,3,FALSE)</f>
        <v>46003</v>
      </c>
      <c r="AL442" s="99">
        <f>VLOOKUP(AP442,'[2]CONTENEUR PLEIN'!$F:$L,5,FALSE)</f>
        <v>46060</v>
      </c>
      <c r="AM442" s="18">
        <f>VLOOKUP(AP442,'[2]CONTENEUR PLEIN'!$F:$L,7,FALSE)</f>
        <v>46066.291666666664</v>
      </c>
      <c r="AN442" s="191" t="s">
        <v>63</v>
      </c>
      <c r="AO442" s="290" t="s">
        <v>664</v>
      </c>
      <c r="AP442" s="290" t="s">
        <v>665</v>
      </c>
      <c r="AQ442" s="290" t="s">
        <v>671</v>
      </c>
      <c r="AR442" s="90" t="str">
        <f>VLOOKUP(AP442,'[2]CONTENEUR PLEIN'!$F:$L,2,FALSE)</f>
        <v>CMA CGM SCANDOLA</v>
      </c>
      <c r="AS442" s="290" t="s">
        <v>316</v>
      </c>
      <c r="AT442" s="98"/>
    </row>
    <row r="443" spans="2:46" s="72" customFormat="1" hidden="1" x14ac:dyDescent="0.25">
      <c r="B443" s="267" t="s">
        <v>45</v>
      </c>
      <c r="C443" s="89">
        <v>45912</v>
      </c>
      <c r="D443" s="90">
        <v>25075</v>
      </c>
      <c r="E443" s="268" t="s">
        <v>446</v>
      </c>
      <c r="F443" s="90">
        <v>2509120848</v>
      </c>
      <c r="G443" s="218" t="s">
        <v>74</v>
      </c>
      <c r="H443" s="218" t="s">
        <v>418</v>
      </c>
      <c r="I443" s="218" t="s">
        <v>49</v>
      </c>
      <c r="J443" s="218" t="s">
        <v>50</v>
      </c>
      <c r="K443" s="16" t="s">
        <v>991</v>
      </c>
      <c r="L443" s="333">
        <v>46014</v>
      </c>
      <c r="M443" s="381">
        <f t="shared" si="72"/>
        <v>5</v>
      </c>
      <c r="N443" s="98" t="s">
        <v>62</v>
      </c>
      <c r="O443" s="92">
        <v>32030004</v>
      </c>
      <c r="P443" s="24" t="str">
        <f>VLOOKUP(O443,[1]Feuil2!$A:$M,5,FALSE)</f>
        <v>M24 DROP COLOR BLEU  EN BOITE TB COLLECTION</v>
      </c>
      <c r="Q443" s="90">
        <v>4176</v>
      </c>
      <c r="R443" s="93">
        <v>4.6420000000000003</v>
      </c>
      <c r="S443" s="94">
        <f t="shared" si="69"/>
        <v>19384.992000000002</v>
      </c>
      <c r="T443" s="95">
        <f t="shared" si="75"/>
        <v>50314.464000000007</v>
      </c>
      <c r="U443" s="138"/>
      <c r="V443" s="96">
        <f t="shared" si="70"/>
        <v>50314.464000000007</v>
      </c>
      <c r="W443" s="4">
        <f>VLOOKUP(O443,[1]Feuil2!$A:$M,6,FALSE)</f>
        <v>3</v>
      </c>
      <c r="X443" s="5">
        <f>VLOOKUP(O443,[1]Feuil2!$A:$M,13,FALSE)</f>
        <v>1.2240000000000003E-2</v>
      </c>
      <c r="Y443" s="6">
        <f t="shared" si="74"/>
        <v>17.038080000000004</v>
      </c>
      <c r="Z443" s="97">
        <f t="shared" si="71"/>
        <v>41.516200125000012</v>
      </c>
      <c r="AA443" s="69" t="s">
        <v>57</v>
      </c>
      <c r="AB443" s="68" t="s">
        <v>48</v>
      </c>
      <c r="AC443" s="87" t="s">
        <v>55</v>
      </c>
      <c r="AD443" s="21" t="s">
        <v>57</v>
      </c>
      <c r="AE443" s="20">
        <v>45988</v>
      </c>
      <c r="AF443" s="47" t="s">
        <v>638</v>
      </c>
      <c r="AG443" s="21" t="s">
        <v>57</v>
      </c>
      <c r="AH443" s="503" t="s">
        <v>48</v>
      </c>
      <c r="AI443" s="160">
        <v>45976</v>
      </c>
      <c r="AJ443" s="145">
        <f t="shared" si="76"/>
        <v>27</v>
      </c>
      <c r="AK443" s="100">
        <f>VLOOKUP(AP443,'[2]CONTENEUR PLEIN'!$F:$L,3,FALSE)</f>
        <v>46003</v>
      </c>
      <c r="AL443" s="99">
        <f>VLOOKUP(AP443,'[2]CONTENEUR PLEIN'!$F:$L,5,FALSE)</f>
        <v>46060</v>
      </c>
      <c r="AM443" s="18">
        <f>VLOOKUP(AP443,'[2]CONTENEUR PLEIN'!$F:$L,7,FALSE)</f>
        <v>46066.291666666664</v>
      </c>
      <c r="AN443" s="191" t="s">
        <v>63</v>
      </c>
      <c r="AO443" s="290" t="s">
        <v>664</v>
      </c>
      <c r="AP443" s="290" t="s">
        <v>665</v>
      </c>
      <c r="AQ443" s="290" t="s">
        <v>671</v>
      </c>
      <c r="AR443" s="90" t="str">
        <f>VLOOKUP(AP443,'[2]CONTENEUR PLEIN'!$F:$L,2,FALSE)</f>
        <v>CMA CGM SCANDOLA</v>
      </c>
      <c r="AS443" s="290" t="s">
        <v>316</v>
      </c>
      <c r="AT443" s="98"/>
    </row>
    <row r="444" spans="2:46" s="72" customFormat="1" hidden="1" x14ac:dyDescent="0.25">
      <c r="B444" s="267" t="s">
        <v>45</v>
      </c>
      <c r="C444" s="89">
        <v>45912</v>
      </c>
      <c r="D444" s="90">
        <v>25075</v>
      </c>
      <c r="E444" s="268" t="s">
        <v>446</v>
      </c>
      <c r="F444" s="90">
        <v>2509120848</v>
      </c>
      <c r="G444" s="218" t="s">
        <v>74</v>
      </c>
      <c r="H444" s="218" t="s">
        <v>418</v>
      </c>
      <c r="I444" s="218" t="s">
        <v>49</v>
      </c>
      <c r="J444" s="218" t="s">
        <v>50</v>
      </c>
      <c r="K444" s="16" t="s">
        <v>991</v>
      </c>
      <c r="L444" s="333">
        <v>46014</v>
      </c>
      <c r="M444" s="381">
        <f t="shared" si="72"/>
        <v>5</v>
      </c>
      <c r="N444" s="98" t="s">
        <v>62</v>
      </c>
      <c r="O444" s="92">
        <v>32030006</v>
      </c>
      <c r="P444" s="24" t="str">
        <f>VLOOKUP(O444,[1]Feuil2!$A:$M,5,FALSE)</f>
        <v>M24 DROP COLOR NOIR  EN BOITE TB COLLECTION</v>
      </c>
      <c r="Q444" s="90">
        <v>4176</v>
      </c>
      <c r="R444" s="93">
        <v>4.6420000000000003</v>
      </c>
      <c r="S444" s="94">
        <f t="shared" si="69"/>
        <v>19384.992000000002</v>
      </c>
      <c r="T444" s="95">
        <f t="shared" si="75"/>
        <v>50314.464000000007</v>
      </c>
      <c r="U444" s="138"/>
      <c r="V444" s="96">
        <f t="shared" si="70"/>
        <v>50314.464000000007</v>
      </c>
      <c r="W444" s="4">
        <f>VLOOKUP(O444,[1]Feuil2!$A:$M,6,FALSE)</f>
        <v>3</v>
      </c>
      <c r="X444" s="5">
        <f>VLOOKUP(O444,[1]Feuil2!$A:$M,13,FALSE)</f>
        <v>1.2240000000000003E-2</v>
      </c>
      <c r="Y444" s="6">
        <f t="shared" si="74"/>
        <v>17.038080000000004</v>
      </c>
      <c r="Z444" s="97">
        <f t="shared" si="71"/>
        <v>41.516200125000012</v>
      </c>
      <c r="AA444" s="69" t="s">
        <v>57</v>
      </c>
      <c r="AB444" s="68" t="s">
        <v>48</v>
      </c>
      <c r="AC444" s="87" t="s">
        <v>55</v>
      </c>
      <c r="AD444" s="21" t="s">
        <v>57</v>
      </c>
      <c r="AE444" s="20" t="s">
        <v>596</v>
      </c>
      <c r="AF444" s="47" t="s">
        <v>640</v>
      </c>
      <c r="AG444" s="21" t="s">
        <v>57</v>
      </c>
      <c r="AH444" s="503" t="s">
        <v>48</v>
      </c>
      <c r="AI444" s="160">
        <v>45976</v>
      </c>
      <c r="AJ444" s="145">
        <f t="shared" si="76"/>
        <v>27</v>
      </c>
      <c r="AK444" s="100">
        <f>VLOOKUP(AP444,'[2]CONTENEUR PLEIN'!$F:$L,3,FALSE)</f>
        <v>46003</v>
      </c>
      <c r="AL444" s="99">
        <f>VLOOKUP(AP444,'[2]CONTENEUR PLEIN'!$F:$L,5,FALSE)</f>
        <v>46060</v>
      </c>
      <c r="AM444" s="18">
        <f>VLOOKUP(AP444,'[2]CONTENEUR PLEIN'!$F:$L,7,FALSE)</f>
        <v>46066.291666666664</v>
      </c>
      <c r="AN444" s="191" t="s">
        <v>63</v>
      </c>
      <c r="AO444" s="290" t="s">
        <v>664</v>
      </c>
      <c r="AP444" s="290" t="s">
        <v>665</v>
      </c>
      <c r="AQ444" s="290" t="s">
        <v>671</v>
      </c>
      <c r="AR444" s="90" t="str">
        <f>VLOOKUP(AP444,'[2]CONTENEUR PLEIN'!$F:$L,2,FALSE)</f>
        <v>CMA CGM SCANDOLA</v>
      </c>
      <c r="AS444" s="290" t="s">
        <v>316</v>
      </c>
      <c r="AT444" s="98"/>
    </row>
    <row r="445" spans="2:46" s="72" customFormat="1" hidden="1" x14ac:dyDescent="0.25">
      <c r="B445" s="286" t="s">
        <v>45</v>
      </c>
      <c r="C445" s="146">
        <v>45918</v>
      </c>
      <c r="D445" s="147">
        <v>25079</v>
      </c>
      <c r="E445" s="287" t="s">
        <v>450</v>
      </c>
      <c r="F445" s="147">
        <v>2509181140</v>
      </c>
      <c r="G445" s="272" t="s">
        <v>58</v>
      </c>
      <c r="H445" s="272" t="s">
        <v>451</v>
      </c>
      <c r="I445" s="272" t="s">
        <v>49</v>
      </c>
      <c r="J445" s="297" t="s">
        <v>695</v>
      </c>
      <c r="K445" s="327" t="s">
        <v>68</v>
      </c>
      <c r="L445" s="269">
        <v>46056</v>
      </c>
      <c r="M445" s="380">
        <f t="shared" ref="M445:M456" si="77">DATEDIF(C445,AM445,"M")</f>
        <v>6</v>
      </c>
      <c r="N445" s="98" t="s">
        <v>62</v>
      </c>
      <c r="O445" s="78">
        <v>10110035</v>
      </c>
      <c r="P445" s="42" t="str">
        <f>VLOOKUP(O445,[1]Feuil2!$A:$M,5,FALSE)</f>
        <v>OFFICE 9 LAGUIOLE HERITAGE MANCHE METAL SATINE EN BTE CARTON</v>
      </c>
      <c r="Q445" s="75">
        <v>16956</v>
      </c>
      <c r="R445" s="79">
        <v>1.81</v>
      </c>
      <c r="S445" s="80">
        <f t="shared" ref="S445:S456" si="78">Q445*R445</f>
        <v>30690.36</v>
      </c>
      <c r="T445" s="81">
        <f t="shared" ref="T445:T456" si="79">SUMIF($E$5:$E$9257,E445,$S$5:$S$9257)</f>
        <v>782523.3600000001</v>
      </c>
      <c r="U445" s="139"/>
      <c r="V445" s="82">
        <f t="shared" ref="V445:V456" si="80">U445+T445</f>
        <v>782523.3600000001</v>
      </c>
      <c r="W445" s="9">
        <f>VLOOKUP(O445,[1]Feuil2!$A:$M,6,FALSE)</f>
        <v>36</v>
      </c>
      <c r="X445" s="10">
        <f>VLOOKUP(O445,[1]Feuil2!$A:$M,13,FALSE)</f>
        <v>0</v>
      </c>
      <c r="Y445" s="11">
        <f t="shared" ref="Y445:Y456" si="81">(Q445/W445)*X445</f>
        <v>0</v>
      </c>
      <c r="Z445" s="83">
        <f t="shared" si="71"/>
        <v>0</v>
      </c>
      <c r="AA445" s="12" t="s">
        <v>57</v>
      </c>
      <c r="AB445" s="12" t="s">
        <v>57</v>
      </c>
      <c r="AC445" s="342" t="s">
        <v>55</v>
      </c>
      <c r="AD445" s="13" t="s">
        <v>57</v>
      </c>
      <c r="AE445" s="14">
        <v>46034</v>
      </c>
      <c r="AF445" s="13" t="s">
        <v>826</v>
      </c>
      <c r="AG445" s="13"/>
      <c r="AH445" s="84"/>
      <c r="AI445" s="178">
        <v>45986</v>
      </c>
      <c r="AJ445" s="144">
        <f>DATEDIF(AI445,AK445,"D")</f>
        <v>59</v>
      </c>
      <c r="AK445" s="85">
        <f>VLOOKUP(AP445,'[2]CONTENEUR PLEIN'!$F:$L,3,FALSE)</f>
        <v>46045</v>
      </c>
      <c r="AL445" s="86">
        <f>VLOOKUP(AP445,'[2]CONTENEUR PLEIN'!$F:$L,5,FALSE)</f>
        <v>46091</v>
      </c>
      <c r="AM445" s="18">
        <f>VLOOKUP(AP445,'[2]CONTENEUR PLEIN'!$F:$L,7,FALSE)</f>
        <v>46100.53125</v>
      </c>
      <c r="AN445" s="184" t="s">
        <v>63</v>
      </c>
      <c r="AO445" s="346" t="s">
        <v>843</v>
      </c>
      <c r="AP445" s="444" t="s">
        <v>846</v>
      </c>
      <c r="AQ445" s="346" t="s">
        <v>844</v>
      </c>
      <c r="AR445" s="75" t="str">
        <f>VLOOKUP(AP445,'[2]CONTENEUR PLEIN'!$F:$L,2,FALSE)</f>
        <v>CMA CGM JULES VERNE</v>
      </c>
      <c r="AS445" s="346" t="s">
        <v>316</v>
      </c>
      <c r="AT445" s="84"/>
    </row>
    <row r="446" spans="2:46" s="72" customFormat="1" hidden="1" x14ac:dyDescent="0.25">
      <c r="B446" s="219" t="s">
        <v>45</v>
      </c>
      <c r="C446" s="74">
        <v>45918</v>
      </c>
      <c r="D446" s="75">
        <v>25079</v>
      </c>
      <c r="E446" s="220" t="s">
        <v>450</v>
      </c>
      <c r="F446" s="75">
        <v>2509181140</v>
      </c>
      <c r="G446" s="221" t="s">
        <v>58</v>
      </c>
      <c r="H446" s="221" t="s">
        <v>451</v>
      </c>
      <c r="I446" s="221" t="s">
        <v>49</v>
      </c>
      <c r="J446" s="296" t="s">
        <v>695</v>
      </c>
      <c r="K446" s="75" t="s">
        <v>60</v>
      </c>
      <c r="L446" s="221" t="s">
        <v>47</v>
      </c>
      <c r="M446" s="380" t="e">
        <f t="shared" si="77"/>
        <v>#N/A</v>
      </c>
      <c r="N446" s="98" t="s">
        <v>62</v>
      </c>
      <c r="O446" s="78">
        <v>10110035</v>
      </c>
      <c r="P446" s="42" t="str">
        <f>VLOOKUP(O446,[1]Feuil2!$A:$M,5,FALSE)</f>
        <v>OFFICE 9 LAGUIOLE HERITAGE MANCHE METAL SATINE EN BTE CARTON</v>
      </c>
      <c r="Q446" s="75">
        <f>90000-50004</f>
        <v>39996</v>
      </c>
      <c r="R446" s="79">
        <v>1.81</v>
      </c>
      <c r="S446" s="80">
        <f t="shared" si="78"/>
        <v>72392.760000000009</v>
      </c>
      <c r="T446" s="81">
        <f t="shared" si="79"/>
        <v>782523.3600000001</v>
      </c>
      <c r="U446" s="139"/>
      <c r="V446" s="82">
        <f t="shared" si="80"/>
        <v>782523.3600000001</v>
      </c>
      <c r="W446" s="9">
        <f>VLOOKUP(O446,[1]Feuil2!$A:$M,6,FALSE)</f>
        <v>36</v>
      </c>
      <c r="X446" s="10">
        <f>VLOOKUP(O446,[1]Feuil2!$A:$M,13,FALSE)</f>
        <v>0</v>
      </c>
      <c r="Y446" s="11">
        <f t="shared" si="81"/>
        <v>0</v>
      </c>
      <c r="Z446" s="83">
        <f t="shared" si="71"/>
        <v>0</v>
      </c>
      <c r="AA446" s="12" t="s">
        <v>57</v>
      </c>
      <c r="AB446" s="12" t="s">
        <v>57</v>
      </c>
      <c r="AC446" s="342" t="s">
        <v>55</v>
      </c>
      <c r="AD446" s="13" t="s">
        <v>57</v>
      </c>
      <c r="AE446" s="14"/>
      <c r="AF446" s="13"/>
      <c r="AG446" s="13"/>
      <c r="AH446" s="84"/>
      <c r="AI446" s="171">
        <v>45986</v>
      </c>
      <c r="AJ446" s="144">
        <f ca="1">DATEDIF(AI446,$AJ$1,"D")</f>
        <v>112</v>
      </c>
      <c r="AK446" s="85" t="e">
        <f>VLOOKUP(AP446,'[2]CONTENEUR PLEIN'!$F:$L,3,FALSE)</f>
        <v>#N/A</v>
      </c>
      <c r="AL446" s="86" t="e">
        <f>VLOOKUP(AP446,'[2]CONTENEUR PLEIN'!$F:$L,5,FALSE)</f>
        <v>#N/A</v>
      </c>
      <c r="AM446" s="15" t="e">
        <f>VLOOKUP(AP446,'[2]CONTENEUR PLEIN'!$F:$L,7,FALSE)</f>
        <v>#N/A</v>
      </c>
      <c r="AN446" s="184" t="s">
        <v>63</v>
      </c>
      <c r="AO446" s="75"/>
      <c r="AP446" s="75"/>
      <c r="AQ446" s="75"/>
      <c r="AR446" s="75" t="e">
        <f>VLOOKUP(AP446,'[2]CONTENEUR PLEIN'!$F:$L,2,FALSE)</f>
        <v>#N/A</v>
      </c>
      <c r="AS446" s="75"/>
      <c r="AT446" s="84"/>
    </row>
    <row r="447" spans="2:46" s="72" customFormat="1" hidden="1" x14ac:dyDescent="0.25">
      <c r="B447" s="286" t="s">
        <v>45</v>
      </c>
      <c r="C447" s="146">
        <v>45918</v>
      </c>
      <c r="D447" s="147">
        <v>25079</v>
      </c>
      <c r="E447" s="287" t="s">
        <v>450</v>
      </c>
      <c r="F447" s="147">
        <v>2509181140</v>
      </c>
      <c r="G447" s="272" t="s">
        <v>58</v>
      </c>
      <c r="H447" s="272" t="s">
        <v>451</v>
      </c>
      <c r="I447" s="272" t="s">
        <v>49</v>
      </c>
      <c r="J447" s="297" t="s">
        <v>695</v>
      </c>
      <c r="K447" s="327" t="s">
        <v>68</v>
      </c>
      <c r="L447" s="269">
        <v>46056</v>
      </c>
      <c r="M447" s="380">
        <f t="shared" si="77"/>
        <v>6</v>
      </c>
      <c r="N447" s="98" t="s">
        <v>62</v>
      </c>
      <c r="O447" s="78">
        <v>10110035</v>
      </c>
      <c r="P447" s="42" t="str">
        <f>VLOOKUP(O447,[1]Feuil2!$A:$M,5,FALSE)</f>
        <v>OFFICE 9 LAGUIOLE HERITAGE MANCHE METAL SATINE EN BTE CARTON</v>
      </c>
      <c r="Q447" s="75">
        <v>33048</v>
      </c>
      <c r="R447" s="79">
        <v>1.81</v>
      </c>
      <c r="S447" s="80">
        <f t="shared" si="78"/>
        <v>59816.880000000005</v>
      </c>
      <c r="T447" s="81">
        <f t="shared" si="79"/>
        <v>782523.3600000001</v>
      </c>
      <c r="U447" s="139"/>
      <c r="V447" s="82">
        <f t="shared" si="80"/>
        <v>782523.3600000001</v>
      </c>
      <c r="W447" s="9">
        <f>VLOOKUP(O447,[1]Feuil2!$A:$M,6,FALSE)</f>
        <v>36</v>
      </c>
      <c r="X447" s="10">
        <f>VLOOKUP(O447,[1]Feuil2!$A:$M,13,FALSE)</f>
        <v>0</v>
      </c>
      <c r="Y447" s="11">
        <f t="shared" si="81"/>
        <v>0</v>
      </c>
      <c r="Z447" s="83">
        <f t="shared" si="71"/>
        <v>0</v>
      </c>
      <c r="AA447" s="12" t="s">
        <v>57</v>
      </c>
      <c r="AB447" s="13" t="s">
        <v>57</v>
      </c>
      <c r="AC447" s="342" t="s">
        <v>55</v>
      </c>
      <c r="AD447" s="13" t="s">
        <v>57</v>
      </c>
      <c r="AE447" s="14">
        <v>46034</v>
      </c>
      <c r="AF447" s="13" t="s">
        <v>826</v>
      </c>
      <c r="AG447" s="13"/>
      <c r="AH447" s="84"/>
      <c r="AI447" s="178">
        <v>45986</v>
      </c>
      <c r="AJ447" s="144">
        <f>DATEDIF(AI447,AK447,"D")</f>
        <v>59</v>
      </c>
      <c r="AK447" s="85">
        <f>VLOOKUP(AP447,'[2]CONTENEUR PLEIN'!$F:$L,3,FALSE)</f>
        <v>46045</v>
      </c>
      <c r="AL447" s="86">
        <f>VLOOKUP(AP447,'[2]CONTENEUR PLEIN'!$F:$L,5,FALSE)</f>
        <v>46091</v>
      </c>
      <c r="AM447" s="18">
        <f>VLOOKUP(AP447,'[2]CONTENEUR PLEIN'!$F:$L,7,FALSE)</f>
        <v>46100.333333333336</v>
      </c>
      <c r="AN447" s="184" t="s">
        <v>63</v>
      </c>
      <c r="AO447" s="346" t="s">
        <v>843</v>
      </c>
      <c r="AP447" s="444" t="s">
        <v>845</v>
      </c>
      <c r="AQ447" s="346" t="s">
        <v>844</v>
      </c>
      <c r="AR447" s="75" t="str">
        <f>VLOOKUP(AP447,'[2]CONTENEUR PLEIN'!$F:$L,2,FALSE)</f>
        <v>CMA CGM JULES VERNE</v>
      </c>
      <c r="AS447" s="346" t="s">
        <v>316</v>
      </c>
      <c r="AT447" s="84"/>
    </row>
    <row r="448" spans="2:46" s="72" customFormat="1" hidden="1" x14ac:dyDescent="0.25">
      <c r="B448" s="286" t="s">
        <v>45</v>
      </c>
      <c r="C448" s="146">
        <v>45918</v>
      </c>
      <c r="D448" s="147">
        <v>25079</v>
      </c>
      <c r="E448" s="287" t="s">
        <v>450</v>
      </c>
      <c r="F448" s="147">
        <v>2509181140</v>
      </c>
      <c r="G448" s="272" t="s">
        <v>58</v>
      </c>
      <c r="H448" s="272" t="s">
        <v>451</v>
      </c>
      <c r="I448" s="272" t="s">
        <v>49</v>
      </c>
      <c r="J448" s="297" t="s">
        <v>695</v>
      </c>
      <c r="K448" s="327" t="s">
        <v>68</v>
      </c>
      <c r="L448" s="221" t="s">
        <v>47</v>
      </c>
      <c r="M448" s="380" t="e">
        <f t="shared" si="77"/>
        <v>#VALUE!</v>
      </c>
      <c r="N448" s="98" t="s">
        <v>62</v>
      </c>
      <c r="O448" s="78">
        <v>10110036</v>
      </c>
      <c r="P448" s="42" t="str">
        <f>VLOOKUP(O448,[1]Feuil2!$A:$M,5,FALSE)</f>
        <v>STEAK 12 LAGUIOLE HERITAGE MANCHE METAL SATINE EN BTE CARTON</v>
      </c>
      <c r="Q448" s="75">
        <v>50004</v>
      </c>
      <c r="R448" s="79">
        <v>1.87</v>
      </c>
      <c r="S448" s="80">
        <f t="shared" si="78"/>
        <v>93507.48000000001</v>
      </c>
      <c r="T448" s="81">
        <f t="shared" si="79"/>
        <v>782523.3600000001</v>
      </c>
      <c r="U448" s="139"/>
      <c r="V448" s="82">
        <f t="shared" si="80"/>
        <v>782523.3600000001</v>
      </c>
      <c r="W448" s="9">
        <f>VLOOKUP(O448,[1]Feuil2!$A:$M,6,FALSE)</f>
        <v>36</v>
      </c>
      <c r="X448" s="10">
        <f>VLOOKUP(O448,[1]Feuil2!$A:$M,13,FALSE)</f>
        <v>0</v>
      </c>
      <c r="Y448" s="11">
        <f t="shared" si="81"/>
        <v>0</v>
      </c>
      <c r="Z448" s="83">
        <f t="shared" si="71"/>
        <v>0</v>
      </c>
      <c r="AA448" s="12" t="s">
        <v>57</v>
      </c>
      <c r="AB448" s="13" t="s">
        <v>57</v>
      </c>
      <c r="AC448" s="342" t="s">
        <v>55</v>
      </c>
      <c r="AD448" s="13" t="s">
        <v>57</v>
      </c>
      <c r="AE448" s="14">
        <v>46058</v>
      </c>
      <c r="AF448" s="13" t="s">
        <v>978</v>
      </c>
      <c r="AG448" s="13"/>
      <c r="AH448" s="84"/>
      <c r="AI448" s="171">
        <v>45986</v>
      </c>
      <c r="AJ448" s="144">
        <f ca="1">DATEDIF(AI448,$AJ$1,"D")</f>
        <v>112</v>
      </c>
      <c r="AK448" s="85">
        <f>VLOOKUP(AP448,'[2]CONTENEUR PLEIN'!$F:$L,3,FALSE)</f>
        <v>46082</v>
      </c>
      <c r="AL448" s="86">
        <f>VLOOKUP(AP448,'[2]CONTENEUR PLEIN'!$F:$L,5,FALSE)</f>
        <v>46119</v>
      </c>
      <c r="AM448" s="46" t="str">
        <f>VLOOKUP(AP448,'[2]CONTENEUR PLEIN'!$F:$L,7,FALSE)</f>
        <v>Estimée : 20-avril</v>
      </c>
      <c r="AN448" s="184" t="s">
        <v>63</v>
      </c>
      <c r="AO448" s="578" t="s">
        <v>1025</v>
      </c>
      <c r="AP448" s="578" t="s">
        <v>1026</v>
      </c>
      <c r="AQ448" s="578" t="s">
        <v>1027</v>
      </c>
      <c r="AR448" s="75" t="str">
        <f>VLOOKUP(AP448,'[2]CONTENEUR PLEIN'!$F:$L,2,FALSE)</f>
        <v>CMA CGM GRACE BAY</v>
      </c>
      <c r="AS448" s="578" t="s">
        <v>316</v>
      </c>
      <c r="AT448" s="84"/>
    </row>
    <row r="449" spans="2:46" s="72" customFormat="1" hidden="1" x14ac:dyDescent="0.25">
      <c r="B449" s="219" t="s">
        <v>45</v>
      </c>
      <c r="C449" s="74">
        <v>45918</v>
      </c>
      <c r="D449" s="75">
        <v>25079</v>
      </c>
      <c r="E449" s="220" t="s">
        <v>450</v>
      </c>
      <c r="F449" s="75">
        <v>2509181140</v>
      </c>
      <c r="G449" s="221" t="s">
        <v>58</v>
      </c>
      <c r="H449" s="221" t="s">
        <v>451</v>
      </c>
      <c r="I449" s="221" t="s">
        <v>49</v>
      </c>
      <c r="J449" s="296" t="s">
        <v>695</v>
      </c>
      <c r="K449" s="488" t="s">
        <v>76</v>
      </c>
      <c r="L449" s="221" t="s">
        <v>47</v>
      </c>
      <c r="M449" s="380" t="e">
        <f t="shared" si="77"/>
        <v>#N/A</v>
      </c>
      <c r="N449" s="98" t="s">
        <v>62</v>
      </c>
      <c r="O449" s="78">
        <v>10110036</v>
      </c>
      <c r="P449" s="42" t="str">
        <f>VLOOKUP(O449,[1]Feuil2!$A:$M,5,FALSE)</f>
        <v>STEAK 12 LAGUIOLE HERITAGE MANCHE METAL SATINE EN BTE CARTON</v>
      </c>
      <c r="Q449" s="75">
        <f>90000-50004</f>
        <v>39996</v>
      </c>
      <c r="R449" s="79">
        <v>1.87</v>
      </c>
      <c r="S449" s="80">
        <f t="shared" si="78"/>
        <v>74792.52</v>
      </c>
      <c r="T449" s="81">
        <f t="shared" si="79"/>
        <v>782523.3600000001</v>
      </c>
      <c r="U449" s="139"/>
      <c r="V449" s="82">
        <f t="shared" si="80"/>
        <v>782523.3600000001</v>
      </c>
      <c r="W449" s="9">
        <f>VLOOKUP(O449,[1]Feuil2!$A:$M,6,FALSE)</f>
        <v>36</v>
      </c>
      <c r="X449" s="10">
        <f>VLOOKUP(O449,[1]Feuil2!$A:$M,13,FALSE)</f>
        <v>0</v>
      </c>
      <c r="Y449" s="11">
        <f t="shared" si="81"/>
        <v>0</v>
      </c>
      <c r="Z449" s="83">
        <f t="shared" si="71"/>
        <v>0</v>
      </c>
      <c r="AA449" s="12" t="s">
        <v>57</v>
      </c>
      <c r="AB449" s="13" t="s">
        <v>57</v>
      </c>
      <c r="AC449" s="342" t="s">
        <v>55</v>
      </c>
      <c r="AD449" s="13" t="s">
        <v>57</v>
      </c>
      <c r="AE449" s="14">
        <v>46058</v>
      </c>
      <c r="AF449" s="13" t="s">
        <v>978</v>
      </c>
      <c r="AG449" s="13"/>
      <c r="AH449" s="84"/>
      <c r="AI449" s="171">
        <v>45986</v>
      </c>
      <c r="AJ449" s="144">
        <f ca="1">DATEDIF(AI449,$AJ$1,"D")</f>
        <v>112</v>
      </c>
      <c r="AK449" s="85" t="e">
        <f>VLOOKUP(AP449,'[2]CONTENEUR PLEIN'!$F:$L,3,FALSE)</f>
        <v>#N/A</v>
      </c>
      <c r="AL449" s="86" t="e">
        <f>VLOOKUP(AP449,'[2]CONTENEUR PLEIN'!$F:$L,5,FALSE)</f>
        <v>#N/A</v>
      </c>
      <c r="AM449" s="15" t="e">
        <f>VLOOKUP(AP449,'[2]CONTENEUR PLEIN'!$F:$L,7,FALSE)</f>
        <v>#N/A</v>
      </c>
      <c r="AN449" s="184" t="s">
        <v>63</v>
      </c>
      <c r="AO449" s="75"/>
      <c r="AP449" s="75"/>
      <c r="AQ449" s="75"/>
      <c r="AR449" s="75" t="e">
        <f>VLOOKUP(AP449,'[2]CONTENEUR PLEIN'!$F:$L,2,FALSE)</f>
        <v>#N/A</v>
      </c>
      <c r="AS449" s="75"/>
      <c r="AT449" s="84"/>
    </row>
    <row r="450" spans="2:46" s="72" customFormat="1" hidden="1" x14ac:dyDescent="0.25">
      <c r="B450" s="219" t="s">
        <v>45</v>
      </c>
      <c r="C450" s="74">
        <v>45918</v>
      </c>
      <c r="D450" s="75">
        <v>25079</v>
      </c>
      <c r="E450" s="220" t="s">
        <v>450</v>
      </c>
      <c r="F450" s="75">
        <v>2509181140</v>
      </c>
      <c r="G450" s="221" t="s">
        <v>58</v>
      </c>
      <c r="H450" s="221" t="s">
        <v>451</v>
      </c>
      <c r="I450" s="221" t="s">
        <v>49</v>
      </c>
      <c r="J450" s="296" t="s">
        <v>695</v>
      </c>
      <c r="K450" s="75" t="s">
        <v>60</v>
      </c>
      <c r="L450" s="221" t="s">
        <v>47</v>
      </c>
      <c r="M450" s="380" t="e">
        <f t="shared" si="77"/>
        <v>#N/A</v>
      </c>
      <c r="N450" s="98" t="s">
        <v>62</v>
      </c>
      <c r="O450" s="78">
        <v>10110037</v>
      </c>
      <c r="P450" s="42" t="str">
        <f>VLOOKUP(O450,[1]Feuil2!$A:$M,5,FALSE)</f>
        <v>MULTI USAGE DENT 12 LAG HERITAG MANCHE METAL SATIN BTE CARTO</v>
      </c>
      <c r="Q450" s="75">
        <v>50004</v>
      </c>
      <c r="R450" s="79">
        <v>1.87</v>
      </c>
      <c r="S450" s="80">
        <f t="shared" si="78"/>
        <v>93507.48000000001</v>
      </c>
      <c r="T450" s="81">
        <f t="shared" si="79"/>
        <v>782523.3600000001</v>
      </c>
      <c r="U450" s="139"/>
      <c r="V450" s="82">
        <f t="shared" si="80"/>
        <v>782523.3600000001</v>
      </c>
      <c r="W450" s="9">
        <f>VLOOKUP(O450,[1]Feuil2!$A:$M,6,FALSE)</f>
        <v>36</v>
      </c>
      <c r="X450" s="10">
        <f>VLOOKUP(O450,[1]Feuil2!$A:$M,13,FALSE)</f>
        <v>0</v>
      </c>
      <c r="Y450" s="11">
        <f t="shared" si="81"/>
        <v>0</v>
      </c>
      <c r="Z450" s="83">
        <f t="shared" si="71"/>
        <v>0</v>
      </c>
      <c r="AA450" s="12" t="s">
        <v>57</v>
      </c>
      <c r="AB450" s="13" t="s">
        <v>57</v>
      </c>
      <c r="AC450" s="342" t="s">
        <v>55</v>
      </c>
      <c r="AD450" s="13" t="s">
        <v>57</v>
      </c>
      <c r="AE450" s="14"/>
      <c r="AF450" s="13"/>
      <c r="AG450" s="13"/>
      <c r="AH450" s="84"/>
      <c r="AI450" s="171">
        <v>45986</v>
      </c>
      <c r="AJ450" s="144">
        <f ca="1">DATEDIF(AI450,$AJ$1,"D")</f>
        <v>112</v>
      </c>
      <c r="AK450" s="85" t="e">
        <f>VLOOKUP(AP450,'[2]CONTENEUR PLEIN'!$F:$L,3,FALSE)</f>
        <v>#N/A</v>
      </c>
      <c r="AL450" s="86" t="e">
        <f>VLOOKUP(AP450,'[2]CONTENEUR PLEIN'!$F:$L,5,FALSE)</f>
        <v>#N/A</v>
      </c>
      <c r="AM450" s="15" t="e">
        <f>VLOOKUP(AP450,'[2]CONTENEUR PLEIN'!$F:$L,7,FALSE)</f>
        <v>#N/A</v>
      </c>
      <c r="AN450" s="184" t="s">
        <v>63</v>
      </c>
      <c r="AO450" s="75"/>
      <c r="AP450" s="75"/>
      <c r="AQ450" s="75"/>
      <c r="AR450" s="75" t="e">
        <f>VLOOKUP(AP450,'[2]CONTENEUR PLEIN'!$F:$L,2,FALSE)</f>
        <v>#N/A</v>
      </c>
      <c r="AS450" s="75"/>
      <c r="AT450" s="84"/>
    </row>
    <row r="451" spans="2:46" s="72" customFormat="1" hidden="1" x14ac:dyDescent="0.25">
      <c r="B451" s="286" t="s">
        <v>45</v>
      </c>
      <c r="C451" s="146">
        <v>45918</v>
      </c>
      <c r="D451" s="147">
        <v>25079</v>
      </c>
      <c r="E451" s="287" t="s">
        <v>450</v>
      </c>
      <c r="F451" s="147">
        <v>2509181140</v>
      </c>
      <c r="G451" s="272" t="s">
        <v>58</v>
      </c>
      <c r="H451" s="272" t="s">
        <v>451</v>
      </c>
      <c r="I451" s="272" t="s">
        <v>49</v>
      </c>
      <c r="J451" s="297" t="s">
        <v>695</v>
      </c>
      <c r="K451" s="327" t="s">
        <v>68</v>
      </c>
      <c r="L451" s="269">
        <v>46056</v>
      </c>
      <c r="M451" s="380">
        <f t="shared" si="77"/>
        <v>6</v>
      </c>
      <c r="N451" s="98" t="s">
        <v>62</v>
      </c>
      <c r="O451" s="78">
        <v>10110038</v>
      </c>
      <c r="P451" s="42" t="str">
        <f>VLOOKUP(O451,[1]Feuil2!$A:$M,5,FALSE)</f>
        <v>CUISINE 17 LAGUIOLE HERITAGE MANCHE METAL SATINE BTE CARTON</v>
      </c>
      <c r="Q451" s="75">
        <v>4896</v>
      </c>
      <c r="R451" s="79">
        <v>2.58</v>
      </c>
      <c r="S451" s="80">
        <f t="shared" si="78"/>
        <v>12631.68</v>
      </c>
      <c r="T451" s="81">
        <f t="shared" si="79"/>
        <v>782523.3600000001</v>
      </c>
      <c r="U451" s="139"/>
      <c r="V451" s="82">
        <f t="shared" si="80"/>
        <v>782523.3600000001</v>
      </c>
      <c r="W451" s="9">
        <f>VLOOKUP(O451,[1]Feuil2!$A:$M,6,FALSE)</f>
        <v>36</v>
      </c>
      <c r="X451" s="10">
        <f>VLOOKUP(O451,[1]Feuil2!$A:$M,13,FALSE)</f>
        <v>0</v>
      </c>
      <c r="Y451" s="11">
        <f t="shared" si="81"/>
        <v>0</v>
      </c>
      <c r="Z451" s="83">
        <f t="shared" si="71"/>
        <v>0</v>
      </c>
      <c r="AA451" s="12" t="s">
        <v>57</v>
      </c>
      <c r="AB451" s="13" t="s">
        <v>57</v>
      </c>
      <c r="AC451" s="342" t="s">
        <v>55</v>
      </c>
      <c r="AD451" s="13" t="s">
        <v>57</v>
      </c>
      <c r="AE451" s="14">
        <v>46034</v>
      </c>
      <c r="AF451" s="13" t="s">
        <v>827</v>
      </c>
      <c r="AG451" s="13"/>
      <c r="AH451" s="84"/>
      <c r="AI451" s="178">
        <v>45986</v>
      </c>
      <c r="AJ451" s="144">
        <f>DATEDIF(AI451,AK451,"D")</f>
        <v>59</v>
      </c>
      <c r="AK451" s="85">
        <f>VLOOKUP(AP451,'[2]CONTENEUR PLEIN'!$F:$L,3,FALSE)</f>
        <v>46045</v>
      </c>
      <c r="AL451" s="86">
        <f>VLOOKUP(AP451,'[2]CONTENEUR PLEIN'!$F:$L,5,FALSE)</f>
        <v>46091</v>
      </c>
      <c r="AM451" s="18">
        <f>VLOOKUP(AP451,'[2]CONTENEUR PLEIN'!$F:$L,7,FALSE)</f>
        <v>46100.53125</v>
      </c>
      <c r="AN451" s="184" t="s">
        <v>63</v>
      </c>
      <c r="AO451" s="346" t="s">
        <v>843</v>
      </c>
      <c r="AP451" s="346" t="s">
        <v>846</v>
      </c>
      <c r="AQ451" s="346" t="s">
        <v>844</v>
      </c>
      <c r="AR451" s="75" t="str">
        <f>VLOOKUP(AP451,'[2]CONTENEUR PLEIN'!$F:$L,2,FALSE)</f>
        <v>CMA CGM JULES VERNE</v>
      </c>
      <c r="AS451" s="346" t="s">
        <v>316</v>
      </c>
      <c r="AT451" s="84"/>
    </row>
    <row r="452" spans="2:46" s="72" customFormat="1" hidden="1" x14ac:dyDescent="0.25">
      <c r="B452" s="219" t="s">
        <v>45</v>
      </c>
      <c r="C452" s="74">
        <v>45918</v>
      </c>
      <c r="D452" s="75">
        <v>25079</v>
      </c>
      <c r="E452" s="220" t="s">
        <v>450</v>
      </c>
      <c r="F452" s="75">
        <v>2509181140</v>
      </c>
      <c r="G452" s="221" t="s">
        <v>58</v>
      </c>
      <c r="H452" s="221" t="s">
        <v>451</v>
      </c>
      <c r="I452" s="221" t="s">
        <v>49</v>
      </c>
      <c r="J452" s="296" t="s">
        <v>695</v>
      </c>
      <c r="K452" s="75" t="s">
        <v>60</v>
      </c>
      <c r="L452" s="221" t="s">
        <v>47</v>
      </c>
      <c r="M452" s="380" t="e">
        <f t="shared" si="77"/>
        <v>#N/A</v>
      </c>
      <c r="N452" s="98" t="s">
        <v>62</v>
      </c>
      <c r="O452" s="78">
        <v>10110038</v>
      </c>
      <c r="P452" s="42" t="str">
        <f>VLOOKUP(O452,[1]Feuil2!$A:$M,5,FALSE)</f>
        <v>CUISINE 17 LAGUIOLE HERITAGE MANCHE METAL SATINE BTE CARTON</v>
      </c>
      <c r="Q452" s="75">
        <f>40002-30024</f>
        <v>9978</v>
      </c>
      <c r="R452" s="79">
        <v>2.58</v>
      </c>
      <c r="S452" s="80">
        <f t="shared" si="78"/>
        <v>25743.24</v>
      </c>
      <c r="T452" s="81">
        <f t="shared" si="79"/>
        <v>782523.3600000001</v>
      </c>
      <c r="U452" s="139"/>
      <c r="V452" s="82">
        <f t="shared" si="80"/>
        <v>782523.3600000001</v>
      </c>
      <c r="W452" s="9">
        <f>VLOOKUP(O452,[1]Feuil2!$A:$M,6,FALSE)</f>
        <v>36</v>
      </c>
      <c r="X452" s="10">
        <f>VLOOKUP(O452,[1]Feuil2!$A:$M,13,FALSE)</f>
        <v>0</v>
      </c>
      <c r="Y452" s="11">
        <f t="shared" si="81"/>
        <v>0</v>
      </c>
      <c r="Z452" s="83">
        <f t="shared" si="71"/>
        <v>0</v>
      </c>
      <c r="AA452" s="12" t="s">
        <v>57</v>
      </c>
      <c r="AB452" s="13" t="s">
        <v>57</v>
      </c>
      <c r="AC452" s="342" t="s">
        <v>55</v>
      </c>
      <c r="AD452" s="12" t="s">
        <v>57</v>
      </c>
      <c r="AE452" s="14"/>
      <c r="AF452" s="13"/>
      <c r="AG452" s="13"/>
      <c r="AH452" s="84"/>
      <c r="AI452" s="171">
        <v>45986</v>
      </c>
      <c r="AJ452" s="144">
        <f ca="1">DATEDIF(AI452,$AJ$1,"D")</f>
        <v>112</v>
      </c>
      <c r="AK452" s="85" t="e">
        <f>VLOOKUP(AP452,'[2]CONTENEUR PLEIN'!$F:$L,3,FALSE)</f>
        <v>#N/A</v>
      </c>
      <c r="AL452" s="86" t="e">
        <f>VLOOKUP(AP452,'[2]CONTENEUR PLEIN'!$F:$L,5,FALSE)</f>
        <v>#N/A</v>
      </c>
      <c r="AM452" s="15" t="e">
        <f>VLOOKUP(AP452,'[2]CONTENEUR PLEIN'!$F:$L,7,FALSE)</f>
        <v>#N/A</v>
      </c>
      <c r="AN452" s="184" t="s">
        <v>63</v>
      </c>
      <c r="AO452" s="75"/>
      <c r="AP452" s="75"/>
      <c r="AQ452" s="75"/>
      <c r="AR452" s="75" t="e">
        <f>VLOOKUP(AP452,'[2]CONTENEUR PLEIN'!$F:$L,2,FALSE)</f>
        <v>#N/A</v>
      </c>
      <c r="AS452" s="75"/>
      <c r="AT452" s="84"/>
    </row>
    <row r="453" spans="2:46" s="72" customFormat="1" hidden="1" x14ac:dyDescent="0.25">
      <c r="B453" s="286" t="s">
        <v>45</v>
      </c>
      <c r="C453" s="146">
        <v>45918</v>
      </c>
      <c r="D453" s="147">
        <v>25079</v>
      </c>
      <c r="E453" s="287" t="s">
        <v>450</v>
      </c>
      <c r="F453" s="147">
        <v>2509181140</v>
      </c>
      <c r="G453" s="272" t="s">
        <v>58</v>
      </c>
      <c r="H453" s="272" t="s">
        <v>451</v>
      </c>
      <c r="I453" s="272" t="s">
        <v>49</v>
      </c>
      <c r="J453" s="297" t="s">
        <v>695</v>
      </c>
      <c r="K453" s="327" t="s">
        <v>68</v>
      </c>
      <c r="L453" s="269">
        <v>46056</v>
      </c>
      <c r="M453" s="380">
        <f t="shared" si="77"/>
        <v>6</v>
      </c>
      <c r="N453" s="98" t="s">
        <v>62</v>
      </c>
      <c r="O453" s="78">
        <v>10110038</v>
      </c>
      <c r="P453" s="42" t="str">
        <f>VLOOKUP(O453,[1]Feuil2!$A:$M,5,FALSE)</f>
        <v>CUISINE 17 LAGUIOLE HERITAGE MANCHE METAL SATINE BTE CARTON</v>
      </c>
      <c r="Q453" s="75">
        <v>25128</v>
      </c>
      <c r="R453" s="79">
        <v>2.58</v>
      </c>
      <c r="S453" s="80">
        <f t="shared" si="78"/>
        <v>64830.240000000005</v>
      </c>
      <c r="T453" s="81">
        <f t="shared" si="79"/>
        <v>782523.3600000001</v>
      </c>
      <c r="U453" s="139"/>
      <c r="V453" s="82">
        <f t="shared" si="80"/>
        <v>782523.3600000001</v>
      </c>
      <c r="W453" s="9">
        <f>VLOOKUP(O453,[1]Feuil2!$A:$M,6,FALSE)</f>
        <v>36</v>
      </c>
      <c r="X453" s="10">
        <f>VLOOKUP(O453,[1]Feuil2!$A:$M,13,FALSE)</f>
        <v>0</v>
      </c>
      <c r="Y453" s="11">
        <f t="shared" si="81"/>
        <v>0</v>
      </c>
      <c r="Z453" s="83">
        <f t="shared" ref="Z453:Z516" si="82">SUMIF($E:$E,E453,$Y:$Y)</f>
        <v>0</v>
      </c>
      <c r="AA453" s="12" t="s">
        <v>57</v>
      </c>
      <c r="AB453" s="13" t="s">
        <v>57</v>
      </c>
      <c r="AC453" s="342" t="s">
        <v>55</v>
      </c>
      <c r="AD453" s="12" t="s">
        <v>57</v>
      </c>
      <c r="AE453" s="14">
        <v>46034</v>
      </c>
      <c r="AF453" s="13" t="s">
        <v>827</v>
      </c>
      <c r="AG453" s="13"/>
      <c r="AH453" s="84"/>
      <c r="AI453" s="178">
        <v>45986</v>
      </c>
      <c r="AJ453" s="144">
        <f>DATEDIF(AI453,AK453,"D")</f>
        <v>59</v>
      </c>
      <c r="AK453" s="85">
        <f>VLOOKUP(AP453,'[2]CONTENEUR PLEIN'!$F:$L,3,FALSE)</f>
        <v>46045</v>
      </c>
      <c r="AL453" s="86">
        <f>VLOOKUP(AP453,'[2]CONTENEUR PLEIN'!$F:$L,5,FALSE)</f>
        <v>46091</v>
      </c>
      <c r="AM453" s="18">
        <f>VLOOKUP(AP453,'[2]CONTENEUR PLEIN'!$F:$L,7,FALSE)</f>
        <v>46100.333333333336</v>
      </c>
      <c r="AN453" s="184" t="s">
        <v>63</v>
      </c>
      <c r="AO453" s="346" t="s">
        <v>843</v>
      </c>
      <c r="AP453" s="346" t="s">
        <v>845</v>
      </c>
      <c r="AQ453" s="346" t="s">
        <v>844</v>
      </c>
      <c r="AR453" s="75" t="str">
        <f>VLOOKUP(AP453,'[2]CONTENEUR PLEIN'!$F:$L,2,FALSE)</f>
        <v>CMA CGM JULES VERNE</v>
      </c>
      <c r="AS453" s="346" t="s">
        <v>316</v>
      </c>
      <c r="AT453" s="84"/>
    </row>
    <row r="454" spans="2:46" s="72" customFormat="1" hidden="1" x14ac:dyDescent="0.25">
      <c r="B454" s="286" t="s">
        <v>45</v>
      </c>
      <c r="C454" s="146">
        <v>45918</v>
      </c>
      <c r="D454" s="147">
        <v>25079</v>
      </c>
      <c r="E454" s="287" t="s">
        <v>450</v>
      </c>
      <c r="F454" s="147">
        <v>2509181140</v>
      </c>
      <c r="G454" s="272" t="s">
        <v>58</v>
      </c>
      <c r="H454" s="272" t="s">
        <v>451</v>
      </c>
      <c r="I454" s="272" t="s">
        <v>49</v>
      </c>
      <c r="J454" s="297" t="s">
        <v>695</v>
      </c>
      <c r="K454" s="327" t="s">
        <v>68</v>
      </c>
      <c r="L454" s="221" t="s">
        <v>47</v>
      </c>
      <c r="M454" s="380" t="e">
        <f t="shared" si="77"/>
        <v>#VALUE!</v>
      </c>
      <c r="N454" s="98" t="s">
        <v>62</v>
      </c>
      <c r="O454" s="78">
        <v>10110039</v>
      </c>
      <c r="P454" s="42" t="str">
        <f>VLOOKUP(O454,[1]Feuil2!$A:$M,5,FALSE)</f>
        <v>CHEF 22 LAGUIOLE HERITAGE MANCHE METAL SATINE BTE CARTON</v>
      </c>
      <c r="Q454" s="75">
        <v>3564</v>
      </c>
      <c r="R454" s="79">
        <v>2.68</v>
      </c>
      <c r="S454" s="80">
        <f t="shared" si="78"/>
        <v>9551.52</v>
      </c>
      <c r="T454" s="81">
        <f t="shared" si="79"/>
        <v>782523.3600000001</v>
      </c>
      <c r="U454" s="139"/>
      <c r="V454" s="82">
        <f t="shared" si="80"/>
        <v>782523.3600000001</v>
      </c>
      <c r="W454" s="9">
        <f>VLOOKUP(O454,[1]Feuil2!$A:$M,6,FALSE)</f>
        <v>36</v>
      </c>
      <c r="X454" s="10">
        <f>VLOOKUP(O454,[1]Feuil2!$A:$M,13,FALSE)</f>
        <v>0</v>
      </c>
      <c r="Y454" s="11">
        <f t="shared" si="81"/>
        <v>0</v>
      </c>
      <c r="Z454" s="83">
        <f t="shared" si="82"/>
        <v>0</v>
      </c>
      <c r="AA454" s="12" t="s">
        <v>57</v>
      </c>
      <c r="AB454" s="13" t="s">
        <v>57</v>
      </c>
      <c r="AC454" s="342" t="s">
        <v>55</v>
      </c>
      <c r="AD454" s="12" t="s">
        <v>57</v>
      </c>
      <c r="AE454" s="14">
        <v>46058</v>
      </c>
      <c r="AF454" s="13" t="s">
        <v>979</v>
      </c>
      <c r="AG454" s="13"/>
      <c r="AH454" s="84"/>
      <c r="AI454" s="171">
        <v>45986</v>
      </c>
      <c r="AJ454" s="144">
        <f ca="1">DATEDIF(AI454,$AJ$1,"D")</f>
        <v>112</v>
      </c>
      <c r="AK454" s="85">
        <f>VLOOKUP(AP454,'[2]CONTENEUR PLEIN'!$F:$L,3,FALSE)</f>
        <v>46082</v>
      </c>
      <c r="AL454" s="86">
        <f>VLOOKUP(AP454,'[2]CONTENEUR PLEIN'!$F:$L,5,FALSE)</f>
        <v>46119</v>
      </c>
      <c r="AM454" s="46" t="str">
        <f>VLOOKUP(AP454,'[2]CONTENEUR PLEIN'!$F:$L,7,FALSE)</f>
        <v>Estimée : 20-avril</v>
      </c>
      <c r="AN454" s="184" t="s">
        <v>63</v>
      </c>
      <c r="AO454" s="578" t="s">
        <v>1025</v>
      </c>
      <c r="AP454" s="578" t="s">
        <v>1026</v>
      </c>
      <c r="AQ454" s="578" t="s">
        <v>1027</v>
      </c>
      <c r="AR454" s="75" t="str">
        <f>VLOOKUP(AP454,'[2]CONTENEUR PLEIN'!$F:$L,2,FALSE)</f>
        <v>CMA CGM GRACE BAY</v>
      </c>
      <c r="AS454" s="578" t="s">
        <v>316</v>
      </c>
      <c r="AT454" s="84"/>
    </row>
    <row r="455" spans="2:46" s="72" customFormat="1" hidden="1" x14ac:dyDescent="0.25">
      <c r="B455" s="286" t="s">
        <v>45</v>
      </c>
      <c r="C455" s="146">
        <v>45918</v>
      </c>
      <c r="D455" s="147">
        <v>25079</v>
      </c>
      <c r="E455" s="287" t="s">
        <v>450</v>
      </c>
      <c r="F455" s="147">
        <v>2509181140</v>
      </c>
      <c r="G455" s="272" t="s">
        <v>58</v>
      </c>
      <c r="H455" s="272" t="s">
        <v>451</v>
      </c>
      <c r="I455" s="272" t="s">
        <v>49</v>
      </c>
      <c r="J455" s="297" t="s">
        <v>695</v>
      </c>
      <c r="K455" s="327" t="s">
        <v>68</v>
      </c>
      <c r="L455" s="221" t="s">
        <v>47</v>
      </c>
      <c r="M455" s="380" t="e">
        <f t="shared" si="77"/>
        <v>#VALUE!</v>
      </c>
      <c r="N455" s="98" t="s">
        <v>62</v>
      </c>
      <c r="O455" s="78">
        <v>10110039</v>
      </c>
      <c r="P455" s="42" t="str">
        <f>VLOOKUP(O455,[1]Feuil2!$A:$M,5,FALSE)</f>
        <v>CHEF 22 LAGUIOLE HERITAGE MANCHE METAL SATINE BTE CARTON</v>
      </c>
      <c r="Q455" s="75">
        <f>35004-3564</f>
        <v>31440</v>
      </c>
      <c r="R455" s="79">
        <v>2.68</v>
      </c>
      <c r="S455" s="80">
        <f t="shared" si="78"/>
        <v>84259.200000000012</v>
      </c>
      <c r="T455" s="81">
        <f t="shared" si="79"/>
        <v>782523.3600000001</v>
      </c>
      <c r="U455" s="139"/>
      <c r="V455" s="82">
        <f t="shared" si="80"/>
        <v>782523.3600000001</v>
      </c>
      <c r="W455" s="9">
        <f>VLOOKUP(O455,[1]Feuil2!$A:$M,6,FALSE)</f>
        <v>36</v>
      </c>
      <c r="X455" s="10">
        <f>VLOOKUP(O455,[1]Feuil2!$A:$M,13,FALSE)</f>
        <v>0</v>
      </c>
      <c r="Y455" s="11">
        <f t="shared" si="81"/>
        <v>0</v>
      </c>
      <c r="Z455" s="83">
        <f t="shared" si="82"/>
        <v>0</v>
      </c>
      <c r="AA455" s="12" t="s">
        <v>57</v>
      </c>
      <c r="AB455" s="13" t="s">
        <v>57</v>
      </c>
      <c r="AC455" s="342" t="s">
        <v>55</v>
      </c>
      <c r="AD455" s="12" t="s">
        <v>57</v>
      </c>
      <c r="AE455" s="14">
        <v>46058</v>
      </c>
      <c r="AF455" s="13" t="s">
        <v>979</v>
      </c>
      <c r="AG455" s="13"/>
      <c r="AH455" s="84"/>
      <c r="AI455" s="171">
        <v>45986</v>
      </c>
      <c r="AJ455" s="144">
        <f ca="1">DATEDIF(AI455,$AJ$1,"D")</f>
        <v>112</v>
      </c>
      <c r="AK455" s="85">
        <f>VLOOKUP(AP455,'[2]CONTENEUR PLEIN'!$F:$L,3,FALSE)</f>
        <v>46082</v>
      </c>
      <c r="AL455" s="86">
        <f>VLOOKUP(AP455,'[2]CONTENEUR PLEIN'!$F:$L,5,FALSE)</f>
        <v>46119</v>
      </c>
      <c r="AM455" s="46" t="str">
        <f>VLOOKUP(AP455,'[2]CONTENEUR PLEIN'!$F:$L,7,FALSE)</f>
        <v>Estimée : 20-avril</v>
      </c>
      <c r="AN455" s="184" t="s">
        <v>63</v>
      </c>
      <c r="AO455" s="578" t="s">
        <v>1025</v>
      </c>
      <c r="AP455" s="578" t="s">
        <v>1028</v>
      </c>
      <c r="AQ455" s="578" t="s">
        <v>1029</v>
      </c>
      <c r="AR455" s="75" t="str">
        <f>VLOOKUP(AP455,'[2]CONTENEUR PLEIN'!$F:$L,2,FALSE)</f>
        <v>CMA CGM GRACE BAY</v>
      </c>
      <c r="AS455" s="578" t="s">
        <v>316</v>
      </c>
      <c r="AT455" s="84"/>
    </row>
    <row r="456" spans="2:46" s="72" customFormat="1" hidden="1" x14ac:dyDescent="0.25">
      <c r="B456" s="219" t="s">
        <v>45</v>
      </c>
      <c r="C456" s="74">
        <v>45918</v>
      </c>
      <c r="D456" s="75">
        <v>25079</v>
      </c>
      <c r="E456" s="220" t="s">
        <v>450</v>
      </c>
      <c r="F456" s="75">
        <v>2509181140</v>
      </c>
      <c r="G456" s="221" t="s">
        <v>58</v>
      </c>
      <c r="H456" s="221" t="s">
        <v>451</v>
      </c>
      <c r="I456" s="221" t="s">
        <v>49</v>
      </c>
      <c r="J456" s="296" t="s">
        <v>695</v>
      </c>
      <c r="K456" s="75" t="s">
        <v>60</v>
      </c>
      <c r="L456" s="221" t="s">
        <v>47</v>
      </c>
      <c r="M456" s="380" t="e">
        <f t="shared" si="77"/>
        <v>#N/A</v>
      </c>
      <c r="N456" s="98" t="s">
        <v>62</v>
      </c>
      <c r="O456" s="78">
        <v>10110040</v>
      </c>
      <c r="P456" s="42" t="str">
        <f>VLOOKUP(O456,[1]Feuil2!$A:$M,5,FALSE)</f>
        <v>SANTOKU 18 LAGUIOLE HERITAGE MANCHE METAL SATINE BTE CARTON</v>
      </c>
      <c r="Q456" s="75">
        <v>60000</v>
      </c>
      <c r="R456" s="79">
        <v>2.68</v>
      </c>
      <c r="S456" s="80">
        <f t="shared" si="78"/>
        <v>160800</v>
      </c>
      <c r="T456" s="81">
        <f t="shared" si="79"/>
        <v>782523.3600000001</v>
      </c>
      <c r="U456" s="139"/>
      <c r="V456" s="82">
        <f t="shared" si="80"/>
        <v>782523.3600000001</v>
      </c>
      <c r="W456" s="9">
        <f>VLOOKUP(O456,[1]Feuil2!$A:$M,6,FALSE)</f>
        <v>36</v>
      </c>
      <c r="X456" s="10">
        <f>VLOOKUP(O456,[1]Feuil2!$A:$M,13,FALSE)</f>
        <v>0</v>
      </c>
      <c r="Y456" s="11">
        <f t="shared" si="81"/>
        <v>0</v>
      </c>
      <c r="Z456" s="83">
        <f t="shared" si="82"/>
        <v>0</v>
      </c>
      <c r="AA456" s="12" t="s">
        <v>57</v>
      </c>
      <c r="AB456" s="13" t="s">
        <v>57</v>
      </c>
      <c r="AC456" s="342" t="s">
        <v>55</v>
      </c>
      <c r="AD456" s="13" t="s">
        <v>57</v>
      </c>
      <c r="AE456" s="14"/>
      <c r="AF456" s="13"/>
      <c r="AG456" s="13"/>
      <c r="AH456" s="84"/>
      <c r="AI456" s="171">
        <v>45986</v>
      </c>
      <c r="AJ456" s="144">
        <f ca="1">DATEDIF(AI456,$AJ$1,"D")</f>
        <v>112</v>
      </c>
      <c r="AK456" s="85" t="e">
        <f>VLOOKUP(AP456,'[2]CONTENEUR PLEIN'!$F:$L,3,FALSE)</f>
        <v>#N/A</v>
      </c>
      <c r="AL456" s="86" t="e">
        <f>VLOOKUP(AP456,'[2]CONTENEUR PLEIN'!$F:$L,5,FALSE)</f>
        <v>#N/A</v>
      </c>
      <c r="AM456" s="15" t="e">
        <f>VLOOKUP(AP456,'[2]CONTENEUR PLEIN'!$F:$L,7,FALSE)</f>
        <v>#N/A</v>
      </c>
      <c r="AN456" s="184" t="s">
        <v>63</v>
      </c>
      <c r="AO456" s="75"/>
      <c r="AP456" s="75"/>
      <c r="AQ456" s="75"/>
      <c r="AR456" s="75" t="e">
        <f>VLOOKUP(AP456,'[2]CONTENEUR PLEIN'!$F:$L,2,FALSE)</f>
        <v>#N/A</v>
      </c>
      <c r="AS456" s="75"/>
      <c r="AT456" s="84"/>
    </row>
    <row r="457" spans="2:46" s="72" customFormat="1" hidden="1" x14ac:dyDescent="0.25">
      <c r="B457" s="498" t="s">
        <v>45</v>
      </c>
      <c r="C457" s="89">
        <v>45933</v>
      </c>
      <c r="D457" s="90">
        <v>25095</v>
      </c>
      <c r="E457" s="516" t="s">
        <v>480</v>
      </c>
      <c r="F457" s="90">
        <v>2510020930</v>
      </c>
      <c r="G457" s="239" t="s">
        <v>58</v>
      </c>
      <c r="H457" s="239" t="s">
        <v>82</v>
      </c>
      <c r="I457" s="239" t="s">
        <v>49</v>
      </c>
      <c r="J457" s="239" t="s">
        <v>46</v>
      </c>
      <c r="K457" s="8" t="s">
        <v>1048</v>
      </c>
      <c r="L457" s="238">
        <v>46048</v>
      </c>
      <c r="M457" s="381">
        <f t="shared" ref="M457:M471" si="83">DATEDIF(C457,AM457,"M")</f>
        <v>4</v>
      </c>
      <c r="N457" s="98" t="s">
        <v>62</v>
      </c>
      <c r="O457" s="92">
        <v>30110003</v>
      </c>
      <c r="P457" s="24" t="str">
        <f>VLOOKUP(O457,[1]Feuil2!$A:$M,5,FALSE)</f>
        <v>LAG HERITAGE CTX 6PCS ET FOURCHETTES 6PCS NOYER POLYFLAME</v>
      </c>
      <c r="Q457" s="90">
        <v>1200</v>
      </c>
      <c r="R457" s="93">
        <v>13.58</v>
      </c>
      <c r="S457" s="94">
        <f t="shared" ref="S457:S471" si="84">Q457*R457</f>
        <v>16296</v>
      </c>
      <c r="T457" s="95">
        <f t="shared" ref="T457:T471" si="85">SUMIF($E$5:$E$9257,E457,$S$5:$S$9257)</f>
        <v>20706</v>
      </c>
      <c r="U457" s="138"/>
      <c r="V457" s="96">
        <f t="shared" ref="V457:V471" si="86">U457+T457</f>
        <v>20706</v>
      </c>
      <c r="W457" s="4">
        <f>VLOOKUP(O457,[1]Feuil2!$A:$M,6,FALSE)</f>
        <v>6</v>
      </c>
      <c r="X457" s="5">
        <f>VLOOKUP(O457,[1]Feuil2!$A:$M,13,FALSE)</f>
        <v>1.6694999999999998E-2</v>
      </c>
      <c r="Y457" s="6">
        <f t="shared" ref="Y457:Y471" si="87">(Q457/W457)*X457</f>
        <v>3.3389999999999995</v>
      </c>
      <c r="Z457" s="97">
        <f t="shared" ref="Z457:Z471" si="88">SUMIF($E:$E,E457,$Y:$Y)</f>
        <v>4.4685499999999996</v>
      </c>
      <c r="AA457" s="69" t="s">
        <v>57</v>
      </c>
      <c r="AB457" s="21" t="s">
        <v>57</v>
      </c>
      <c r="AC457" s="313" t="s">
        <v>55</v>
      </c>
      <c r="AD457" s="133" t="s">
        <v>61</v>
      </c>
      <c r="AE457" s="20">
        <v>46011</v>
      </c>
      <c r="AF457" s="21" t="s">
        <v>759</v>
      </c>
      <c r="AG457" s="432" t="s">
        <v>48</v>
      </c>
      <c r="AH457" s="433" t="s">
        <v>48</v>
      </c>
      <c r="AI457" s="135">
        <v>46016</v>
      </c>
      <c r="AJ457" s="145">
        <f t="shared" ref="AJ457:AJ462" si="89">DATEDIF(AI457,AK457,"D")</f>
        <v>20</v>
      </c>
      <c r="AK457" s="100">
        <v>46036</v>
      </c>
      <c r="AL457" s="99">
        <v>46068</v>
      </c>
      <c r="AM457" s="18">
        <v>46079</v>
      </c>
      <c r="AN457" s="239" t="s">
        <v>82</v>
      </c>
      <c r="AO457" s="345" t="s">
        <v>838</v>
      </c>
      <c r="AP457" s="345" t="s">
        <v>839</v>
      </c>
      <c r="AQ457" s="345" t="s">
        <v>840</v>
      </c>
      <c r="AR457" s="345" t="s">
        <v>841</v>
      </c>
      <c r="AS457" s="345" t="s">
        <v>316</v>
      </c>
      <c r="AT457" s="98"/>
    </row>
    <row r="458" spans="2:46" s="72" customFormat="1" hidden="1" x14ac:dyDescent="0.25">
      <c r="B458" s="498" t="s">
        <v>45</v>
      </c>
      <c r="C458" s="89">
        <v>45933</v>
      </c>
      <c r="D458" s="90">
        <v>25095</v>
      </c>
      <c r="E458" s="516" t="s">
        <v>480</v>
      </c>
      <c r="F458" s="90">
        <v>2510020930</v>
      </c>
      <c r="G458" s="239" t="s">
        <v>58</v>
      </c>
      <c r="H458" s="239" t="s">
        <v>82</v>
      </c>
      <c r="I458" s="239" t="s">
        <v>49</v>
      </c>
      <c r="J458" s="239" t="s">
        <v>46</v>
      </c>
      <c r="K458" s="8" t="s">
        <v>1048</v>
      </c>
      <c r="L458" s="238">
        <v>46048</v>
      </c>
      <c r="M458" s="381">
        <f t="shared" si="83"/>
        <v>4</v>
      </c>
      <c r="N458" s="98" t="s">
        <v>62</v>
      </c>
      <c r="O458" s="92">
        <v>60110001</v>
      </c>
      <c r="P458" s="24" t="str">
        <f>VLOOKUP(O458,[1]Feuil2!$A:$M,5,FALSE)</f>
        <v>LAG HERITAGE TIRE-BOUCHON BAMBOU POLYFLAME</v>
      </c>
      <c r="Q458" s="90">
        <v>1500</v>
      </c>
      <c r="R458" s="93">
        <v>2.94</v>
      </c>
      <c r="S458" s="94">
        <f t="shared" si="84"/>
        <v>4410</v>
      </c>
      <c r="T458" s="95">
        <f t="shared" si="85"/>
        <v>20706</v>
      </c>
      <c r="U458" s="138"/>
      <c r="V458" s="96">
        <f t="shared" si="86"/>
        <v>20706</v>
      </c>
      <c r="W458" s="4">
        <f>VLOOKUP(O458,[1]Feuil2!$A:$M,6,FALSE)</f>
        <v>30</v>
      </c>
      <c r="X458" s="5">
        <f>VLOOKUP(O458,[1]Feuil2!$A:$M,13,FALSE)</f>
        <v>2.2590999999999997E-2</v>
      </c>
      <c r="Y458" s="6">
        <f t="shared" si="87"/>
        <v>1.1295499999999998</v>
      </c>
      <c r="Z458" s="97">
        <f t="shared" si="88"/>
        <v>4.4685499999999996</v>
      </c>
      <c r="AA458" s="68" t="s">
        <v>48</v>
      </c>
      <c r="AB458" s="67" t="s">
        <v>48</v>
      </c>
      <c r="AC458" s="313" t="s">
        <v>55</v>
      </c>
      <c r="AD458" s="21" t="s">
        <v>57</v>
      </c>
      <c r="AE458" s="20">
        <v>46011</v>
      </c>
      <c r="AF458" s="21" t="s">
        <v>760</v>
      </c>
      <c r="AG458" s="432" t="s">
        <v>48</v>
      </c>
      <c r="AH458" s="433" t="s">
        <v>48</v>
      </c>
      <c r="AI458" s="135">
        <v>46016</v>
      </c>
      <c r="AJ458" s="145">
        <f t="shared" si="89"/>
        <v>20</v>
      </c>
      <c r="AK458" s="100">
        <v>46036</v>
      </c>
      <c r="AL458" s="99">
        <v>46068</v>
      </c>
      <c r="AM458" s="18">
        <v>46079</v>
      </c>
      <c r="AN458" s="239" t="s">
        <v>82</v>
      </c>
      <c r="AO458" s="345" t="s">
        <v>838</v>
      </c>
      <c r="AP458" s="349" t="s">
        <v>839</v>
      </c>
      <c r="AQ458" s="345" t="s">
        <v>840</v>
      </c>
      <c r="AR458" s="345" t="s">
        <v>841</v>
      </c>
      <c r="AS458" s="345" t="s">
        <v>316</v>
      </c>
      <c r="AT458" s="98"/>
    </row>
    <row r="459" spans="2:46" s="72" customFormat="1" hidden="1" x14ac:dyDescent="0.25">
      <c r="B459" s="498" t="s">
        <v>45</v>
      </c>
      <c r="C459" s="89">
        <v>45933</v>
      </c>
      <c r="D459" s="90">
        <v>25092</v>
      </c>
      <c r="E459" s="516" t="s">
        <v>481</v>
      </c>
      <c r="F459" s="90">
        <v>2509291441</v>
      </c>
      <c r="G459" s="239" t="s">
        <v>74</v>
      </c>
      <c r="H459" s="239" t="s">
        <v>82</v>
      </c>
      <c r="I459" s="239" t="s">
        <v>49</v>
      </c>
      <c r="J459" s="239" t="s">
        <v>46</v>
      </c>
      <c r="K459" s="8" t="s">
        <v>1049</v>
      </c>
      <c r="L459" s="238">
        <v>46048</v>
      </c>
      <c r="M459" s="381">
        <f t="shared" si="83"/>
        <v>4</v>
      </c>
      <c r="N459" s="98" t="s">
        <v>62</v>
      </c>
      <c r="O459" s="92">
        <v>30020342</v>
      </c>
      <c r="P459" s="24" t="str">
        <f>VLOOKUP(O459,[1]Feuil2!$A:$M,5,FALSE)</f>
        <v>LAG HERITAGE M16 ACIDULE NOIR POLYFLAME</v>
      </c>
      <c r="Q459" s="90">
        <v>1200</v>
      </c>
      <c r="R459" s="93">
        <v>5.2</v>
      </c>
      <c r="S459" s="94">
        <f t="shared" si="84"/>
        <v>6240</v>
      </c>
      <c r="T459" s="95">
        <f t="shared" si="85"/>
        <v>22092</v>
      </c>
      <c r="U459" s="138"/>
      <c r="V459" s="96">
        <f t="shared" si="86"/>
        <v>22092</v>
      </c>
      <c r="W459" s="4">
        <f>VLOOKUP(O459,[1]Feuil2!$A:$M,6,FALSE)</f>
        <v>6</v>
      </c>
      <c r="X459" s="5">
        <f>VLOOKUP(O459,[1]Feuil2!$A:$M,13,FALSE)</f>
        <v>1.0671999999999999E-2</v>
      </c>
      <c r="Y459" s="6">
        <f t="shared" si="87"/>
        <v>2.1343999999999999</v>
      </c>
      <c r="Z459" s="97">
        <f t="shared" si="88"/>
        <v>11.650400000000001</v>
      </c>
      <c r="AA459" s="21" t="s">
        <v>57</v>
      </c>
      <c r="AB459" s="67" t="s">
        <v>48</v>
      </c>
      <c r="AC459" s="90"/>
      <c r="AD459" s="133" t="s">
        <v>61</v>
      </c>
      <c r="AE459" s="20"/>
      <c r="AF459" s="21"/>
      <c r="AG459" s="432" t="s">
        <v>48</v>
      </c>
      <c r="AH459" s="433" t="s">
        <v>48</v>
      </c>
      <c r="AI459" s="135">
        <v>46016</v>
      </c>
      <c r="AJ459" s="145">
        <f t="shared" si="89"/>
        <v>27</v>
      </c>
      <c r="AK459" s="100">
        <v>46043</v>
      </c>
      <c r="AL459" s="606">
        <v>46073</v>
      </c>
      <c r="AM459" s="18">
        <v>46081</v>
      </c>
      <c r="AN459" s="239" t="s">
        <v>82</v>
      </c>
      <c r="AO459" s="349" t="s">
        <v>857</v>
      </c>
      <c r="AP459" s="349" t="s">
        <v>858</v>
      </c>
      <c r="AQ459" s="349" t="s">
        <v>859</v>
      </c>
      <c r="AR459" s="349" t="s">
        <v>860</v>
      </c>
      <c r="AS459" s="349" t="s">
        <v>123</v>
      </c>
      <c r="AT459" s="98"/>
    </row>
    <row r="460" spans="2:46" s="72" customFormat="1" hidden="1" x14ac:dyDescent="0.25">
      <c r="B460" s="311" t="s">
        <v>45</v>
      </c>
      <c r="C460" s="146">
        <v>45933</v>
      </c>
      <c r="D460" s="147">
        <v>25093</v>
      </c>
      <c r="E460" s="323" t="s">
        <v>482</v>
      </c>
      <c r="F460" s="147">
        <v>2509291453</v>
      </c>
      <c r="G460" s="294" t="s">
        <v>83</v>
      </c>
      <c r="H460" s="294" t="s">
        <v>82</v>
      </c>
      <c r="I460" s="324">
        <v>4515</v>
      </c>
      <c r="J460" s="294" t="s">
        <v>46</v>
      </c>
      <c r="K460" s="447" t="s">
        <v>68</v>
      </c>
      <c r="L460" s="238">
        <v>46056</v>
      </c>
      <c r="M460" s="380">
        <f t="shared" si="83"/>
        <v>5</v>
      </c>
      <c r="N460" s="98" t="s">
        <v>62</v>
      </c>
      <c r="O460" s="78">
        <v>10110041</v>
      </c>
      <c r="P460" s="42" t="str">
        <f>VLOOKUP(O460,[1]Feuil2!$A:$M,5,FALSE)</f>
        <v>LAG HERITAGE COUTEAU PLIANT DAMAS PAKKAWOOD POLYFLAME</v>
      </c>
      <c r="Q460" s="75">
        <v>1000</v>
      </c>
      <c r="R460" s="79">
        <v>3.54</v>
      </c>
      <c r="S460" s="80">
        <f t="shared" si="84"/>
        <v>3540</v>
      </c>
      <c r="T460" s="81">
        <f t="shared" si="85"/>
        <v>15050</v>
      </c>
      <c r="U460" s="139"/>
      <c r="V460" s="82">
        <f t="shared" si="86"/>
        <v>15050</v>
      </c>
      <c r="W460" s="9">
        <f>VLOOKUP(O460,[1]Feuil2!$A:$M,6,FALSE)</f>
        <v>100</v>
      </c>
      <c r="X460" s="10">
        <f>VLOOKUP(O460,[1]Feuil2!$A:$M,13,FALSE)</f>
        <v>3.0477600000000004E-2</v>
      </c>
      <c r="Y460" s="11">
        <f t="shared" si="87"/>
        <v>0.30477600000000005</v>
      </c>
      <c r="Z460" s="83">
        <f t="shared" si="88"/>
        <v>1.2191040000000002</v>
      </c>
      <c r="AA460" s="424" t="s">
        <v>57</v>
      </c>
      <c r="AB460" s="22" t="s">
        <v>48</v>
      </c>
      <c r="AC460" s="348" t="s">
        <v>55</v>
      </c>
      <c r="AD460" s="13" t="s">
        <v>57</v>
      </c>
      <c r="AE460" s="14">
        <v>46041</v>
      </c>
      <c r="AF460" s="13" t="s">
        <v>849</v>
      </c>
      <c r="AG460" s="310" t="s">
        <v>48</v>
      </c>
      <c r="AH460" s="312" t="s">
        <v>48</v>
      </c>
      <c r="AI460" s="134">
        <v>46016</v>
      </c>
      <c r="AJ460" s="144">
        <f t="shared" si="89"/>
        <v>39</v>
      </c>
      <c r="AK460" s="85">
        <v>46055</v>
      </c>
      <c r="AL460" s="86">
        <v>46084</v>
      </c>
      <c r="AM460" s="18">
        <v>46096</v>
      </c>
      <c r="AN460" s="236" t="s">
        <v>82</v>
      </c>
      <c r="AO460" s="446" t="s">
        <v>934</v>
      </c>
      <c r="AP460" s="446" t="s">
        <v>935</v>
      </c>
      <c r="AQ460" s="446" t="s">
        <v>936</v>
      </c>
      <c r="AR460" s="446" t="s">
        <v>937</v>
      </c>
      <c r="AS460" s="446" t="s">
        <v>123</v>
      </c>
      <c r="AT460" s="84"/>
    </row>
    <row r="461" spans="2:46" s="72" customFormat="1" hidden="1" x14ac:dyDescent="0.25">
      <c r="B461" s="311" t="s">
        <v>45</v>
      </c>
      <c r="C461" s="146">
        <v>45933</v>
      </c>
      <c r="D461" s="147">
        <v>25093</v>
      </c>
      <c r="E461" s="323" t="s">
        <v>482</v>
      </c>
      <c r="F461" s="147">
        <v>2509291453</v>
      </c>
      <c r="G461" s="294" t="s">
        <v>83</v>
      </c>
      <c r="H461" s="294" t="s">
        <v>82</v>
      </c>
      <c r="I461" s="324">
        <v>4515</v>
      </c>
      <c r="J461" s="294" t="s">
        <v>46</v>
      </c>
      <c r="K461" s="447" t="s">
        <v>68</v>
      </c>
      <c r="L461" s="238">
        <v>46056</v>
      </c>
      <c r="M461" s="380">
        <f t="shared" si="83"/>
        <v>5</v>
      </c>
      <c r="N461" s="98" t="s">
        <v>62</v>
      </c>
      <c r="O461" s="78">
        <v>10110042</v>
      </c>
      <c r="P461" s="42" t="str">
        <f>VLOOKUP(O461,[1]Feuil2!$A:$M,5,FALSE)</f>
        <v>LAG HERITAGE COUTEAU PLIANT VENITIEN NOIR POLYFLAME</v>
      </c>
      <c r="Q461" s="75">
        <v>1000</v>
      </c>
      <c r="R461" s="79">
        <v>3.67</v>
      </c>
      <c r="S461" s="80">
        <f t="shared" si="84"/>
        <v>3670</v>
      </c>
      <c r="T461" s="81">
        <f t="shared" si="85"/>
        <v>15050</v>
      </c>
      <c r="U461" s="139"/>
      <c r="V461" s="82">
        <f t="shared" si="86"/>
        <v>15050</v>
      </c>
      <c r="W461" s="9">
        <f>VLOOKUP(O461,[1]Feuil2!$A:$M,6,FALSE)</f>
        <v>100</v>
      </c>
      <c r="X461" s="10">
        <f>VLOOKUP(O461,[1]Feuil2!$A:$M,13,FALSE)</f>
        <v>3.0477600000000004E-2</v>
      </c>
      <c r="Y461" s="11">
        <f t="shared" si="87"/>
        <v>0.30477600000000005</v>
      </c>
      <c r="Z461" s="83">
        <f t="shared" si="88"/>
        <v>1.2191040000000002</v>
      </c>
      <c r="AA461" s="347" t="s">
        <v>57</v>
      </c>
      <c r="AB461" s="22" t="s">
        <v>48</v>
      </c>
      <c r="AC461" s="348" t="s">
        <v>55</v>
      </c>
      <c r="AD461" s="13" t="s">
        <v>57</v>
      </c>
      <c r="AE461" s="14">
        <v>46041</v>
      </c>
      <c r="AF461" s="13" t="s">
        <v>848</v>
      </c>
      <c r="AG461" s="310" t="s">
        <v>48</v>
      </c>
      <c r="AH461" s="312" t="s">
        <v>48</v>
      </c>
      <c r="AI461" s="134">
        <v>46016</v>
      </c>
      <c r="AJ461" s="144">
        <f t="shared" si="89"/>
        <v>39</v>
      </c>
      <c r="AK461" s="85">
        <v>46055</v>
      </c>
      <c r="AL461" s="86">
        <v>46084</v>
      </c>
      <c r="AM461" s="18">
        <v>46096</v>
      </c>
      <c r="AN461" s="236" t="s">
        <v>82</v>
      </c>
      <c r="AO461" s="446" t="s">
        <v>934</v>
      </c>
      <c r="AP461" s="446" t="s">
        <v>935</v>
      </c>
      <c r="AQ461" s="446" t="s">
        <v>936</v>
      </c>
      <c r="AR461" s="446" t="s">
        <v>937</v>
      </c>
      <c r="AS461" s="446" t="s">
        <v>123</v>
      </c>
      <c r="AT461" s="84"/>
    </row>
    <row r="462" spans="2:46" s="72" customFormat="1" hidden="1" x14ac:dyDescent="0.25">
      <c r="B462" s="311" t="s">
        <v>45</v>
      </c>
      <c r="C462" s="146">
        <v>45933</v>
      </c>
      <c r="D462" s="147">
        <v>25093</v>
      </c>
      <c r="E462" s="323" t="s">
        <v>482</v>
      </c>
      <c r="F462" s="147">
        <v>2509291453</v>
      </c>
      <c r="G462" s="294" t="s">
        <v>83</v>
      </c>
      <c r="H462" s="294" t="s">
        <v>82</v>
      </c>
      <c r="I462" s="324">
        <v>4515</v>
      </c>
      <c r="J462" s="294" t="s">
        <v>46</v>
      </c>
      <c r="K462" s="447" t="s">
        <v>68</v>
      </c>
      <c r="L462" s="238">
        <v>46056</v>
      </c>
      <c r="M462" s="380">
        <f t="shared" si="83"/>
        <v>5</v>
      </c>
      <c r="N462" s="98" t="s">
        <v>62</v>
      </c>
      <c r="O462" s="78">
        <v>60110004</v>
      </c>
      <c r="P462" s="42" t="str">
        <f>VLOOKUP(O462,[1]Feuil2!$A:$M,5,FALSE)</f>
        <v>LAG HERITAGE SOMMELIER NOIR BAMBOU POLYFLAME</v>
      </c>
      <c r="Q462" s="75">
        <v>2000</v>
      </c>
      <c r="R462" s="79">
        <v>3.92</v>
      </c>
      <c r="S462" s="80">
        <f t="shared" si="84"/>
        <v>7840</v>
      </c>
      <c r="T462" s="81">
        <f t="shared" si="85"/>
        <v>15050</v>
      </c>
      <c r="U462" s="139"/>
      <c r="V462" s="82">
        <f t="shared" si="86"/>
        <v>15050</v>
      </c>
      <c r="W462" s="9">
        <f>VLOOKUP(O462,[1]Feuil2!$A:$M,6,FALSE)</f>
        <v>100</v>
      </c>
      <c r="X462" s="10">
        <f>VLOOKUP(O462,[1]Feuil2!$A:$M,13,FALSE)</f>
        <v>3.0477600000000004E-2</v>
      </c>
      <c r="Y462" s="11">
        <f t="shared" si="87"/>
        <v>0.60955200000000009</v>
      </c>
      <c r="Z462" s="83">
        <f t="shared" si="88"/>
        <v>1.2191040000000002</v>
      </c>
      <c r="AA462" s="347" t="s">
        <v>57</v>
      </c>
      <c r="AB462" s="22" t="s">
        <v>48</v>
      </c>
      <c r="AC462" s="348" t="s">
        <v>55</v>
      </c>
      <c r="AD462" s="13" t="s">
        <v>57</v>
      </c>
      <c r="AE462" s="14">
        <v>46041</v>
      </c>
      <c r="AF462" s="13" t="s">
        <v>847</v>
      </c>
      <c r="AG462" s="310" t="s">
        <v>48</v>
      </c>
      <c r="AH462" s="312" t="s">
        <v>48</v>
      </c>
      <c r="AI462" s="134">
        <v>46016</v>
      </c>
      <c r="AJ462" s="144">
        <f t="shared" si="89"/>
        <v>39</v>
      </c>
      <c r="AK462" s="85">
        <v>46055</v>
      </c>
      <c r="AL462" s="86">
        <v>46084</v>
      </c>
      <c r="AM462" s="18">
        <v>46096</v>
      </c>
      <c r="AN462" s="236" t="s">
        <v>82</v>
      </c>
      <c r="AO462" s="446" t="s">
        <v>934</v>
      </c>
      <c r="AP462" s="446" t="s">
        <v>935</v>
      </c>
      <c r="AQ462" s="446" t="s">
        <v>936</v>
      </c>
      <c r="AR462" s="446" t="s">
        <v>937</v>
      </c>
      <c r="AS462" s="446" t="s">
        <v>123</v>
      </c>
      <c r="AT462" s="84"/>
    </row>
    <row r="463" spans="2:46" s="72" customFormat="1" hidden="1" x14ac:dyDescent="0.25">
      <c r="B463" s="311" t="s">
        <v>45</v>
      </c>
      <c r="C463" s="146">
        <v>45933</v>
      </c>
      <c r="D463" s="147">
        <v>25097</v>
      </c>
      <c r="E463" s="323" t="s">
        <v>477</v>
      </c>
      <c r="F463" s="147">
        <v>2510011342</v>
      </c>
      <c r="G463" s="294" t="s">
        <v>74</v>
      </c>
      <c r="H463" s="294" t="s">
        <v>65</v>
      </c>
      <c r="I463" s="294" t="s">
        <v>49</v>
      </c>
      <c r="J463" s="294" t="s">
        <v>46</v>
      </c>
      <c r="K463" s="489" t="s">
        <v>68</v>
      </c>
      <c r="L463" s="238">
        <v>46072</v>
      </c>
      <c r="M463" s="380" t="e">
        <f t="shared" si="83"/>
        <v>#VALUE!</v>
      </c>
      <c r="N463" s="425" t="s">
        <v>62</v>
      </c>
      <c r="O463" s="78">
        <v>32100001</v>
      </c>
      <c r="P463" s="42" t="str">
        <f>VLOOKUP(O463,[1]Feuil2!$A:$M,5,FALSE)</f>
        <v>M16 OPALE ROUGE EN BOITE TB COLLECTION</v>
      </c>
      <c r="Q463" s="75">
        <v>1188</v>
      </c>
      <c r="R463" s="79">
        <v>6.84</v>
      </c>
      <c r="S463" s="80">
        <f t="shared" si="84"/>
        <v>8125.92</v>
      </c>
      <c r="T463" s="81">
        <f t="shared" si="85"/>
        <v>31559.759999999998</v>
      </c>
      <c r="U463" s="139"/>
      <c r="V463" s="82">
        <f t="shared" si="86"/>
        <v>31559.759999999998</v>
      </c>
      <c r="W463" s="9">
        <f>VLOOKUP(O463,[1]Feuil2!$A:$M,6,FALSE)</f>
        <v>6</v>
      </c>
      <c r="X463" s="10">
        <f>VLOOKUP(O463,[1]Feuil2!$A:$M,13,FALSE)</f>
        <v>2.5375999999999999E-2</v>
      </c>
      <c r="Y463" s="11">
        <f t="shared" si="87"/>
        <v>5.0244479999999996</v>
      </c>
      <c r="Z463" s="83">
        <f t="shared" si="88"/>
        <v>19.514144000000002</v>
      </c>
      <c r="AA463" s="12" t="s">
        <v>57</v>
      </c>
      <c r="AB463" s="22" t="s">
        <v>48</v>
      </c>
      <c r="AC463" s="426" t="s">
        <v>55</v>
      </c>
      <c r="AD463" s="13" t="s">
        <v>57</v>
      </c>
      <c r="AE463" s="14">
        <v>46052</v>
      </c>
      <c r="AF463" s="13" t="s">
        <v>939</v>
      </c>
      <c r="AG463" s="13"/>
      <c r="AH463" s="84"/>
      <c r="AI463" s="178">
        <v>46016</v>
      </c>
      <c r="AJ463" s="144">
        <f>DATEDIF(AI463,$AK$463,"D")</f>
        <v>56</v>
      </c>
      <c r="AK463" s="85">
        <f>VLOOKUP(AP463,'[2]CONTENEUR PLEIN'!$F:$L,3,FALSE)</f>
        <v>46072</v>
      </c>
      <c r="AL463" s="86">
        <f>VLOOKUP(AP463,'[2]CONTENEUR PLEIN'!$F:$L,5,FALSE)</f>
        <v>46112</v>
      </c>
      <c r="AM463" s="46" t="str">
        <f>VLOOKUP(AP463,'[2]CONTENEUR PLEIN'!$F:$L,7,FALSE)</f>
        <v>Estimée : 07-avril</v>
      </c>
      <c r="AN463" s="184" t="s">
        <v>63</v>
      </c>
      <c r="AO463" s="490" t="s">
        <v>971</v>
      </c>
      <c r="AP463" s="490" t="s">
        <v>972</v>
      </c>
      <c r="AQ463" s="490" t="s">
        <v>973</v>
      </c>
      <c r="AR463" s="75" t="str">
        <f>VLOOKUP(AP463,'[2]CONTENEUR PLEIN'!$F:$L,2,FALSE)</f>
        <v>CMA CGM ALEXANDER VON HUMBOLDT</v>
      </c>
      <c r="AS463" s="490" t="s">
        <v>316</v>
      </c>
      <c r="AT463" s="84"/>
    </row>
    <row r="464" spans="2:46" s="72" customFormat="1" hidden="1" x14ac:dyDescent="0.25">
      <c r="B464" s="311" t="s">
        <v>45</v>
      </c>
      <c r="C464" s="146">
        <v>45933</v>
      </c>
      <c r="D464" s="147">
        <v>25097</v>
      </c>
      <c r="E464" s="323" t="s">
        <v>477</v>
      </c>
      <c r="F464" s="147">
        <v>2510011342</v>
      </c>
      <c r="G464" s="294" t="s">
        <v>74</v>
      </c>
      <c r="H464" s="294" t="s">
        <v>65</v>
      </c>
      <c r="I464" s="294" t="s">
        <v>49</v>
      </c>
      <c r="J464" s="294" t="s">
        <v>46</v>
      </c>
      <c r="K464" s="489" t="s">
        <v>68</v>
      </c>
      <c r="L464" s="238">
        <v>46072</v>
      </c>
      <c r="M464" s="380" t="e">
        <f t="shared" si="83"/>
        <v>#VALUE!</v>
      </c>
      <c r="N464" s="425" t="s">
        <v>62</v>
      </c>
      <c r="O464" s="78">
        <v>32100002</v>
      </c>
      <c r="P464" s="42" t="str">
        <f>VLOOKUP(O464,[1]Feuil2!$A:$M,5,FALSE)</f>
        <v>M16 OPALE NOIR EN BOITE TB COLLECTION</v>
      </c>
      <c r="Q464" s="75">
        <v>1104</v>
      </c>
      <c r="R464" s="79">
        <v>6.84</v>
      </c>
      <c r="S464" s="80">
        <f t="shared" si="84"/>
        <v>7551.36</v>
      </c>
      <c r="T464" s="81">
        <f t="shared" si="85"/>
        <v>31559.759999999998</v>
      </c>
      <c r="U464" s="139"/>
      <c r="V464" s="82">
        <f t="shared" si="86"/>
        <v>31559.759999999998</v>
      </c>
      <c r="W464" s="9">
        <f>VLOOKUP(O464,[1]Feuil2!$A:$M,6,FALSE)</f>
        <v>6</v>
      </c>
      <c r="X464" s="10">
        <f>VLOOKUP(O464,[1]Feuil2!$A:$M,13,FALSE)</f>
        <v>2.5375999999999999E-2</v>
      </c>
      <c r="Y464" s="11">
        <f t="shared" si="87"/>
        <v>4.6691839999999996</v>
      </c>
      <c r="Z464" s="83">
        <f t="shared" si="88"/>
        <v>19.514144000000002</v>
      </c>
      <c r="AA464" s="12" t="s">
        <v>57</v>
      </c>
      <c r="AB464" s="22" t="s">
        <v>48</v>
      </c>
      <c r="AC464" s="426" t="s">
        <v>55</v>
      </c>
      <c r="AD464" s="13" t="s">
        <v>57</v>
      </c>
      <c r="AE464" s="14">
        <v>46053</v>
      </c>
      <c r="AF464" s="13" t="s">
        <v>940</v>
      </c>
      <c r="AG464" s="13"/>
      <c r="AH464" s="84"/>
      <c r="AI464" s="178">
        <v>46016</v>
      </c>
      <c r="AJ464" s="144">
        <f>DATEDIF(AI464,$AK$463,"D")</f>
        <v>56</v>
      </c>
      <c r="AK464" s="85">
        <f>VLOOKUP(AP464,'[2]CONTENEUR PLEIN'!$F:$L,3,FALSE)</f>
        <v>46072</v>
      </c>
      <c r="AL464" s="86">
        <f>VLOOKUP(AP464,'[2]CONTENEUR PLEIN'!$F:$L,5,FALSE)</f>
        <v>46112</v>
      </c>
      <c r="AM464" s="46" t="str">
        <f>VLOOKUP(AP464,'[2]CONTENEUR PLEIN'!$F:$L,7,FALSE)</f>
        <v>Estimée : 07-avril</v>
      </c>
      <c r="AN464" s="184" t="s">
        <v>63</v>
      </c>
      <c r="AO464" s="490" t="s">
        <v>971</v>
      </c>
      <c r="AP464" s="490" t="s">
        <v>972</v>
      </c>
      <c r="AQ464" s="490" t="s">
        <v>973</v>
      </c>
      <c r="AR464" s="75" t="str">
        <f>VLOOKUP(AP464,'[2]CONTENEUR PLEIN'!$F:$L,2,FALSE)</f>
        <v>CMA CGM ALEXANDER VON HUMBOLDT</v>
      </c>
      <c r="AS464" s="490" t="s">
        <v>316</v>
      </c>
      <c r="AT464" s="84"/>
    </row>
    <row r="465" spans="2:46" s="72" customFormat="1" hidden="1" x14ac:dyDescent="0.25">
      <c r="B465" s="311" t="s">
        <v>45</v>
      </c>
      <c r="C465" s="146">
        <v>45933</v>
      </c>
      <c r="D465" s="147">
        <v>25097</v>
      </c>
      <c r="E465" s="323" t="s">
        <v>477</v>
      </c>
      <c r="F465" s="147">
        <v>2510011342</v>
      </c>
      <c r="G465" s="294" t="s">
        <v>74</v>
      </c>
      <c r="H465" s="294" t="s">
        <v>65</v>
      </c>
      <c r="I465" s="294" t="s">
        <v>49</v>
      </c>
      <c r="J465" s="294" t="s">
        <v>46</v>
      </c>
      <c r="K465" s="489" t="s">
        <v>68</v>
      </c>
      <c r="L465" s="238">
        <v>46072</v>
      </c>
      <c r="M465" s="380" t="e">
        <f t="shared" si="83"/>
        <v>#VALUE!</v>
      </c>
      <c r="N465" s="425" t="s">
        <v>62</v>
      </c>
      <c r="O465" s="78">
        <v>32100003</v>
      </c>
      <c r="P465" s="42" t="str">
        <f>VLOOKUP(O465,[1]Feuil2!$A:$M,5,FALSE)</f>
        <v>M16 OPALE BLEU EN BOITE TB COLLECTION</v>
      </c>
      <c r="Q465" s="75">
        <v>1200</v>
      </c>
      <c r="R465" s="79">
        <v>6.84</v>
      </c>
      <c r="S465" s="80">
        <f t="shared" si="84"/>
        <v>8208</v>
      </c>
      <c r="T465" s="81">
        <f t="shared" si="85"/>
        <v>31559.759999999998</v>
      </c>
      <c r="U465" s="139"/>
      <c r="V465" s="82">
        <f t="shared" si="86"/>
        <v>31559.759999999998</v>
      </c>
      <c r="W465" s="9">
        <f>VLOOKUP(O465,[1]Feuil2!$A:$M,6,FALSE)</f>
        <v>6</v>
      </c>
      <c r="X465" s="10">
        <f>VLOOKUP(O465,[1]Feuil2!$A:$M,13,FALSE)</f>
        <v>2.5375999999999999E-2</v>
      </c>
      <c r="Y465" s="11">
        <f t="shared" si="87"/>
        <v>5.0751999999999997</v>
      </c>
      <c r="Z465" s="83">
        <f t="shared" si="88"/>
        <v>19.514144000000002</v>
      </c>
      <c r="AA465" s="12" t="s">
        <v>57</v>
      </c>
      <c r="AB465" s="22" t="s">
        <v>48</v>
      </c>
      <c r="AC465" s="426" t="s">
        <v>55</v>
      </c>
      <c r="AD465" s="13" t="s">
        <v>57</v>
      </c>
      <c r="AE465" s="14">
        <v>46052</v>
      </c>
      <c r="AF465" s="437" t="s">
        <v>941</v>
      </c>
      <c r="AG465" s="13"/>
      <c r="AH465" s="84"/>
      <c r="AI465" s="178">
        <v>46016</v>
      </c>
      <c r="AJ465" s="144">
        <f>DATEDIF(AI465,$AK$463,"D")</f>
        <v>56</v>
      </c>
      <c r="AK465" s="85">
        <f>VLOOKUP(AP465,'[2]CONTENEUR PLEIN'!$F:$L,3,FALSE)</f>
        <v>46072</v>
      </c>
      <c r="AL465" s="86">
        <f>VLOOKUP(AP465,'[2]CONTENEUR PLEIN'!$F:$L,5,FALSE)</f>
        <v>46112</v>
      </c>
      <c r="AM465" s="46" t="str">
        <f>VLOOKUP(AP465,'[2]CONTENEUR PLEIN'!$F:$L,7,FALSE)</f>
        <v>Estimée : 07-avril</v>
      </c>
      <c r="AN465" s="184" t="s">
        <v>63</v>
      </c>
      <c r="AO465" s="490" t="s">
        <v>971</v>
      </c>
      <c r="AP465" s="490" t="s">
        <v>972</v>
      </c>
      <c r="AQ465" s="490" t="s">
        <v>973</v>
      </c>
      <c r="AR465" s="75" t="str">
        <f>VLOOKUP(AP465,'[2]CONTENEUR PLEIN'!$F:$L,2,FALSE)</f>
        <v>CMA CGM ALEXANDER VON HUMBOLDT</v>
      </c>
      <c r="AS465" s="490" t="s">
        <v>316</v>
      </c>
      <c r="AT465" s="84"/>
    </row>
    <row r="466" spans="2:46" s="72" customFormat="1" hidden="1" x14ac:dyDescent="0.25">
      <c r="B466" s="311" t="s">
        <v>45</v>
      </c>
      <c r="C466" s="146">
        <v>45933</v>
      </c>
      <c r="D466" s="147">
        <v>25097</v>
      </c>
      <c r="E466" s="323" t="s">
        <v>477</v>
      </c>
      <c r="F466" s="147">
        <v>2510011342</v>
      </c>
      <c r="G466" s="294" t="s">
        <v>74</v>
      </c>
      <c r="H466" s="294" t="s">
        <v>65</v>
      </c>
      <c r="I466" s="294" t="s">
        <v>49</v>
      </c>
      <c r="J466" s="294" t="s">
        <v>46</v>
      </c>
      <c r="K466" s="489" t="s">
        <v>68</v>
      </c>
      <c r="L466" s="238">
        <v>46072</v>
      </c>
      <c r="M466" s="380" t="e">
        <f t="shared" si="83"/>
        <v>#VALUE!</v>
      </c>
      <c r="N466" s="425" t="s">
        <v>62</v>
      </c>
      <c r="O466" s="78">
        <v>32100004</v>
      </c>
      <c r="P466" s="42" t="str">
        <f>VLOOKUP(O466,[1]Feuil2!$A:$M,5,FALSE)</f>
        <v>M16 OPALE MARRON EN BOITE TB COLLECTION</v>
      </c>
      <c r="Q466" s="75">
        <v>1122</v>
      </c>
      <c r="R466" s="79">
        <v>6.84</v>
      </c>
      <c r="S466" s="80">
        <f t="shared" si="84"/>
        <v>7674.48</v>
      </c>
      <c r="T466" s="81">
        <f t="shared" si="85"/>
        <v>31559.759999999998</v>
      </c>
      <c r="U466" s="139"/>
      <c r="V466" s="82">
        <f t="shared" si="86"/>
        <v>31559.759999999998</v>
      </c>
      <c r="W466" s="9">
        <f>VLOOKUP(O466,[1]Feuil2!$A:$M,6,FALSE)</f>
        <v>6</v>
      </c>
      <c r="X466" s="10">
        <f>VLOOKUP(O466,[1]Feuil2!$A:$M,13,FALSE)</f>
        <v>2.5375999999999999E-2</v>
      </c>
      <c r="Y466" s="11">
        <f t="shared" si="87"/>
        <v>4.7453120000000002</v>
      </c>
      <c r="Z466" s="83">
        <f t="shared" si="88"/>
        <v>19.514144000000002</v>
      </c>
      <c r="AA466" s="12" t="s">
        <v>57</v>
      </c>
      <c r="AB466" s="22" t="s">
        <v>48</v>
      </c>
      <c r="AC466" s="426" t="s">
        <v>55</v>
      </c>
      <c r="AD466" s="13" t="s">
        <v>57</v>
      </c>
      <c r="AE466" s="14">
        <v>46053</v>
      </c>
      <c r="AF466" s="437" t="s">
        <v>942</v>
      </c>
      <c r="AG466" s="13"/>
      <c r="AH466" s="84"/>
      <c r="AI466" s="178">
        <v>46016</v>
      </c>
      <c r="AJ466" s="144">
        <f>DATEDIF(AI466,$AK$463,"D")</f>
        <v>56</v>
      </c>
      <c r="AK466" s="85">
        <f>VLOOKUP(AP466,'[2]CONTENEUR PLEIN'!$F:$L,3,FALSE)</f>
        <v>46072</v>
      </c>
      <c r="AL466" s="86">
        <f>VLOOKUP(AP466,'[2]CONTENEUR PLEIN'!$F:$L,5,FALSE)</f>
        <v>46112</v>
      </c>
      <c r="AM466" s="46" t="str">
        <f>VLOOKUP(AP466,'[2]CONTENEUR PLEIN'!$F:$L,7,FALSE)</f>
        <v>Estimée : 07-avril</v>
      </c>
      <c r="AN466" s="184" t="s">
        <v>63</v>
      </c>
      <c r="AO466" s="490" t="s">
        <v>971</v>
      </c>
      <c r="AP466" s="490" t="s">
        <v>972</v>
      </c>
      <c r="AQ466" s="490" t="s">
        <v>973</v>
      </c>
      <c r="AR466" s="75" t="str">
        <f>VLOOKUP(AP466,'[2]CONTENEUR PLEIN'!$F:$L,2,FALSE)</f>
        <v>CMA CGM ALEXANDER VON HUMBOLDT</v>
      </c>
      <c r="AS466" s="490" t="s">
        <v>316</v>
      </c>
      <c r="AT466" s="84"/>
    </row>
    <row r="467" spans="2:46" s="72" customFormat="1" hidden="1" x14ac:dyDescent="0.25">
      <c r="B467" s="498" t="s">
        <v>45</v>
      </c>
      <c r="C467" s="89">
        <v>45933</v>
      </c>
      <c r="D467" s="90">
        <v>25092</v>
      </c>
      <c r="E467" s="516" t="s">
        <v>481</v>
      </c>
      <c r="F467" s="90">
        <v>2509291441</v>
      </c>
      <c r="G467" s="239" t="s">
        <v>74</v>
      </c>
      <c r="H467" s="239" t="s">
        <v>82</v>
      </c>
      <c r="I467" s="239" t="s">
        <v>49</v>
      </c>
      <c r="J467" s="239" t="s">
        <v>46</v>
      </c>
      <c r="K467" s="8" t="s">
        <v>1049</v>
      </c>
      <c r="L467" s="238">
        <v>46048</v>
      </c>
      <c r="M467" s="381">
        <f t="shared" si="83"/>
        <v>4</v>
      </c>
      <c r="N467" s="98" t="s">
        <v>62</v>
      </c>
      <c r="O467" s="92">
        <v>30110004</v>
      </c>
      <c r="P467" s="24" t="str">
        <f>VLOOKUP(O467,[1]Feuil2!$A:$M,5,FALSE)</f>
        <v>LAG HERITAGE M24 NOIR ABS POLYFLAME</v>
      </c>
      <c r="Q467" s="90">
        <v>1200</v>
      </c>
      <c r="R467" s="93">
        <v>6.56</v>
      </c>
      <c r="S467" s="94">
        <f t="shared" si="84"/>
        <v>7871.9999999999991</v>
      </c>
      <c r="T467" s="95">
        <f t="shared" si="85"/>
        <v>22092</v>
      </c>
      <c r="U467" s="138"/>
      <c r="V467" s="96">
        <f t="shared" si="86"/>
        <v>22092</v>
      </c>
      <c r="W467" s="4">
        <f>VLOOKUP(O467,[1]Feuil2!$A:$M,6,FALSE)</f>
        <v>6</v>
      </c>
      <c r="X467" s="5">
        <f>VLOOKUP(O467,[1]Feuil2!$A:$M,13,FALSE)</f>
        <v>2.3789999999999999E-2</v>
      </c>
      <c r="Y467" s="6">
        <f t="shared" si="87"/>
        <v>4.758</v>
      </c>
      <c r="Z467" s="97">
        <f t="shared" si="88"/>
        <v>11.650400000000001</v>
      </c>
      <c r="AA467" s="69" t="s">
        <v>57</v>
      </c>
      <c r="AB467" s="67" t="s">
        <v>48</v>
      </c>
      <c r="AC467" s="90"/>
      <c r="AD467" s="133" t="s">
        <v>61</v>
      </c>
      <c r="AE467" s="20">
        <v>46028</v>
      </c>
      <c r="AF467" s="21" t="s">
        <v>815</v>
      </c>
      <c r="AG467" s="432" t="s">
        <v>48</v>
      </c>
      <c r="AH467" s="433" t="s">
        <v>48</v>
      </c>
      <c r="AI467" s="135">
        <v>46016</v>
      </c>
      <c r="AJ467" s="145">
        <f>DATEDIF(AI467,AK467,"D")</f>
        <v>27</v>
      </c>
      <c r="AK467" s="100">
        <v>46043</v>
      </c>
      <c r="AL467" s="606">
        <v>46073</v>
      </c>
      <c r="AM467" s="18">
        <v>46081</v>
      </c>
      <c r="AN467" s="239" t="s">
        <v>82</v>
      </c>
      <c r="AO467" s="349" t="s">
        <v>857</v>
      </c>
      <c r="AP467" s="349" t="s">
        <v>858</v>
      </c>
      <c r="AQ467" s="349" t="s">
        <v>859</v>
      </c>
      <c r="AR467" s="349" t="s">
        <v>860</v>
      </c>
      <c r="AS467" s="349" t="s">
        <v>123</v>
      </c>
      <c r="AT467" s="98"/>
    </row>
    <row r="468" spans="2:46" s="72" customFormat="1" hidden="1" x14ac:dyDescent="0.25">
      <c r="B468" s="498" t="s">
        <v>45</v>
      </c>
      <c r="C468" s="89">
        <v>45933</v>
      </c>
      <c r="D468" s="90">
        <v>25092</v>
      </c>
      <c r="E468" s="516" t="s">
        <v>481</v>
      </c>
      <c r="F468" s="90">
        <v>2509291441</v>
      </c>
      <c r="G468" s="239" t="s">
        <v>74</v>
      </c>
      <c r="H468" s="239" t="s">
        <v>82</v>
      </c>
      <c r="I468" s="239" t="s">
        <v>49</v>
      </c>
      <c r="J468" s="239" t="s">
        <v>46</v>
      </c>
      <c r="K468" s="8" t="s">
        <v>1049</v>
      </c>
      <c r="L468" s="238">
        <v>46048</v>
      </c>
      <c r="M468" s="381">
        <f t="shared" si="83"/>
        <v>4</v>
      </c>
      <c r="N468" s="98" t="s">
        <v>62</v>
      </c>
      <c r="O468" s="92">
        <v>30110005</v>
      </c>
      <c r="P468" s="24" t="str">
        <f>VLOOKUP(O468,[1]Feuil2!$A:$M,5,FALSE)</f>
        <v>LAG HERITAGE M24 COULEUR ABS POLYFLAME</v>
      </c>
      <c r="Q468" s="90">
        <v>1200</v>
      </c>
      <c r="R468" s="93">
        <v>6.65</v>
      </c>
      <c r="S468" s="94">
        <f t="shared" si="84"/>
        <v>7980</v>
      </c>
      <c r="T468" s="95">
        <f t="shared" si="85"/>
        <v>22092</v>
      </c>
      <c r="U468" s="138"/>
      <c r="V468" s="96">
        <f t="shared" si="86"/>
        <v>22092</v>
      </c>
      <c r="W468" s="4">
        <f>VLOOKUP(O468,[1]Feuil2!$A:$M,6,FALSE)</f>
        <v>6</v>
      </c>
      <c r="X468" s="5">
        <f>VLOOKUP(O468,[1]Feuil2!$A:$M,13,FALSE)</f>
        <v>2.3789999999999999E-2</v>
      </c>
      <c r="Y468" s="6">
        <f t="shared" si="87"/>
        <v>4.758</v>
      </c>
      <c r="Z468" s="97">
        <f t="shared" si="88"/>
        <v>11.650400000000001</v>
      </c>
      <c r="AA468" s="69" t="s">
        <v>57</v>
      </c>
      <c r="AB468" s="67" t="s">
        <v>48</v>
      </c>
      <c r="AC468" s="90"/>
      <c r="AD468" s="133" t="s">
        <v>61</v>
      </c>
      <c r="AE468" s="20">
        <v>46028</v>
      </c>
      <c r="AF468" s="21" t="s">
        <v>814</v>
      </c>
      <c r="AG468" s="432" t="s">
        <v>48</v>
      </c>
      <c r="AH468" s="433" t="s">
        <v>48</v>
      </c>
      <c r="AI468" s="135">
        <v>46016</v>
      </c>
      <c r="AJ468" s="145">
        <f>DATEDIF(AI468,AK468,"D")</f>
        <v>27</v>
      </c>
      <c r="AK468" s="100">
        <v>46043</v>
      </c>
      <c r="AL468" s="606">
        <v>46073</v>
      </c>
      <c r="AM468" s="18">
        <v>46081</v>
      </c>
      <c r="AN468" s="239" t="s">
        <v>82</v>
      </c>
      <c r="AO468" s="349" t="s">
        <v>857</v>
      </c>
      <c r="AP468" s="349" t="s">
        <v>858</v>
      </c>
      <c r="AQ468" s="349" t="s">
        <v>859</v>
      </c>
      <c r="AR468" s="349" t="s">
        <v>860</v>
      </c>
      <c r="AS468" s="349" t="s">
        <v>123</v>
      </c>
      <c r="AT468" s="98"/>
    </row>
    <row r="469" spans="2:46" s="72" customFormat="1" hidden="1" x14ac:dyDescent="0.25">
      <c r="B469" s="498" t="s">
        <v>45</v>
      </c>
      <c r="C469" s="89">
        <v>45933</v>
      </c>
      <c r="D469" s="90">
        <v>25094</v>
      </c>
      <c r="E469" s="516" t="s">
        <v>479</v>
      </c>
      <c r="F469" s="90">
        <v>2510020934</v>
      </c>
      <c r="G469" s="239" t="s">
        <v>83</v>
      </c>
      <c r="H469" s="239" t="s">
        <v>82</v>
      </c>
      <c r="I469" s="518">
        <v>1950</v>
      </c>
      <c r="J469" s="239" t="s">
        <v>46</v>
      </c>
      <c r="K469" s="8" t="s">
        <v>997</v>
      </c>
      <c r="L469" s="128">
        <v>46041</v>
      </c>
      <c r="M469" s="381">
        <f t="shared" si="83"/>
        <v>4</v>
      </c>
      <c r="N469" s="98" t="s">
        <v>62</v>
      </c>
      <c r="O469" s="92">
        <v>10110026</v>
      </c>
      <c r="P469" s="24" t="str">
        <f>VLOOKUP(O469,[1]Feuil2!$A:$M,5,FALSE)</f>
        <v>LAG HERITAGE COUTEAU PLIANT EN BOIS ZEBRA POLYFLAME</v>
      </c>
      <c r="Q469" s="90">
        <v>1000</v>
      </c>
      <c r="R469" s="93">
        <v>3.62</v>
      </c>
      <c r="S469" s="94">
        <f t="shared" si="84"/>
        <v>3620</v>
      </c>
      <c r="T469" s="95">
        <f t="shared" si="85"/>
        <v>6500</v>
      </c>
      <c r="U469" s="138"/>
      <c r="V469" s="96">
        <f t="shared" si="86"/>
        <v>6500</v>
      </c>
      <c r="W469" s="4">
        <f>VLOOKUP(O469,[1]Feuil2!$A:$M,6,FALSE)</f>
        <v>100</v>
      </c>
      <c r="X469" s="5">
        <f>VLOOKUP(O469,[1]Feuil2!$A:$M,13,FALSE)</f>
        <v>3.5862749999999999E-2</v>
      </c>
      <c r="Y469" s="6">
        <f t="shared" si="87"/>
        <v>0.35862749999999999</v>
      </c>
      <c r="Z469" s="97">
        <f t="shared" si="88"/>
        <v>0.66340350000000003</v>
      </c>
      <c r="AA469" s="69" t="s">
        <v>57</v>
      </c>
      <c r="AB469" s="67" t="s">
        <v>48</v>
      </c>
      <c r="AC469" s="90"/>
      <c r="AD469" s="133" t="s">
        <v>61</v>
      </c>
      <c r="AE469" s="20">
        <v>46007</v>
      </c>
      <c r="AF469" s="21"/>
      <c r="AG469" s="432" t="s">
        <v>48</v>
      </c>
      <c r="AH469" s="433" t="s">
        <v>48</v>
      </c>
      <c r="AI469" s="135">
        <v>46016</v>
      </c>
      <c r="AJ469" s="145">
        <f>DATEDIF(AI469,AK469,"D")</f>
        <v>13</v>
      </c>
      <c r="AK469" s="100">
        <v>46029</v>
      </c>
      <c r="AL469" s="99">
        <v>46061</v>
      </c>
      <c r="AM469" s="18">
        <v>46071</v>
      </c>
      <c r="AN469" s="239" t="s">
        <v>82</v>
      </c>
      <c r="AO469" s="515" t="s">
        <v>776</v>
      </c>
      <c r="AP469" s="515" t="s">
        <v>777</v>
      </c>
      <c r="AQ469" s="515" t="s">
        <v>778</v>
      </c>
      <c r="AR469" s="515" t="s">
        <v>779</v>
      </c>
      <c r="AS469" s="515" t="s">
        <v>123</v>
      </c>
      <c r="AT469" s="98"/>
    </row>
    <row r="470" spans="2:46" s="72" customFormat="1" hidden="1" x14ac:dyDescent="0.25">
      <c r="B470" s="498" t="s">
        <v>45</v>
      </c>
      <c r="C470" s="89">
        <v>45933</v>
      </c>
      <c r="D470" s="90">
        <v>25094</v>
      </c>
      <c r="E470" s="516" t="s">
        <v>479</v>
      </c>
      <c r="F470" s="90">
        <v>2510020934</v>
      </c>
      <c r="G470" s="239" t="s">
        <v>83</v>
      </c>
      <c r="H470" s="239" t="s">
        <v>82</v>
      </c>
      <c r="I470" s="518">
        <v>1950</v>
      </c>
      <c r="J470" s="239" t="s">
        <v>46</v>
      </c>
      <c r="K470" s="8" t="s">
        <v>997</v>
      </c>
      <c r="L470" s="128">
        <v>46041</v>
      </c>
      <c r="M470" s="381">
        <f t="shared" si="83"/>
        <v>4</v>
      </c>
      <c r="N470" s="98" t="s">
        <v>62</v>
      </c>
      <c r="O470" s="92">
        <v>10110027</v>
      </c>
      <c r="P470" s="24" t="str">
        <f>VLOOKUP(O470,[1]Feuil2!$A:$M,5,FALSE)</f>
        <v>LAG HERITAGE COUTEAU PLIANT ARABESQUE POLYFLAME</v>
      </c>
      <c r="Q470" s="90">
        <v>1000</v>
      </c>
      <c r="R470" s="93">
        <v>2.88</v>
      </c>
      <c r="S470" s="94">
        <f t="shared" si="84"/>
        <v>2880</v>
      </c>
      <c r="T470" s="95">
        <f t="shared" si="85"/>
        <v>6500</v>
      </c>
      <c r="U470" s="138"/>
      <c r="V470" s="96">
        <f t="shared" si="86"/>
        <v>6500</v>
      </c>
      <c r="W470" s="4">
        <f>VLOOKUP(O470,[1]Feuil2!$A:$M,6,FALSE)</f>
        <v>100</v>
      </c>
      <c r="X470" s="5">
        <f>VLOOKUP(O470,[1]Feuil2!$A:$M,13,FALSE)</f>
        <v>3.0477600000000004E-2</v>
      </c>
      <c r="Y470" s="6">
        <f t="shared" si="87"/>
        <v>0.30477600000000005</v>
      </c>
      <c r="Z470" s="97">
        <f t="shared" si="88"/>
        <v>0.66340350000000003</v>
      </c>
      <c r="AA470" s="69" t="s">
        <v>57</v>
      </c>
      <c r="AB470" s="67" t="s">
        <v>48</v>
      </c>
      <c r="AC470" s="90"/>
      <c r="AD470" s="133" t="s">
        <v>61</v>
      </c>
      <c r="AE470" s="20">
        <v>46007</v>
      </c>
      <c r="AF470" s="21"/>
      <c r="AG470" s="432" t="s">
        <v>48</v>
      </c>
      <c r="AH470" s="433" t="s">
        <v>48</v>
      </c>
      <c r="AI470" s="135">
        <v>46016</v>
      </c>
      <c r="AJ470" s="145">
        <f>DATEDIF(AI470,AK470,"D")</f>
        <v>13</v>
      </c>
      <c r="AK470" s="100">
        <v>46029</v>
      </c>
      <c r="AL470" s="99">
        <v>46061</v>
      </c>
      <c r="AM470" s="18">
        <v>46071</v>
      </c>
      <c r="AN470" s="239" t="s">
        <v>82</v>
      </c>
      <c r="AO470" s="515" t="s">
        <v>776</v>
      </c>
      <c r="AP470" s="515" t="s">
        <v>777</v>
      </c>
      <c r="AQ470" s="515" t="s">
        <v>778</v>
      </c>
      <c r="AR470" s="515" t="s">
        <v>779</v>
      </c>
      <c r="AS470" s="515" t="s">
        <v>123</v>
      </c>
      <c r="AT470" s="98"/>
    </row>
    <row r="471" spans="2:46" s="72" customFormat="1" hidden="1" x14ac:dyDescent="0.25">
      <c r="B471" s="498" t="s">
        <v>45</v>
      </c>
      <c r="C471" s="89">
        <v>45933</v>
      </c>
      <c r="D471" s="90">
        <v>25096</v>
      </c>
      <c r="E471" s="516" t="s">
        <v>478</v>
      </c>
      <c r="F471" s="90">
        <v>2510020936</v>
      </c>
      <c r="G471" s="239" t="s">
        <v>74</v>
      </c>
      <c r="H471" s="239" t="s">
        <v>82</v>
      </c>
      <c r="I471" s="239" t="s">
        <v>49</v>
      </c>
      <c r="J471" s="239" t="s">
        <v>46</v>
      </c>
      <c r="K471" s="8" t="s">
        <v>1049</v>
      </c>
      <c r="L471" s="238">
        <v>46048</v>
      </c>
      <c r="M471" s="381">
        <f t="shared" si="83"/>
        <v>4</v>
      </c>
      <c r="N471" s="98" t="s">
        <v>62</v>
      </c>
      <c r="O471" s="92">
        <v>10110030</v>
      </c>
      <c r="P471" s="24" t="str">
        <f>VLOOKUP(O471,[1]Feuil2!$A:$M,5,FALSE)</f>
        <v>LAG HERITAGE COFFRET 6PCS TOUT INOX POLYFLAME</v>
      </c>
      <c r="Q471" s="90">
        <v>2004</v>
      </c>
      <c r="R471" s="93">
        <v>2.2999999999999998</v>
      </c>
      <c r="S471" s="94">
        <f t="shared" si="84"/>
        <v>4609.2</v>
      </c>
      <c r="T471" s="95">
        <f t="shared" si="85"/>
        <v>4609.2</v>
      </c>
      <c r="U471" s="138"/>
      <c r="V471" s="96">
        <f t="shared" si="86"/>
        <v>4609.2</v>
      </c>
      <c r="W471" s="4">
        <f>VLOOKUP(O471,[1]Feuil2!$A:$M,6,FALSE)</f>
        <v>6</v>
      </c>
      <c r="X471" s="5">
        <f>VLOOKUP(O471,[1]Feuil2!$A:$M,13,FALSE)</f>
        <v>0</v>
      </c>
      <c r="Y471" s="6">
        <f t="shared" si="87"/>
        <v>0</v>
      </c>
      <c r="Z471" s="97">
        <f t="shared" si="88"/>
        <v>0</v>
      </c>
      <c r="AA471" s="69" t="s">
        <v>57</v>
      </c>
      <c r="AB471" s="67" t="s">
        <v>48</v>
      </c>
      <c r="AC471" s="322" t="s">
        <v>55</v>
      </c>
      <c r="AD471" s="21" t="s">
        <v>57</v>
      </c>
      <c r="AE471" s="20">
        <v>46014</v>
      </c>
      <c r="AF471" s="47" t="s">
        <v>774</v>
      </c>
      <c r="AG471" s="432" t="s">
        <v>48</v>
      </c>
      <c r="AH471" s="433" t="s">
        <v>48</v>
      </c>
      <c r="AI471" s="135">
        <v>46016</v>
      </c>
      <c r="AJ471" s="145">
        <f>DATEDIF(AI471,AK471,"D")</f>
        <v>27</v>
      </c>
      <c r="AK471" s="100">
        <v>46043</v>
      </c>
      <c r="AL471" s="99">
        <v>46073</v>
      </c>
      <c r="AM471" s="18">
        <v>46081</v>
      </c>
      <c r="AN471" s="239" t="s">
        <v>82</v>
      </c>
      <c r="AO471" s="349" t="s">
        <v>857</v>
      </c>
      <c r="AP471" s="349" t="s">
        <v>858</v>
      </c>
      <c r="AQ471" s="349" t="s">
        <v>861</v>
      </c>
      <c r="AR471" s="349" t="s">
        <v>860</v>
      </c>
      <c r="AS471" s="349" t="s">
        <v>123</v>
      </c>
      <c r="AT471" s="98"/>
    </row>
    <row r="472" spans="2:46" s="72" customFormat="1" hidden="1" x14ac:dyDescent="0.25">
      <c r="B472" s="498" t="s">
        <v>45</v>
      </c>
      <c r="C472" s="89">
        <v>45933</v>
      </c>
      <c r="D472" s="90">
        <v>25091</v>
      </c>
      <c r="E472" s="516" t="s">
        <v>483</v>
      </c>
      <c r="F472" s="90">
        <v>2510021113</v>
      </c>
      <c r="G472" s="239" t="s">
        <v>74</v>
      </c>
      <c r="H472" s="239" t="s">
        <v>484</v>
      </c>
      <c r="I472" s="239" t="s">
        <v>49</v>
      </c>
      <c r="J472" s="8" t="s">
        <v>66</v>
      </c>
      <c r="K472" s="8" t="s">
        <v>997</v>
      </c>
      <c r="L472" s="128">
        <v>46048</v>
      </c>
      <c r="M472" s="381">
        <f t="shared" ref="M472:M521" si="90">DATEDIF(C472,AM472,"M")</f>
        <v>4</v>
      </c>
      <c r="N472" s="98" t="s">
        <v>62</v>
      </c>
      <c r="O472" s="92">
        <v>22080001</v>
      </c>
      <c r="P472" s="24" t="str">
        <f>VLOOKUP(O472,[1]Feuil2!$A:$M,5,FALSE)</f>
        <v>M48 ESQUISSE INOX TB COLLECTION EN MALLETTE</v>
      </c>
      <c r="Q472" s="90">
        <v>515</v>
      </c>
      <c r="R472" s="93">
        <v>10.35</v>
      </c>
      <c r="S472" s="94">
        <f t="shared" ref="S472:S518" si="91">Q472*R472</f>
        <v>5330.25</v>
      </c>
      <c r="T472" s="95">
        <f t="shared" si="75"/>
        <v>10015.601999999999</v>
      </c>
      <c r="U472" s="138"/>
      <c r="V472" s="96">
        <f t="shared" ref="V472:V518" si="92">U472+T472</f>
        <v>10015.601999999999</v>
      </c>
      <c r="W472" s="4">
        <f>VLOOKUP(O472,[1]Feuil2!$A:$M,6,FALSE)</f>
        <v>5</v>
      </c>
      <c r="X472" s="5">
        <f>VLOOKUP(O472,[1]Feuil2!$A:$M,13,FALSE)</f>
        <v>4.2274749999999993E-2</v>
      </c>
      <c r="Y472" s="6">
        <f t="shared" ref="Y472:Y531" si="93">(Q472/W472)*X472</f>
        <v>4.3542992499999995</v>
      </c>
      <c r="Z472" s="97">
        <f t="shared" si="82"/>
        <v>9.5261222500000002</v>
      </c>
      <c r="AA472" s="69" t="s">
        <v>57</v>
      </c>
      <c r="AB472" s="67" t="s">
        <v>48</v>
      </c>
      <c r="AC472" s="90"/>
      <c r="AD472" s="133" t="s">
        <v>61</v>
      </c>
      <c r="AE472" s="20">
        <v>46013</v>
      </c>
      <c r="AF472" s="21" t="s">
        <v>853</v>
      </c>
      <c r="AG472" s="21"/>
      <c r="AH472" s="98"/>
      <c r="AI472" s="485">
        <v>46016</v>
      </c>
      <c r="AJ472" s="145">
        <f t="shared" ref="AJ472:AJ512" si="94">DATEDIF(AI472,AK472,"D")</f>
        <v>6</v>
      </c>
      <c r="AK472" s="100">
        <f>VLOOKUP(AP472,'[2]CONTENEUR PLEIN'!$F:$L,3,FALSE)</f>
        <v>46022</v>
      </c>
      <c r="AL472" s="99">
        <f>VLOOKUP(AP472,'[2]CONTENEUR PLEIN'!$F:$L,5,FALSE)</f>
        <v>46066</v>
      </c>
      <c r="AM472" s="18">
        <f>VLOOKUP(AP472,'[2]CONTENEUR PLEIN'!$F:$L,7,FALSE)</f>
        <v>46071.333333333336</v>
      </c>
      <c r="AN472" s="191" t="s">
        <v>63</v>
      </c>
      <c r="AO472" s="514" t="s">
        <v>782</v>
      </c>
      <c r="AP472" s="514" t="s">
        <v>783</v>
      </c>
      <c r="AQ472" s="514" t="s">
        <v>793</v>
      </c>
      <c r="AR472" s="90" t="str">
        <f>VLOOKUP(AP472,'[2]CONTENEUR PLEIN'!$F:$L,2,FALSE)</f>
        <v>CMA CGM GREENLAND</v>
      </c>
      <c r="AS472" s="514" t="s">
        <v>316</v>
      </c>
      <c r="AT472" s="98"/>
    </row>
    <row r="473" spans="2:46" s="72" customFormat="1" hidden="1" x14ac:dyDescent="0.25">
      <c r="B473" s="498" t="s">
        <v>45</v>
      </c>
      <c r="C473" s="89">
        <v>45933</v>
      </c>
      <c r="D473" s="90">
        <v>25091</v>
      </c>
      <c r="E473" s="516" t="s">
        <v>483</v>
      </c>
      <c r="F473" s="90">
        <v>2510021113</v>
      </c>
      <c r="G473" s="239" t="s">
        <v>74</v>
      </c>
      <c r="H473" s="239" t="s">
        <v>484</v>
      </c>
      <c r="I473" s="239" t="s">
        <v>49</v>
      </c>
      <c r="J473" s="8" t="s">
        <v>66</v>
      </c>
      <c r="K473" s="8" t="s">
        <v>997</v>
      </c>
      <c r="L473" s="128">
        <v>46048</v>
      </c>
      <c r="M473" s="381">
        <f t="shared" si="90"/>
        <v>4</v>
      </c>
      <c r="N473" s="98" t="s">
        <v>62</v>
      </c>
      <c r="O473" s="92">
        <v>30020307</v>
      </c>
      <c r="P473" s="24" t="str">
        <f>VLOOKUP(O473,[1]Feuil2!$A:$M,5,FALSE)</f>
        <v>M16 ACIDULE BEE VERT OLIVE 5763C BTE LAGUIOLE</v>
      </c>
      <c r="Q473" s="90">
        <v>1002</v>
      </c>
      <c r="R473" s="93">
        <v>4.6760000000000002</v>
      </c>
      <c r="S473" s="94">
        <f t="shared" si="91"/>
        <v>4685.3519999999999</v>
      </c>
      <c r="T473" s="95">
        <f t="shared" si="75"/>
        <v>10015.601999999999</v>
      </c>
      <c r="U473" s="138"/>
      <c r="V473" s="96">
        <f t="shared" si="92"/>
        <v>10015.601999999999</v>
      </c>
      <c r="W473" s="4">
        <f>VLOOKUP(O473,[1]Feuil2!$A:$M,6,FALSE)</f>
        <v>6</v>
      </c>
      <c r="X473" s="5">
        <f>VLOOKUP(O473,[1]Feuil2!$A:$M,13,FALSE)</f>
        <v>3.0969000000000003E-2</v>
      </c>
      <c r="Y473" s="6">
        <f t="shared" si="93"/>
        <v>5.1718230000000007</v>
      </c>
      <c r="Z473" s="97">
        <f t="shared" si="82"/>
        <v>9.5261222500000002</v>
      </c>
      <c r="AA473" s="69" t="s">
        <v>57</v>
      </c>
      <c r="AB473" s="67" t="s">
        <v>48</v>
      </c>
      <c r="AC473" s="90"/>
      <c r="AD473" s="133" t="s">
        <v>61</v>
      </c>
      <c r="AE473" s="20">
        <v>46013</v>
      </c>
      <c r="AF473" s="21" t="s">
        <v>854</v>
      </c>
      <c r="AG473" s="21"/>
      <c r="AH473" s="98"/>
      <c r="AI473" s="160">
        <v>46016</v>
      </c>
      <c r="AJ473" s="145">
        <f t="shared" si="94"/>
        <v>6</v>
      </c>
      <c r="AK473" s="100">
        <f>VLOOKUP(AP473,'[2]CONTENEUR PLEIN'!$F:$L,3,FALSE)</f>
        <v>46022</v>
      </c>
      <c r="AL473" s="99">
        <f>VLOOKUP(AP473,'[2]CONTENEUR PLEIN'!$F:$L,5,FALSE)</f>
        <v>46066</v>
      </c>
      <c r="AM473" s="18">
        <f>VLOOKUP(AP473,'[2]CONTENEUR PLEIN'!$F:$L,7,FALSE)</f>
        <v>46071.333333333336</v>
      </c>
      <c r="AN473" s="191" t="s">
        <v>63</v>
      </c>
      <c r="AO473" s="514" t="s">
        <v>782</v>
      </c>
      <c r="AP473" s="514" t="s">
        <v>783</v>
      </c>
      <c r="AQ473" s="514" t="s">
        <v>793</v>
      </c>
      <c r="AR473" s="90" t="str">
        <f>VLOOKUP(AP473,'[2]CONTENEUR PLEIN'!$F:$L,2,FALSE)</f>
        <v>CMA CGM GREENLAND</v>
      </c>
      <c r="AS473" s="514" t="s">
        <v>316</v>
      </c>
      <c r="AT473" s="98"/>
    </row>
    <row r="474" spans="2:46" s="72" customFormat="1" hidden="1" x14ac:dyDescent="0.25">
      <c r="B474" s="336" t="s">
        <v>45</v>
      </c>
      <c r="C474" s="146">
        <v>45945</v>
      </c>
      <c r="D474" s="147">
        <v>25104</v>
      </c>
      <c r="E474" s="337" t="s">
        <v>521</v>
      </c>
      <c r="F474" s="147">
        <v>2510141102</v>
      </c>
      <c r="G474" s="285" t="s">
        <v>303</v>
      </c>
      <c r="H474" s="285" t="s">
        <v>46</v>
      </c>
      <c r="I474" s="285" t="s">
        <v>49</v>
      </c>
      <c r="J474" s="285" t="s">
        <v>46</v>
      </c>
      <c r="K474" s="338" t="s">
        <v>68</v>
      </c>
      <c r="L474" s="501">
        <v>46072</v>
      </c>
      <c r="M474" s="380" t="e">
        <f t="shared" si="90"/>
        <v>#VALUE!</v>
      </c>
      <c r="N474" s="98" t="s">
        <v>62</v>
      </c>
      <c r="O474" s="78">
        <v>20110046</v>
      </c>
      <c r="P474" s="42" t="str">
        <f>VLOOKUP(O474,[1]Feuil2!$A:$M,5,FALSE)</f>
        <v>M16 LAGUIOLE HERITAGE HORIZON BTE LAG HERITAGE</v>
      </c>
      <c r="Q474" s="75">
        <v>1200</v>
      </c>
      <c r="R474" s="79">
        <v>8.27</v>
      </c>
      <c r="S474" s="80">
        <f t="shared" si="91"/>
        <v>9924</v>
      </c>
      <c r="T474" s="81">
        <f t="shared" ref="T474:T537" si="95">SUMIF($E$5:$E$9257,E474,$S$5:$S$9257)</f>
        <v>30788.880000000005</v>
      </c>
      <c r="U474" s="139"/>
      <c r="V474" s="82">
        <f t="shared" si="92"/>
        <v>30788.880000000005</v>
      </c>
      <c r="W474" s="9">
        <f>VLOOKUP(O474,[1]Feuil2!$A:$M,6,FALSE)</f>
        <v>6</v>
      </c>
      <c r="X474" s="10">
        <f>VLOOKUP(O474,[1]Feuil2!$A:$M,13,FALSE)</f>
        <v>2.6783999999999999E-2</v>
      </c>
      <c r="Y474" s="11">
        <f t="shared" si="93"/>
        <v>5.3567999999999998</v>
      </c>
      <c r="Z474" s="83">
        <f t="shared" si="82"/>
        <v>12.7623245</v>
      </c>
      <c r="AA474" s="12" t="s">
        <v>57</v>
      </c>
      <c r="AB474" s="13" t="s">
        <v>57</v>
      </c>
      <c r="AC474" s="426" t="s">
        <v>55</v>
      </c>
      <c r="AD474" s="13" t="s">
        <v>57</v>
      </c>
      <c r="AE474" s="14">
        <v>46028</v>
      </c>
      <c r="AF474" s="13" t="s">
        <v>804</v>
      </c>
      <c r="AG474" s="13"/>
      <c r="AH474" s="84"/>
      <c r="AI474" s="178">
        <v>46016</v>
      </c>
      <c r="AJ474" s="144">
        <f t="shared" si="94"/>
        <v>56</v>
      </c>
      <c r="AK474" s="85">
        <f>VLOOKUP(AP474,'[2]CONTENEUR PLEIN'!$F:$L,3,FALSE)</f>
        <v>46072</v>
      </c>
      <c r="AL474" s="86">
        <f>VLOOKUP(AP474,'[2]CONTENEUR PLEIN'!$F:$L,5,FALSE)</f>
        <v>46112</v>
      </c>
      <c r="AM474" s="46" t="str">
        <f>VLOOKUP(AP474,'[2]CONTENEUR PLEIN'!$F:$L,7,FALSE)</f>
        <v>Estimée : 07-avril</v>
      </c>
      <c r="AN474" s="184" t="s">
        <v>63</v>
      </c>
      <c r="AO474" s="465" t="s">
        <v>951</v>
      </c>
      <c r="AP474" s="465" t="s">
        <v>952</v>
      </c>
      <c r="AQ474" s="465" t="s">
        <v>953</v>
      </c>
      <c r="AR474" s="75" t="str">
        <f>VLOOKUP(AP474,'[2]CONTENEUR PLEIN'!$F:$L,2,FALSE)</f>
        <v>CMA CGM ALEXANDER VON HUMBOLDT</v>
      </c>
      <c r="AS474" s="465" t="s">
        <v>316</v>
      </c>
      <c r="AT474" s="84"/>
    </row>
    <row r="475" spans="2:46" s="72" customFormat="1" hidden="1" x14ac:dyDescent="0.25">
      <c r="B475" s="336" t="s">
        <v>45</v>
      </c>
      <c r="C475" s="146">
        <v>45945</v>
      </c>
      <c r="D475" s="147">
        <v>25104</v>
      </c>
      <c r="E475" s="337" t="s">
        <v>521</v>
      </c>
      <c r="F475" s="147">
        <v>2510141102</v>
      </c>
      <c r="G475" s="285" t="s">
        <v>303</v>
      </c>
      <c r="H475" s="285" t="s">
        <v>46</v>
      </c>
      <c r="I475" s="285" t="s">
        <v>49</v>
      </c>
      <c r="J475" s="285" t="s">
        <v>46</v>
      </c>
      <c r="K475" s="338" t="s">
        <v>68</v>
      </c>
      <c r="L475" s="501">
        <v>46072</v>
      </c>
      <c r="M475" s="380" t="e">
        <f t="shared" si="90"/>
        <v>#VALUE!</v>
      </c>
      <c r="N475" s="77" t="s">
        <v>49</v>
      </c>
      <c r="O475" s="78">
        <v>20110047</v>
      </c>
      <c r="P475" s="42" t="str">
        <f>VLOOKUP(O475,[1]Feuil2!$A:$M,5,FALSE)</f>
        <v>COUTEAU LAGUIOLE HERITAGE HORIZON VRAC + GENCOD</v>
      </c>
      <c r="Q475" s="75">
        <v>2160</v>
      </c>
      <c r="R475" s="79">
        <v>0.48</v>
      </c>
      <c r="S475" s="80">
        <f t="shared" si="91"/>
        <v>1036.8</v>
      </c>
      <c r="T475" s="81">
        <f t="shared" si="95"/>
        <v>30788.880000000005</v>
      </c>
      <c r="U475" s="139"/>
      <c r="V475" s="82">
        <f t="shared" si="92"/>
        <v>30788.880000000005</v>
      </c>
      <c r="W475" s="9">
        <f>VLOOKUP(O475,[1]Feuil2!$A:$M,6,FALSE)</f>
        <v>120</v>
      </c>
      <c r="X475" s="10">
        <f>VLOOKUP(O475,[1]Feuil2!$A:$M,13,FALSE)</f>
        <v>1.7225999999999998E-2</v>
      </c>
      <c r="Y475" s="11">
        <f t="shared" si="93"/>
        <v>0.31006799999999995</v>
      </c>
      <c r="Z475" s="83">
        <f t="shared" si="82"/>
        <v>12.7623245</v>
      </c>
      <c r="AA475" s="12" t="s">
        <v>57</v>
      </c>
      <c r="AB475" s="13" t="s">
        <v>57</v>
      </c>
      <c r="AC475" s="426" t="s">
        <v>55</v>
      </c>
      <c r="AD475" s="13" t="s">
        <v>57</v>
      </c>
      <c r="AE475" s="14">
        <v>46028</v>
      </c>
      <c r="AF475" s="13" t="s">
        <v>805</v>
      </c>
      <c r="AG475" s="13"/>
      <c r="AH475" s="84"/>
      <c r="AI475" s="178">
        <v>46016</v>
      </c>
      <c r="AJ475" s="144">
        <f t="shared" si="94"/>
        <v>56</v>
      </c>
      <c r="AK475" s="85">
        <f>VLOOKUP(AP475,'[2]CONTENEUR PLEIN'!$F:$L,3,FALSE)</f>
        <v>46072</v>
      </c>
      <c r="AL475" s="86">
        <f>VLOOKUP(AP475,'[2]CONTENEUR PLEIN'!$F:$L,5,FALSE)</f>
        <v>46112</v>
      </c>
      <c r="AM475" s="46" t="str">
        <f>VLOOKUP(AP475,'[2]CONTENEUR PLEIN'!$F:$L,7,FALSE)</f>
        <v>Estimée : 07-avril</v>
      </c>
      <c r="AN475" s="184" t="s">
        <v>63</v>
      </c>
      <c r="AO475" s="465" t="s">
        <v>951</v>
      </c>
      <c r="AP475" s="465" t="s">
        <v>952</v>
      </c>
      <c r="AQ475" s="465" t="s">
        <v>953</v>
      </c>
      <c r="AR475" s="75" t="str">
        <f>VLOOKUP(AP475,'[2]CONTENEUR PLEIN'!$F:$L,2,FALSE)</f>
        <v>CMA CGM ALEXANDER VON HUMBOLDT</v>
      </c>
      <c r="AS475" s="465" t="s">
        <v>316</v>
      </c>
      <c r="AT475" s="84"/>
    </row>
    <row r="476" spans="2:46" s="72" customFormat="1" hidden="1" x14ac:dyDescent="0.25">
      <c r="B476" s="336" t="s">
        <v>45</v>
      </c>
      <c r="C476" s="146">
        <v>45945</v>
      </c>
      <c r="D476" s="147">
        <v>25104</v>
      </c>
      <c r="E476" s="337" t="s">
        <v>521</v>
      </c>
      <c r="F476" s="147">
        <v>2510141102</v>
      </c>
      <c r="G476" s="285" t="s">
        <v>303</v>
      </c>
      <c r="H476" s="285" t="s">
        <v>46</v>
      </c>
      <c r="I476" s="285" t="s">
        <v>49</v>
      </c>
      <c r="J476" s="285" t="s">
        <v>46</v>
      </c>
      <c r="K476" s="338" t="s">
        <v>68</v>
      </c>
      <c r="L476" s="501">
        <v>46072</v>
      </c>
      <c r="M476" s="380" t="e">
        <f t="shared" si="90"/>
        <v>#VALUE!</v>
      </c>
      <c r="N476" s="77" t="s">
        <v>49</v>
      </c>
      <c r="O476" s="78">
        <v>20110048</v>
      </c>
      <c r="P476" s="42" t="str">
        <f>VLOOKUP(O476,[1]Feuil2!$A:$M,5,FALSE)</f>
        <v>FOURCHETTE LAGUIOLE HERITAGE HORIZON VRAC + GENCOD</v>
      </c>
      <c r="Q476" s="75">
        <v>2160</v>
      </c>
      <c r="R476" s="79">
        <v>0.54900000000000004</v>
      </c>
      <c r="S476" s="80">
        <f t="shared" si="91"/>
        <v>1185.8400000000001</v>
      </c>
      <c r="T476" s="81">
        <f t="shared" si="95"/>
        <v>30788.880000000005</v>
      </c>
      <c r="U476" s="139"/>
      <c r="V476" s="82">
        <f t="shared" si="92"/>
        <v>30788.880000000005</v>
      </c>
      <c r="W476" s="9">
        <f>VLOOKUP(O476,[1]Feuil2!$A:$M,6,FALSE)</f>
        <v>240</v>
      </c>
      <c r="X476" s="10">
        <f>VLOOKUP(O476,[1]Feuil2!$A:$M,13,FALSE)</f>
        <v>3.0408750000000002E-2</v>
      </c>
      <c r="Y476" s="11">
        <f t="shared" si="93"/>
        <v>0.27367875000000003</v>
      </c>
      <c r="Z476" s="83">
        <f t="shared" si="82"/>
        <v>12.7623245</v>
      </c>
      <c r="AA476" s="12" t="s">
        <v>57</v>
      </c>
      <c r="AB476" s="13" t="s">
        <v>57</v>
      </c>
      <c r="AC476" s="426" t="s">
        <v>55</v>
      </c>
      <c r="AD476" s="13" t="s">
        <v>57</v>
      </c>
      <c r="AE476" s="14">
        <v>46028</v>
      </c>
      <c r="AF476" s="13" t="s">
        <v>806</v>
      </c>
      <c r="AG476" s="13"/>
      <c r="AH476" s="84"/>
      <c r="AI476" s="178">
        <v>46016</v>
      </c>
      <c r="AJ476" s="144">
        <f t="shared" si="94"/>
        <v>56</v>
      </c>
      <c r="AK476" s="85">
        <f>VLOOKUP(AP476,'[2]CONTENEUR PLEIN'!$F:$L,3,FALSE)</f>
        <v>46072</v>
      </c>
      <c r="AL476" s="86">
        <f>VLOOKUP(AP476,'[2]CONTENEUR PLEIN'!$F:$L,5,FALSE)</f>
        <v>46112</v>
      </c>
      <c r="AM476" s="46" t="str">
        <f>VLOOKUP(AP476,'[2]CONTENEUR PLEIN'!$F:$L,7,FALSE)</f>
        <v>Estimée : 07-avril</v>
      </c>
      <c r="AN476" s="184" t="s">
        <v>63</v>
      </c>
      <c r="AO476" s="465" t="s">
        <v>951</v>
      </c>
      <c r="AP476" s="465" t="s">
        <v>952</v>
      </c>
      <c r="AQ476" s="465" t="s">
        <v>953</v>
      </c>
      <c r="AR476" s="75" t="str">
        <f>VLOOKUP(AP476,'[2]CONTENEUR PLEIN'!$F:$L,2,FALSE)</f>
        <v>CMA CGM ALEXANDER VON HUMBOLDT</v>
      </c>
      <c r="AS476" s="465" t="s">
        <v>316</v>
      </c>
      <c r="AT476" s="84"/>
    </row>
    <row r="477" spans="2:46" s="72" customFormat="1" hidden="1" x14ac:dyDescent="0.25">
      <c r="B477" s="336" t="s">
        <v>45</v>
      </c>
      <c r="C477" s="146">
        <v>45945</v>
      </c>
      <c r="D477" s="147">
        <v>25104</v>
      </c>
      <c r="E477" s="337" t="s">
        <v>521</v>
      </c>
      <c r="F477" s="147">
        <v>2510141102</v>
      </c>
      <c r="G477" s="285" t="s">
        <v>303</v>
      </c>
      <c r="H477" s="285" t="s">
        <v>46</v>
      </c>
      <c r="I477" s="285" t="s">
        <v>49</v>
      </c>
      <c r="J477" s="285" t="s">
        <v>46</v>
      </c>
      <c r="K477" s="338" t="s">
        <v>68</v>
      </c>
      <c r="L477" s="501">
        <v>46072</v>
      </c>
      <c r="M477" s="380" t="e">
        <f t="shared" si="90"/>
        <v>#VALUE!</v>
      </c>
      <c r="N477" s="77" t="s">
        <v>49</v>
      </c>
      <c r="O477" s="78">
        <v>20110049</v>
      </c>
      <c r="P477" s="42" t="str">
        <f>VLOOKUP(O477,[1]Feuil2!$A:$M,5,FALSE)</f>
        <v>CUILLERE LAGUIOLE HERITAGE HORIZON VRAC + GENCOD</v>
      </c>
      <c r="Q477" s="75">
        <v>1680</v>
      </c>
      <c r="R477" s="79">
        <v>0.54900000000000004</v>
      </c>
      <c r="S477" s="80">
        <f t="shared" si="91"/>
        <v>922.32</v>
      </c>
      <c r="T477" s="81">
        <f t="shared" si="95"/>
        <v>30788.880000000005</v>
      </c>
      <c r="U477" s="139"/>
      <c r="V477" s="82">
        <f t="shared" si="92"/>
        <v>30788.880000000005</v>
      </c>
      <c r="W477" s="9">
        <f>VLOOKUP(O477,[1]Feuil2!$A:$M,6,FALSE)</f>
        <v>240</v>
      </c>
      <c r="X477" s="10">
        <f>VLOOKUP(O477,[1]Feuil2!$A:$M,13,FALSE)</f>
        <v>2.83465E-2</v>
      </c>
      <c r="Y477" s="11">
        <f t="shared" si="93"/>
        <v>0.1984255</v>
      </c>
      <c r="Z477" s="83">
        <f t="shared" si="82"/>
        <v>12.7623245</v>
      </c>
      <c r="AA477" s="12" t="s">
        <v>57</v>
      </c>
      <c r="AB477" s="13" t="s">
        <v>57</v>
      </c>
      <c r="AC477" s="426" t="s">
        <v>55</v>
      </c>
      <c r="AD477" s="13" t="s">
        <v>57</v>
      </c>
      <c r="AE477" s="14">
        <v>46028</v>
      </c>
      <c r="AF477" s="13" t="s">
        <v>808</v>
      </c>
      <c r="AG477" s="13"/>
      <c r="AH477" s="84"/>
      <c r="AI477" s="178">
        <v>46016</v>
      </c>
      <c r="AJ477" s="144">
        <f t="shared" si="94"/>
        <v>56</v>
      </c>
      <c r="AK477" s="85">
        <f>VLOOKUP(AP477,'[2]CONTENEUR PLEIN'!$F:$L,3,FALSE)</f>
        <v>46072</v>
      </c>
      <c r="AL477" s="86">
        <f>VLOOKUP(AP477,'[2]CONTENEUR PLEIN'!$F:$L,5,FALSE)</f>
        <v>46112</v>
      </c>
      <c r="AM477" s="46" t="str">
        <f>VLOOKUP(AP477,'[2]CONTENEUR PLEIN'!$F:$L,7,FALSE)</f>
        <v>Estimée : 07-avril</v>
      </c>
      <c r="AN477" s="184" t="s">
        <v>63</v>
      </c>
      <c r="AO477" s="465" t="s">
        <v>951</v>
      </c>
      <c r="AP477" s="465" t="s">
        <v>952</v>
      </c>
      <c r="AQ477" s="465" t="s">
        <v>953</v>
      </c>
      <c r="AR477" s="75" t="str">
        <f>VLOOKUP(AP477,'[2]CONTENEUR PLEIN'!$F:$L,2,FALSE)</f>
        <v>CMA CGM ALEXANDER VON HUMBOLDT</v>
      </c>
      <c r="AS477" s="465" t="s">
        <v>316</v>
      </c>
      <c r="AT477" s="84"/>
    </row>
    <row r="478" spans="2:46" s="72" customFormat="1" hidden="1" x14ac:dyDescent="0.25">
      <c r="B478" s="336" t="s">
        <v>45</v>
      </c>
      <c r="C478" s="146">
        <v>45945</v>
      </c>
      <c r="D478" s="147">
        <v>25104</v>
      </c>
      <c r="E478" s="337" t="s">
        <v>521</v>
      </c>
      <c r="F478" s="147">
        <v>2510141102</v>
      </c>
      <c r="G478" s="285" t="s">
        <v>303</v>
      </c>
      <c r="H478" s="285" t="s">
        <v>46</v>
      </c>
      <c r="I478" s="285" t="s">
        <v>49</v>
      </c>
      <c r="J478" s="285" t="s">
        <v>46</v>
      </c>
      <c r="K478" s="338" t="s">
        <v>68</v>
      </c>
      <c r="L478" s="501">
        <v>46072</v>
      </c>
      <c r="M478" s="380" t="e">
        <f t="shared" si="90"/>
        <v>#VALUE!</v>
      </c>
      <c r="N478" s="77" t="s">
        <v>49</v>
      </c>
      <c r="O478" s="78">
        <v>20110050</v>
      </c>
      <c r="P478" s="42" t="str">
        <f>VLOOKUP(O478,[1]Feuil2!$A:$M,5,FALSE)</f>
        <v>CAFE LAGUIOLE HERITAGE HORIZON VRAC + GENCOD</v>
      </c>
      <c r="Q478" s="75">
        <v>3120</v>
      </c>
      <c r="R478" s="79">
        <v>0.41499999999999998</v>
      </c>
      <c r="S478" s="80">
        <f t="shared" si="91"/>
        <v>1294.8</v>
      </c>
      <c r="T478" s="81">
        <f t="shared" si="95"/>
        <v>30788.880000000005</v>
      </c>
      <c r="U478" s="139"/>
      <c r="V478" s="82">
        <f t="shared" si="92"/>
        <v>30788.880000000005</v>
      </c>
      <c r="W478" s="9">
        <f>VLOOKUP(O478,[1]Feuil2!$A:$M,6,FALSE)</f>
        <v>240</v>
      </c>
      <c r="X478" s="10">
        <f>VLOOKUP(O478,[1]Feuil2!$A:$M,13,FALSE)</f>
        <v>1.8630000000000001E-2</v>
      </c>
      <c r="Y478" s="11">
        <f t="shared" si="93"/>
        <v>0.24219000000000002</v>
      </c>
      <c r="Z478" s="83">
        <f t="shared" si="82"/>
        <v>12.7623245</v>
      </c>
      <c r="AA478" s="12" t="s">
        <v>57</v>
      </c>
      <c r="AB478" s="13" t="s">
        <v>57</v>
      </c>
      <c r="AC478" s="426" t="s">
        <v>55</v>
      </c>
      <c r="AD478" s="13" t="s">
        <v>57</v>
      </c>
      <c r="AE478" s="14">
        <v>46028</v>
      </c>
      <c r="AF478" s="13" t="s">
        <v>810</v>
      </c>
      <c r="AG478" s="13"/>
      <c r="AH478" s="84"/>
      <c r="AI478" s="178">
        <v>46016</v>
      </c>
      <c r="AJ478" s="144">
        <f t="shared" si="94"/>
        <v>56</v>
      </c>
      <c r="AK478" s="85">
        <f>VLOOKUP(AP478,'[2]CONTENEUR PLEIN'!$F:$L,3,FALSE)</f>
        <v>46072</v>
      </c>
      <c r="AL478" s="86">
        <f>VLOOKUP(AP478,'[2]CONTENEUR PLEIN'!$F:$L,5,FALSE)</f>
        <v>46112</v>
      </c>
      <c r="AM478" s="46" t="str">
        <f>VLOOKUP(AP478,'[2]CONTENEUR PLEIN'!$F:$L,7,FALSE)</f>
        <v>Estimée : 07-avril</v>
      </c>
      <c r="AN478" s="184" t="s">
        <v>63</v>
      </c>
      <c r="AO478" s="465" t="s">
        <v>951</v>
      </c>
      <c r="AP478" s="465" t="s">
        <v>952</v>
      </c>
      <c r="AQ478" s="465" t="s">
        <v>953</v>
      </c>
      <c r="AR478" s="75" t="str">
        <f>VLOOKUP(AP478,'[2]CONTENEUR PLEIN'!$F:$L,2,FALSE)</f>
        <v>CMA CGM ALEXANDER VON HUMBOLDT</v>
      </c>
      <c r="AS478" s="465" t="s">
        <v>316</v>
      </c>
      <c r="AT478" s="84"/>
    </row>
    <row r="479" spans="2:46" s="72" customFormat="1" hidden="1" x14ac:dyDescent="0.25">
      <c r="B479" s="336" t="s">
        <v>45</v>
      </c>
      <c r="C479" s="146">
        <v>45945</v>
      </c>
      <c r="D479" s="147">
        <v>25104</v>
      </c>
      <c r="E479" s="337" t="s">
        <v>521</v>
      </c>
      <c r="F479" s="147">
        <v>2510141102</v>
      </c>
      <c r="G479" s="285" t="s">
        <v>303</v>
      </c>
      <c r="H479" s="285" t="s">
        <v>46</v>
      </c>
      <c r="I479" s="285" t="s">
        <v>49</v>
      </c>
      <c r="J479" s="285" t="s">
        <v>46</v>
      </c>
      <c r="K479" s="338" t="s">
        <v>68</v>
      </c>
      <c r="L479" s="501">
        <v>46072</v>
      </c>
      <c r="M479" s="380" t="e">
        <f t="shared" si="90"/>
        <v>#VALUE!</v>
      </c>
      <c r="N479" s="98" t="s">
        <v>62</v>
      </c>
      <c r="O479" s="78">
        <v>20110051</v>
      </c>
      <c r="P479" s="42" t="str">
        <f>VLOOKUP(O479,[1]Feuil2!$A:$M,5,FALSE)</f>
        <v>M16 LAGUIOLE HERITAGE INVITATION BTE LAG HERITAGE</v>
      </c>
      <c r="Q479" s="75">
        <v>1200</v>
      </c>
      <c r="R479" s="79">
        <v>9.4359999999999999</v>
      </c>
      <c r="S479" s="80">
        <f t="shared" si="91"/>
        <v>11323.2</v>
      </c>
      <c r="T479" s="81">
        <f t="shared" si="95"/>
        <v>30788.880000000005</v>
      </c>
      <c r="U479" s="139"/>
      <c r="V479" s="82">
        <f t="shared" si="92"/>
        <v>30788.880000000005</v>
      </c>
      <c r="W479" s="9">
        <f>VLOOKUP(O479,[1]Feuil2!$A:$M,6,FALSE)</f>
        <v>6</v>
      </c>
      <c r="X479" s="10">
        <f>VLOOKUP(O479,[1]Feuil2!$A:$M,13,FALSE)</f>
        <v>2.6783999999999999E-2</v>
      </c>
      <c r="Y479" s="11">
        <f t="shared" si="93"/>
        <v>5.3567999999999998</v>
      </c>
      <c r="Z479" s="83">
        <f t="shared" si="82"/>
        <v>12.7623245</v>
      </c>
      <c r="AA479" s="12" t="s">
        <v>57</v>
      </c>
      <c r="AB479" s="13" t="s">
        <v>57</v>
      </c>
      <c r="AC479" s="426" t="s">
        <v>55</v>
      </c>
      <c r="AD479" s="13" t="s">
        <v>57</v>
      </c>
      <c r="AE479" s="14">
        <v>46027</v>
      </c>
      <c r="AF479" s="13" t="s">
        <v>809</v>
      </c>
      <c r="AG479" s="13"/>
      <c r="AH479" s="84"/>
      <c r="AI479" s="178">
        <v>46016</v>
      </c>
      <c r="AJ479" s="144">
        <f t="shared" si="94"/>
        <v>56</v>
      </c>
      <c r="AK479" s="85">
        <f>VLOOKUP(AP479,'[2]CONTENEUR PLEIN'!$F:$L,3,FALSE)</f>
        <v>46072</v>
      </c>
      <c r="AL479" s="86">
        <f>VLOOKUP(AP479,'[2]CONTENEUR PLEIN'!$F:$L,5,FALSE)</f>
        <v>46112</v>
      </c>
      <c r="AM479" s="46" t="str">
        <f>VLOOKUP(AP479,'[2]CONTENEUR PLEIN'!$F:$L,7,FALSE)</f>
        <v>Estimée : 07-avril</v>
      </c>
      <c r="AN479" s="184" t="s">
        <v>63</v>
      </c>
      <c r="AO479" s="465" t="s">
        <v>951</v>
      </c>
      <c r="AP479" s="465" t="s">
        <v>952</v>
      </c>
      <c r="AQ479" s="465" t="s">
        <v>953</v>
      </c>
      <c r="AR479" s="75" t="str">
        <f>VLOOKUP(AP479,'[2]CONTENEUR PLEIN'!$F:$L,2,FALSE)</f>
        <v>CMA CGM ALEXANDER VON HUMBOLDT</v>
      </c>
      <c r="AS479" s="465" t="s">
        <v>316</v>
      </c>
      <c r="AT479" s="84"/>
    </row>
    <row r="480" spans="2:46" s="72" customFormat="1" hidden="1" x14ac:dyDescent="0.25">
      <c r="B480" s="336" t="s">
        <v>45</v>
      </c>
      <c r="C480" s="146">
        <v>45945</v>
      </c>
      <c r="D480" s="147">
        <v>25104</v>
      </c>
      <c r="E480" s="337" t="s">
        <v>521</v>
      </c>
      <c r="F480" s="147">
        <v>2510141102</v>
      </c>
      <c r="G480" s="285" t="s">
        <v>303</v>
      </c>
      <c r="H480" s="285" t="s">
        <v>46</v>
      </c>
      <c r="I480" s="285" t="s">
        <v>49</v>
      </c>
      <c r="J480" s="285" t="s">
        <v>46</v>
      </c>
      <c r="K480" s="338" t="s">
        <v>68</v>
      </c>
      <c r="L480" s="501">
        <v>46072</v>
      </c>
      <c r="M480" s="380" t="e">
        <f t="shared" si="90"/>
        <v>#VALUE!</v>
      </c>
      <c r="N480" s="77" t="s">
        <v>49</v>
      </c>
      <c r="O480" s="78">
        <v>20110052</v>
      </c>
      <c r="P480" s="42" t="str">
        <f>VLOOKUP(O480,[1]Feuil2!$A:$M,5,FALSE)</f>
        <v>COUTEAU LAGUIOLE HERITAGE INVITATION VRAC + GENCOD</v>
      </c>
      <c r="Q480" s="75">
        <v>2160</v>
      </c>
      <c r="R480" s="79">
        <v>0.56499999999999995</v>
      </c>
      <c r="S480" s="80">
        <f t="shared" si="91"/>
        <v>1220.3999999999999</v>
      </c>
      <c r="T480" s="81">
        <f t="shared" si="95"/>
        <v>30788.880000000005</v>
      </c>
      <c r="U480" s="139"/>
      <c r="V480" s="82">
        <f t="shared" si="92"/>
        <v>30788.880000000005</v>
      </c>
      <c r="W480" s="9">
        <f>VLOOKUP(O480,[1]Feuil2!$A:$M,6,FALSE)</f>
        <v>120</v>
      </c>
      <c r="X480" s="10">
        <f>VLOOKUP(O480,[1]Feuil2!$A:$M,13,FALSE)</f>
        <v>1.7225999999999998E-2</v>
      </c>
      <c r="Y480" s="11">
        <f t="shared" si="93"/>
        <v>0.31006799999999995</v>
      </c>
      <c r="Z480" s="83">
        <f t="shared" si="82"/>
        <v>12.7623245</v>
      </c>
      <c r="AA480" s="12" t="s">
        <v>57</v>
      </c>
      <c r="AB480" s="13" t="s">
        <v>57</v>
      </c>
      <c r="AC480" s="426" t="s">
        <v>55</v>
      </c>
      <c r="AD480" s="13" t="s">
        <v>57</v>
      </c>
      <c r="AE480" s="14">
        <v>46027</v>
      </c>
      <c r="AF480" s="13" t="s">
        <v>811</v>
      </c>
      <c r="AG480" s="13"/>
      <c r="AH480" s="84"/>
      <c r="AI480" s="178">
        <v>46016</v>
      </c>
      <c r="AJ480" s="144">
        <f t="shared" si="94"/>
        <v>56</v>
      </c>
      <c r="AK480" s="85">
        <f>VLOOKUP(AP480,'[2]CONTENEUR PLEIN'!$F:$L,3,FALSE)</f>
        <v>46072</v>
      </c>
      <c r="AL480" s="86">
        <f>VLOOKUP(AP480,'[2]CONTENEUR PLEIN'!$F:$L,5,FALSE)</f>
        <v>46112</v>
      </c>
      <c r="AM480" s="46" t="str">
        <f>VLOOKUP(AP480,'[2]CONTENEUR PLEIN'!$F:$L,7,FALSE)</f>
        <v>Estimée : 07-avril</v>
      </c>
      <c r="AN480" s="184" t="s">
        <v>63</v>
      </c>
      <c r="AO480" s="465" t="s">
        <v>951</v>
      </c>
      <c r="AP480" s="465" t="s">
        <v>952</v>
      </c>
      <c r="AQ480" s="465" t="s">
        <v>953</v>
      </c>
      <c r="AR480" s="75" t="str">
        <f>VLOOKUP(AP480,'[2]CONTENEUR PLEIN'!$F:$L,2,FALSE)</f>
        <v>CMA CGM ALEXANDER VON HUMBOLDT</v>
      </c>
      <c r="AS480" s="465" t="s">
        <v>316</v>
      </c>
      <c r="AT480" s="84"/>
    </row>
    <row r="481" spans="2:46" s="72" customFormat="1" hidden="1" x14ac:dyDescent="0.25">
      <c r="B481" s="336" t="s">
        <v>45</v>
      </c>
      <c r="C481" s="146">
        <v>45945</v>
      </c>
      <c r="D481" s="147">
        <v>25104</v>
      </c>
      <c r="E481" s="337" t="s">
        <v>521</v>
      </c>
      <c r="F481" s="147">
        <v>2510141102</v>
      </c>
      <c r="G481" s="285" t="s">
        <v>303</v>
      </c>
      <c r="H481" s="285" t="s">
        <v>46</v>
      </c>
      <c r="I481" s="285" t="s">
        <v>49</v>
      </c>
      <c r="J481" s="285" t="s">
        <v>46</v>
      </c>
      <c r="K481" s="338" t="s">
        <v>68</v>
      </c>
      <c r="L481" s="501">
        <v>46072</v>
      </c>
      <c r="M481" s="380" t="e">
        <f t="shared" si="90"/>
        <v>#VALUE!</v>
      </c>
      <c r="N481" s="77" t="s">
        <v>49</v>
      </c>
      <c r="O481" s="78">
        <v>20110053</v>
      </c>
      <c r="P481" s="42" t="str">
        <f>VLOOKUP(O481,[1]Feuil2!$A:$M,5,FALSE)</f>
        <v>FOURCHETTE LAGUIOLE HERITAGE INVITATION VRAC + GENCOD</v>
      </c>
      <c r="Q481" s="75">
        <v>2160</v>
      </c>
      <c r="R481" s="79">
        <v>0.61799999999999999</v>
      </c>
      <c r="S481" s="80">
        <f t="shared" si="91"/>
        <v>1334.8799999999999</v>
      </c>
      <c r="T481" s="81">
        <f t="shared" si="95"/>
        <v>30788.880000000005</v>
      </c>
      <c r="U481" s="139"/>
      <c r="V481" s="82">
        <f t="shared" si="92"/>
        <v>30788.880000000005</v>
      </c>
      <c r="W481" s="9">
        <f>VLOOKUP(O481,[1]Feuil2!$A:$M,6,FALSE)</f>
        <v>240</v>
      </c>
      <c r="X481" s="10">
        <f>VLOOKUP(O481,[1]Feuil2!$A:$M,13,FALSE)</f>
        <v>3.0408750000000002E-2</v>
      </c>
      <c r="Y481" s="11">
        <f t="shared" si="93"/>
        <v>0.27367875000000003</v>
      </c>
      <c r="Z481" s="83">
        <f t="shared" si="82"/>
        <v>12.7623245</v>
      </c>
      <c r="AA481" s="12" t="s">
        <v>57</v>
      </c>
      <c r="AB481" s="13" t="s">
        <v>57</v>
      </c>
      <c r="AC481" s="426" t="s">
        <v>55</v>
      </c>
      <c r="AD481" s="13" t="s">
        <v>57</v>
      </c>
      <c r="AE481" s="14">
        <v>46027</v>
      </c>
      <c r="AF481" s="13" t="s">
        <v>807</v>
      </c>
      <c r="AG481" s="13"/>
      <c r="AH481" s="84"/>
      <c r="AI481" s="178">
        <v>46016</v>
      </c>
      <c r="AJ481" s="144">
        <f t="shared" si="94"/>
        <v>56</v>
      </c>
      <c r="AK481" s="85">
        <f>VLOOKUP(AP481,'[2]CONTENEUR PLEIN'!$F:$L,3,FALSE)</f>
        <v>46072</v>
      </c>
      <c r="AL481" s="86">
        <f>VLOOKUP(AP481,'[2]CONTENEUR PLEIN'!$F:$L,5,FALSE)</f>
        <v>46112</v>
      </c>
      <c r="AM481" s="46" t="str">
        <f>VLOOKUP(AP481,'[2]CONTENEUR PLEIN'!$F:$L,7,FALSE)</f>
        <v>Estimée : 07-avril</v>
      </c>
      <c r="AN481" s="184" t="s">
        <v>63</v>
      </c>
      <c r="AO481" s="465" t="s">
        <v>951</v>
      </c>
      <c r="AP481" s="465" t="s">
        <v>952</v>
      </c>
      <c r="AQ481" s="465" t="s">
        <v>953</v>
      </c>
      <c r="AR481" s="75" t="str">
        <f>VLOOKUP(AP481,'[2]CONTENEUR PLEIN'!$F:$L,2,FALSE)</f>
        <v>CMA CGM ALEXANDER VON HUMBOLDT</v>
      </c>
      <c r="AS481" s="465" t="s">
        <v>316</v>
      </c>
      <c r="AT481" s="84"/>
    </row>
    <row r="482" spans="2:46" s="72" customFormat="1" hidden="1" x14ac:dyDescent="0.25">
      <c r="B482" s="336" t="s">
        <v>45</v>
      </c>
      <c r="C482" s="146">
        <v>45945</v>
      </c>
      <c r="D482" s="147">
        <v>25104</v>
      </c>
      <c r="E482" s="337" t="s">
        <v>521</v>
      </c>
      <c r="F482" s="147">
        <v>2510141102</v>
      </c>
      <c r="G482" s="285" t="s">
        <v>303</v>
      </c>
      <c r="H482" s="285" t="s">
        <v>46</v>
      </c>
      <c r="I482" s="285" t="s">
        <v>49</v>
      </c>
      <c r="J482" s="285" t="s">
        <v>46</v>
      </c>
      <c r="K482" s="338" t="s">
        <v>68</v>
      </c>
      <c r="L482" s="501">
        <v>46072</v>
      </c>
      <c r="M482" s="380" t="e">
        <f t="shared" si="90"/>
        <v>#VALUE!</v>
      </c>
      <c r="N482" s="77" t="s">
        <v>49</v>
      </c>
      <c r="O482" s="78">
        <v>20110054</v>
      </c>
      <c r="P482" s="42" t="str">
        <f>VLOOKUP(O482,[1]Feuil2!$A:$M,5,FALSE)</f>
        <v>CUILLERE LAGUIOLE HERITAGE INVITATION VRAC + GENCOD</v>
      </c>
      <c r="Q482" s="75">
        <v>1680</v>
      </c>
      <c r="R482" s="79">
        <v>0.61699999999999999</v>
      </c>
      <c r="S482" s="80">
        <f t="shared" si="91"/>
        <v>1036.56</v>
      </c>
      <c r="T482" s="81">
        <f t="shared" si="95"/>
        <v>30788.880000000005</v>
      </c>
      <c r="U482" s="139"/>
      <c r="V482" s="82">
        <f t="shared" si="92"/>
        <v>30788.880000000005</v>
      </c>
      <c r="W482" s="9">
        <f>VLOOKUP(O482,[1]Feuil2!$A:$M,6,FALSE)</f>
        <v>240</v>
      </c>
      <c r="X482" s="10">
        <f>VLOOKUP(O482,[1]Feuil2!$A:$M,13,FALSE)</f>
        <v>2.83465E-2</v>
      </c>
      <c r="Y482" s="11">
        <f t="shared" si="93"/>
        <v>0.1984255</v>
      </c>
      <c r="Z482" s="83">
        <f t="shared" si="82"/>
        <v>12.7623245</v>
      </c>
      <c r="AA482" s="12" t="s">
        <v>57</v>
      </c>
      <c r="AB482" s="13" t="s">
        <v>57</v>
      </c>
      <c r="AC482" s="426" t="s">
        <v>55</v>
      </c>
      <c r="AD482" s="13" t="s">
        <v>57</v>
      </c>
      <c r="AE482" s="14">
        <v>46027</v>
      </c>
      <c r="AF482" s="13" t="s">
        <v>812</v>
      </c>
      <c r="AG482" s="13"/>
      <c r="AH482" s="84"/>
      <c r="AI482" s="178">
        <v>46016</v>
      </c>
      <c r="AJ482" s="144">
        <f t="shared" si="94"/>
        <v>56</v>
      </c>
      <c r="AK482" s="85">
        <f>VLOOKUP(AP482,'[2]CONTENEUR PLEIN'!$F:$L,3,FALSE)</f>
        <v>46072</v>
      </c>
      <c r="AL482" s="86">
        <f>VLOOKUP(AP482,'[2]CONTENEUR PLEIN'!$F:$L,5,FALSE)</f>
        <v>46112</v>
      </c>
      <c r="AM482" s="46" t="str">
        <f>VLOOKUP(AP482,'[2]CONTENEUR PLEIN'!$F:$L,7,FALSE)</f>
        <v>Estimée : 07-avril</v>
      </c>
      <c r="AN482" s="184" t="s">
        <v>63</v>
      </c>
      <c r="AO482" s="465" t="s">
        <v>951</v>
      </c>
      <c r="AP482" s="465" t="s">
        <v>952</v>
      </c>
      <c r="AQ482" s="465" t="s">
        <v>953</v>
      </c>
      <c r="AR482" s="75" t="str">
        <f>VLOOKUP(AP482,'[2]CONTENEUR PLEIN'!$F:$L,2,FALSE)</f>
        <v>CMA CGM ALEXANDER VON HUMBOLDT</v>
      </c>
      <c r="AS482" s="465" t="s">
        <v>316</v>
      </c>
      <c r="AT482" s="84"/>
    </row>
    <row r="483" spans="2:46" s="72" customFormat="1" hidden="1" x14ac:dyDescent="0.25">
      <c r="B483" s="336" t="s">
        <v>45</v>
      </c>
      <c r="C483" s="146">
        <v>45945</v>
      </c>
      <c r="D483" s="147">
        <v>25104</v>
      </c>
      <c r="E483" s="337" t="s">
        <v>521</v>
      </c>
      <c r="F483" s="147">
        <v>2510141102</v>
      </c>
      <c r="G483" s="285" t="s">
        <v>303</v>
      </c>
      <c r="H483" s="285" t="s">
        <v>46</v>
      </c>
      <c r="I483" s="285" t="s">
        <v>49</v>
      </c>
      <c r="J483" s="285" t="s">
        <v>46</v>
      </c>
      <c r="K483" s="338" t="s">
        <v>68</v>
      </c>
      <c r="L483" s="501">
        <v>46072</v>
      </c>
      <c r="M483" s="380" t="e">
        <f t="shared" si="90"/>
        <v>#VALUE!</v>
      </c>
      <c r="N483" s="77" t="s">
        <v>49</v>
      </c>
      <c r="O483" s="78">
        <v>20110055</v>
      </c>
      <c r="P483" s="42" t="str">
        <f>VLOOKUP(O483,[1]Feuil2!$A:$M,5,FALSE)</f>
        <v>CAFE LAGUIOLE HERITAGE INVITATION VRAC + GENCOD</v>
      </c>
      <c r="Q483" s="75">
        <v>3120</v>
      </c>
      <c r="R483" s="79">
        <v>0.48399999999999999</v>
      </c>
      <c r="S483" s="80">
        <f t="shared" si="91"/>
        <v>1510.08</v>
      </c>
      <c r="T483" s="81">
        <f t="shared" si="95"/>
        <v>30788.880000000005</v>
      </c>
      <c r="U483" s="139"/>
      <c r="V483" s="82">
        <f t="shared" si="92"/>
        <v>30788.880000000005</v>
      </c>
      <c r="W483" s="9">
        <f>VLOOKUP(O483,[1]Feuil2!$A:$M,6,FALSE)</f>
        <v>240</v>
      </c>
      <c r="X483" s="10">
        <f>VLOOKUP(O483,[1]Feuil2!$A:$M,13,FALSE)</f>
        <v>1.8630000000000001E-2</v>
      </c>
      <c r="Y483" s="11">
        <f t="shared" si="93"/>
        <v>0.24219000000000002</v>
      </c>
      <c r="Z483" s="83">
        <f t="shared" si="82"/>
        <v>12.7623245</v>
      </c>
      <c r="AA483" s="12" t="s">
        <v>57</v>
      </c>
      <c r="AB483" s="13" t="s">
        <v>57</v>
      </c>
      <c r="AC483" s="426" t="s">
        <v>55</v>
      </c>
      <c r="AD483" s="13" t="s">
        <v>57</v>
      </c>
      <c r="AE483" s="14">
        <v>46027</v>
      </c>
      <c r="AF483" s="13" t="s">
        <v>813</v>
      </c>
      <c r="AG483" s="13"/>
      <c r="AH483" s="84"/>
      <c r="AI483" s="178">
        <v>46016</v>
      </c>
      <c r="AJ483" s="144">
        <f t="shared" si="94"/>
        <v>56</v>
      </c>
      <c r="AK483" s="85">
        <f>VLOOKUP(AP483,'[2]CONTENEUR PLEIN'!$F:$L,3,FALSE)</f>
        <v>46072</v>
      </c>
      <c r="AL483" s="86">
        <f>VLOOKUP(AP483,'[2]CONTENEUR PLEIN'!$F:$L,5,FALSE)</f>
        <v>46112</v>
      </c>
      <c r="AM483" s="46" t="str">
        <f>VLOOKUP(AP483,'[2]CONTENEUR PLEIN'!$F:$L,7,FALSE)</f>
        <v>Estimée : 07-avril</v>
      </c>
      <c r="AN483" s="184" t="s">
        <v>63</v>
      </c>
      <c r="AO483" s="465" t="s">
        <v>951</v>
      </c>
      <c r="AP483" s="465" t="s">
        <v>952</v>
      </c>
      <c r="AQ483" s="465" t="s">
        <v>953</v>
      </c>
      <c r="AR483" s="75" t="str">
        <f>VLOOKUP(AP483,'[2]CONTENEUR PLEIN'!$F:$L,2,FALSE)</f>
        <v>CMA CGM ALEXANDER VON HUMBOLDT</v>
      </c>
      <c r="AS483" s="465" t="s">
        <v>316</v>
      </c>
      <c r="AT483" s="84"/>
    </row>
    <row r="484" spans="2:46" s="72" customFormat="1" x14ac:dyDescent="0.25">
      <c r="B484" s="336" t="s">
        <v>45</v>
      </c>
      <c r="C484" s="146">
        <v>45944</v>
      </c>
      <c r="D484" s="147">
        <v>25103</v>
      </c>
      <c r="E484" s="337" t="s">
        <v>520</v>
      </c>
      <c r="F484" s="147">
        <v>2510141500</v>
      </c>
      <c r="G484" s="285" t="s">
        <v>59</v>
      </c>
      <c r="H484" s="285" t="s">
        <v>484</v>
      </c>
      <c r="I484" s="285" t="s">
        <v>49</v>
      </c>
      <c r="J484" s="297" t="s">
        <v>66</v>
      </c>
      <c r="K484" s="338" t="s">
        <v>68</v>
      </c>
      <c r="L484" s="443">
        <v>46048</v>
      </c>
      <c r="M484" s="379">
        <f t="shared" si="90"/>
        <v>5</v>
      </c>
      <c r="N484" s="77" t="s">
        <v>49</v>
      </c>
      <c r="O484" s="78">
        <v>10320051</v>
      </c>
      <c r="P484" s="42" t="str">
        <f>VLOOKUP(O484,[1]Feuil2!$A:$M,5,FALSE)</f>
        <v>LOT 8 CTX STEAK ECO NOIRS</v>
      </c>
      <c r="Q484" s="75">
        <v>4224</v>
      </c>
      <c r="R484" s="79">
        <v>1.17</v>
      </c>
      <c r="S484" s="80">
        <f t="shared" si="91"/>
        <v>4942.08</v>
      </c>
      <c r="T484" s="81">
        <f t="shared" si="95"/>
        <v>4942.08</v>
      </c>
      <c r="U484" s="139"/>
      <c r="V484" s="82">
        <f t="shared" si="92"/>
        <v>4942.08</v>
      </c>
      <c r="W484" s="9">
        <f>VLOOKUP(O484,[1]Feuil2!$A:$M,6,FALSE)</f>
        <v>48</v>
      </c>
      <c r="X484" s="10">
        <f>VLOOKUP(O484,[1]Feuil2!$A:$M,13,FALSE)</f>
        <v>0</v>
      </c>
      <c r="Y484" s="11">
        <f t="shared" si="93"/>
        <v>0</v>
      </c>
      <c r="Z484" s="83">
        <f t="shared" si="82"/>
        <v>0</v>
      </c>
      <c r="AA484" s="12" t="s">
        <v>57</v>
      </c>
      <c r="AB484" s="13" t="s">
        <v>57</v>
      </c>
      <c r="AC484" s="298" t="s">
        <v>55</v>
      </c>
      <c r="AD484" s="13" t="s">
        <v>57</v>
      </c>
      <c r="AE484" s="14">
        <v>46003</v>
      </c>
      <c r="AF484" s="13" t="s">
        <v>722</v>
      </c>
      <c r="AG484" s="13"/>
      <c r="AH484" s="84"/>
      <c r="AI484" s="178">
        <v>46016</v>
      </c>
      <c r="AJ484" s="144">
        <f t="shared" si="94"/>
        <v>10</v>
      </c>
      <c r="AK484" s="85">
        <f>VLOOKUP(AP484,'[2]CONTENEUR PLEIN'!$F:$L,3,FALSE)</f>
        <v>46026</v>
      </c>
      <c r="AL484" s="86">
        <f>VLOOKUP(AP484,'[2]CONTENEUR PLEIN'!$F:$L,5,FALSE)</f>
        <v>46081</v>
      </c>
      <c r="AM484" s="18">
        <f>VLOOKUP(AP484,'[2]CONTENEUR PLEIN'!$F:$L,7,FALSE)</f>
        <v>46099.53125</v>
      </c>
      <c r="AN484" s="184" t="s">
        <v>63</v>
      </c>
      <c r="AO484" s="335" t="s">
        <v>821</v>
      </c>
      <c r="AP484" s="335" t="s">
        <v>817</v>
      </c>
      <c r="AQ484" s="335" t="s">
        <v>822</v>
      </c>
      <c r="AR484" s="75" t="str">
        <f>VLOOKUP(AP484,'[2]CONTENEUR PLEIN'!$F:$L,2,FALSE)</f>
        <v>ZEPHYR LUMOS</v>
      </c>
      <c r="AS484" s="335" t="s">
        <v>316</v>
      </c>
      <c r="AT484" s="84"/>
    </row>
    <row r="485" spans="2:46" s="72" customFormat="1" hidden="1" x14ac:dyDescent="0.25">
      <c r="B485" s="466" t="s">
        <v>45</v>
      </c>
      <c r="C485" s="146">
        <v>45959</v>
      </c>
      <c r="D485" s="147">
        <v>25108</v>
      </c>
      <c r="E485" s="467" t="s">
        <v>552</v>
      </c>
      <c r="F485" s="147">
        <v>2510281008</v>
      </c>
      <c r="G485" s="468" t="s">
        <v>303</v>
      </c>
      <c r="H485" s="468" t="s">
        <v>46</v>
      </c>
      <c r="I485" s="468" t="s">
        <v>49</v>
      </c>
      <c r="J485" s="468" t="s">
        <v>46</v>
      </c>
      <c r="K485" s="469" t="s">
        <v>68</v>
      </c>
      <c r="L485" s="501">
        <v>46072</v>
      </c>
      <c r="M485" s="380" t="e">
        <f t="shared" si="90"/>
        <v>#VALUE!</v>
      </c>
      <c r="N485" s="77" t="s">
        <v>49</v>
      </c>
      <c r="O485" s="78">
        <v>20110033</v>
      </c>
      <c r="P485" s="42" t="str">
        <f>VLOOKUP(O485,[1]Feuil2!$A:$M,5,FALSE)</f>
        <v>COUTEAU LAGUIOLE HERITAGE EMOTION 18/10 VRAC + GENCOD</v>
      </c>
      <c r="Q485" s="75">
        <v>1800</v>
      </c>
      <c r="R485" s="79">
        <v>0.48099999999999998</v>
      </c>
      <c r="S485" s="80">
        <f t="shared" si="91"/>
        <v>865.8</v>
      </c>
      <c r="T485" s="81">
        <f t="shared" si="95"/>
        <v>43673.1</v>
      </c>
      <c r="U485" s="139"/>
      <c r="V485" s="82">
        <f t="shared" si="92"/>
        <v>43673.1</v>
      </c>
      <c r="W485" s="9">
        <f>VLOOKUP(O485,[1]Feuil2!$A:$M,6,FALSE)</f>
        <v>120</v>
      </c>
      <c r="X485" s="10">
        <f>VLOOKUP(O485,[1]Feuil2!$A:$M,13,FALSE)</f>
        <v>1.7226000000000002E-2</v>
      </c>
      <c r="Y485" s="11">
        <f t="shared" si="93"/>
        <v>0.25839000000000001</v>
      </c>
      <c r="Z485" s="83">
        <f t="shared" si="82"/>
        <v>12.9015615</v>
      </c>
      <c r="AA485" s="12" t="s">
        <v>57</v>
      </c>
      <c r="AB485" s="13" t="s">
        <v>57</v>
      </c>
      <c r="AC485" s="426" t="s">
        <v>55</v>
      </c>
      <c r="AD485" s="13" t="s">
        <v>57</v>
      </c>
      <c r="AE485" s="14">
        <v>46050</v>
      </c>
      <c r="AF485" s="13" t="s">
        <v>918</v>
      </c>
      <c r="AG485" s="13"/>
      <c r="AH485" s="84"/>
      <c r="AI485" s="178">
        <v>46037</v>
      </c>
      <c r="AJ485" s="144">
        <f t="shared" si="94"/>
        <v>35</v>
      </c>
      <c r="AK485" s="85">
        <f>VLOOKUP(AP485,'[2]CONTENEUR PLEIN'!$F:$L,3,FALSE)</f>
        <v>46072</v>
      </c>
      <c r="AL485" s="86">
        <f>VLOOKUP(AP485,'[2]CONTENEUR PLEIN'!$F:$L,5,FALSE)</f>
        <v>46112</v>
      </c>
      <c r="AM485" s="46" t="str">
        <f>VLOOKUP(AP485,'[2]CONTENEUR PLEIN'!$F:$L,7,FALSE)</f>
        <v>Estimée : 07-avril</v>
      </c>
      <c r="AN485" s="184" t="s">
        <v>63</v>
      </c>
      <c r="AO485" s="465" t="s">
        <v>951</v>
      </c>
      <c r="AP485" s="465" t="s">
        <v>952</v>
      </c>
      <c r="AQ485" s="465" t="s">
        <v>953</v>
      </c>
      <c r="AR485" s="75" t="str">
        <f>VLOOKUP(AP485,'[2]CONTENEUR PLEIN'!$F:$L,2,FALSE)</f>
        <v>CMA CGM ALEXANDER VON HUMBOLDT</v>
      </c>
      <c r="AS485" s="465" t="s">
        <v>316</v>
      </c>
      <c r="AT485" s="84"/>
    </row>
    <row r="486" spans="2:46" s="72" customFormat="1" hidden="1" x14ac:dyDescent="0.25">
      <c r="B486" s="466" t="s">
        <v>45</v>
      </c>
      <c r="C486" s="146">
        <v>45959</v>
      </c>
      <c r="D486" s="147">
        <v>25108</v>
      </c>
      <c r="E486" s="467" t="s">
        <v>552</v>
      </c>
      <c r="F486" s="147">
        <v>2510281008</v>
      </c>
      <c r="G486" s="468" t="s">
        <v>303</v>
      </c>
      <c r="H486" s="468" t="s">
        <v>46</v>
      </c>
      <c r="I486" s="468" t="s">
        <v>49</v>
      </c>
      <c r="J486" s="468" t="s">
        <v>46</v>
      </c>
      <c r="K486" s="469" t="s">
        <v>68</v>
      </c>
      <c r="L486" s="501">
        <v>46072</v>
      </c>
      <c r="M486" s="380" t="e">
        <f t="shared" si="90"/>
        <v>#VALUE!</v>
      </c>
      <c r="N486" s="77" t="s">
        <v>49</v>
      </c>
      <c r="O486" s="78">
        <v>20110034</v>
      </c>
      <c r="P486" s="42" t="str">
        <f>VLOOKUP(O486,[1]Feuil2!$A:$M,5,FALSE)</f>
        <v>FOURCHETTE LAGUIOLE HERITAGE EMOTION 18/10 VRAC + GENCOD</v>
      </c>
      <c r="Q486" s="75">
        <v>1920</v>
      </c>
      <c r="R486" s="79">
        <v>0.66500000000000004</v>
      </c>
      <c r="S486" s="80">
        <f t="shared" si="91"/>
        <v>1276.8000000000002</v>
      </c>
      <c r="T486" s="81">
        <f t="shared" si="95"/>
        <v>43673.1</v>
      </c>
      <c r="U486" s="139"/>
      <c r="V486" s="82">
        <f t="shared" si="92"/>
        <v>43673.1</v>
      </c>
      <c r="W486" s="9">
        <f>VLOOKUP(O486,[1]Feuil2!$A:$M,6,FALSE)</f>
        <v>240</v>
      </c>
      <c r="X486" s="10">
        <f>VLOOKUP(O486,[1]Feuil2!$A:$M,13,FALSE)</f>
        <v>3.0408749999999998E-2</v>
      </c>
      <c r="Y486" s="11">
        <f t="shared" si="93"/>
        <v>0.24326999999999999</v>
      </c>
      <c r="Z486" s="83">
        <f t="shared" si="82"/>
        <v>12.9015615</v>
      </c>
      <c r="AA486" s="12" t="s">
        <v>57</v>
      </c>
      <c r="AB486" s="13" t="s">
        <v>57</v>
      </c>
      <c r="AC486" s="426" t="s">
        <v>55</v>
      </c>
      <c r="AD486" s="13" t="s">
        <v>57</v>
      </c>
      <c r="AE486" s="14">
        <v>46049</v>
      </c>
      <c r="AF486" s="13" t="s">
        <v>908</v>
      </c>
      <c r="AG486" s="13"/>
      <c r="AH486" s="84"/>
      <c r="AI486" s="178">
        <v>46037</v>
      </c>
      <c r="AJ486" s="144">
        <f t="shared" si="94"/>
        <v>35</v>
      </c>
      <c r="AK486" s="85">
        <f>VLOOKUP(AP486,'[2]CONTENEUR PLEIN'!$F:$L,3,FALSE)</f>
        <v>46072</v>
      </c>
      <c r="AL486" s="86">
        <f>VLOOKUP(AP486,'[2]CONTENEUR PLEIN'!$F:$L,5,FALSE)</f>
        <v>46112</v>
      </c>
      <c r="AM486" s="46" t="str">
        <f>VLOOKUP(AP486,'[2]CONTENEUR PLEIN'!$F:$L,7,FALSE)</f>
        <v>Estimée : 07-avril</v>
      </c>
      <c r="AN486" s="184" t="s">
        <v>63</v>
      </c>
      <c r="AO486" s="465" t="s">
        <v>951</v>
      </c>
      <c r="AP486" s="465" t="s">
        <v>952</v>
      </c>
      <c r="AQ486" s="465" t="s">
        <v>953</v>
      </c>
      <c r="AR486" s="75" t="str">
        <f>VLOOKUP(AP486,'[2]CONTENEUR PLEIN'!$F:$L,2,FALSE)</f>
        <v>CMA CGM ALEXANDER VON HUMBOLDT</v>
      </c>
      <c r="AS486" s="465" t="s">
        <v>316</v>
      </c>
      <c r="AT486" s="84"/>
    </row>
    <row r="487" spans="2:46" s="72" customFormat="1" hidden="1" x14ac:dyDescent="0.25">
      <c r="B487" s="466" t="s">
        <v>45</v>
      </c>
      <c r="C487" s="146">
        <v>45959</v>
      </c>
      <c r="D487" s="147">
        <v>25108</v>
      </c>
      <c r="E487" s="467" t="s">
        <v>552</v>
      </c>
      <c r="F487" s="147">
        <v>2510281008</v>
      </c>
      <c r="G487" s="468" t="s">
        <v>303</v>
      </c>
      <c r="H487" s="468" t="s">
        <v>46</v>
      </c>
      <c r="I487" s="468" t="s">
        <v>49</v>
      </c>
      <c r="J487" s="468" t="s">
        <v>46</v>
      </c>
      <c r="K487" s="469" t="s">
        <v>68</v>
      </c>
      <c r="L487" s="501">
        <v>46072</v>
      </c>
      <c r="M487" s="380" t="e">
        <f t="shared" si="90"/>
        <v>#VALUE!</v>
      </c>
      <c r="N487" s="77" t="s">
        <v>49</v>
      </c>
      <c r="O487" s="78">
        <v>20110035</v>
      </c>
      <c r="P487" s="42" t="str">
        <f>VLOOKUP(O487,[1]Feuil2!$A:$M,5,FALSE)</f>
        <v>CUILLERE LAGUIOLE HERITAGE EMOTION 18/10 VRAC + GENCOD</v>
      </c>
      <c r="Q487" s="75">
        <v>1920</v>
      </c>
      <c r="R487" s="79">
        <v>0.66500000000000004</v>
      </c>
      <c r="S487" s="80">
        <f t="shared" si="91"/>
        <v>1276.8000000000002</v>
      </c>
      <c r="T487" s="81">
        <f t="shared" si="95"/>
        <v>43673.1</v>
      </c>
      <c r="U487" s="139"/>
      <c r="V487" s="82">
        <f t="shared" si="92"/>
        <v>43673.1</v>
      </c>
      <c r="W487" s="9">
        <f>VLOOKUP(O487,[1]Feuil2!$A:$M,6,FALSE)</f>
        <v>240</v>
      </c>
      <c r="X487" s="10">
        <f>VLOOKUP(O487,[1]Feuil2!$A:$M,13,FALSE)</f>
        <v>2.8346500000000004E-2</v>
      </c>
      <c r="Y487" s="11">
        <f t="shared" si="93"/>
        <v>0.22677200000000003</v>
      </c>
      <c r="Z487" s="83">
        <f t="shared" si="82"/>
        <v>12.9015615</v>
      </c>
      <c r="AA487" s="12" t="s">
        <v>57</v>
      </c>
      <c r="AB487" s="13" t="s">
        <v>57</v>
      </c>
      <c r="AC487" s="426" t="s">
        <v>55</v>
      </c>
      <c r="AD487" s="13" t="s">
        <v>57</v>
      </c>
      <c r="AE487" s="14">
        <v>46049</v>
      </c>
      <c r="AF487" s="13" t="s">
        <v>909</v>
      </c>
      <c r="AG487" s="13"/>
      <c r="AH487" s="84"/>
      <c r="AI487" s="178">
        <v>46037</v>
      </c>
      <c r="AJ487" s="144">
        <f t="shared" si="94"/>
        <v>35</v>
      </c>
      <c r="AK487" s="85">
        <f>VLOOKUP(AP487,'[2]CONTENEUR PLEIN'!$F:$L,3,FALSE)</f>
        <v>46072</v>
      </c>
      <c r="AL487" s="86">
        <f>VLOOKUP(AP487,'[2]CONTENEUR PLEIN'!$F:$L,5,FALSE)</f>
        <v>46112</v>
      </c>
      <c r="AM487" s="46" t="str">
        <f>VLOOKUP(AP487,'[2]CONTENEUR PLEIN'!$F:$L,7,FALSE)</f>
        <v>Estimée : 07-avril</v>
      </c>
      <c r="AN487" s="184" t="s">
        <v>63</v>
      </c>
      <c r="AO487" s="465" t="s">
        <v>951</v>
      </c>
      <c r="AP487" s="465" t="s">
        <v>952</v>
      </c>
      <c r="AQ487" s="465" t="s">
        <v>953</v>
      </c>
      <c r="AR487" s="75" t="str">
        <f>VLOOKUP(AP487,'[2]CONTENEUR PLEIN'!$F:$L,2,FALSE)</f>
        <v>CMA CGM ALEXANDER VON HUMBOLDT</v>
      </c>
      <c r="AS487" s="465" t="s">
        <v>316</v>
      </c>
      <c r="AT487" s="84"/>
    </row>
    <row r="488" spans="2:46" s="72" customFormat="1" hidden="1" x14ac:dyDescent="0.25">
      <c r="B488" s="466" t="s">
        <v>45</v>
      </c>
      <c r="C488" s="146">
        <v>45959</v>
      </c>
      <c r="D488" s="147">
        <v>25108</v>
      </c>
      <c r="E488" s="467" t="s">
        <v>552</v>
      </c>
      <c r="F488" s="147">
        <v>2510281008</v>
      </c>
      <c r="G488" s="468" t="s">
        <v>303</v>
      </c>
      <c r="H488" s="468" t="s">
        <v>46</v>
      </c>
      <c r="I488" s="468" t="s">
        <v>49</v>
      </c>
      <c r="J488" s="468" t="s">
        <v>46</v>
      </c>
      <c r="K488" s="469" t="s">
        <v>68</v>
      </c>
      <c r="L488" s="501">
        <v>46072</v>
      </c>
      <c r="M488" s="380" t="e">
        <f t="shared" si="90"/>
        <v>#VALUE!</v>
      </c>
      <c r="N488" s="77" t="s">
        <v>49</v>
      </c>
      <c r="O488" s="78">
        <v>20110036</v>
      </c>
      <c r="P488" s="42" t="str">
        <f>VLOOKUP(O488,[1]Feuil2!$A:$M,5,FALSE)</f>
        <v>CAFE LAGUIOLE HERITAGE EMOTION 18/10 VRAC + GENCOD</v>
      </c>
      <c r="Q488" s="75">
        <v>1920</v>
      </c>
      <c r="R488" s="79">
        <v>0.58299999999999996</v>
      </c>
      <c r="S488" s="80">
        <f t="shared" si="91"/>
        <v>1119.3599999999999</v>
      </c>
      <c r="T488" s="81">
        <f t="shared" si="95"/>
        <v>43673.1</v>
      </c>
      <c r="U488" s="139"/>
      <c r="V488" s="82">
        <f t="shared" si="92"/>
        <v>43673.1</v>
      </c>
      <c r="W488" s="9">
        <f>VLOOKUP(O488,[1]Feuil2!$A:$M,6,FALSE)</f>
        <v>240</v>
      </c>
      <c r="X488" s="10">
        <f>VLOOKUP(O488,[1]Feuil2!$A:$M,13,FALSE)</f>
        <v>1.8630000000000001E-2</v>
      </c>
      <c r="Y488" s="11">
        <f t="shared" si="93"/>
        <v>0.14904000000000001</v>
      </c>
      <c r="Z488" s="83">
        <f t="shared" si="82"/>
        <v>12.9015615</v>
      </c>
      <c r="AA488" s="12" t="s">
        <v>57</v>
      </c>
      <c r="AB488" s="13" t="s">
        <v>57</v>
      </c>
      <c r="AC488" s="426" t="s">
        <v>55</v>
      </c>
      <c r="AD488" s="13" t="s">
        <v>57</v>
      </c>
      <c r="AE488" s="14">
        <v>46049</v>
      </c>
      <c r="AF488" s="13" t="s">
        <v>910</v>
      </c>
      <c r="AG488" s="13"/>
      <c r="AH488" s="84"/>
      <c r="AI488" s="178">
        <v>46037</v>
      </c>
      <c r="AJ488" s="144">
        <f t="shared" si="94"/>
        <v>35</v>
      </c>
      <c r="AK488" s="85">
        <f>VLOOKUP(AP488,'[2]CONTENEUR PLEIN'!$F:$L,3,FALSE)</f>
        <v>46072</v>
      </c>
      <c r="AL488" s="86">
        <f>VLOOKUP(AP488,'[2]CONTENEUR PLEIN'!$F:$L,5,FALSE)</f>
        <v>46112</v>
      </c>
      <c r="AM488" s="46" t="str">
        <f>VLOOKUP(AP488,'[2]CONTENEUR PLEIN'!$F:$L,7,FALSE)</f>
        <v>Estimée : 07-avril</v>
      </c>
      <c r="AN488" s="184" t="s">
        <v>63</v>
      </c>
      <c r="AO488" s="465" t="s">
        <v>951</v>
      </c>
      <c r="AP488" s="465" t="s">
        <v>952</v>
      </c>
      <c r="AQ488" s="465" t="s">
        <v>953</v>
      </c>
      <c r="AR488" s="75" t="str">
        <f>VLOOKUP(AP488,'[2]CONTENEUR PLEIN'!$F:$L,2,FALSE)</f>
        <v>CMA CGM ALEXANDER VON HUMBOLDT</v>
      </c>
      <c r="AS488" s="465" t="s">
        <v>316</v>
      </c>
      <c r="AT488" s="84"/>
    </row>
    <row r="489" spans="2:46" s="72" customFormat="1" hidden="1" x14ac:dyDescent="0.25">
      <c r="B489" s="466" t="s">
        <v>45</v>
      </c>
      <c r="C489" s="146">
        <v>45959</v>
      </c>
      <c r="D489" s="147">
        <v>25108</v>
      </c>
      <c r="E489" s="467" t="s">
        <v>552</v>
      </c>
      <c r="F489" s="147">
        <v>2510281008</v>
      </c>
      <c r="G489" s="468" t="s">
        <v>303</v>
      </c>
      <c r="H489" s="468" t="s">
        <v>46</v>
      </c>
      <c r="I489" s="468" t="s">
        <v>49</v>
      </c>
      <c r="J489" s="468" t="s">
        <v>46</v>
      </c>
      <c r="K489" s="469" t="s">
        <v>68</v>
      </c>
      <c r="L489" s="501">
        <v>46072</v>
      </c>
      <c r="M489" s="380" t="e">
        <f t="shared" si="90"/>
        <v>#VALUE!</v>
      </c>
      <c r="N489" s="98" t="s">
        <v>62</v>
      </c>
      <c r="O489" s="78">
        <v>20110041</v>
      </c>
      <c r="P489" s="42" t="str">
        <f>VLOOKUP(O489,[1]Feuil2!$A:$M,5,FALSE)</f>
        <v>M16 LAGUIOLE HERITAGE EMOTION 18/10 SATIN BTE LAG HERITAGE</v>
      </c>
      <c r="Q489" s="75">
        <v>1926</v>
      </c>
      <c r="R489" s="79">
        <v>10.87</v>
      </c>
      <c r="S489" s="80">
        <f t="shared" si="91"/>
        <v>20935.62</v>
      </c>
      <c r="T489" s="81">
        <f t="shared" si="95"/>
        <v>43673.1</v>
      </c>
      <c r="U489" s="139"/>
      <c r="V489" s="82">
        <f t="shared" si="92"/>
        <v>43673.1</v>
      </c>
      <c r="W489" s="9">
        <f>VLOOKUP(O489,[1]Feuil2!$A:$M,6,FALSE)</f>
        <v>6</v>
      </c>
      <c r="X489" s="10">
        <f>VLOOKUP(O489,[1]Feuil2!$A:$M,13,FALSE)</f>
        <v>2.6784000000000002E-2</v>
      </c>
      <c r="Y489" s="11">
        <f t="shared" si="93"/>
        <v>8.597664</v>
      </c>
      <c r="Z489" s="83">
        <f t="shared" si="82"/>
        <v>12.9015615</v>
      </c>
      <c r="AA489" s="12" t="s">
        <v>57</v>
      </c>
      <c r="AB489" s="13" t="s">
        <v>57</v>
      </c>
      <c r="AC489" s="426" t="s">
        <v>55</v>
      </c>
      <c r="AD489" s="13" t="s">
        <v>57</v>
      </c>
      <c r="AE489" s="14">
        <v>46050</v>
      </c>
      <c r="AF489" s="13" t="s">
        <v>913</v>
      </c>
      <c r="AG489" s="13"/>
      <c r="AH489" s="84"/>
      <c r="AI489" s="178">
        <v>46037</v>
      </c>
      <c r="AJ489" s="144">
        <f t="shared" si="94"/>
        <v>35</v>
      </c>
      <c r="AK489" s="85">
        <f>VLOOKUP(AP489,'[2]CONTENEUR PLEIN'!$F:$L,3,FALSE)</f>
        <v>46072</v>
      </c>
      <c r="AL489" s="86">
        <f>VLOOKUP(AP489,'[2]CONTENEUR PLEIN'!$F:$L,5,FALSE)</f>
        <v>46112</v>
      </c>
      <c r="AM489" s="46" t="str">
        <f>VLOOKUP(AP489,'[2]CONTENEUR PLEIN'!$F:$L,7,FALSE)</f>
        <v>Estimée : 07-avril</v>
      </c>
      <c r="AN489" s="184" t="s">
        <v>63</v>
      </c>
      <c r="AO489" s="465" t="s">
        <v>951</v>
      </c>
      <c r="AP489" s="465" t="s">
        <v>952</v>
      </c>
      <c r="AQ489" s="465" t="s">
        <v>953</v>
      </c>
      <c r="AR489" s="75" t="str">
        <f>VLOOKUP(AP489,'[2]CONTENEUR PLEIN'!$F:$L,2,FALSE)</f>
        <v>CMA CGM ALEXANDER VON HUMBOLDT</v>
      </c>
      <c r="AS489" s="465" t="s">
        <v>316</v>
      </c>
      <c r="AT489" s="84"/>
    </row>
    <row r="490" spans="2:46" s="72" customFormat="1" hidden="1" x14ac:dyDescent="0.25">
      <c r="B490" s="466" t="s">
        <v>45</v>
      </c>
      <c r="C490" s="146">
        <v>45959</v>
      </c>
      <c r="D490" s="147">
        <v>25108</v>
      </c>
      <c r="E490" s="467" t="s">
        <v>552</v>
      </c>
      <c r="F490" s="147">
        <v>2510281008</v>
      </c>
      <c r="G490" s="468" t="s">
        <v>303</v>
      </c>
      <c r="H490" s="468" t="s">
        <v>46</v>
      </c>
      <c r="I490" s="468" t="s">
        <v>49</v>
      </c>
      <c r="J490" s="468" t="s">
        <v>46</v>
      </c>
      <c r="K490" s="469" t="s">
        <v>68</v>
      </c>
      <c r="L490" s="501">
        <v>46072</v>
      </c>
      <c r="M490" s="380" t="e">
        <f t="shared" si="90"/>
        <v>#VALUE!</v>
      </c>
      <c r="N490" s="77" t="s">
        <v>49</v>
      </c>
      <c r="O490" s="78">
        <v>20110056</v>
      </c>
      <c r="P490" s="42" t="str">
        <f>VLOOKUP(O490,[1]Feuil2!$A:$M,5,FALSE)</f>
        <v>COUTEAU LAGUIOLE HERITAGE EMOTION 18/10 SATIN VRAC + GENCOD</v>
      </c>
      <c r="Q490" s="75">
        <v>7200</v>
      </c>
      <c r="R490" s="79">
        <v>0.48099999999999998</v>
      </c>
      <c r="S490" s="80">
        <f t="shared" si="91"/>
        <v>3463.2</v>
      </c>
      <c r="T490" s="81">
        <f t="shared" si="95"/>
        <v>43673.1</v>
      </c>
      <c r="U490" s="139"/>
      <c r="V490" s="82">
        <f t="shared" si="92"/>
        <v>43673.1</v>
      </c>
      <c r="W490" s="9">
        <f>VLOOKUP(O490,[1]Feuil2!$A:$M,6,FALSE)</f>
        <v>120</v>
      </c>
      <c r="X490" s="10">
        <f>VLOOKUP(O490,[1]Feuil2!$A:$M,13,FALSE)</f>
        <v>1.7226000000000002E-2</v>
      </c>
      <c r="Y490" s="11">
        <f t="shared" si="93"/>
        <v>1.03356</v>
      </c>
      <c r="Z490" s="83">
        <f t="shared" si="82"/>
        <v>12.9015615</v>
      </c>
      <c r="AA490" s="12" t="s">
        <v>57</v>
      </c>
      <c r="AB490" s="13" t="s">
        <v>57</v>
      </c>
      <c r="AC490" s="426" t="s">
        <v>55</v>
      </c>
      <c r="AD490" s="13" t="s">
        <v>57</v>
      </c>
      <c r="AE490" s="14">
        <v>46049</v>
      </c>
      <c r="AF490" s="13" t="s">
        <v>905</v>
      </c>
      <c r="AG490" s="13"/>
      <c r="AH490" s="84"/>
      <c r="AI490" s="178">
        <v>46037</v>
      </c>
      <c r="AJ490" s="144">
        <f t="shared" si="94"/>
        <v>35</v>
      </c>
      <c r="AK490" s="85">
        <f>VLOOKUP(AP490,'[2]CONTENEUR PLEIN'!$F:$L,3,FALSE)</f>
        <v>46072</v>
      </c>
      <c r="AL490" s="86">
        <f>VLOOKUP(AP490,'[2]CONTENEUR PLEIN'!$F:$L,5,FALSE)</f>
        <v>46112</v>
      </c>
      <c r="AM490" s="46" t="str">
        <f>VLOOKUP(AP490,'[2]CONTENEUR PLEIN'!$F:$L,7,FALSE)</f>
        <v>Estimée : 07-avril</v>
      </c>
      <c r="AN490" s="184" t="s">
        <v>63</v>
      </c>
      <c r="AO490" s="465" t="s">
        <v>951</v>
      </c>
      <c r="AP490" s="465" t="s">
        <v>952</v>
      </c>
      <c r="AQ490" s="465" t="s">
        <v>953</v>
      </c>
      <c r="AR490" s="75" t="str">
        <f>VLOOKUP(AP490,'[2]CONTENEUR PLEIN'!$F:$L,2,FALSE)</f>
        <v>CMA CGM ALEXANDER VON HUMBOLDT</v>
      </c>
      <c r="AS490" s="465" t="s">
        <v>316</v>
      </c>
      <c r="AT490" s="84"/>
    </row>
    <row r="491" spans="2:46" s="72" customFormat="1" hidden="1" x14ac:dyDescent="0.25">
      <c r="B491" s="466" t="s">
        <v>45</v>
      </c>
      <c r="C491" s="146">
        <v>45959</v>
      </c>
      <c r="D491" s="147">
        <v>25108</v>
      </c>
      <c r="E491" s="467" t="s">
        <v>552</v>
      </c>
      <c r="F491" s="147">
        <v>2510281008</v>
      </c>
      <c r="G491" s="468" t="s">
        <v>303</v>
      </c>
      <c r="H491" s="468" t="s">
        <v>46</v>
      </c>
      <c r="I491" s="468" t="s">
        <v>49</v>
      </c>
      <c r="J491" s="468" t="s">
        <v>46</v>
      </c>
      <c r="K491" s="469" t="s">
        <v>68</v>
      </c>
      <c r="L491" s="501">
        <v>46072</v>
      </c>
      <c r="M491" s="380" t="e">
        <f t="shared" si="90"/>
        <v>#VALUE!</v>
      </c>
      <c r="N491" s="77" t="s">
        <v>49</v>
      </c>
      <c r="O491" s="78">
        <v>20110057</v>
      </c>
      <c r="P491" s="42" t="str">
        <f>VLOOKUP(O491,[1]Feuil2!$A:$M,5,FALSE)</f>
        <v>FOURCHETTE LAG HERITAGE EMOTION 18/10 SATIN VRAC + GENCOD</v>
      </c>
      <c r="Q491" s="75">
        <v>7200</v>
      </c>
      <c r="R491" s="79">
        <v>0.66500000000000004</v>
      </c>
      <c r="S491" s="80">
        <f t="shared" si="91"/>
        <v>4788</v>
      </c>
      <c r="T491" s="81">
        <f t="shared" si="95"/>
        <v>43673.1</v>
      </c>
      <c r="U491" s="139"/>
      <c r="V491" s="82">
        <f t="shared" si="92"/>
        <v>43673.1</v>
      </c>
      <c r="W491" s="9">
        <f>VLOOKUP(O491,[1]Feuil2!$A:$M,6,FALSE)</f>
        <v>240</v>
      </c>
      <c r="X491" s="10">
        <f>VLOOKUP(O491,[1]Feuil2!$A:$M,13,FALSE)</f>
        <v>3.0408749999999998E-2</v>
      </c>
      <c r="Y491" s="11">
        <f t="shared" si="93"/>
        <v>0.91226249999999998</v>
      </c>
      <c r="Z491" s="83">
        <f t="shared" si="82"/>
        <v>12.9015615</v>
      </c>
      <c r="AA491" s="12" t="s">
        <v>57</v>
      </c>
      <c r="AB491" s="13" t="s">
        <v>57</v>
      </c>
      <c r="AC491" s="426" t="s">
        <v>55</v>
      </c>
      <c r="AD491" s="13" t="s">
        <v>57</v>
      </c>
      <c r="AE491" s="14">
        <v>46050</v>
      </c>
      <c r="AF491" s="13" t="s">
        <v>917</v>
      </c>
      <c r="AG491" s="13"/>
      <c r="AH491" s="84"/>
      <c r="AI491" s="178">
        <v>46037</v>
      </c>
      <c r="AJ491" s="144">
        <f t="shared" si="94"/>
        <v>35</v>
      </c>
      <c r="AK491" s="85">
        <f>VLOOKUP(AP491,'[2]CONTENEUR PLEIN'!$F:$L,3,FALSE)</f>
        <v>46072</v>
      </c>
      <c r="AL491" s="86">
        <f>VLOOKUP(AP491,'[2]CONTENEUR PLEIN'!$F:$L,5,FALSE)</f>
        <v>46112</v>
      </c>
      <c r="AM491" s="46" t="str">
        <f>VLOOKUP(AP491,'[2]CONTENEUR PLEIN'!$F:$L,7,FALSE)</f>
        <v>Estimée : 07-avril</v>
      </c>
      <c r="AN491" s="184" t="s">
        <v>63</v>
      </c>
      <c r="AO491" s="465" t="s">
        <v>951</v>
      </c>
      <c r="AP491" s="465" t="s">
        <v>952</v>
      </c>
      <c r="AQ491" s="465" t="s">
        <v>953</v>
      </c>
      <c r="AR491" s="75" t="str">
        <f>VLOOKUP(AP491,'[2]CONTENEUR PLEIN'!$F:$L,2,FALSE)</f>
        <v>CMA CGM ALEXANDER VON HUMBOLDT</v>
      </c>
      <c r="AS491" s="465" t="s">
        <v>316</v>
      </c>
      <c r="AT491" s="84"/>
    </row>
    <row r="492" spans="2:46" s="72" customFormat="1" hidden="1" x14ac:dyDescent="0.25">
      <c r="B492" s="466" t="s">
        <v>45</v>
      </c>
      <c r="C492" s="146">
        <v>45959</v>
      </c>
      <c r="D492" s="147">
        <v>25108</v>
      </c>
      <c r="E492" s="467" t="s">
        <v>552</v>
      </c>
      <c r="F492" s="147">
        <v>2510281008</v>
      </c>
      <c r="G492" s="468" t="s">
        <v>303</v>
      </c>
      <c r="H492" s="468" t="s">
        <v>46</v>
      </c>
      <c r="I492" s="468" t="s">
        <v>49</v>
      </c>
      <c r="J492" s="468" t="s">
        <v>46</v>
      </c>
      <c r="K492" s="469" t="s">
        <v>68</v>
      </c>
      <c r="L492" s="501">
        <v>46072</v>
      </c>
      <c r="M492" s="380" t="e">
        <f t="shared" si="90"/>
        <v>#VALUE!</v>
      </c>
      <c r="N492" s="77" t="s">
        <v>49</v>
      </c>
      <c r="O492" s="78">
        <v>20110058</v>
      </c>
      <c r="P492" s="42" t="str">
        <f>VLOOKUP(O492,[1]Feuil2!$A:$M,5,FALSE)</f>
        <v>CUILLERE LAG HERITAGE EMOTION 18/10 SATIN VRAC + GENCOD</v>
      </c>
      <c r="Q492" s="75">
        <v>5280</v>
      </c>
      <c r="R492" s="79">
        <v>0.66500000000000004</v>
      </c>
      <c r="S492" s="80">
        <f t="shared" si="91"/>
        <v>3511.2000000000003</v>
      </c>
      <c r="T492" s="81">
        <f t="shared" si="95"/>
        <v>43673.1</v>
      </c>
      <c r="U492" s="139"/>
      <c r="V492" s="82">
        <f t="shared" si="92"/>
        <v>43673.1</v>
      </c>
      <c r="W492" s="9">
        <f>VLOOKUP(O492,[1]Feuil2!$A:$M,6,FALSE)</f>
        <v>240</v>
      </c>
      <c r="X492" s="10">
        <f>VLOOKUP(O492,[1]Feuil2!$A:$M,13,FALSE)</f>
        <v>2.8346500000000004E-2</v>
      </c>
      <c r="Y492" s="11">
        <f t="shared" si="93"/>
        <v>0.62362300000000004</v>
      </c>
      <c r="Z492" s="83">
        <f t="shared" si="82"/>
        <v>12.9015615</v>
      </c>
      <c r="AA492" s="12" t="s">
        <v>57</v>
      </c>
      <c r="AB492" s="13" t="s">
        <v>57</v>
      </c>
      <c r="AC492" s="426" t="s">
        <v>55</v>
      </c>
      <c r="AD492" s="13" t="s">
        <v>57</v>
      </c>
      <c r="AE492" s="14">
        <v>46049</v>
      </c>
      <c r="AF492" s="13" t="s">
        <v>906</v>
      </c>
      <c r="AG492" s="13"/>
      <c r="AH492" s="84"/>
      <c r="AI492" s="178">
        <v>46037</v>
      </c>
      <c r="AJ492" s="144">
        <f t="shared" si="94"/>
        <v>35</v>
      </c>
      <c r="AK492" s="85">
        <f>VLOOKUP(AP492,'[2]CONTENEUR PLEIN'!$F:$L,3,FALSE)</f>
        <v>46072</v>
      </c>
      <c r="AL492" s="86">
        <f>VLOOKUP(AP492,'[2]CONTENEUR PLEIN'!$F:$L,5,FALSE)</f>
        <v>46112</v>
      </c>
      <c r="AM492" s="46" t="str">
        <f>VLOOKUP(AP492,'[2]CONTENEUR PLEIN'!$F:$L,7,FALSE)</f>
        <v>Estimée : 07-avril</v>
      </c>
      <c r="AN492" s="184" t="s">
        <v>63</v>
      </c>
      <c r="AO492" s="465" t="s">
        <v>951</v>
      </c>
      <c r="AP492" s="465" t="s">
        <v>952</v>
      </c>
      <c r="AQ492" s="465" t="s">
        <v>953</v>
      </c>
      <c r="AR492" s="75" t="str">
        <f>VLOOKUP(AP492,'[2]CONTENEUR PLEIN'!$F:$L,2,FALSE)</f>
        <v>CMA CGM ALEXANDER VON HUMBOLDT</v>
      </c>
      <c r="AS492" s="465" t="s">
        <v>316</v>
      </c>
      <c r="AT492" s="84"/>
    </row>
    <row r="493" spans="2:46" s="72" customFormat="1" hidden="1" x14ac:dyDescent="0.25">
      <c r="B493" s="466" t="s">
        <v>45</v>
      </c>
      <c r="C493" s="146">
        <v>45959</v>
      </c>
      <c r="D493" s="147">
        <v>25108</v>
      </c>
      <c r="E493" s="467" t="s">
        <v>552</v>
      </c>
      <c r="F493" s="147">
        <v>2510281008</v>
      </c>
      <c r="G493" s="468" t="s">
        <v>303</v>
      </c>
      <c r="H493" s="468" t="s">
        <v>46</v>
      </c>
      <c r="I493" s="468" t="s">
        <v>49</v>
      </c>
      <c r="J493" s="468" t="s">
        <v>46</v>
      </c>
      <c r="K493" s="469" t="s">
        <v>68</v>
      </c>
      <c r="L493" s="501">
        <v>46072</v>
      </c>
      <c r="M493" s="380" t="e">
        <f t="shared" si="90"/>
        <v>#VALUE!</v>
      </c>
      <c r="N493" s="77" t="s">
        <v>49</v>
      </c>
      <c r="O493" s="78">
        <v>20110059</v>
      </c>
      <c r="P493" s="42" t="str">
        <f>VLOOKUP(O493,[1]Feuil2!$A:$M,5,FALSE)</f>
        <v>CAFE LAGUIOLE HERITAGE EMOTION 18/10 SATIN VRAC + GENCOD</v>
      </c>
      <c r="Q493" s="75">
        <v>11040</v>
      </c>
      <c r="R493" s="79">
        <v>0.58299999999999996</v>
      </c>
      <c r="S493" s="80">
        <f t="shared" si="91"/>
        <v>6436.32</v>
      </c>
      <c r="T493" s="81">
        <f t="shared" si="95"/>
        <v>43673.1</v>
      </c>
      <c r="U493" s="139"/>
      <c r="V493" s="82">
        <f t="shared" si="92"/>
        <v>43673.1</v>
      </c>
      <c r="W493" s="9">
        <f>VLOOKUP(O493,[1]Feuil2!$A:$M,6,FALSE)</f>
        <v>240</v>
      </c>
      <c r="X493" s="10">
        <f>VLOOKUP(O493,[1]Feuil2!$A:$M,13,FALSE)</f>
        <v>1.8630000000000001E-2</v>
      </c>
      <c r="Y493" s="11">
        <f t="shared" si="93"/>
        <v>0.85698000000000008</v>
      </c>
      <c r="Z493" s="83">
        <f t="shared" si="82"/>
        <v>12.9015615</v>
      </c>
      <c r="AA493" s="12" t="s">
        <v>57</v>
      </c>
      <c r="AB493" s="13" t="s">
        <v>57</v>
      </c>
      <c r="AC493" s="426" t="s">
        <v>55</v>
      </c>
      <c r="AD493" s="13" t="s">
        <v>57</v>
      </c>
      <c r="AE493" s="14">
        <v>46048</v>
      </c>
      <c r="AF493" s="13" t="s">
        <v>907</v>
      </c>
      <c r="AG493" s="13"/>
      <c r="AH493" s="84"/>
      <c r="AI493" s="178">
        <v>46037</v>
      </c>
      <c r="AJ493" s="144">
        <f t="shared" si="94"/>
        <v>35</v>
      </c>
      <c r="AK493" s="85">
        <f>VLOOKUP(AP493,'[2]CONTENEUR PLEIN'!$F:$L,3,FALSE)</f>
        <v>46072</v>
      </c>
      <c r="AL493" s="86">
        <f>VLOOKUP(AP493,'[2]CONTENEUR PLEIN'!$F:$L,5,FALSE)</f>
        <v>46112</v>
      </c>
      <c r="AM493" s="46" t="str">
        <f>VLOOKUP(AP493,'[2]CONTENEUR PLEIN'!$F:$L,7,FALSE)</f>
        <v>Estimée : 07-avril</v>
      </c>
      <c r="AN493" s="184" t="s">
        <v>63</v>
      </c>
      <c r="AO493" s="465" t="s">
        <v>951</v>
      </c>
      <c r="AP493" s="465" t="s">
        <v>952</v>
      </c>
      <c r="AQ493" s="465" t="s">
        <v>953</v>
      </c>
      <c r="AR493" s="75" t="str">
        <f>VLOOKUP(AP493,'[2]CONTENEUR PLEIN'!$F:$L,2,FALSE)</f>
        <v>CMA CGM ALEXANDER VON HUMBOLDT</v>
      </c>
      <c r="AS493" s="465" t="s">
        <v>316</v>
      </c>
      <c r="AT493" s="84"/>
    </row>
    <row r="494" spans="2:46" s="72" customFormat="1" hidden="1" x14ac:dyDescent="0.25">
      <c r="B494" s="466" t="s">
        <v>45</v>
      </c>
      <c r="C494" s="146">
        <v>45960</v>
      </c>
      <c r="D494" s="147">
        <v>25107</v>
      </c>
      <c r="E494" s="467" t="s">
        <v>568</v>
      </c>
      <c r="F494" s="147">
        <v>2510281527</v>
      </c>
      <c r="G494" s="468" t="s">
        <v>303</v>
      </c>
      <c r="H494" s="468" t="s">
        <v>46</v>
      </c>
      <c r="I494" s="468" t="s">
        <v>49</v>
      </c>
      <c r="J494" s="468" t="s">
        <v>46</v>
      </c>
      <c r="K494" s="469" t="s">
        <v>68</v>
      </c>
      <c r="L494" s="501">
        <v>46072</v>
      </c>
      <c r="M494" s="380" t="e">
        <f t="shared" si="90"/>
        <v>#VALUE!</v>
      </c>
      <c r="N494" s="77" t="s">
        <v>49</v>
      </c>
      <c r="O494" s="78">
        <v>433610</v>
      </c>
      <c r="P494" s="42" t="str">
        <f>VLOOKUP(O494,[1]Feuil2!$A:$M,5,FALSE)</f>
        <v>COUTEAU KOBE+GENCOD</v>
      </c>
      <c r="Q494" s="75">
        <v>4464</v>
      </c>
      <c r="R494" s="79">
        <v>0.41099999999999998</v>
      </c>
      <c r="S494" s="80">
        <f t="shared" si="91"/>
        <v>1834.704</v>
      </c>
      <c r="T494" s="81">
        <f t="shared" si="95"/>
        <v>38760.75</v>
      </c>
      <c r="U494" s="139"/>
      <c r="V494" s="82">
        <f t="shared" si="92"/>
        <v>38760.75</v>
      </c>
      <c r="W494" s="9">
        <f>VLOOKUP(O494,[1]Feuil2!$A:$M,6,FALSE)</f>
        <v>144</v>
      </c>
      <c r="X494" s="10">
        <f>VLOOKUP(O494,[1]Feuil2!$A:$M,13,FALSE)</f>
        <v>5.6857500000000007E-3</v>
      </c>
      <c r="Y494" s="11">
        <f t="shared" si="93"/>
        <v>0.17625825000000003</v>
      </c>
      <c r="Z494" s="83">
        <f t="shared" si="82"/>
        <v>17.716697375000003</v>
      </c>
      <c r="AA494" s="12" t="s">
        <v>57</v>
      </c>
      <c r="AB494" s="13" t="s">
        <v>57</v>
      </c>
      <c r="AC494" s="426" t="s">
        <v>55</v>
      </c>
      <c r="AD494" s="28" t="s">
        <v>61</v>
      </c>
      <c r="AE494" s="14">
        <v>46049</v>
      </c>
      <c r="AF494" s="13" t="s">
        <v>902</v>
      </c>
      <c r="AG494" s="13"/>
      <c r="AH494" s="84"/>
      <c r="AI494" s="178">
        <v>46047</v>
      </c>
      <c r="AJ494" s="144">
        <f t="shared" si="94"/>
        <v>25</v>
      </c>
      <c r="AK494" s="85">
        <f>VLOOKUP(AP494,'[2]CONTENEUR PLEIN'!$F:$L,3,FALSE)</f>
        <v>46072</v>
      </c>
      <c r="AL494" s="86">
        <f>VLOOKUP(AP494,'[2]CONTENEUR PLEIN'!$F:$L,5,FALSE)</f>
        <v>46112</v>
      </c>
      <c r="AM494" s="46" t="str">
        <f>VLOOKUP(AP494,'[2]CONTENEUR PLEIN'!$F:$L,7,FALSE)</f>
        <v>Estimée : 07-avril</v>
      </c>
      <c r="AN494" s="184" t="s">
        <v>63</v>
      </c>
      <c r="AO494" s="465" t="s">
        <v>951</v>
      </c>
      <c r="AP494" s="465" t="s">
        <v>952</v>
      </c>
      <c r="AQ494" s="465" t="s">
        <v>953</v>
      </c>
      <c r="AR494" s="75" t="str">
        <f>VLOOKUP(AP494,'[2]CONTENEUR PLEIN'!$F:$L,2,FALSE)</f>
        <v>CMA CGM ALEXANDER VON HUMBOLDT</v>
      </c>
      <c r="AS494" s="465" t="s">
        <v>316</v>
      </c>
      <c r="AT494" s="84"/>
    </row>
    <row r="495" spans="2:46" s="72" customFormat="1" hidden="1" x14ac:dyDescent="0.25">
      <c r="B495" s="466" t="s">
        <v>45</v>
      </c>
      <c r="C495" s="146">
        <v>45960</v>
      </c>
      <c r="D495" s="147">
        <v>25107</v>
      </c>
      <c r="E495" s="467" t="s">
        <v>568</v>
      </c>
      <c r="F495" s="147">
        <v>2510281527</v>
      </c>
      <c r="G495" s="468" t="s">
        <v>303</v>
      </c>
      <c r="H495" s="468" t="s">
        <v>46</v>
      </c>
      <c r="I495" s="468" t="s">
        <v>49</v>
      </c>
      <c r="J495" s="468" t="s">
        <v>46</v>
      </c>
      <c r="K495" s="469" t="s">
        <v>68</v>
      </c>
      <c r="L495" s="501">
        <v>46072</v>
      </c>
      <c r="M495" s="380" t="e">
        <f t="shared" si="90"/>
        <v>#VALUE!</v>
      </c>
      <c r="N495" s="77" t="s">
        <v>49</v>
      </c>
      <c r="O495" s="78">
        <v>433620</v>
      </c>
      <c r="P495" s="42" t="str">
        <f>VLOOKUP(O495,[1]Feuil2!$A:$M,5,FALSE)</f>
        <v>FOURCHETTE KOBE+GENCOD</v>
      </c>
      <c r="Q495" s="75">
        <v>8208</v>
      </c>
      <c r="R495" s="79">
        <v>0.39400000000000002</v>
      </c>
      <c r="S495" s="80">
        <f t="shared" si="91"/>
        <v>3233.9520000000002</v>
      </c>
      <c r="T495" s="81">
        <f t="shared" si="95"/>
        <v>38760.75</v>
      </c>
      <c r="U495" s="139"/>
      <c r="V495" s="82">
        <f t="shared" si="92"/>
        <v>38760.75</v>
      </c>
      <c r="W495" s="9">
        <f>VLOOKUP(O495,[1]Feuil2!$A:$M,6,FALSE)</f>
        <v>144</v>
      </c>
      <c r="X495" s="10">
        <f>VLOOKUP(O495,[1]Feuil2!$A:$M,13,FALSE)</f>
        <v>5.6857500000000007E-3</v>
      </c>
      <c r="Y495" s="11">
        <f t="shared" si="93"/>
        <v>0.32408775000000006</v>
      </c>
      <c r="Z495" s="83">
        <f t="shared" si="82"/>
        <v>17.716697375000003</v>
      </c>
      <c r="AA495" s="12" t="s">
        <v>57</v>
      </c>
      <c r="AB495" s="13" t="s">
        <v>57</v>
      </c>
      <c r="AC495" s="426" t="s">
        <v>55</v>
      </c>
      <c r="AD495" s="28" t="s">
        <v>61</v>
      </c>
      <c r="AE495" s="14">
        <v>46049</v>
      </c>
      <c r="AF495" s="13" t="s">
        <v>903</v>
      </c>
      <c r="AG495" s="13"/>
      <c r="AH495" s="84"/>
      <c r="AI495" s="178">
        <v>46047</v>
      </c>
      <c r="AJ495" s="144">
        <f t="shared" si="94"/>
        <v>25</v>
      </c>
      <c r="AK495" s="85">
        <f>VLOOKUP(AP495,'[2]CONTENEUR PLEIN'!$F:$L,3,FALSE)</f>
        <v>46072</v>
      </c>
      <c r="AL495" s="86">
        <f>VLOOKUP(AP495,'[2]CONTENEUR PLEIN'!$F:$L,5,FALSE)</f>
        <v>46112</v>
      </c>
      <c r="AM495" s="46" t="str">
        <f>VLOOKUP(AP495,'[2]CONTENEUR PLEIN'!$F:$L,7,FALSE)</f>
        <v>Estimée : 07-avril</v>
      </c>
      <c r="AN495" s="184" t="s">
        <v>63</v>
      </c>
      <c r="AO495" s="465" t="s">
        <v>951</v>
      </c>
      <c r="AP495" s="465" t="s">
        <v>952</v>
      </c>
      <c r="AQ495" s="465" t="s">
        <v>953</v>
      </c>
      <c r="AR495" s="75" t="str">
        <f>VLOOKUP(AP495,'[2]CONTENEUR PLEIN'!$F:$L,2,FALSE)</f>
        <v>CMA CGM ALEXANDER VON HUMBOLDT</v>
      </c>
      <c r="AS495" s="465" t="s">
        <v>316</v>
      </c>
      <c r="AT495" s="84"/>
    </row>
    <row r="496" spans="2:46" s="72" customFormat="1" hidden="1" x14ac:dyDescent="0.25">
      <c r="B496" s="466" t="s">
        <v>45</v>
      </c>
      <c r="C496" s="146">
        <v>45960</v>
      </c>
      <c r="D496" s="147">
        <v>25107</v>
      </c>
      <c r="E496" s="467" t="s">
        <v>568</v>
      </c>
      <c r="F496" s="147">
        <v>2510281527</v>
      </c>
      <c r="G496" s="468" t="s">
        <v>303</v>
      </c>
      <c r="H496" s="468" t="s">
        <v>46</v>
      </c>
      <c r="I496" s="468" t="s">
        <v>49</v>
      </c>
      <c r="J496" s="468" t="s">
        <v>46</v>
      </c>
      <c r="K496" s="469" t="s">
        <v>68</v>
      </c>
      <c r="L496" s="501">
        <v>46072</v>
      </c>
      <c r="M496" s="380" t="e">
        <f t="shared" si="90"/>
        <v>#VALUE!</v>
      </c>
      <c r="N496" s="77" t="s">
        <v>49</v>
      </c>
      <c r="O496" s="78">
        <v>433640</v>
      </c>
      <c r="P496" s="42" t="str">
        <f>VLOOKUP(O496,[1]Feuil2!$A:$M,5,FALSE)</f>
        <v>CAFE KOBE+GENCOD</v>
      </c>
      <c r="Q496" s="75">
        <v>10080</v>
      </c>
      <c r="R496" s="79">
        <v>0.30599999999999999</v>
      </c>
      <c r="S496" s="80">
        <f t="shared" si="91"/>
        <v>3084.48</v>
      </c>
      <c r="T496" s="81">
        <f t="shared" si="95"/>
        <v>38760.75</v>
      </c>
      <c r="U496" s="139"/>
      <c r="V496" s="82">
        <f t="shared" si="92"/>
        <v>38760.75</v>
      </c>
      <c r="W496" s="9">
        <f>VLOOKUP(O496,[1]Feuil2!$A:$M,6,FALSE)</f>
        <v>144</v>
      </c>
      <c r="X496" s="10">
        <f>VLOOKUP(O496,[1]Feuil2!$A:$M,13,FALSE)</f>
        <v>1.1826000000000001E-2</v>
      </c>
      <c r="Y496" s="11">
        <f t="shared" si="93"/>
        <v>0.82782000000000011</v>
      </c>
      <c r="Z496" s="83">
        <f t="shared" si="82"/>
        <v>17.716697375000003</v>
      </c>
      <c r="AA496" s="12" t="s">
        <v>57</v>
      </c>
      <c r="AB496" s="13" t="s">
        <v>57</v>
      </c>
      <c r="AC496" s="426" t="s">
        <v>55</v>
      </c>
      <c r="AD496" s="28" t="s">
        <v>61</v>
      </c>
      <c r="AE496" s="14">
        <v>46048</v>
      </c>
      <c r="AF496" s="13" t="s">
        <v>888</v>
      </c>
      <c r="AG496" s="13"/>
      <c r="AH496" s="84"/>
      <c r="AI496" s="178">
        <v>46047</v>
      </c>
      <c r="AJ496" s="144">
        <f t="shared" si="94"/>
        <v>25</v>
      </c>
      <c r="AK496" s="85">
        <f>VLOOKUP(AP496,'[2]CONTENEUR PLEIN'!$F:$L,3,FALSE)</f>
        <v>46072</v>
      </c>
      <c r="AL496" s="86">
        <f>VLOOKUP(AP496,'[2]CONTENEUR PLEIN'!$F:$L,5,FALSE)</f>
        <v>46112</v>
      </c>
      <c r="AM496" s="46" t="str">
        <f>VLOOKUP(AP496,'[2]CONTENEUR PLEIN'!$F:$L,7,FALSE)</f>
        <v>Estimée : 07-avril</v>
      </c>
      <c r="AN496" s="184" t="s">
        <v>63</v>
      </c>
      <c r="AO496" s="465" t="s">
        <v>951</v>
      </c>
      <c r="AP496" s="465" t="s">
        <v>952</v>
      </c>
      <c r="AQ496" s="465" t="s">
        <v>953</v>
      </c>
      <c r="AR496" s="75" t="str">
        <f>VLOOKUP(AP496,'[2]CONTENEUR PLEIN'!$F:$L,2,FALSE)</f>
        <v>CMA CGM ALEXANDER VON HUMBOLDT</v>
      </c>
      <c r="AS496" s="465" t="s">
        <v>316</v>
      </c>
      <c r="AT496" s="84"/>
    </row>
    <row r="497" spans="2:46" s="72" customFormat="1" hidden="1" x14ac:dyDescent="0.25">
      <c r="B497" s="466" t="s">
        <v>45</v>
      </c>
      <c r="C497" s="146">
        <v>45960</v>
      </c>
      <c r="D497" s="147">
        <v>25107</v>
      </c>
      <c r="E497" s="467" t="s">
        <v>568</v>
      </c>
      <c r="F497" s="147">
        <v>2510281527</v>
      </c>
      <c r="G497" s="468" t="s">
        <v>303</v>
      </c>
      <c r="H497" s="468" t="s">
        <v>46</v>
      </c>
      <c r="I497" s="468" t="s">
        <v>49</v>
      </c>
      <c r="J497" s="468" t="s">
        <v>46</v>
      </c>
      <c r="K497" s="469" t="s">
        <v>68</v>
      </c>
      <c r="L497" s="501">
        <v>46072</v>
      </c>
      <c r="M497" s="380" t="e">
        <f t="shared" si="90"/>
        <v>#VALUE!</v>
      </c>
      <c r="N497" s="98" t="s">
        <v>62</v>
      </c>
      <c r="O497" s="78">
        <v>433651</v>
      </c>
      <c r="P497" s="42" t="str">
        <f>VLOOKUP(O497,[1]Feuil2!$A:$M,5,FALSE)</f>
        <v>M16 KOBE BOITE COLLECTION INOX</v>
      </c>
      <c r="Q497" s="75">
        <v>1005</v>
      </c>
      <c r="R497" s="79">
        <v>6.39</v>
      </c>
      <c r="S497" s="80">
        <f t="shared" si="91"/>
        <v>6421.95</v>
      </c>
      <c r="T497" s="81">
        <f t="shared" si="95"/>
        <v>38760.75</v>
      </c>
      <c r="U497" s="139"/>
      <c r="V497" s="82">
        <f t="shared" si="92"/>
        <v>38760.75</v>
      </c>
      <c r="W497" s="9">
        <f>VLOOKUP(O497,[1]Feuil2!$A:$M,6,FALSE)</f>
        <v>3</v>
      </c>
      <c r="X497" s="10">
        <f>VLOOKUP(O497,[1]Feuil2!$A:$M,13,FALSE)</f>
        <v>1.8371124999999999E-2</v>
      </c>
      <c r="Y497" s="11">
        <f t="shared" si="93"/>
        <v>6.1543268749999998</v>
      </c>
      <c r="Z497" s="83">
        <f t="shared" si="82"/>
        <v>17.716697375000003</v>
      </c>
      <c r="AA497" s="12" t="s">
        <v>57</v>
      </c>
      <c r="AB497" s="13" t="s">
        <v>57</v>
      </c>
      <c r="AC497" s="426" t="s">
        <v>55</v>
      </c>
      <c r="AD497" s="28" t="s">
        <v>61</v>
      </c>
      <c r="AE497" s="14">
        <v>46050</v>
      </c>
      <c r="AF497" s="13" t="s">
        <v>916</v>
      </c>
      <c r="AG497" s="13"/>
      <c r="AH497" s="84"/>
      <c r="AI497" s="178">
        <v>46047</v>
      </c>
      <c r="AJ497" s="144">
        <f t="shared" si="94"/>
        <v>25</v>
      </c>
      <c r="AK497" s="85">
        <f>VLOOKUP(AP497,'[2]CONTENEUR PLEIN'!$F:$L,3,FALSE)</f>
        <v>46072</v>
      </c>
      <c r="AL497" s="86">
        <f>VLOOKUP(AP497,'[2]CONTENEUR PLEIN'!$F:$L,5,FALSE)</f>
        <v>46112</v>
      </c>
      <c r="AM497" s="46" t="str">
        <f>VLOOKUP(AP497,'[2]CONTENEUR PLEIN'!$F:$L,7,FALSE)</f>
        <v>Estimée : 07-avril</v>
      </c>
      <c r="AN497" s="184" t="s">
        <v>63</v>
      </c>
      <c r="AO497" s="465" t="s">
        <v>951</v>
      </c>
      <c r="AP497" s="465" t="s">
        <v>952</v>
      </c>
      <c r="AQ497" s="465" t="s">
        <v>953</v>
      </c>
      <c r="AR497" s="75" t="str">
        <f>VLOOKUP(AP497,'[2]CONTENEUR PLEIN'!$F:$L,2,FALSE)</f>
        <v>CMA CGM ALEXANDER VON HUMBOLDT</v>
      </c>
      <c r="AS497" s="465" t="s">
        <v>316</v>
      </c>
      <c r="AT497" s="84"/>
    </row>
    <row r="498" spans="2:46" s="72" customFormat="1" hidden="1" x14ac:dyDescent="0.25">
      <c r="B498" s="466" t="s">
        <v>45</v>
      </c>
      <c r="C498" s="146">
        <v>45960</v>
      </c>
      <c r="D498" s="147">
        <v>25107</v>
      </c>
      <c r="E498" s="467" t="s">
        <v>568</v>
      </c>
      <c r="F498" s="147">
        <v>2510281527</v>
      </c>
      <c r="G498" s="468" t="s">
        <v>303</v>
      </c>
      <c r="H498" s="468" t="s">
        <v>46</v>
      </c>
      <c r="I498" s="468" t="s">
        <v>49</v>
      </c>
      <c r="J498" s="468" t="s">
        <v>46</v>
      </c>
      <c r="K498" s="469" t="s">
        <v>68</v>
      </c>
      <c r="L498" s="501">
        <v>46072</v>
      </c>
      <c r="M498" s="380" t="e">
        <f t="shared" si="90"/>
        <v>#VALUE!</v>
      </c>
      <c r="N498" s="77" t="s">
        <v>49</v>
      </c>
      <c r="O498" s="78">
        <v>21150002</v>
      </c>
      <c r="P498" s="42" t="str">
        <f>VLOOKUP(O498,[1]Feuil2!$A:$M,5,FALSE)</f>
        <v>COUTEAU OLA + GENCOD</v>
      </c>
      <c r="Q498" s="75">
        <v>1200</v>
      </c>
      <c r="R498" s="79">
        <v>0.46800000000000003</v>
      </c>
      <c r="S498" s="80">
        <f t="shared" si="91"/>
        <v>561.6</v>
      </c>
      <c r="T498" s="81">
        <f t="shared" si="95"/>
        <v>38760.75</v>
      </c>
      <c r="U498" s="139"/>
      <c r="V498" s="82">
        <f t="shared" si="92"/>
        <v>38760.75</v>
      </c>
      <c r="W498" s="9">
        <f>VLOOKUP(O498,[1]Feuil2!$A:$M,6,FALSE)</f>
        <v>120</v>
      </c>
      <c r="X498" s="10">
        <f>VLOOKUP(O498,[1]Feuil2!$A:$M,13,FALSE)</f>
        <v>1.2600000000000002E-2</v>
      </c>
      <c r="Y498" s="11">
        <f t="shared" si="93"/>
        <v>0.12600000000000003</v>
      </c>
      <c r="Z498" s="83">
        <f t="shared" si="82"/>
        <v>17.716697375000003</v>
      </c>
      <c r="AA498" s="12" t="s">
        <v>57</v>
      </c>
      <c r="AB498" s="13" t="s">
        <v>57</v>
      </c>
      <c r="AC498" s="426" t="s">
        <v>55</v>
      </c>
      <c r="AD498" s="28" t="s">
        <v>61</v>
      </c>
      <c r="AE498" s="14">
        <v>46048</v>
      </c>
      <c r="AF498" s="13" t="s">
        <v>927</v>
      </c>
      <c r="AG498" s="13"/>
      <c r="AH498" s="84"/>
      <c r="AI498" s="178">
        <v>46047</v>
      </c>
      <c r="AJ498" s="144">
        <f t="shared" si="94"/>
        <v>25</v>
      </c>
      <c r="AK498" s="85">
        <f>VLOOKUP(AP498,'[2]CONTENEUR PLEIN'!$F:$L,3,FALSE)</f>
        <v>46072</v>
      </c>
      <c r="AL498" s="86">
        <f>VLOOKUP(AP498,'[2]CONTENEUR PLEIN'!$F:$L,5,FALSE)</f>
        <v>46112</v>
      </c>
      <c r="AM498" s="46" t="str">
        <f>VLOOKUP(AP498,'[2]CONTENEUR PLEIN'!$F:$L,7,FALSE)</f>
        <v>Estimée : 07-avril</v>
      </c>
      <c r="AN498" s="184" t="s">
        <v>63</v>
      </c>
      <c r="AO498" s="465" t="s">
        <v>951</v>
      </c>
      <c r="AP498" s="465" t="s">
        <v>952</v>
      </c>
      <c r="AQ498" s="465" t="s">
        <v>953</v>
      </c>
      <c r="AR498" s="75" t="str">
        <f>VLOOKUP(AP498,'[2]CONTENEUR PLEIN'!$F:$L,2,FALSE)</f>
        <v>CMA CGM ALEXANDER VON HUMBOLDT</v>
      </c>
      <c r="AS498" s="465" t="s">
        <v>316</v>
      </c>
      <c r="AT498" s="84"/>
    </row>
    <row r="499" spans="2:46" s="72" customFormat="1" hidden="1" x14ac:dyDescent="0.25">
      <c r="B499" s="466" t="s">
        <v>45</v>
      </c>
      <c r="C499" s="146">
        <v>45960</v>
      </c>
      <c r="D499" s="147">
        <v>25107</v>
      </c>
      <c r="E499" s="467" t="s">
        <v>568</v>
      </c>
      <c r="F499" s="147">
        <v>2510281527</v>
      </c>
      <c r="G499" s="468" t="s">
        <v>303</v>
      </c>
      <c r="H499" s="468" t="s">
        <v>46</v>
      </c>
      <c r="I499" s="468" t="s">
        <v>49</v>
      </c>
      <c r="J499" s="468" t="s">
        <v>46</v>
      </c>
      <c r="K499" s="469" t="s">
        <v>68</v>
      </c>
      <c r="L499" s="501">
        <v>46072</v>
      </c>
      <c r="M499" s="380" t="e">
        <f t="shared" si="90"/>
        <v>#VALUE!</v>
      </c>
      <c r="N499" s="98" t="s">
        <v>62</v>
      </c>
      <c r="O499" s="78">
        <v>21450002</v>
      </c>
      <c r="P499" s="42" t="str">
        <f>VLOOKUP(O499,[1]Feuil2!$A:$M,5,FALSE)</f>
        <v>FOURCHETTE RIVAGE EN BOITE PEGBOARDABLE</v>
      </c>
      <c r="Q499" s="75">
        <v>6192</v>
      </c>
      <c r="R499" s="79">
        <v>0.26</v>
      </c>
      <c r="S499" s="80">
        <f t="shared" si="91"/>
        <v>1609.92</v>
      </c>
      <c r="T499" s="81">
        <f t="shared" si="95"/>
        <v>38760.75</v>
      </c>
      <c r="U499" s="139"/>
      <c r="V499" s="82">
        <f t="shared" si="92"/>
        <v>38760.75</v>
      </c>
      <c r="W499" s="9">
        <f>VLOOKUP(O499,[1]Feuil2!$A:$M,6,FALSE)</f>
        <v>72</v>
      </c>
      <c r="X499" s="10">
        <f>VLOOKUP(O499,[1]Feuil2!$A:$M,13,FALSE)</f>
        <v>1.1220000000000001E-2</v>
      </c>
      <c r="Y499" s="11">
        <f t="shared" si="93"/>
        <v>0.96492000000000011</v>
      </c>
      <c r="Z499" s="83">
        <f t="shared" si="82"/>
        <v>17.716697375000003</v>
      </c>
      <c r="AA499" s="12" t="s">
        <v>57</v>
      </c>
      <c r="AB499" s="13" t="s">
        <v>57</v>
      </c>
      <c r="AC499" s="426" t="s">
        <v>55</v>
      </c>
      <c r="AD499" s="13" t="s">
        <v>57</v>
      </c>
      <c r="AE499" s="14">
        <v>46046</v>
      </c>
      <c r="AF499" s="13" t="s">
        <v>879</v>
      </c>
      <c r="AG499" s="13"/>
      <c r="AH499" s="84"/>
      <c r="AI499" s="178">
        <v>46047</v>
      </c>
      <c r="AJ499" s="144">
        <f t="shared" si="94"/>
        <v>25</v>
      </c>
      <c r="AK499" s="85">
        <f>VLOOKUP(AP499,'[2]CONTENEUR PLEIN'!$F:$L,3,FALSE)</f>
        <v>46072</v>
      </c>
      <c r="AL499" s="86">
        <f>VLOOKUP(AP499,'[2]CONTENEUR PLEIN'!$F:$L,5,FALSE)</f>
        <v>46112</v>
      </c>
      <c r="AM499" s="46" t="str">
        <f>VLOOKUP(AP499,'[2]CONTENEUR PLEIN'!$F:$L,7,FALSE)</f>
        <v>Estimée : 07-avril</v>
      </c>
      <c r="AN499" s="184" t="s">
        <v>63</v>
      </c>
      <c r="AO499" s="465" t="s">
        <v>951</v>
      </c>
      <c r="AP499" s="465" t="s">
        <v>952</v>
      </c>
      <c r="AQ499" s="465" t="s">
        <v>953</v>
      </c>
      <c r="AR499" s="75" t="str">
        <f>VLOOKUP(AP499,'[2]CONTENEUR PLEIN'!$F:$L,2,FALSE)</f>
        <v>CMA CGM ALEXANDER VON HUMBOLDT</v>
      </c>
      <c r="AS499" s="465" t="s">
        <v>316</v>
      </c>
      <c r="AT499" s="84"/>
    </row>
    <row r="500" spans="2:46" s="72" customFormat="1" hidden="1" x14ac:dyDescent="0.25">
      <c r="B500" s="466" t="s">
        <v>45</v>
      </c>
      <c r="C500" s="146">
        <v>45960</v>
      </c>
      <c r="D500" s="147">
        <v>25107</v>
      </c>
      <c r="E500" s="467" t="s">
        <v>568</v>
      </c>
      <c r="F500" s="147">
        <v>2510281527</v>
      </c>
      <c r="G500" s="468" t="s">
        <v>303</v>
      </c>
      <c r="H500" s="468" t="s">
        <v>46</v>
      </c>
      <c r="I500" s="468" t="s">
        <v>49</v>
      </c>
      <c r="J500" s="468" t="s">
        <v>46</v>
      </c>
      <c r="K500" s="469" t="s">
        <v>68</v>
      </c>
      <c r="L500" s="501">
        <v>46072</v>
      </c>
      <c r="M500" s="380" t="e">
        <f t="shared" si="90"/>
        <v>#VALUE!</v>
      </c>
      <c r="N500" s="98" t="s">
        <v>62</v>
      </c>
      <c r="O500" s="78">
        <v>21450003</v>
      </c>
      <c r="P500" s="42" t="str">
        <f>VLOOKUP(O500,[1]Feuil2!$A:$M,5,FALSE)</f>
        <v>CUILLERE RIVAGE EN BOITE PEGBOARDABLE</v>
      </c>
      <c r="Q500" s="75">
        <v>1008</v>
      </c>
      <c r="R500" s="79">
        <v>0.27500000000000002</v>
      </c>
      <c r="S500" s="80">
        <f t="shared" si="91"/>
        <v>277.20000000000005</v>
      </c>
      <c r="T500" s="81">
        <f t="shared" si="95"/>
        <v>38760.75</v>
      </c>
      <c r="U500" s="139"/>
      <c r="V500" s="82">
        <f t="shared" si="92"/>
        <v>38760.75</v>
      </c>
      <c r="W500" s="9">
        <f>VLOOKUP(O500,[1]Feuil2!$A:$M,6,FALSE)</f>
        <v>72</v>
      </c>
      <c r="X500" s="10">
        <f>VLOOKUP(O500,[1]Feuil2!$A:$M,13,FALSE)</f>
        <v>1.4255999999999998E-2</v>
      </c>
      <c r="Y500" s="11">
        <f t="shared" si="93"/>
        <v>0.19958399999999998</v>
      </c>
      <c r="Z500" s="83">
        <f t="shared" si="82"/>
        <v>17.716697375000003</v>
      </c>
      <c r="AA500" s="12" t="s">
        <v>57</v>
      </c>
      <c r="AB500" s="13" t="s">
        <v>57</v>
      </c>
      <c r="AC500" s="426" t="s">
        <v>55</v>
      </c>
      <c r="AD500" s="13" t="s">
        <v>57</v>
      </c>
      <c r="AE500" s="14">
        <v>46046</v>
      </c>
      <c r="AF500" s="13" t="s">
        <v>880</v>
      </c>
      <c r="AG500" s="13"/>
      <c r="AH500" s="84"/>
      <c r="AI500" s="178">
        <v>46047</v>
      </c>
      <c r="AJ500" s="144">
        <f t="shared" si="94"/>
        <v>25</v>
      </c>
      <c r="AK500" s="85">
        <f>VLOOKUP(AP500,'[2]CONTENEUR PLEIN'!$F:$L,3,FALSE)</f>
        <v>46072</v>
      </c>
      <c r="AL500" s="86">
        <f>VLOOKUP(AP500,'[2]CONTENEUR PLEIN'!$F:$L,5,FALSE)</f>
        <v>46112</v>
      </c>
      <c r="AM500" s="46" t="str">
        <f>VLOOKUP(AP500,'[2]CONTENEUR PLEIN'!$F:$L,7,FALSE)</f>
        <v>Estimée : 07-avril</v>
      </c>
      <c r="AN500" s="184" t="s">
        <v>63</v>
      </c>
      <c r="AO500" s="465" t="s">
        <v>951</v>
      </c>
      <c r="AP500" s="465" t="s">
        <v>952</v>
      </c>
      <c r="AQ500" s="465" t="s">
        <v>953</v>
      </c>
      <c r="AR500" s="75" t="str">
        <f>VLOOKUP(AP500,'[2]CONTENEUR PLEIN'!$F:$L,2,FALSE)</f>
        <v>CMA CGM ALEXANDER VON HUMBOLDT</v>
      </c>
      <c r="AS500" s="465" t="s">
        <v>316</v>
      </c>
      <c r="AT500" s="84"/>
    </row>
    <row r="501" spans="2:46" s="72" customFormat="1" hidden="1" x14ac:dyDescent="0.25">
      <c r="B501" s="466" t="s">
        <v>45</v>
      </c>
      <c r="C501" s="146">
        <v>45960</v>
      </c>
      <c r="D501" s="147">
        <v>25107</v>
      </c>
      <c r="E501" s="467" t="s">
        <v>568</v>
      </c>
      <c r="F501" s="147">
        <v>2510281527</v>
      </c>
      <c r="G501" s="468" t="s">
        <v>303</v>
      </c>
      <c r="H501" s="468" t="s">
        <v>46</v>
      </c>
      <c r="I501" s="468" t="s">
        <v>49</v>
      </c>
      <c r="J501" s="468" t="s">
        <v>46</v>
      </c>
      <c r="K501" s="469" t="s">
        <v>68</v>
      </c>
      <c r="L501" s="501">
        <v>46072</v>
      </c>
      <c r="M501" s="380" t="e">
        <f t="shared" si="90"/>
        <v>#VALUE!</v>
      </c>
      <c r="N501" s="98" t="s">
        <v>62</v>
      </c>
      <c r="O501" s="78">
        <v>21450004</v>
      </c>
      <c r="P501" s="42" t="str">
        <f>VLOOKUP(O501,[1]Feuil2!$A:$M,5,FALSE)</f>
        <v>CAFE RIVAGE EN BOITE PEGBOARDABLE</v>
      </c>
      <c r="Q501" s="75">
        <v>3312</v>
      </c>
      <c r="R501" s="79">
        <v>0.18099999999999999</v>
      </c>
      <c r="S501" s="80">
        <f t="shared" si="91"/>
        <v>599.47199999999998</v>
      </c>
      <c r="T501" s="81">
        <f t="shared" si="95"/>
        <v>38760.75</v>
      </c>
      <c r="U501" s="139"/>
      <c r="V501" s="82">
        <f t="shared" si="92"/>
        <v>38760.75</v>
      </c>
      <c r="W501" s="9">
        <f>VLOOKUP(O501,[1]Feuil2!$A:$M,6,FALSE)</f>
        <v>72</v>
      </c>
      <c r="X501" s="10">
        <f>VLOOKUP(O501,[1]Feuil2!$A:$M,13,FALSE)</f>
        <v>6.9540000000000001E-3</v>
      </c>
      <c r="Y501" s="11">
        <f t="shared" si="93"/>
        <v>0.319884</v>
      </c>
      <c r="Z501" s="83">
        <f t="shared" si="82"/>
        <v>17.716697375000003</v>
      </c>
      <c r="AA501" s="12" t="s">
        <v>57</v>
      </c>
      <c r="AB501" s="13" t="s">
        <v>57</v>
      </c>
      <c r="AC501" s="426" t="s">
        <v>55</v>
      </c>
      <c r="AD501" s="13" t="s">
        <v>57</v>
      </c>
      <c r="AE501" s="14">
        <v>46046</v>
      </c>
      <c r="AF501" s="13" t="s">
        <v>881</v>
      </c>
      <c r="AG501" s="13"/>
      <c r="AH501" s="84"/>
      <c r="AI501" s="178">
        <v>46047</v>
      </c>
      <c r="AJ501" s="144">
        <f t="shared" si="94"/>
        <v>25</v>
      </c>
      <c r="AK501" s="85">
        <f>VLOOKUP(AP501,'[2]CONTENEUR PLEIN'!$F:$L,3,FALSE)</f>
        <v>46072</v>
      </c>
      <c r="AL501" s="86">
        <f>VLOOKUP(AP501,'[2]CONTENEUR PLEIN'!$F:$L,5,FALSE)</f>
        <v>46112</v>
      </c>
      <c r="AM501" s="46" t="str">
        <f>VLOOKUP(AP501,'[2]CONTENEUR PLEIN'!$F:$L,7,FALSE)</f>
        <v>Estimée : 07-avril</v>
      </c>
      <c r="AN501" s="184" t="s">
        <v>63</v>
      </c>
      <c r="AO501" s="465" t="s">
        <v>951</v>
      </c>
      <c r="AP501" s="465" t="s">
        <v>952</v>
      </c>
      <c r="AQ501" s="465" t="s">
        <v>953</v>
      </c>
      <c r="AR501" s="75" t="str">
        <f>VLOOKUP(AP501,'[2]CONTENEUR PLEIN'!$F:$L,2,FALSE)</f>
        <v>CMA CGM ALEXANDER VON HUMBOLDT</v>
      </c>
      <c r="AS501" s="465" t="s">
        <v>316</v>
      </c>
      <c r="AT501" s="84"/>
    </row>
    <row r="502" spans="2:46" s="72" customFormat="1" hidden="1" x14ac:dyDescent="0.25">
      <c r="B502" s="466" t="s">
        <v>45</v>
      </c>
      <c r="C502" s="146">
        <v>45960</v>
      </c>
      <c r="D502" s="147">
        <v>25107</v>
      </c>
      <c r="E502" s="467" t="s">
        <v>568</v>
      </c>
      <c r="F502" s="147">
        <v>2510281527</v>
      </c>
      <c r="G502" s="468" t="s">
        <v>303</v>
      </c>
      <c r="H502" s="468" t="s">
        <v>46</v>
      </c>
      <c r="I502" s="468" t="s">
        <v>49</v>
      </c>
      <c r="J502" s="468" t="s">
        <v>46</v>
      </c>
      <c r="K502" s="469" t="s">
        <v>68</v>
      </c>
      <c r="L502" s="501">
        <v>46072</v>
      </c>
      <c r="M502" s="380" t="e">
        <f t="shared" si="90"/>
        <v>#VALUE!</v>
      </c>
      <c r="N502" s="98" t="s">
        <v>62</v>
      </c>
      <c r="O502" s="78">
        <v>21450005</v>
      </c>
      <c r="P502" s="42" t="str">
        <f>VLOOKUP(O502,[1]Feuil2!$A:$M,5,FALSE)</f>
        <v>COUTEAU STEAK RIVAGE EN BOITE PEGBOARDABLE</v>
      </c>
      <c r="Q502" s="75">
        <v>2232</v>
      </c>
      <c r="R502" s="79">
        <v>0.372</v>
      </c>
      <c r="S502" s="80">
        <f t="shared" si="91"/>
        <v>830.30399999999997</v>
      </c>
      <c r="T502" s="81">
        <f t="shared" si="95"/>
        <v>38760.75</v>
      </c>
      <c r="U502" s="139"/>
      <c r="V502" s="82">
        <f t="shared" si="92"/>
        <v>38760.75</v>
      </c>
      <c r="W502" s="9">
        <f>VLOOKUP(O502,[1]Feuil2!$A:$M,6,FALSE)</f>
        <v>72</v>
      </c>
      <c r="X502" s="10">
        <f>VLOOKUP(O502,[1]Feuil2!$A:$M,13,FALSE)</f>
        <v>1.1071499999999998E-2</v>
      </c>
      <c r="Y502" s="11">
        <f t="shared" si="93"/>
        <v>0.34321649999999992</v>
      </c>
      <c r="Z502" s="83">
        <f t="shared" si="82"/>
        <v>17.716697375000003</v>
      </c>
      <c r="AA502" s="12" t="s">
        <v>57</v>
      </c>
      <c r="AB502" s="13" t="s">
        <v>57</v>
      </c>
      <c r="AC502" s="426" t="s">
        <v>55</v>
      </c>
      <c r="AD502" s="13" t="s">
        <v>57</v>
      </c>
      <c r="AE502" s="14">
        <v>46049</v>
      </c>
      <c r="AF502" s="13" t="s">
        <v>904</v>
      </c>
      <c r="AG502" s="13"/>
      <c r="AH502" s="84"/>
      <c r="AI502" s="178">
        <v>46047</v>
      </c>
      <c r="AJ502" s="144">
        <f t="shared" si="94"/>
        <v>25</v>
      </c>
      <c r="AK502" s="85">
        <f>VLOOKUP(AP502,'[2]CONTENEUR PLEIN'!$F:$L,3,FALSE)</f>
        <v>46072</v>
      </c>
      <c r="AL502" s="86">
        <f>VLOOKUP(AP502,'[2]CONTENEUR PLEIN'!$F:$L,5,FALSE)</f>
        <v>46112</v>
      </c>
      <c r="AM502" s="46" t="str">
        <f>VLOOKUP(AP502,'[2]CONTENEUR PLEIN'!$F:$L,7,FALSE)</f>
        <v>Estimée : 07-avril</v>
      </c>
      <c r="AN502" s="184" t="s">
        <v>63</v>
      </c>
      <c r="AO502" s="465" t="s">
        <v>951</v>
      </c>
      <c r="AP502" s="465" t="s">
        <v>952</v>
      </c>
      <c r="AQ502" s="465" t="s">
        <v>953</v>
      </c>
      <c r="AR502" s="75" t="str">
        <f>VLOOKUP(AP502,'[2]CONTENEUR PLEIN'!$F:$L,2,FALSE)</f>
        <v>CMA CGM ALEXANDER VON HUMBOLDT</v>
      </c>
      <c r="AS502" s="465" t="s">
        <v>316</v>
      </c>
      <c r="AT502" s="84"/>
    </row>
    <row r="503" spans="2:46" s="72" customFormat="1" hidden="1" x14ac:dyDescent="0.25">
      <c r="B503" s="466" t="s">
        <v>45</v>
      </c>
      <c r="C503" s="146">
        <v>45960</v>
      </c>
      <c r="D503" s="147">
        <v>25107</v>
      </c>
      <c r="E503" s="467" t="s">
        <v>568</v>
      </c>
      <c r="F503" s="147">
        <v>2510281527</v>
      </c>
      <c r="G503" s="468" t="s">
        <v>303</v>
      </c>
      <c r="H503" s="468" t="s">
        <v>46</v>
      </c>
      <c r="I503" s="468" t="s">
        <v>49</v>
      </c>
      <c r="J503" s="468" t="s">
        <v>46</v>
      </c>
      <c r="K503" s="469" t="s">
        <v>68</v>
      </c>
      <c r="L503" s="501">
        <v>46072</v>
      </c>
      <c r="M503" s="380" t="e">
        <f t="shared" si="90"/>
        <v>#VALUE!</v>
      </c>
      <c r="N503" s="98" t="s">
        <v>62</v>
      </c>
      <c r="O503" s="78">
        <v>21450008</v>
      </c>
      <c r="P503" s="42" t="str">
        <f>VLOOKUP(O503,[1]Feuil2!$A:$M,5,FALSE)</f>
        <v>CUILLERE DESSERT RIVAGE EN BOITE PEGBOARDABLE</v>
      </c>
      <c r="Q503" s="75">
        <v>2016</v>
      </c>
      <c r="R503" s="79">
        <v>0.215</v>
      </c>
      <c r="S503" s="80">
        <f t="shared" si="91"/>
        <v>433.44</v>
      </c>
      <c r="T503" s="81">
        <f t="shared" si="95"/>
        <v>38760.75</v>
      </c>
      <c r="U503" s="139"/>
      <c r="V503" s="82">
        <f t="shared" si="92"/>
        <v>38760.75</v>
      </c>
      <c r="W503" s="9">
        <f>VLOOKUP(O503,[1]Feuil2!$A:$M,6,FALSE)</f>
        <v>72</v>
      </c>
      <c r="X503" s="10">
        <f>VLOOKUP(O503,[1]Feuil2!$A:$M,13,FALSE)</f>
        <v>1.2413499999999999E-2</v>
      </c>
      <c r="Y503" s="11">
        <f t="shared" si="93"/>
        <v>0.347578</v>
      </c>
      <c r="Z503" s="83">
        <f t="shared" si="82"/>
        <v>17.716697375000003</v>
      </c>
      <c r="AA503" s="12" t="s">
        <v>57</v>
      </c>
      <c r="AB503" s="13" t="s">
        <v>57</v>
      </c>
      <c r="AC503" s="426" t="s">
        <v>55</v>
      </c>
      <c r="AD503" s="13" t="s">
        <v>57</v>
      </c>
      <c r="AE503" s="14">
        <v>46048</v>
      </c>
      <c r="AF503" s="437" t="s">
        <v>912</v>
      </c>
      <c r="AG503" s="13"/>
      <c r="AH503" s="84"/>
      <c r="AI503" s="178">
        <v>46047</v>
      </c>
      <c r="AJ503" s="144">
        <f t="shared" si="94"/>
        <v>25</v>
      </c>
      <c r="AK503" s="85">
        <f>VLOOKUP(AP503,'[2]CONTENEUR PLEIN'!$F:$L,3,FALSE)</f>
        <v>46072</v>
      </c>
      <c r="AL503" s="86">
        <f>VLOOKUP(AP503,'[2]CONTENEUR PLEIN'!$F:$L,5,FALSE)</f>
        <v>46112</v>
      </c>
      <c r="AM503" s="46" t="str">
        <f>VLOOKUP(AP503,'[2]CONTENEUR PLEIN'!$F:$L,7,FALSE)</f>
        <v>Estimée : 07-avril</v>
      </c>
      <c r="AN503" s="184" t="s">
        <v>63</v>
      </c>
      <c r="AO503" s="465" t="s">
        <v>951</v>
      </c>
      <c r="AP503" s="465" t="s">
        <v>952</v>
      </c>
      <c r="AQ503" s="465" t="s">
        <v>953</v>
      </c>
      <c r="AR503" s="75" t="str">
        <f>VLOOKUP(AP503,'[2]CONTENEUR PLEIN'!$F:$L,2,FALSE)</f>
        <v>CMA CGM ALEXANDER VON HUMBOLDT</v>
      </c>
      <c r="AS503" s="465" t="s">
        <v>316</v>
      </c>
      <c r="AT503" s="84"/>
    </row>
    <row r="504" spans="2:46" s="72" customFormat="1" hidden="1" x14ac:dyDescent="0.25">
      <c r="B504" s="466" t="s">
        <v>45</v>
      </c>
      <c r="C504" s="146">
        <v>45960</v>
      </c>
      <c r="D504" s="147">
        <v>25107</v>
      </c>
      <c r="E504" s="467" t="s">
        <v>568</v>
      </c>
      <c r="F504" s="147">
        <v>2510281527</v>
      </c>
      <c r="G504" s="468" t="s">
        <v>303</v>
      </c>
      <c r="H504" s="468" t="s">
        <v>46</v>
      </c>
      <c r="I504" s="468" t="s">
        <v>49</v>
      </c>
      <c r="J504" s="468" t="s">
        <v>46</v>
      </c>
      <c r="K504" s="469" t="s">
        <v>68</v>
      </c>
      <c r="L504" s="501">
        <v>46072</v>
      </c>
      <c r="M504" s="380" t="e">
        <f t="shared" si="90"/>
        <v>#VALUE!</v>
      </c>
      <c r="N504" s="98" t="s">
        <v>62</v>
      </c>
      <c r="O504" s="78">
        <v>21480002</v>
      </c>
      <c r="P504" s="42" t="str">
        <f>VLOOKUP(O504,[1]Feuil2!$A:$M,5,FALSE)</f>
        <v>FOURCHETTE BASIQUE</v>
      </c>
      <c r="Q504" s="75">
        <v>41472</v>
      </c>
      <c r="R504" s="79">
        <v>9.0999999999999998E-2</v>
      </c>
      <c r="S504" s="80">
        <f t="shared" si="91"/>
        <v>3773.9519999999998</v>
      </c>
      <c r="T504" s="81">
        <f t="shared" si="95"/>
        <v>38760.75</v>
      </c>
      <c r="U504" s="139"/>
      <c r="V504" s="82">
        <f t="shared" si="92"/>
        <v>38760.75</v>
      </c>
      <c r="W504" s="9">
        <f>VLOOKUP(O504,[1]Feuil2!$A:$M,6,FALSE)</f>
        <v>288</v>
      </c>
      <c r="X504" s="10">
        <f>VLOOKUP(O504,[1]Feuil2!$A:$M,13,FALSE)</f>
        <v>8.7067499999999992E-3</v>
      </c>
      <c r="Y504" s="11">
        <f t="shared" si="93"/>
        <v>1.2537719999999999</v>
      </c>
      <c r="Z504" s="83">
        <f t="shared" si="82"/>
        <v>17.716697375000003</v>
      </c>
      <c r="AA504" s="12" t="s">
        <v>57</v>
      </c>
      <c r="AB504" s="13" t="s">
        <v>57</v>
      </c>
      <c r="AC504" s="426" t="s">
        <v>55</v>
      </c>
      <c r="AD504" s="13" t="s">
        <v>57</v>
      </c>
      <c r="AE504" s="14">
        <v>46046</v>
      </c>
      <c r="AF504" s="13" t="s">
        <v>882</v>
      </c>
      <c r="AG504" s="13"/>
      <c r="AH504" s="84"/>
      <c r="AI504" s="178">
        <v>46047</v>
      </c>
      <c r="AJ504" s="144">
        <f t="shared" si="94"/>
        <v>25</v>
      </c>
      <c r="AK504" s="85">
        <f>VLOOKUP(AP504,'[2]CONTENEUR PLEIN'!$F:$L,3,FALSE)</f>
        <v>46072</v>
      </c>
      <c r="AL504" s="86">
        <f>VLOOKUP(AP504,'[2]CONTENEUR PLEIN'!$F:$L,5,FALSE)</f>
        <v>46112</v>
      </c>
      <c r="AM504" s="46" t="str">
        <f>VLOOKUP(AP504,'[2]CONTENEUR PLEIN'!$F:$L,7,FALSE)</f>
        <v>Estimée : 07-avril</v>
      </c>
      <c r="AN504" s="184" t="s">
        <v>63</v>
      </c>
      <c r="AO504" s="465" t="s">
        <v>951</v>
      </c>
      <c r="AP504" s="465" t="s">
        <v>952</v>
      </c>
      <c r="AQ504" s="465" t="s">
        <v>953</v>
      </c>
      <c r="AR504" s="75" t="str">
        <f>VLOOKUP(AP504,'[2]CONTENEUR PLEIN'!$F:$L,2,FALSE)</f>
        <v>CMA CGM ALEXANDER VON HUMBOLDT</v>
      </c>
      <c r="AS504" s="465" t="s">
        <v>316</v>
      </c>
      <c r="AT504" s="84"/>
    </row>
    <row r="505" spans="2:46" s="72" customFormat="1" hidden="1" x14ac:dyDescent="0.25">
      <c r="B505" s="466" t="s">
        <v>45</v>
      </c>
      <c r="C505" s="146">
        <v>45960</v>
      </c>
      <c r="D505" s="147">
        <v>25107</v>
      </c>
      <c r="E505" s="467" t="s">
        <v>568</v>
      </c>
      <c r="F505" s="147">
        <v>2510281527</v>
      </c>
      <c r="G505" s="468" t="s">
        <v>303</v>
      </c>
      <c r="H505" s="468" t="s">
        <v>46</v>
      </c>
      <c r="I505" s="468" t="s">
        <v>49</v>
      </c>
      <c r="J505" s="468" t="s">
        <v>46</v>
      </c>
      <c r="K505" s="469" t="s">
        <v>68</v>
      </c>
      <c r="L505" s="501">
        <v>46072</v>
      </c>
      <c r="M505" s="380" t="e">
        <f t="shared" si="90"/>
        <v>#VALUE!</v>
      </c>
      <c r="N505" s="98" t="s">
        <v>62</v>
      </c>
      <c r="O505" s="78">
        <v>21480003</v>
      </c>
      <c r="P505" s="42" t="str">
        <f>VLOOKUP(O505,[1]Feuil2!$A:$M,5,FALSE)</f>
        <v>CUILLERE BASIQUE</v>
      </c>
      <c r="Q505" s="75">
        <v>43488</v>
      </c>
      <c r="R505" s="79">
        <v>0.114</v>
      </c>
      <c r="S505" s="80">
        <f t="shared" si="91"/>
        <v>4957.6320000000005</v>
      </c>
      <c r="T505" s="81">
        <f t="shared" si="95"/>
        <v>38760.75</v>
      </c>
      <c r="U505" s="139"/>
      <c r="V505" s="82">
        <f t="shared" si="92"/>
        <v>38760.75</v>
      </c>
      <c r="W505" s="9">
        <f>VLOOKUP(O505,[1]Feuil2!$A:$M,6,FALSE)</f>
        <v>288</v>
      </c>
      <c r="X505" s="10">
        <f>VLOOKUP(O505,[1]Feuil2!$A:$M,13,FALSE)</f>
        <v>1.6399E-2</v>
      </c>
      <c r="Y505" s="11">
        <f t="shared" si="93"/>
        <v>2.4762490000000001</v>
      </c>
      <c r="Z505" s="83">
        <f t="shared" si="82"/>
        <v>17.716697375000003</v>
      </c>
      <c r="AA505" s="12" t="s">
        <v>57</v>
      </c>
      <c r="AB505" s="13" t="s">
        <v>57</v>
      </c>
      <c r="AC505" s="426" t="s">
        <v>55</v>
      </c>
      <c r="AD505" s="13" t="s">
        <v>57</v>
      </c>
      <c r="AE505" s="14">
        <v>46048</v>
      </c>
      <c r="AF505" s="13" t="s">
        <v>925</v>
      </c>
      <c r="AG505" s="13"/>
      <c r="AH505" s="84"/>
      <c r="AI505" s="178">
        <v>46047</v>
      </c>
      <c r="AJ505" s="144">
        <f t="shared" si="94"/>
        <v>25</v>
      </c>
      <c r="AK505" s="85">
        <f>VLOOKUP(AP505,'[2]CONTENEUR PLEIN'!$F:$L,3,FALSE)</f>
        <v>46072</v>
      </c>
      <c r="AL505" s="86">
        <f>VLOOKUP(AP505,'[2]CONTENEUR PLEIN'!$F:$L,5,FALSE)</f>
        <v>46112</v>
      </c>
      <c r="AM505" s="46" t="str">
        <f>VLOOKUP(AP505,'[2]CONTENEUR PLEIN'!$F:$L,7,FALSE)</f>
        <v>Estimée : 07-avril</v>
      </c>
      <c r="AN505" s="184" t="s">
        <v>63</v>
      </c>
      <c r="AO505" s="465" t="s">
        <v>951</v>
      </c>
      <c r="AP505" s="465" t="s">
        <v>952</v>
      </c>
      <c r="AQ505" s="465" t="s">
        <v>953</v>
      </c>
      <c r="AR505" s="75" t="str">
        <f>VLOOKUP(AP505,'[2]CONTENEUR PLEIN'!$F:$L,2,FALSE)</f>
        <v>CMA CGM ALEXANDER VON HUMBOLDT</v>
      </c>
      <c r="AS505" s="465" t="s">
        <v>316</v>
      </c>
      <c r="AT505" s="84"/>
    </row>
    <row r="506" spans="2:46" s="72" customFormat="1" hidden="1" x14ac:dyDescent="0.25">
      <c r="B506" s="466" t="s">
        <v>45</v>
      </c>
      <c r="C506" s="146">
        <v>45960</v>
      </c>
      <c r="D506" s="147">
        <v>25107</v>
      </c>
      <c r="E506" s="467" t="s">
        <v>568</v>
      </c>
      <c r="F506" s="147">
        <v>2510281527</v>
      </c>
      <c r="G506" s="468" t="s">
        <v>303</v>
      </c>
      <c r="H506" s="468" t="s">
        <v>46</v>
      </c>
      <c r="I506" s="468" t="s">
        <v>49</v>
      </c>
      <c r="J506" s="468" t="s">
        <v>46</v>
      </c>
      <c r="K506" s="469" t="s">
        <v>68</v>
      </c>
      <c r="L506" s="501">
        <v>46072</v>
      </c>
      <c r="M506" s="380" t="e">
        <f t="shared" si="90"/>
        <v>#VALUE!</v>
      </c>
      <c r="N506" s="98" t="s">
        <v>62</v>
      </c>
      <c r="O506" s="78">
        <v>21480004</v>
      </c>
      <c r="P506" s="42" t="str">
        <f>VLOOKUP(O506,[1]Feuil2!$A:$M,5,FALSE)</f>
        <v>CAFE BASIQUE</v>
      </c>
      <c r="Q506" s="75">
        <v>42624</v>
      </c>
      <c r="R506" s="79">
        <v>5.6000000000000001E-2</v>
      </c>
      <c r="S506" s="80">
        <f t="shared" si="91"/>
        <v>2386.944</v>
      </c>
      <c r="T506" s="81">
        <f t="shared" si="95"/>
        <v>38760.75</v>
      </c>
      <c r="U506" s="139"/>
      <c r="V506" s="82">
        <f t="shared" si="92"/>
        <v>38760.75</v>
      </c>
      <c r="W506" s="9">
        <f>VLOOKUP(O506,[1]Feuil2!$A:$M,6,FALSE)</f>
        <v>288</v>
      </c>
      <c r="X506" s="10">
        <f>VLOOKUP(O506,[1]Feuil2!$A:$M,13,FALSE)</f>
        <v>7.0719999999999993E-3</v>
      </c>
      <c r="Y506" s="11">
        <f t="shared" si="93"/>
        <v>1.0466559999999998</v>
      </c>
      <c r="Z506" s="83">
        <f t="shared" si="82"/>
        <v>17.716697375000003</v>
      </c>
      <c r="AA506" s="12" t="s">
        <v>57</v>
      </c>
      <c r="AB506" s="13" t="s">
        <v>57</v>
      </c>
      <c r="AC506" s="426" t="s">
        <v>55</v>
      </c>
      <c r="AD506" s="13" t="s">
        <v>57</v>
      </c>
      <c r="AE506" s="14">
        <v>46048</v>
      </c>
      <c r="AF506" s="13" t="s">
        <v>926</v>
      </c>
      <c r="AG506" s="13"/>
      <c r="AH506" s="84"/>
      <c r="AI506" s="178">
        <v>46047</v>
      </c>
      <c r="AJ506" s="144">
        <f t="shared" si="94"/>
        <v>25</v>
      </c>
      <c r="AK506" s="85">
        <f>VLOOKUP(AP506,'[2]CONTENEUR PLEIN'!$F:$L,3,FALSE)</f>
        <v>46072</v>
      </c>
      <c r="AL506" s="86">
        <f>VLOOKUP(AP506,'[2]CONTENEUR PLEIN'!$F:$L,5,FALSE)</f>
        <v>46112</v>
      </c>
      <c r="AM506" s="46" t="str">
        <f>VLOOKUP(AP506,'[2]CONTENEUR PLEIN'!$F:$L,7,FALSE)</f>
        <v>Estimée : 07-avril</v>
      </c>
      <c r="AN506" s="184" t="s">
        <v>63</v>
      </c>
      <c r="AO506" s="465" t="s">
        <v>951</v>
      </c>
      <c r="AP506" s="465" t="s">
        <v>952</v>
      </c>
      <c r="AQ506" s="465" t="s">
        <v>953</v>
      </c>
      <c r="AR506" s="75" t="str">
        <f>VLOOKUP(AP506,'[2]CONTENEUR PLEIN'!$F:$L,2,FALSE)</f>
        <v>CMA CGM ALEXANDER VON HUMBOLDT</v>
      </c>
      <c r="AS506" s="465" t="s">
        <v>316</v>
      </c>
      <c r="AT506" s="84"/>
    </row>
    <row r="507" spans="2:46" s="72" customFormat="1" hidden="1" x14ac:dyDescent="0.25">
      <c r="B507" s="466" t="s">
        <v>45</v>
      </c>
      <c r="C507" s="146">
        <v>45960</v>
      </c>
      <c r="D507" s="147">
        <v>25107</v>
      </c>
      <c r="E507" s="467" t="s">
        <v>568</v>
      </c>
      <c r="F507" s="147">
        <v>2510281527</v>
      </c>
      <c r="G507" s="468" t="s">
        <v>303</v>
      </c>
      <c r="H507" s="468" t="s">
        <v>46</v>
      </c>
      <c r="I507" s="468" t="s">
        <v>49</v>
      </c>
      <c r="J507" s="468" t="s">
        <v>46</v>
      </c>
      <c r="K507" s="469" t="s">
        <v>68</v>
      </c>
      <c r="L507" s="501">
        <v>46072</v>
      </c>
      <c r="M507" s="380" t="e">
        <f t="shared" si="90"/>
        <v>#VALUE!</v>
      </c>
      <c r="N507" s="98" t="s">
        <v>62</v>
      </c>
      <c r="O507" s="78">
        <v>21850001</v>
      </c>
      <c r="P507" s="42" t="str">
        <f>VLOOKUP(O507,[1]Feuil2!$A:$M,5,FALSE)</f>
        <v>COUTEAU REGAL EN BOITE PEGBOARDABLE</v>
      </c>
      <c r="Q507" s="75">
        <v>5040</v>
      </c>
      <c r="R507" s="79">
        <v>0.378</v>
      </c>
      <c r="S507" s="80">
        <f t="shared" si="91"/>
        <v>1905.1200000000001</v>
      </c>
      <c r="T507" s="81">
        <f t="shared" si="95"/>
        <v>38760.75</v>
      </c>
      <c r="U507" s="139"/>
      <c r="V507" s="82">
        <f t="shared" si="92"/>
        <v>38760.75</v>
      </c>
      <c r="W507" s="9">
        <f>VLOOKUP(O507,[1]Feuil2!$A:$M,6,FALSE)</f>
        <v>72</v>
      </c>
      <c r="X507" s="10">
        <f>VLOOKUP(O507,[1]Feuil2!$A:$M,13,FALSE)</f>
        <v>7.9895000000000001E-3</v>
      </c>
      <c r="Y507" s="11">
        <f t="shared" si="93"/>
        <v>0.55926500000000001</v>
      </c>
      <c r="Z507" s="83">
        <f t="shared" si="82"/>
        <v>17.716697375000003</v>
      </c>
      <c r="AA507" s="12" t="s">
        <v>57</v>
      </c>
      <c r="AB507" s="13" t="s">
        <v>57</v>
      </c>
      <c r="AC507" s="426" t="s">
        <v>55</v>
      </c>
      <c r="AD507" s="13" t="s">
        <v>57</v>
      </c>
      <c r="AE507" s="14">
        <v>46046</v>
      </c>
      <c r="AF507" s="13" t="s">
        <v>883</v>
      </c>
      <c r="AG507" s="13"/>
      <c r="AH507" s="84"/>
      <c r="AI507" s="178">
        <v>46047</v>
      </c>
      <c r="AJ507" s="144">
        <f t="shared" si="94"/>
        <v>25</v>
      </c>
      <c r="AK507" s="85">
        <f>VLOOKUP(AP507,'[2]CONTENEUR PLEIN'!$F:$L,3,FALSE)</f>
        <v>46072</v>
      </c>
      <c r="AL507" s="86">
        <f>VLOOKUP(AP507,'[2]CONTENEUR PLEIN'!$F:$L,5,FALSE)</f>
        <v>46112</v>
      </c>
      <c r="AM507" s="46" t="str">
        <f>VLOOKUP(AP507,'[2]CONTENEUR PLEIN'!$F:$L,7,FALSE)</f>
        <v>Estimée : 07-avril</v>
      </c>
      <c r="AN507" s="184" t="s">
        <v>63</v>
      </c>
      <c r="AO507" s="465" t="s">
        <v>951</v>
      </c>
      <c r="AP507" s="465" t="s">
        <v>952</v>
      </c>
      <c r="AQ507" s="465" t="s">
        <v>953</v>
      </c>
      <c r="AR507" s="75" t="str">
        <f>VLOOKUP(AP507,'[2]CONTENEUR PLEIN'!$F:$L,2,FALSE)</f>
        <v>CMA CGM ALEXANDER VON HUMBOLDT</v>
      </c>
      <c r="AS507" s="465" t="s">
        <v>316</v>
      </c>
      <c r="AT507" s="84"/>
    </row>
    <row r="508" spans="2:46" s="72" customFormat="1" hidden="1" x14ac:dyDescent="0.25">
      <c r="B508" s="466" t="s">
        <v>45</v>
      </c>
      <c r="C508" s="146">
        <v>45960</v>
      </c>
      <c r="D508" s="147">
        <v>25107</v>
      </c>
      <c r="E508" s="467" t="s">
        <v>568</v>
      </c>
      <c r="F508" s="147">
        <v>2510281527</v>
      </c>
      <c r="G508" s="468" t="s">
        <v>303</v>
      </c>
      <c r="H508" s="468" t="s">
        <v>46</v>
      </c>
      <c r="I508" s="468" t="s">
        <v>49</v>
      </c>
      <c r="J508" s="468" t="s">
        <v>46</v>
      </c>
      <c r="K508" s="469" t="s">
        <v>68</v>
      </c>
      <c r="L508" s="501">
        <v>46072</v>
      </c>
      <c r="M508" s="380" t="e">
        <f t="shared" si="90"/>
        <v>#VALUE!</v>
      </c>
      <c r="N508" s="98" t="s">
        <v>62</v>
      </c>
      <c r="O508" s="78">
        <v>21850004</v>
      </c>
      <c r="P508" s="42" t="str">
        <f>VLOOKUP(O508,[1]Feuil2!$A:$M,5,FALSE)</f>
        <v>CAFE REGAL EN BOITE PEGBOARDABLE</v>
      </c>
      <c r="Q508" s="75">
        <v>5040</v>
      </c>
      <c r="R508" s="79">
        <v>0.22500000000000001</v>
      </c>
      <c r="S508" s="80">
        <f t="shared" si="91"/>
        <v>1134</v>
      </c>
      <c r="T508" s="81">
        <f t="shared" si="95"/>
        <v>38760.75</v>
      </c>
      <c r="U508" s="139"/>
      <c r="V508" s="82">
        <f t="shared" si="92"/>
        <v>38760.75</v>
      </c>
      <c r="W508" s="9">
        <f>VLOOKUP(O508,[1]Feuil2!$A:$M,6,FALSE)</f>
        <v>72</v>
      </c>
      <c r="X508" s="10">
        <f>VLOOKUP(O508,[1]Feuil2!$A:$M,13,FALSE)</f>
        <v>5.8519999999999996E-3</v>
      </c>
      <c r="Y508" s="11">
        <f t="shared" si="93"/>
        <v>0.40963999999999995</v>
      </c>
      <c r="Z508" s="83">
        <f t="shared" si="82"/>
        <v>17.716697375000003</v>
      </c>
      <c r="AA508" s="12" t="s">
        <v>57</v>
      </c>
      <c r="AB508" s="13" t="s">
        <v>57</v>
      </c>
      <c r="AC508" s="426" t="s">
        <v>55</v>
      </c>
      <c r="AD508" s="13" t="s">
        <v>57</v>
      </c>
      <c r="AE508" s="14">
        <v>46046</v>
      </c>
      <c r="AF508" s="13" t="s">
        <v>884</v>
      </c>
      <c r="AG508" s="13"/>
      <c r="AH508" s="84"/>
      <c r="AI508" s="178">
        <v>46047</v>
      </c>
      <c r="AJ508" s="144">
        <f t="shared" si="94"/>
        <v>25</v>
      </c>
      <c r="AK508" s="85">
        <f>VLOOKUP(AP508,'[2]CONTENEUR PLEIN'!$F:$L,3,FALSE)</f>
        <v>46072</v>
      </c>
      <c r="AL508" s="86">
        <f>VLOOKUP(AP508,'[2]CONTENEUR PLEIN'!$F:$L,5,FALSE)</f>
        <v>46112</v>
      </c>
      <c r="AM508" s="46" t="str">
        <f>VLOOKUP(AP508,'[2]CONTENEUR PLEIN'!$F:$L,7,FALSE)</f>
        <v>Estimée : 07-avril</v>
      </c>
      <c r="AN508" s="184" t="s">
        <v>63</v>
      </c>
      <c r="AO508" s="465" t="s">
        <v>951</v>
      </c>
      <c r="AP508" s="465" t="s">
        <v>952</v>
      </c>
      <c r="AQ508" s="465" t="s">
        <v>953</v>
      </c>
      <c r="AR508" s="75" t="str">
        <f>VLOOKUP(AP508,'[2]CONTENEUR PLEIN'!$F:$L,2,FALSE)</f>
        <v>CMA CGM ALEXANDER VON HUMBOLDT</v>
      </c>
      <c r="AS508" s="465" t="s">
        <v>316</v>
      </c>
      <c r="AT508" s="84"/>
    </row>
    <row r="509" spans="2:46" s="72" customFormat="1" hidden="1" x14ac:dyDescent="0.25">
      <c r="B509" s="466" t="s">
        <v>45</v>
      </c>
      <c r="C509" s="146">
        <v>45960</v>
      </c>
      <c r="D509" s="147">
        <v>25107</v>
      </c>
      <c r="E509" s="467" t="s">
        <v>568</v>
      </c>
      <c r="F509" s="147">
        <v>2510281527</v>
      </c>
      <c r="G509" s="468" t="s">
        <v>303</v>
      </c>
      <c r="H509" s="468" t="s">
        <v>46</v>
      </c>
      <c r="I509" s="468" t="s">
        <v>49</v>
      </c>
      <c r="J509" s="468" t="s">
        <v>46</v>
      </c>
      <c r="K509" s="469" t="s">
        <v>68</v>
      </c>
      <c r="L509" s="501">
        <v>46072</v>
      </c>
      <c r="M509" s="380" t="e">
        <f t="shared" si="90"/>
        <v>#VALUE!</v>
      </c>
      <c r="N509" s="98" t="s">
        <v>62</v>
      </c>
      <c r="O509" s="78">
        <v>21860001</v>
      </c>
      <c r="P509" s="42" t="str">
        <f>VLOOKUP(O509,[1]Feuil2!$A:$M,5,FALSE)</f>
        <v>COUTEAU GALA EN BOITE PEGBOARDABLE</v>
      </c>
      <c r="Q509" s="75">
        <v>5040</v>
      </c>
      <c r="R509" s="79">
        <v>0.432</v>
      </c>
      <c r="S509" s="80">
        <f t="shared" si="91"/>
        <v>2177.2800000000002</v>
      </c>
      <c r="T509" s="81">
        <f t="shared" si="95"/>
        <v>38760.75</v>
      </c>
      <c r="U509" s="139"/>
      <c r="V509" s="82">
        <f t="shared" si="92"/>
        <v>38760.75</v>
      </c>
      <c r="W509" s="9">
        <f>VLOOKUP(O509,[1]Feuil2!$A:$M,6,FALSE)</f>
        <v>72</v>
      </c>
      <c r="X509" s="10">
        <f>VLOOKUP(O509,[1]Feuil2!$A:$M,13,FALSE)</f>
        <v>7.9895000000000001E-3</v>
      </c>
      <c r="Y509" s="11">
        <f t="shared" si="93"/>
        <v>0.55926500000000001</v>
      </c>
      <c r="Z509" s="83">
        <f t="shared" si="82"/>
        <v>17.716697375000003</v>
      </c>
      <c r="AA509" s="12" t="s">
        <v>57</v>
      </c>
      <c r="AB509" s="13" t="s">
        <v>57</v>
      </c>
      <c r="AC509" s="426" t="s">
        <v>55</v>
      </c>
      <c r="AD509" s="13" t="s">
        <v>57</v>
      </c>
      <c r="AE509" s="14">
        <v>46046</v>
      </c>
      <c r="AF509" s="13" t="s">
        <v>885</v>
      </c>
      <c r="AG509" s="13"/>
      <c r="AH509" s="84"/>
      <c r="AI509" s="178">
        <v>46047</v>
      </c>
      <c r="AJ509" s="144">
        <f t="shared" si="94"/>
        <v>25</v>
      </c>
      <c r="AK509" s="85">
        <f>VLOOKUP(AP509,'[2]CONTENEUR PLEIN'!$F:$L,3,FALSE)</f>
        <v>46072</v>
      </c>
      <c r="AL509" s="86">
        <f>VLOOKUP(AP509,'[2]CONTENEUR PLEIN'!$F:$L,5,FALSE)</f>
        <v>46112</v>
      </c>
      <c r="AM509" s="46" t="str">
        <f>VLOOKUP(AP509,'[2]CONTENEUR PLEIN'!$F:$L,7,FALSE)</f>
        <v>Estimée : 07-avril</v>
      </c>
      <c r="AN509" s="184" t="s">
        <v>63</v>
      </c>
      <c r="AO509" s="465" t="s">
        <v>951</v>
      </c>
      <c r="AP509" s="465" t="s">
        <v>952</v>
      </c>
      <c r="AQ509" s="465" t="s">
        <v>953</v>
      </c>
      <c r="AR509" s="75" t="str">
        <f>VLOOKUP(AP509,'[2]CONTENEUR PLEIN'!$F:$L,2,FALSE)</f>
        <v>CMA CGM ALEXANDER VON HUMBOLDT</v>
      </c>
      <c r="AS509" s="465" t="s">
        <v>316</v>
      </c>
      <c r="AT509" s="84"/>
    </row>
    <row r="510" spans="2:46" s="72" customFormat="1" hidden="1" x14ac:dyDescent="0.25">
      <c r="B510" s="466" t="s">
        <v>45</v>
      </c>
      <c r="C510" s="146">
        <v>45960</v>
      </c>
      <c r="D510" s="147">
        <v>25107</v>
      </c>
      <c r="E510" s="467" t="s">
        <v>568</v>
      </c>
      <c r="F510" s="147">
        <v>2510281527</v>
      </c>
      <c r="G510" s="468" t="s">
        <v>303</v>
      </c>
      <c r="H510" s="468" t="s">
        <v>46</v>
      </c>
      <c r="I510" s="468" t="s">
        <v>49</v>
      </c>
      <c r="J510" s="468" t="s">
        <v>46</v>
      </c>
      <c r="K510" s="469" t="s">
        <v>68</v>
      </c>
      <c r="L510" s="501">
        <v>46072</v>
      </c>
      <c r="M510" s="380" t="e">
        <f t="shared" si="90"/>
        <v>#VALUE!</v>
      </c>
      <c r="N510" s="98" t="s">
        <v>62</v>
      </c>
      <c r="O510" s="78">
        <v>21860002</v>
      </c>
      <c r="P510" s="42" t="str">
        <f>VLOOKUP(O510,[1]Feuil2!$A:$M,5,FALSE)</f>
        <v>FOURCHETTE GALA EN BOITE PEGBOARDABLE</v>
      </c>
      <c r="Q510" s="75">
        <v>5040</v>
      </c>
      <c r="R510" s="79">
        <v>0.27400000000000002</v>
      </c>
      <c r="S510" s="80">
        <f t="shared" si="91"/>
        <v>1380.96</v>
      </c>
      <c r="T510" s="81">
        <f t="shared" si="95"/>
        <v>38760.75</v>
      </c>
      <c r="U510" s="139"/>
      <c r="V510" s="82">
        <f t="shared" si="92"/>
        <v>38760.75</v>
      </c>
      <c r="W510" s="9">
        <f>VLOOKUP(O510,[1]Feuil2!$A:$M,6,FALSE)</f>
        <v>72</v>
      </c>
      <c r="X510" s="10">
        <f>VLOOKUP(O510,[1]Feuil2!$A:$M,13,FALSE)</f>
        <v>8.7749999999999998E-3</v>
      </c>
      <c r="Y510" s="11">
        <f t="shared" si="93"/>
        <v>0.61424999999999996</v>
      </c>
      <c r="Z510" s="83">
        <f t="shared" si="82"/>
        <v>17.716697375000003</v>
      </c>
      <c r="AA510" s="12" t="s">
        <v>57</v>
      </c>
      <c r="AB510" s="13" t="s">
        <v>57</v>
      </c>
      <c r="AC510" s="426" t="s">
        <v>55</v>
      </c>
      <c r="AD510" s="13" t="s">
        <v>57</v>
      </c>
      <c r="AE510" s="14">
        <v>46050</v>
      </c>
      <c r="AF510" s="13" t="s">
        <v>915</v>
      </c>
      <c r="AG510" s="13"/>
      <c r="AH510" s="84"/>
      <c r="AI510" s="178">
        <v>46047</v>
      </c>
      <c r="AJ510" s="144">
        <f t="shared" si="94"/>
        <v>25</v>
      </c>
      <c r="AK510" s="85">
        <f>VLOOKUP(AP510,'[2]CONTENEUR PLEIN'!$F:$L,3,FALSE)</f>
        <v>46072</v>
      </c>
      <c r="AL510" s="86">
        <f>VLOOKUP(AP510,'[2]CONTENEUR PLEIN'!$F:$L,5,FALSE)</f>
        <v>46112</v>
      </c>
      <c r="AM510" s="46" t="str">
        <f>VLOOKUP(AP510,'[2]CONTENEUR PLEIN'!$F:$L,7,FALSE)</f>
        <v>Estimée : 07-avril</v>
      </c>
      <c r="AN510" s="184" t="s">
        <v>63</v>
      </c>
      <c r="AO510" s="465" t="s">
        <v>951</v>
      </c>
      <c r="AP510" s="465" t="s">
        <v>952</v>
      </c>
      <c r="AQ510" s="465" t="s">
        <v>953</v>
      </c>
      <c r="AR510" s="75" t="str">
        <f>VLOOKUP(AP510,'[2]CONTENEUR PLEIN'!$F:$L,2,FALSE)</f>
        <v>CMA CGM ALEXANDER VON HUMBOLDT</v>
      </c>
      <c r="AS510" s="465" t="s">
        <v>316</v>
      </c>
      <c r="AT510" s="84"/>
    </row>
    <row r="511" spans="2:46" s="72" customFormat="1" hidden="1" x14ac:dyDescent="0.25">
      <c r="B511" s="466" t="s">
        <v>45</v>
      </c>
      <c r="C511" s="146">
        <v>45960</v>
      </c>
      <c r="D511" s="147">
        <v>25107</v>
      </c>
      <c r="E511" s="467" t="s">
        <v>568</v>
      </c>
      <c r="F511" s="147">
        <v>2510281527</v>
      </c>
      <c r="G511" s="468" t="s">
        <v>303</v>
      </c>
      <c r="H511" s="468" t="s">
        <v>46</v>
      </c>
      <c r="I511" s="468" t="s">
        <v>49</v>
      </c>
      <c r="J511" s="468" t="s">
        <v>46</v>
      </c>
      <c r="K511" s="469" t="s">
        <v>68</v>
      </c>
      <c r="L511" s="501">
        <v>46072</v>
      </c>
      <c r="M511" s="380" t="e">
        <f t="shared" si="90"/>
        <v>#VALUE!</v>
      </c>
      <c r="N511" s="98" t="s">
        <v>62</v>
      </c>
      <c r="O511" s="78">
        <v>21860004</v>
      </c>
      <c r="P511" s="42" t="str">
        <f>VLOOKUP(O511,[1]Feuil2!$A:$M,5,FALSE)</f>
        <v>CAFE GALA EN BOITE PEGBOARDABLE</v>
      </c>
      <c r="Q511" s="75">
        <v>5040</v>
      </c>
      <c r="R511" s="79">
        <v>0.21099999999999999</v>
      </c>
      <c r="S511" s="80">
        <f t="shared" si="91"/>
        <v>1063.44</v>
      </c>
      <c r="T511" s="81">
        <f t="shared" si="95"/>
        <v>38760.75</v>
      </c>
      <c r="U511" s="139"/>
      <c r="V511" s="82">
        <f t="shared" si="92"/>
        <v>38760.75</v>
      </c>
      <c r="W511" s="9">
        <f>VLOOKUP(O511,[1]Feuil2!$A:$M,6,FALSE)</f>
        <v>72</v>
      </c>
      <c r="X511" s="10">
        <f>VLOOKUP(O511,[1]Feuil2!$A:$M,13,FALSE)</f>
        <v>6.1274999999999993E-3</v>
      </c>
      <c r="Y511" s="11">
        <f t="shared" si="93"/>
        <v>0.42892499999999995</v>
      </c>
      <c r="Z511" s="83">
        <f t="shared" si="82"/>
        <v>17.716697375000003</v>
      </c>
      <c r="AA511" s="12" t="s">
        <v>57</v>
      </c>
      <c r="AB511" s="13" t="s">
        <v>57</v>
      </c>
      <c r="AC511" s="426" t="s">
        <v>55</v>
      </c>
      <c r="AD511" s="13" t="s">
        <v>57</v>
      </c>
      <c r="AE511" s="14">
        <v>46046</v>
      </c>
      <c r="AF511" s="13" t="s">
        <v>886</v>
      </c>
      <c r="AG511" s="13"/>
      <c r="AH511" s="84"/>
      <c r="AI511" s="178">
        <v>46047</v>
      </c>
      <c r="AJ511" s="144">
        <f t="shared" si="94"/>
        <v>25</v>
      </c>
      <c r="AK511" s="85">
        <f>VLOOKUP(AP511,'[2]CONTENEUR PLEIN'!$F:$L,3,FALSE)</f>
        <v>46072</v>
      </c>
      <c r="AL511" s="86">
        <f>VLOOKUP(AP511,'[2]CONTENEUR PLEIN'!$F:$L,5,FALSE)</f>
        <v>46112</v>
      </c>
      <c r="AM511" s="46" t="str">
        <f>VLOOKUP(AP511,'[2]CONTENEUR PLEIN'!$F:$L,7,FALSE)</f>
        <v>Estimée : 07-avril</v>
      </c>
      <c r="AN511" s="184" t="s">
        <v>63</v>
      </c>
      <c r="AO511" s="465" t="s">
        <v>951</v>
      </c>
      <c r="AP511" s="465" t="s">
        <v>952</v>
      </c>
      <c r="AQ511" s="465" t="s">
        <v>953</v>
      </c>
      <c r="AR511" s="75" t="str">
        <f>VLOOKUP(AP511,'[2]CONTENEUR PLEIN'!$F:$L,2,FALSE)</f>
        <v>CMA CGM ALEXANDER VON HUMBOLDT</v>
      </c>
      <c r="AS511" s="465" t="s">
        <v>316</v>
      </c>
      <c r="AT511" s="84"/>
    </row>
    <row r="512" spans="2:46" s="72" customFormat="1" hidden="1" x14ac:dyDescent="0.25">
      <c r="B512" s="466" t="s">
        <v>45</v>
      </c>
      <c r="C512" s="146">
        <v>45960</v>
      </c>
      <c r="D512" s="147">
        <v>25107</v>
      </c>
      <c r="E512" s="467" t="s">
        <v>568</v>
      </c>
      <c r="F512" s="147">
        <v>2510281527</v>
      </c>
      <c r="G512" s="468" t="s">
        <v>303</v>
      </c>
      <c r="H512" s="468" t="s">
        <v>46</v>
      </c>
      <c r="I512" s="468" t="s">
        <v>49</v>
      </c>
      <c r="J512" s="468" t="s">
        <v>46</v>
      </c>
      <c r="K512" s="469" t="s">
        <v>68</v>
      </c>
      <c r="L512" s="501">
        <v>46072</v>
      </c>
      <c r="M512" s="380" t="e">
        <f t="shared" si="90"/>
        <v>#VALUE!</v>
      </c>
      <c r="N512" s="77" t="s">
        <v>49</v>
      </c>
      <c r="O512" s="78">
        <v>21150003</v>
      </c>
      <c r="P512" s="42" t="str">
        <f>VLOOKUP(O512,[1]Feuil2!$A:$M,5,FALSE)</f>
        <v>FOURCHETTE OLA + GENCOD</v>
      </c>
      <c r="Q512" s="75">
        <v>4800</v>
      </c>
      <c r="R512" s="79">
        <v>0.22800000000000001</v>
      </c>
      <c r="S512" s="80">
        <f t="shared" si="91"/>
        <v>1094.4000000000001</v>
      </c>
      <c r="T512" s="81">
        <f t="shared" si="95"/>
        <v>38760.75</v>
      </c>
      <c r="U512" s="139"/>
      <c r="V512" s="82">
        <f t="shared" si="92"/>
        <v>38760.75</v>
      </c>
      <c r="W512" s="9">
        <f>VLOOKUP(O512,[1]Feuil2!$A:$M,6,FALSE)</f>
        <v>240</v>
      </c>
      <c r="X512" s="10">
        <f>VLOOKUP(O512,[1]Feuil2!$A:$M,13,FALSE)</f>
        <v>2.9250000000000002E-2</v>
      </c>
      <c r="Y512" s="11">
        <f t="shared" si="93"/>
        <v>0.58500000000000008</v>
      </c>
      <c r="Z512" s="83">
        <f t="shared" si="82"/>
        <v>17.716697375000003</v>
      </c>
      <c r="AA512" s="12" t="s">
        <v>57</v>
      </c>
      <c r="AB512" s="13" t="s">
        <v>57</v>
      </c>
      <c r="AC512" s="426" t="s">
        <v>55</v>
      </c>
      <c r="AD512" s="28" t="s">
        <v>61</v>
      </c>
      <c r="AE512" s="14">
        <v>46050</v>
      </c>
      <c r="AF512" s="13" t="s">
        <v>914</v>
      </c>
      <c r="AG512" s="13"/>
      <c r="AH512" s="84"/>
      <c r="AI512" s="178">
        <v>46047</v>
      </c>
      <c r="AJ512" s="144">
        <f t="shared" si="94"/>
        <v>25</v>
      </c>
      <c r="AK512" s="85">
        <f>VLOOKUP(AP512,'[2]CONTENEUR PLEIN'!$F:$L,3,FALSE)</f>
        <v>46072</v>
      </c>
      <c r="AL512" s="86">
        <f>VLOOKUP(AP512,'[2]CONTENEUR PLEIN'!$F:$L,5,FALSE)</f>
        <v>46112</v>
      </c>
      <c r="AM512" s="46" t="str">
        <f>VLOOKUP(AP512,'[2]CONTENEUR PLEIN'!$F:$L,7,FALSE)</f>
        <v>Estimée : 07-avril</v>
      </c>
      <c r="AN512" s="184" t="s">
        <v>63</v>
      </c>
      <c r="AO512" s="465" t="s">
        <v>951</v>
      </c>
      <c r="AP512" s="465" t="s">
        <v>952</v>
      </c>
      <c r="AQ512" s="465" t="s">
        <v>953</v>
      </c>
      <c r="AR512" s="75" t="str">
        <f>VLOOKUP(AP512,'[2]CONTENEUR PLEIN'!$F:$L,2,FALSE)</f>
        <v>CMA CGM ALEXANDER VON HUMBOLDT</v>
      </c>
      <c r="AS512" s="465" t="s">
        <v>316</v>
      </c>
      <c r="AT512" s="84"/>
    </row>
    <row r="513" spans="2:46" s="72" customFormat="1" hidden="1" x14ac:dyDescent="0.25">
      <c r="B513" s="470" t="s">
        <v>45</v>
      </c>
      <c r="C513" s="146">
        <v>45974</v>
      </c>
      <c r="D513" s="147">
        <v>25111</v>
      </c>
      <c r="E513" s="471" t="s">
        <v>571</v>
      </c>
      <c r="F513" s="147">
        <v>2511041558</v>
      </c>
      <c r="G513" s="472" t="s">
        <v>58</v>
      </c>
      <c r="H513" s="472" t="s">
        <v>82</v>
      </c>
      <c r="I513" s="472" t="s">
        <v>49</v>
      </c>
      <c r="J513" s="472" t="s">
        <v>46</v>
      </c>
      <c r="K513" s="521" t="s">
        <v>68</v>
      </c>
      <c r="L513" s="597">
        <v>46091</v>
      </c>
      <c r="M513" s="380">
        <f t="shared" si="90"/>
        <v>4</v>
      </c>
      <c r="N513" s="98" t="s">
        <v>62</v>
      </c>
      <c r="O513" s="78">
        <v>10110032</v>
      </c>
      <c r="P513" s="42" t="str">
        <f>VLOOKUP(O513,[1]Feuil2!$A:$M,5,FALSE)</f>
        <v>LAG HERITAGE COUTEAUX DE CHEF 5PCS METAL POLYFLAME</v>
      </c>
      <c r="Q513" s="75">
        <v>1002</v>
      </c>
      <c r="R513" s="79">
        <v>11.37</v>
      </c>
      <c r="S513" s="80">
        <f t="shared" si="91"/>
        <v>11392.74</v>
      </c>
      <c r="T513" s="81">
        <f t="shared" si="95"/>
        <v>21943.8</v>
      </c>
      <c r="U513" s="139"/>
      <c r="V513" s="82">
        <f t="shared" si="92"/>
        <v>21943.8</v>
      </c>
      <c r="W513" s="9">
        <f>VLOOKUP(O513,[1]Feuil2!$A:$M,6,FALSE)</f>
        <v>6</v>
      </c>
      <c r="X513" s="10">
        <f>VLOOKUP(O513,[1]Feuil2!$A:$M,13,FALSE)</f>
        <v>2.6230499999999997E-2</v>
      </c>
      <c r="Y513" s="11">
        <f t="shared" si="93"/>
        <v>4.3804934999999992</v>
      </c>
      <c r="Z513" s="83">
        <f t="shared" si="82"/>
        <v>7.4715382499999983</v>
      </c>
      <c r="AA513" s="12" t="s">
        <v>57</v>
      </c>
      <c r="AB513" s="13" t="s">
        <v>57</v>
      </c>
      <c r="AC513" s="474" t="s">
        <v>55</v>
      </c>
      <c r="AD513" s="13" t="s">
        <v>57</v>
      </c>
      <c r="AE513" s="14">
        <v>46056</v>
      </c>
      <c r="AF513" s="13" t="s">
        <v>960</v>
      </c>
      <c r="AG513" s="310" t="s">
        <v>48</v>
      </c>
      <c r="AH513" s="312" t="s">
        <v>48</v>
      </c>
      <c r="AI513" s="171">
        <v>46047</v>
      </c>
      <c r="AJ513" s="144">
        <f t="shared" ref="AJ513:AJ535" ca="1" si="96">DATEDIF(AI513,$AJ$1,"D")</f>
        <v>51</v>
      </c>
      <c r="AK513" s="85">
        <v>46070</v>
      </c>
      <c r="AL513" s="86">
        <v>46101</v>
      </c>
      <c r="AM513" s="18">
        <v>46106</v>
      </c>
      <c r="AN513" s="264" t="s">
        <v>82</v>
      </c>
      <c r="AO513" s="520" t="s">
        <v>999</v>
      </c>
      <c r="AP513" s="520" t="s">
        <v>1000</v>
      </c>
      <c r="AQ513" s="520" t="s">
        <v>1001</v>
      </c>
      <c r="AR513" s="75" t="s">
        <v>1002</v>
      </c>
      <c r="AS513" s="520" t="s">
        <v>123</v>
      </c>
      <c r="AT513" s="84"/>
    </row>
    <row r="514" spans="2:46" s="72" customFormat="1" hidden="1" x14ac:dyDescent="0.25">
      <c r="B514" s="470" t="s">
        <v>45</v>
      </c>
      <c r="C514" s="146">
        <v>45974</v>
      </c>
      <c r="D514" s="147">
        <v>25111</v>
      </c>
      <c r="E514" s="471" t="s">
        <v>571</v>
      </c>
      <c r="F514" s="147">
        <v>2511041558</v>
      </c>
      <c r="G514" s="472" t="s">
        <v>58</v>
      </c>
      <c r="H514" s="472" t="s">
        <v>82</v>
      </c>
      <c r="I514" s="472" t="s">
        <v>49</v>
      </c>
      <c r="J514" s="472" t="s">
        <v>46</v>
      </c>
      <c r="K514" s="521" t="s">
        <v>68</v>
      </c>
      <c r="L514" s="597">
        <v>46091</v>
      </c>
      <c r="M514" s="380">
        <f t="shared" si="90"/>
        <v>4</v>
      </c>
      <c r="N514" s="98" t="s">
        <v>62</v>
      </c>
      <c r="O514" s="78">
        <v>10110033</v>
      </c>
      <c r="P514" s="42" t="str">
        <f>VLOOKUP(O514,[1]Feuil2!$A:$M,5,FALSE)</f>
        <v>LAG HERITAGE COUTEAUX DE CHEF 3PCS PAKKAWOOD POLYFLAME</v>
      </c>
      <c r="Q514" s="75">
        <v>1002</v>
      </c>
      <c r="R514" s="79">
        <v>10.53</v>
      </c>
      <c r="S514" s="80">
        <f t="shared" si="91"/>
        <v>10551.06</v>
      </c>
      <c r="T514" s="81">
        <f t="shared" si="95"/>
        <v>21943.8</v>
      </c>
      <c r="U514" s="139"/>
      <c r="V514" s="82">
        <f t="shared" si="92"/>
        <v>21943.8</v>
      </c>
      <c r="W514" s="9">
        <f>VLOOKUP(O514,[1]Feuil2!$A:$M,6,FALSE)</f>
        <v>6</v>
      </c>
      <c r="X514" s="10">
        <f>VLOOKUP(O514,[1]Feuil2!$A:$M,13,FALSE)</f>
        <v>1.8509249999999998E-2</v>
      </c>
      <c r="Y514" s="11">
        <f t="shared" si="93"/>
        <v>3.0910447499999996</v>
      </c>
      <c r="Z514" s="83">
        <f t="shared" si="82"/>
        <v>7.4715382499999983</v>
      </c>
      <c r="AA514" s="12" t="s">
        <v>57</v>
      </c>
      <c r="AB514" s="13" t="s">
        <v>57</v>
      </c>
      <c r="AC514" s="474" t="s">
        <v>55</v>
      </c>
      <c r="AD514" s="13" t="s">
        <v>57</v>
      </c>
      <c r="AE514" s="14">
        <v>46056</v>
      </c>
      <c r="AF514" s="13" t="s">
        <v>961</v>
      </c>
      <c r="AG514" s="310" t="s">
        <v>48</v>
      </c>
      <c r="AH514" s="312" t="s">
        <v>48</v>
      </c>
      <c r="AI514" s="171">
        <v>46047</v>
      </c>
      <c r="AJ514" s="144">
        <f t="shared" ca="1" si="96"/>
        <v>51</v>
      </c>
      <c r="AK514" s="85">
        <v>46070</v>
      </c>
      <c r="AL514" s="86">
        <v>46101</v>
      </c>
      <c r="AM514" s="18">
        <v>46106</v>
      </c>
      <c r="AN514" s="264" t="s">
        <v>82</v>
      </c>
      <c r="AO514" s="520" t="s">
        <v>999</v>
      </c>
      <c r="AP514" s="520" t="s">
        <v>1000</v>
      </c>
      <c r="AQ514" s="520" t="s">
        <v>1001</v>
      </c>
      <c r="AR514" s="75" t="s">
        <v>1002</v>
      </c>
      <c r="AS514" s="520" t="s">
        <v>123</v>
      </c>
      <c r="AT514" s="84"/>
    </row>
    <row r="515" spans="2:46" s="72" customFormat="1" hidden="1" x14ac:dyDescent="0.25">
      <c r="B515" s="470" t="s">
        <v>45</v>
      </c>
      <c r="C515" s="146">
        <v>45974</v>
      </c>
      <c r="D515" s="147">
        <v>25109</v>
      </c>
      <c r="E515" s="471" t="s">
        <v>569</v>
      </c>
      <c r="F515" s="147">
        <v>2511121551</v>
      </c>
      <c r="G515" s="472" t="s">
        <v>303</v>
      </c>
      <c r="H515" s="472" t="s">
        <v>46</v>
      </c>
      <c r="I515" s="472" t="s">
        <v>49</v>
      </c>
      <c r="J515" s="472" t="s">
        <v>46</v>
      </c>
      <c r="K515" s="469" t="s">
        <v>68</v>
      </c>
      <c r="L515" s="501">
        <v>46072</v>
      </c>
      <c r="M515" s="380" t="e">
        <f t="shared" si="90"/>
        <v>#VALUE!</v>
      </c>
      <c r="N515" s="98" t="s">
        <v>62</v>
      </c>
      <c r="O515" s="78">
        <v>445312</v>
      </c>
      <c r="P515" s="42" t="str">
        <f>VLOOKUP(O515,[1]Feuil2!$A:$M,5,FALSE)</f>
        <v>M16 DIANE BOITE COLLECTION INOX</v>
      </c>
      <c r="Q515" s="75">
        <v>1602</v>
      </c>
      <c r="R515" s="79">
        <v>7.76</v>
      </c>
      <c r="S515" s="80">
        <f t="shared" si="91"/>
        <v>12431.52</v>
      </c>
      <c r="T515" s="81">
        <f t="shared" si="95"/>
        <v>12431.52</v>
      </c>
      <c r="U515" s="139"/>
      <c r="V515" s="82">
        <f t="shared" si="92"/>
        <v>12431.52</v>
      </c>
      <c r="W515" s="9">
        <f>VLOOKUP(O515,[1]Feuil2!$A:$M,6,FALSE)</f>
        <v>3</v>
      </c>
      <c r="X515" s="10">
        <f>VLOOKUP(O515,[1]Feuil2!$A:$M,13,FALSE)</f>
        <v>1.2703249999999999E-2</v>
      </c>
      <c r="Y515" s="11">
        <f t="shared" si="93"/>
        <v>6.7835354999999993</v>
      </c>
      <c r="Z515" s="83">
        <f t="shared" si="82"/>
        <v>6.7835354999999993</v>
      </c>
      <c r="AA515" s="12" t="s">
        <v>57</v>
      </c>
      <c r="AB515" s="13" t="s">
        <v>57</v>
      </c>
      <c r="AC515" s="426" t="s">
        <v>55</v>
      </c>
      <c r="AD515" s="28" t="s">
        <v>61</v>
      </c>
      <c r="AE515" s="14">
        <v>46046</v>
      </c>
      <c r="AF515" s="13" t="s">
        <v>887</v>
      </c>
      <c r="AG515" s="13"/>
      <c r="AH515" s="84"/>
      <c r="AI515" s="178">
        <v>46047</v>
      </c>
      <c r="AJ515" s="144">
        <f t="shared" ca="1" si="96"/>
        <v>51</v>
      </c>
      <c r="AK515" s="85">
        <f>VLOOKUP(AP515,'[2]CONTENEUR PLEIN'!$F:$L,3,FALSE)</f>
        <v>46072</v>
      </c>
      <c r="AL515" s="86">
        <f>VLOOKUP(AP515,'[2]CONTENEUR PLEIN'!$F:$L,5,FALSE)</f>
        <v>46112</v>
      </c>
      <c r="AM515" s="46" t="str">
        <f>VLOOKUP(AP515,'[2]CONTENEUR PLEIN'!$F:$L,7,FALSE)</f>
        <v>Estimée : 07-avril</v>
      </c>
      <c r="AN515" s="264" t="s">
        <v>63</v>
      </c>
      <c r="AO515" s="465" t="s">
        <v>951</v>
      </c>
      <c r="AP515" s="465" t="s">
        <v>952</v>
      </c>
      <c r="AQ515" s="465" t="s">
        <v>953</v>
      </c>
      <c r="AR515" s="75" t="str">
        <f>VLOOKUP(AP515,'[2]CONTENEUR PLEIN'!$F:$L,2,FALSE)</f>
        <v>CMA CGM ALEXANDER VON HUMBOLDT</v>
      </c>
      <c r="AS515" s="465" t="s">
        <v>316</v>
      </c>
      <c r="AT515" s="84"/>
    </row>
    <row r="516" spans="2:46" s="72" customFormat="1" hidden="1" x14ac:dyDescent="0.25">
      <c r="B516" s="470" t="s">
        <v>45</v>
      </c>
      <c r="C516" s="146">
        <v>45974</v>
      </c>
      <c r="D516" s="147">
        <v>25110</v>
      </c>
      <c r="E516" s="471" t="s">
        <v>570</v>
      </c>
      <c r="F516" s="147">
        <v>251131030</v>
      </c>
      <c r="G516" s="472" t="s">
        <v>303</v>
      </c>
      <c r="H516" s="472" t="s">
        <v>46</v>
      </c>
      <c r="I516" s="472" t="s">
        <v>49</v>
      </c>
      <c r="J516" s="472" t="s">
        <v>46</v>
      </c>
      <c r="K516" s="469" t="s">
        <v>68</v>
      </c>
      <c r="L516" s="501">
        <v>46072</v>
      </c>
      <c r="M516" s="380" t="e">
        <f t="shared" si="90"/>
        <v>#VALUE!</v>
      </c>
      <c r="N516" s="98" t="s">
        <v>62</v>
      </c>
      <c r="O516" s="78">
        <v>21460005</v>
      </c>
      <c r="P516" s="42" t="str">
        <f>VLOOKUP(O516,[1]Feuil2!$A:$M,5,FALSE)</f>
        <v>COUTEAU DESSERT FUSEAU EN BOITE PEGBOARDABLE</v>
      </c>
      <c r="Q516" s="75">
        <v>1584</v>
      </c>
      <c r="R516" s="79">
        <v>0.34300000000000003</v>
      </c>
      <c r="S516" s="80">
        <f t="shared" si="91"/>
        <v>543.31200000000001</v>
      </c>
      <c r="T516" s="81">
        <f t="shared" si="95"/>
        <v>3310.4159999999997</v>
      </c>
      <c r="U516" s="139"/>
      <c r="V516" s="82">
        <f t="shared" si="92"/>
        <v>3310.4159999999997</v>
      </c>
      <c r="W516" s="9">
        <f>VLOOKUP(O516,[1]Feuil2!$A:$M,6,FALSE)</f>
        <v>72</v>
      </c>
      <c r="X516" s="10">
        <f>VLOOKUP(O516,[1]Feuil2!$A:$M,13,FALSE)</f>
        <v>1.1880000000000002E-2</v>
      </c>
      <c r="Y516" s="11">
        <f t="shared" si="93"/>
        <v>0.26136000000000004</v>
      </c>
      <c r="Z516" s="83">
        <f t="shared" si="82"/>
        <v>1.1523690000000002</v>
      </c>
      <c r="AA516" s="12" t="s">
        <v>57</v>
      </c>
      <c r="AB516" s="13" t="s">
        <v>57</v>
      </c>
      <c r="AC516" s="426" t="s">
        <v>55</v>
      </c>
      <c r="AD516" s="13" t="s">
        <v>57</v>
      </c>
      <c r="AE516" s="14">
        <v>46049</v>
      </c>
      <c r="AF516" s="13" t="s">
        <v>911</v>
      </c>
      <c r="AG516" s="13"/>
      <c r="AH516" s="84"/>
      <c r="AI516" s="178">
        <v>46047</v>
      </c>
      <c r="AJ516" s="144">
        <f t="shared" ca="1" si="96"/>
        <v>51</v>
      </c>
      <c r="AK516" s="85">
        <f>VLOOKUP(AP516,'[2]CONTENEUR PLEIN'!$F:$L,3,FALSE)</f>
        <v>46072</v>
      </c>
      <c r="AL516" s="86">
        <f>VLOOKUP(AP516,'[2]CONTENEUR PLEIN'!$F:$L,5,FALSE)</f>
        <v>46112</v>
      </c>
      <c r="AM516" s="46" t="str">
        <f>VLOOKUP(AP516,'[2]CONTENEUR PLEIN'!$F:$L,7,FALSE)</f>
        <v>Estimée : 07-avril</v>
      </c>
      <c r="AN516" s="264" t="s">
        <v>63</v>
      </c>
      <c r="AO516" s="465" t="s">
        <v>951</v>
      </c>
      <c r="AP516" s="465" t="s">
        <v>952</v>
      </c>
      <c r="AQ516" s="465" t="s">
        <v>953</v>
      </c>
      <c r="AR516" s="75" t="str">
        <f>VLOOKUP(AP516,'[2]CONTENEUR PLEIN'!$F:$L,2,FALSE)</f>
        <v>CMA CGM ALEXANDER VON HUMBOLDT</v>
      </c>
      <c r="AS516" s="465" t="s">
        <v>316</v>
      </c>
      <c r="AT516" s="84"/>
    </row>
    <row r="517" spans="2:46" s="72" customFormat="1" hidden="1" x14ac:dyDescent="0.25">
      <c r="B517" s="470" t="s">
        <v>45</v>
      </c>
      <c r="C517" s="146">
        <v>45974</v>
      </c>
      <c r="D517" s="147">
        <v>25110</v>
      </c>
      <c r="E517" s="471" t="s">
        <v>570</v>
      </c>
      <c r="F517" s="147">
        <v>251131030</v>
      </c>
      <c r="G517" s="472" t="s">
        <v>303</v>
      </c>
      <c r="H517" s="472" t="s">
        <v>46</v>
      </c>
      <c r="I517" s="472" t="s">
        <v>49</v>
      </c>
      <c r="J517" s="472" t="s">
        <v>46</v>
      </c>
      <c r="K517" s="469" t="s">
        <v>68</v>
      </c>
      <c r="L517" s="501">
        <v>46072</v>
      </c>
      <c r="M517" s="380" t="e">
        <f t="shared" si="90"/>
        <v>#VALUE!</v>
      </c>
      <c r="N517" s="98" t="s">
        <v>62</v>
      </c>
      <c r="O517" s="78">
        <v>21460009</v>
      </c>
      <c r="P517" s="42" t="str">
        <f>VLOOKUP(O517,[1]Feuil2!$A:$M,5,FALSE)</f>
        <v>CUILLERE TAPAS FUSEAU EN BOITE PEGBOARDABLE</v>
      </c>
      <c r="Q517" s="75">
        <v>1368</v>
      </c>
      <c r="R517" s="79">
        <v>0.151</v>
      </c>
      <c r="S517" s="80">
        <f t="shared" si="91"/>
        <v>206.56799999999998</v>
      </c>
      <c r="T517" s="81">
        <f t="shared" si="95"/>
        <v>3310.4159999999997</v>
      </c>
      <c r="U517" s="139"/>
      <c r="V517" s="82">
        <f t="shared" si="92"/>
        <v>3310.4159999999997</v>
      </c>
      <c r="W517" s="9">
        <f>VLOOKUP(O517,[1]Feuil2!$A:$M,6,FALSE)</f>
        <v>72</v>
      </c>
      <c r="X517" s="10">
        <f>VLOOKUP(O517,[1]Feuil2!$A:$M,13,FALSE)</f>
        <v>8.7749999999999998E-3</v>
      </c>
      <c r="Y517" s="11">
        <f t="shared" si="93"/>
        <v>0.16672499999999998</v>
      </c>
      <c r="Z517" s="83">
        <f t="shared" ref="Z517:Z541" si="97">SUMIF($E:$E,E517,$Y:$Y)</f>
        <v>1.1523690000000002</v>
      </c>
      <c r="AA517" s="12" t="s">
        <v>57</v>
      </c>
      <c r="AB517" s="13" t="s">
        <v>57</v>
      </c>
      <c r="AC517" s="426" t="s">
        <v>55</v>
      </c>
      <c r="AD517" s="13" t="s">
        <v>57</v>
      </c>
      <c r="AE517" s="14">
        <v>46048</v>
      </c>
      <c r="AF517" s="13" t="s">
        <v>921</v>
      </c>
      <c r="AG517" s="13"/>
      <c r="AH517" s="84"/>
      <c r="AI517" s="178">
        <v>46047</v>
      </c>
      <c r="AJ517" s="144">
        <f t="shared" ca="1" si="96"/>
        <v>51</v>
      </c>
      <c r="AK517" s="85">
        <f>VLOOKUP(AP517,'[2]CONTENEUR PLEIN'!$F:$L,3,FALSE)</f>
        <v>46072</v>
      </c>
      <c r="AL517" s="86">
        <f>VLOOKUP(AP517,'[2]CONTENEUR PLEIN'!$F:$L,5,FALSE)</f>
        <v>46112</v>
      </c>
      <c r="AM517" s="46" t="str">
        <f>VLOOKUP(AP517,'[2]CONTENEUR PLEIN'!$F:$L,7,FALSE)</f>
        <v>Estimée : 07-avril</v>
      </c>
      <c r="AN517" s="264" t="s">
        <v>63</v>
      </c>
      <c r="AO517" s="465" t="s">
        <v>951</v>
      </c>
      <c r="AP517" s="465" t="s">
        <v>952</v>
      </c>
      <c r="AQ517" s="465" t="s">
        <v>953</v>
      </c>
      <c r="AR517" s="75" t="str">
        <f>VLOOKUP(AP517,'[2]CONTENEUR PLEIN'!$F:$L,2,FALSE)</f>
        <v>CMA CGM ALEXANDER VON HUMBOLDT</v>
      </c>
      <c r="AS517" s="465" t="s">
        <v>316</v>
      </c>
      <c r="AT517" s="84"/>
    </row>
    <row r="518" spans="2:46" s="72" customFormat="1" hidden="1" x14ac:dyDescent="0.25">
      <c r="B518" s="470" t="s">
        <v>45</v>
      </c>
      <c r="C518" s="146">
        <v>45974</v>
      </c>
      <c r="D518" s="147">
        <v>25110</v>
      </c>
      <c r="E518" s="471" t="s">
        <v>570</v>
      </c>
      <c r="F518" s="147">
        <v>251131030</v>
      </c>
      <c r="G518" s="472" t="s">
        <v>303</v>
      </c>
      <c r="H518" s="472" t="s">
        <v>46</v>
      </c>
      <c r="I518" s="472" t="s">
        <v>49</v>
      </c>
      <c r="J518" s="472" t="s">
        <v>46</v>
      </c>
      <c r="K518" s="469" t="s">
        <v>68</v>
      </c>
      <c r="L518" s="501">
        <v>46072</v>
      </c>
      <c r="M518" s="380" t="e">
        <f t="shared" si="90"/>
        <v>#VALUE!</v>
      </c>
      <c r="N518" s="77" t="s">
        <v>49</v>
      </c>
      <c r="O518" s="78">
        <v>21460014</v>
      </c>
      <c r="P518" s="42" t="str">
        <f>VLOOKUP(O518,[1]Feuil2!$A:$M,5,FALSE)</f>
        <v>COUTEAU DESSERT FUSEAU + GENCOD</v>
      </c>
      <c r="Q518" s="75">
        <v>1152</v>
      </c>
      <c r="R518" s="79">
        <v>0.33300000000000002</v>
      </c>
      <c r="S518" s="80">
        <f t="shared" si="91"/>
        <v>383.61600000000004</v>
      </c>
      <c r="T518" s="81">
        <f t="shared" si="95"/>
        <v>3310.4159999999997</v>
      </c>
      <c r="U518" s="139"/>
      <c r="V518" s="82">
        <f t="shared" si="92"/>
        <v>3310.4159999999997</v>
      </c>
      <c r="W518" s="9">
        <f>VLOOKUP(O518,[1]Feuil2!$A:$M,6,FALSE)</f>
        <v>144</v>
      </c>
      <c r="X518" s="10">
        <f>VLOOKUP(O518,[1]Feuil2!$A:$M,13,FALSE)</f>
        <v>9.6937499999999992E-3</v>
      </c>
      <c r="Y518" s="11">
        <f t="shared" si="93"/>
        <v>7.7549999999999994E-2</v>
      </c>
      <c r="Z518" s="83">
        <f t="shared" si="97"/>
        <v>1.1523690000000002</v>
      </c>
      <c r="AA518" s="12" t="s">
        <v>57</v>
      </c>
      <c r="AB518" s="13" t="s">
        <v>57</v>
      </c>
      <c r="AC518" s="426" t="s">
        <v>55</v>
      </c>
      <c r="AD518" s="13" t="s">
        <v>57</v>
      </c>
      <c r="AE518" s="14">
        <v>46050</v>
      </c>
      <c r="AF518" s="13" t="s">
        <v>924</v>
      </c>
      <c r="AG518" s="13"/>
      <c r="AH518" s="84"/>
      <c r="AI518" s="178">
        <v>46047</v>
      </c>
      <c r="AJ518" s="144">
        <f t="shared" ca="1" si="96"/>
        <v>51</v>
      </c>
      <c r="AK518" s="85">
        <f>VLOOKUP(AP518,'[2]CONTENEUR PLEIN'!$F:$L,3,FALSE)</f>
        <v>46072</v>
      </c>
      <c r="AL518" s="86">
        <f>VLOOKUP(AP518,'[2]CONTENEUR PLEIN'!$F:$L,5,FALSE)</f>
        <v>46112</v>
      </c>
      <c r="AM518" s="46" t="str">
        <f>VLOOKUP(AP518,'[2]CONTENEUR PLEIN'!$F:$L,7,FALSE)</f>
        <v>Estimée : 07-avril</v>
      </c>
      <c r="AN518" s="264" t="s">
        <v>63</v>
      </c>
      <c r="AO518" s="465" t="s">
        <v>951</v>
      </c>
      <c r="AP518" s="465" t="s">
        <v>952</v>
      </c>
      <c r="AQ518" s="465" t="s">
        <v>953</v>
      </c>
      <c r="AR518" s="75" t="str">
        <f>VLOOKUP(AP518,'[2]CONTENEUR PLEIN'!$F:$L,2,FALSE)</f>
        <v>CMA CGM ALEXANDER VON HUMBOLDT</v>
      </c>
      <c r="AS518" s="465" t="s">
        <v>316</v>
      </c>
      <c r="AT518" s="84"/>
    </row>
    <row r="519" spans="2:46" s="72" customFormat="1" hidden="1" x14ac:dyDescent="0.25">
      <c r="B519" s="470" t="s">
        <v>45</v>
      </c>
      <c r="C519" s="146">
        <v>45974</v>
      </c>
      <c r="D519" s="147">
        <v>25110</v>
      </c>
      <c r="E519" s="471" t="s">
        <v>570</v>
      </c>
      <c r="F519" s="147">
        <v>251131030</v>
      </c>
      <c r="G519" s="472" t="s">
        <v>303</v>
      </c>
      <c r="H519" s="472" t="s">
        <v>46</v>
      </c>
      <c r="I519" s="472" t="s">
        <v>49</v>
      </c>
      <c r="J519" s="472" t="s">
        <v>46</v>
      </c>
      <c r="K519" s="469" t="s">
        <v>68</v>
      </c>
      <c r="L519" s="501">
        <v>46072</v>
      </c>
      <c r="M519" s="380" t="e">
        <f t="shared" si="90"/>
        <v>#VALUE!</v>
      </c>
      <c r="N519" s="77" t="s">
        <v>49</v>
      </c>
      <c r="O519" s="78">
        <v>21460017</v>
      </c>
      <c r="P519" s="42" t="str">
        <f>VLOOKUP(O519,[1]Feuil2!$A:$M,5,FALSE)</f>
        <v>FOURCHETTE TAPAS FUSEAU + GENCOD</v>
      </c>
      <c r="Q519" s="75">
        <v>2016</v>
      </c>
      <c r="R519" s="79">
        <v>0.14099999999999999</v>
      </c>
      <c r="S519" s="80">
        <f t="shared" ref="S519:S541" si="98">Q519*R519</f>
        <v>284.25599999999997</v>
      </c>
      <c r="T519" s="81">
        <f t="shared" si="95"/>
        <v>3310.4159999999997</v>
      </c>
      <c r="U519" s="139"/>
      <c r="V519" s="82">
        <f t="shared" ref="V519:V541" si="99">U519+T519</f>
        <v>3310.4159999999997</v>
      </c>
      <c r="W519" s="9">
        <f>VLOOKUP(O519,[1]Feuil2!$A:$M,6,FALSE)</f>
        <v>144</v>
      </c>
      <c r="X519" s="10">
        <f>VLOOKUP(O519,[1]Feuil2!$A:$M,13,FALSE)</f>
        <v>5.94E-3</v>
      </c>
      <c r="Y519" s="11">
        <f t="shared" si="93"/>
        <v>8.3159999999999998E-2</v>
      </c>
      <c r="Z519" s="83">
        <f t="shared" si="97"/>
        <v>1.1523690000000002</v>
      </c>
      <c r="AA519" s="12" t="s">
        <v>57</v>
      </c>
      <c r="AB519" s="13" t="s">
        <v>57</v>
      </c>
      <c r="AC519" s="426" t="s">
        <v>55</v>
      </c>
      <c r="AD519" s="13" t="s">
        <v>57</v>
      </c>
      <c r="AE519" s="14">
        <v>46048</v>
      </c>
      <c r="AF519" s="13" t="s">
        <v>922</v>
      </c>
      <c r="AG519" s="13"/>
      <c r="AH519" s="84"/>
      <c r="AI519" s="178">
        <v>46047</v>
      </c>
      <c r="AJ519" s="144">
        <f t="shared" ca="1" si="96"/>
        <v>51</v>
      </c>
      <c r="AK519" s="85">
        <f>VLOOKUP(AP519,'[2]CONTENEUR PLEIN'!$F:$L,3,FALSE)</f>
        <v>46072</v>
      </c>
      <c r="AL519" s="86">
        <f>VLOOKUP(AP519,'[2]CONTENEUR PLEIN'!$F:$L,5,FALSE)</f>
        <v>46112</v>
      </c>
      <c r="AM519" s="46" t="str">
        <f>VLOOKUP(AP519,'[2]CONTENEUR PLEIN'!$F:$L,7,FALSE)</f>
        <v>Estimée : 07-avril</v>
      </c>
      <c r="AN519" s="264" t="s">
        <v>63</v>
      </c>
      <c r="AO519" s="465" t="s">
        <v>951</v>
      </c>
      <c r="AP519" s="465" t="s">
        <v>952</v>
      </c>
      <c r="AQ519" s="465" t="s">
        <v>953</v>
      </c>
      <c r="AR519" s="75" t="str">
        <f>VLOOKUP(AP519,'[2]CONTENEUR PLEIN'!$F:$L,2,FALSE)</f>
        <v>CMA CGM ALEXANDER VON HUMBOLDT</v>
      </c>
      <c r="AS519" s="465" t="s">
        <v>316</v>
      </c>
      <c r="AT519" s="84"/>
    </row>
    <row r="520" spans="2:46" s="72" customFormat="1" hidden="1" x14ac:dyDescent="0.25">
      <c r="B520" s="470" t="s">
        <v>45</v>
      </c>
      <c r="C520" s="146">
        <v>45974</v>
      </c>
      <c r="D520" s="147">
        <v>25110</v>
      </c>
      <c r="E520" s="471" t="s">
        <v>570</v>
      </c>
      <c r="F520" s="147">
        <v>251131030</v>
      </c>
      <c r="G520" s="472" t="s">
        <v>303</v>
      </c>
      <c r="H520" s="472" t="s">
        <v>46</v>
      </c>
      <c r="I520" s="472" t="s">
        <v>49</v>
      </c>
      <c r="J520" s="472" t="s">
        <v>46</v>
      </c>
      <c r="K520" s="469" t="s">
        <v>68</v>
      </c>
      <c r="L520" s="501">
        <v>46072</v>
      </c>
      <c r="M520" s="380" t="e">
        <f t="shared" si="90"/>
        <v>#VALUE!</v>
      </c>
      <c r="N520" s="77" t="s">
        <v>49</v>
      </c>
      <c r="O520" s="78">
        <v>21460018</v>
      </c>
      <c r="P520" s="42" t="str">
        <f>VLOOKUP(O520,[1]Feuil2!$A:$M,5,FALSE)</f>
        <v>CUILLERE TAPAS FUSEAU + GENCOD</v>
      </c>
      <c r="Q520" s="75">
        <v>3744</v>
      </c>
      <c r="R520" s="79">
        <v>0.14099999999999999</v>
      </c>
      <c r="S520" s="80">
        <f t="shared" si="98"/>
        <v>527.904</v>
      </c>
      <c r="T520" s="81">
        <f t="shared" si="95"/>
        <v>3310.4159999999997</v>
      </c>
      <c r="U520" s="139"/>
      <c r="V520" s="82">
        <f t="shared" si="99"/>
        <v>3310.4159999999997</v>
      </c>
      <c r="W520" s="9">
        <f>VLOOKUP(O520,[1]Feuil2!$A:$M,6,FALSE)</f>
        <v>144</v>
      </c>
      <c r="X520" s="10">
        <f>VLOOKUP(O520,[1]Feuil2!$A:$M,13,FALSE)</f>
        <v>5.94E-3</v>
      </c>
      <c r="Y520" s="11">
        <f t="shared" si="93"/>
        <v>0.15443999999999999</v>
      </c>
      <c r="Z520" s="83">
        <f t="shared" si="97"/>
        <v>1.1523690000000002</v>
      </c>
      <c r="AA520" s="12" t="s">
        <v>57</v>
      </c>
      <c r="AB520" s="13" t="s">
        <v>57</v>
      </c>
      <c r="AC520" s="426" t="s">
        <v>55</v>
      </c>
      <c r="AD520" s="13" t="s">
        <v>57</v>
      </c>
      <c r="AE520" s="14">
        <v>46048</v>
      </c>
      <c r="AF520" s="13" t="s">
        <v>923</v>
      </c>
      <c r="AG520" s="13"/>
      <c r="AH520" s="84"/>
      <c r="AI520" s="178">
        <v>46047</v>
      </c>
      <c r="AJ520" s="144">
        <f t="shared" ca="1" si="96"/>
        <v>51</v>
      </c>
      <c r="AK520" s="85">
        <f>VLOOKUP(AP520,'[2]CONTENEUR PLEIN'!$F:$L,3,FALSE)</f>
        <v>46072</v>
      </c>
      <c r="AL520" s="86">
        <f>VLOOKUP(AP520,'[2]CONTENEUR PLEIN'!$F:$L,5,FALSE)</f>
        <v>46112</v>
      </c>
      <c r="AM520" s="46" t="str">
        <f>VLOOKUP(AP520,'[2]CONTENEUR PLEIN'!$F:$L,7,FALSE)</f>
        <v>Estimée : 07-avril</v>
      </c>
      <c r="AN520" s="264" t="s">
        <v>63</v>
      </c>
      <c r="AO520" s="465" t="s">
        <v>951</v>
      </c>
      <c r="AP520" s="465" t="s">
        <v>952</v>
      </c>
      <c r="AQ520" s="465" t="s">
        <v>953</v>
      </c>
      <c r="AR520" s="75" t="str">
        <f>VLOOKUP(AP520,'[2]CONTENEUR PLEIN'!$F:$L,2,FALSE)</f>
        <v>CMA CGM ALEXANDER VON HUMBOLDT</v>
      </c>
      <c r="AS520" s="465" t="s">
        <v>316</v>
      </c>
      <c r="AT520" s="84"/>
    </row>
    <row r="521" spans="2:46" s="72" customFormat="1" hidden="1" x14ac:dyDescent="0.25">
      <c r="B521" s="470" t="s">
        <v>45</v>
      </c>
      <c r="C521" s="146">
        <v>45974</v>
      </c>
      <c r="D521" s="147">
        <v>25110</v>
      </c>
      <c r="E521" s="471" t="s">
        <v>570</v>
      </c>
      <c r="F521" s="147">
        <v>251131030</v>
      </c>
      <c r="G521" s="472" t="s">
        <v>303</v>
      </c>
      <c r="H521" s="472" t="s">
        <v>46</v>
      </c>
      <c r="I521" s="472" t="s">
        <v>49</v>
      </c>
      <c r="J521" s="472" t="s">
        <v>46</v>
      </c>
      <c r="K521" s="469" t="s">
        <v>68</v>
      </c>
      <c r="L521" s="501">
        <v>46072</v>
      </c>
      <c r="M521" s="380" t="e">
        <f t="shared" si="90"/>
        <v>#VALUE!</v>
      </c>
      <c r="N521" s="98" t="s">
        <v>62</v>
      </c>
      <c r="O521" s="78">
        <v>41460001</v>
      </c>
      <c r="P521" s="42" t="str">
        <f>VLOOKUP(O521,[1]Feuil2!$A:$M,5,FALSE)</f>
        <v>TARTINEUR TAPAS FUSEAU EN BOITE PEGBOARDABLE</v>
      </c>
      <c r="Q521" s="75">
        <v>3096</v>
      </c>
      <c r="R521" s="79">
        <v>0.33500000000000002</v>
      </c>
      <c r="S521" s="80">
        <f t="shared" si="98"/>
        <v>1037.1600000000001</v>
      </c>
      <c r="T521" s="81">
        <f t="shared" si="95"/>
        <v>3310.4159999999997</v>
      </c>
      <c r="U521" s="139"/>
      <c r="V521" s="82">
        <f t="shared" si="99"/>
        <v>3310.4159999999997</v>
      </c>
      <c r="W521" s="9">
        <f>VLOOKUP(O521,[1]Feuil2!$A:$M,6,FALSE)</f>
        <v>72</v>
      </c>
      <c r="X521" s="10">
        <f>VLOOKUP(O521,[1]Feuil2!$A:$M,13,FALSE)</f>
        <v>8.5800000000000008E-3</v>
      </c>
      <c r="Y521" s="11">
        <f t="shared" si="93"/>
        <v>0.36894000000000005</v>
      </c>
      <c r="Z521" s="83">
        <f t="shared" si="97"/>
        <v>1.1523690000000002</v>
      </c>
      <c r="AA521" s="12" t="s">
        <v>57</v>
      </c>
      <c r="AB521" s="13" t="s">
        <v>57</v>
      </c>
      <c r="AC521" s="426" t="s">
        <v>55</v>
      </c>
      <c r="AD521" s="13" t="s">
        <v>57</v>
      </c>
      <c r="AE521" s="14">
        <v>46050</v>
      </c>
      <c r="AF521" s="13" t="s">
        <v>920</v>
      </c>
      <c r="AG521" s="13"/>
      <c r="AH521" s="84"/>
      <c r="AI521" s="178">
        <v>46047</v>
      </c>
      <c r="AJ521" s="144">
        <f t="shared" ca="1" si="96"/>
        <v>51</v>
      </c>
      <c r="AK521" s="85">
        <f>VLOOKUP(AP521,'[2]CONTENEUR PLEIN'!$F:$L,3,FALSE)</f>
        <v>46072</v>
      </c>
      <c r="AL521" s="86">
        <f>VLOOKUP(AP521,'[2]CONTENEUR PLEIN'!$F:$L,5,FALSE)</f>
        <v>46112</v>
      </c>
      <c r="AM521" s="46" t="str">
        <f>VLOOKUP(AP521,'[2]CONTENEUR PLEIN'!$F:$L,7,FALSE)</f>
        <v>Estimée : 07-avril</v>
      </c>
      <c r="AN521" s="264" t="s">
        <v>63</v>
      </c>
      <c r="AO521" s="465" t="s">
        <v>951</v>
      </c>
      <c r="AP521" s="465" t="s">
        <v>952</v>
      </c>
      <c r="AQ521" s="465" t="s">
        <v>953</v>
      </c>
      <c r="AR521" s="75" t="str">
        <f>VLOOKUP(AP521,'[2]CONTENEUR PLEIN'!$F:$L,2,FALSE)</f>
        <v>CMA CGM ALEXANDER VON HUMBOLDT</v>
      </c>
      <c r="AS521" s="465" t="s">
        <v>316</v>
      </c>
      <c r="AT521" s="84"/>
    </row>
    <row r="522" spans="2:46" s="72" customFormat="1" hidden="1" x14ac:dyDescent="0.25">
      <c r="B522" s="470" t="s">
        <v>45</v>
      </c>
      <c r="C522" s="146">
        <v>45974</v>
      </c>
      <c r="D522" s="147">
        <v>25110</v>
      </c>
      <c r="E522" s="471" t="s">
        <v>570</v>
      </c>
      <c r="F522" s="147">
        <v>251131030</v>
      </c>
      <c r="G522" s="472" t="s">
        <v>303</v>
      </c>
      <c r="H522" s="472" t="s">
        <v>46</v>
      </c>
      <c r="I522" s="472" t="s">
        <v>49</v>
      </c>
      <c r="J522" s="472" t="s">
        <v>46</v>
      </c>
      <c r="K522" s="469" t="s">
        <v>68</v>
      </c>
      <c r="L522" s="501">
        <v>46072</v>
      </c>
      <c r="M522" s="380" t="e">
        <f t="shared" ref="M522:M541" si="100">DATEDIF(C522,AM522,"M")</f>
        <v>#VALUE!</v>
      </c>
      <c r="N522" s="77" t="s">
        <v>49</v>
      </c>
      <c r="O522" s="78">
        <v>41460002</v>
      </c>
      <c r="P522" s="42" t="str">
        <f>VLOOKUP(O522,[1]Feuil2!$A:$M,5,FALSE)</f>
        <v>TARTINEUR TAPAS FUSEAU + GENCOD</v>
      </c>
      <c r="Q522" s="75">
        <v>1008</v>
      </c>
      <c r="R522" s="79">
        <v>0.32500000000000001</v>
      </c>
      <c r="S522" s="80">
        <f t="shared" si="98"/>
        <v>327.60000000000002</v>
      </c>
      <c r="T522" s="81">
        <f t="shared" si="95"/>
        <v>3310.4159999999997</v>
      </c>
      <c r="U522" s="139"/>
      <c r="V522" s="82">
        <f t="shared" si="99"/>
        <v>3310.4159999999997</v>
      </c>
      <c r="W522" s="9">
        <f>VLOOKUP(O522,[1]Feuil2!$A:$M,6,FALSE)</f>
        <v>144</v>
      </c>
      <c r="X522" s="10">
        <f>VLOOKUP(O522,[1]Feuil2!$A:$M,13,FALSE)</f>
        <v>5.7419999999999997E-3</v>
      </c>
      <c r="Y522" s="11">
        <f t="shared" si="93"/>
        <v>4.0194000000000001E-2</v>
      </c>
      <c r="Z522" s="83">
        <f t="shared" si="97"/>
        <v>1.1523690000000002</v>
      </c>
      <c r="AA522" s="12" t="s">
        <v>57</v>
      </c>
      <c r="AB522" s="13" t="s">
        <v>57</v>
      </c>
      <c r="AC522" s="426" t="s">
        <v>55</v>
      </c>
      <c r="AD522" s="13" t="s">
        <v>57</v>
      </c>
      <c r="AE522" s="14">
        <v>46050</v>
      </c>
      <c r="AF522" s="13" t="s">
        <v>919</v>
      </c>
      <c r="AG522" s="13"/>
      <c r="AH522" s="84"/>
      <c r="AI522" s="178">
        <v>46047</v>
      </c>
      <c r="AJ522" s="144">
        <f t="shared" ca="1" si="96"/>
        <v>51</v>
      </c>
      <c r="AK522" s="85">
        <f>VLOOKUP(AP522,'[2]CONTENEUR PLEIN'!$F:$L,3,FALSE)</f>
        <v>46072</v>
      </c>
      <c r="AL522" s="86">
        <f>VLOOKUP(AP522,'[2]CONTENEUR PLEIN'!$F:$L,5,FALSE)</f>
        <v>46112</v>
      </c>
      <c r="AM522" s="46" t="str">
        <f>VLOOKUP(AP522,'[2]CONTENEUR PLEIN'!$F:$L,7,FALSE)</f>
        <v>Estimée : 07-avril</v>
      </c>
      <c r="AN522" s="264" t="s">
        <v>63</v>
      </c>
      <c r="AO522" s="465" t="s">
        <v>951</v>
      </c>
      <c r="AP522" s="465" t="s">
        <v>952</v>
      </c>
      <c r="AQ522" s="465" t="s">
        <v>953</v>
      </c>
      <c r="AR522" s="75" t="str">
        <f>VLOOKUP(AP522,'[2]CONTENEUR PLEIN'!$F:$L,2,FALSE)</f>
        <v>CMA CGM ALEXANDER VON HUMBOLDT</v>
      </c>
      <c r="AS522" s="465" t="s">
        <v>316</v>
      </c>
      <c r="AT522" s="84"/>
    </row>
    <row r="523" spans="2:46" s="72" customFormat="1" hidden="1" x14ac:dyDescent="0.25">
      <c r="B523" s="274" t="s">
        <v>45</v>
      </c>
      <c r="C523" s="74">
        <v>45979</v>
      </c>
      <c r="D523" s="75">
        <v>25113</v>
      </c>
      <c r="E523" s="275" t="s">
        <v>590</v>
      </c>
      <c r="F523" s="75">
        <v>2511140937</v>
      </c>
      <c r="G523" s="273" t="s">
        <v>303</v>
      </c>
      <c r="H523" s="276" t="s">
        <v>593</v>
      </c>
      <c r="I523" s="273" t="s">
        <v>49</v>
      </c>
      <c r="J523" s="273" t="s">
        <v>46</v>
      </c>
      <c r="K523" s="364" t="s">
        <v>60</v>
      </c>
      <c r="L523" s="273" t="s">
        <v>47</v>
      </c>
      <c r="M523" s="380" t="e">
        <f t="shared" si="100"/>
        <v>#N/A</v>
      </c>
      <c r="N523" s="98" t="s">
        <v>62</v>
      </c>
      <c r="O523" s="78">
        <v>21860003</v>
      </c>
      <c r="P523" s="42" t="str">
        <f>VLOOKUP(O523,[1]Feuil2!$A:$M,5,FALSE)</f>
        <v>CUILLERE GALA EN BOITE PEGBOARDABLE</v>
      </c>
      <c r="Q523" s="75">
        <v>5040</v>
      </c>
      <c r="R523" s="79">
        <v>0.27400000000000002</v>
      </c>
      <c r="S523" s="80">
        <f t="shared" si="98"/>
        <v>1380.96</v>
      </c>
      <c r="T523" s="81">
        <f t="shared" si="95"/>
        <v>16808.544000000002</v>
      </c>
      <c r="U523" s="139"/>
      <c r="V523" s="82">
        <f t="shared" si="99"/>
        <v>16808.544000000002</v>
      </c>
      <c r="W523" s="9">
        <f>VLOOKUP(O523,[1]Feuil2!$A:$M,6,FALSE)</f>
        <v>72</v>
      </c>
      <c r="X523" s="10">
        <f>VLOOKUP(O523,[1]Feuil2!$A:$M,13,FALSE)</f>
        <v>1.1424E-2</v>
      </c>
      <c r="Y523" s="11">
        <f t="shared" si="93"/>
        <v>0.79968000000000006</v>
      </c>
      <c r="Z523" s="83">
        <f t="shared" si="97"/>
        <v>4.7889299999999997</v>
      </c>
      <c r="AA523" s="66" t="s">
        <v>61</v>
      </c>
      <c r="AB523" s="28" t="s">
        <v>61</v>
      </c>
      <c r="AC523" s="75"/>
      <c r="AD523" s="28" t="s">
        <v>61</v>
      </c>
      <c r="AE523" s="14"/>
      <c r="AF523" s="13"/>
      <c r="AG523" s="13"/>
      <c r="AH523" s="84"/>
      <c r="AI523" s="178">
        <v>46060</v>
      </c>
      <c r="AJ523" s="144">
        <f t="shared" ca="1" si="96"/>
        <v>38</v>
      </c>
      <c r="AK523" s="85" t="e">
        <f>VLOOKUP(AP523,'[2]CONTENEUR PLEIN'!$F:$L,3,FALSE)</f>
        <v>#N/A</v>
      </c>
      <c r="AL523" s="86" t="e">
        <f>VLOOKUP(AP523,'[2]CONTENEUR PLEIN'!$F:$L,5,FALSE)</f>
        <v>#N/A</v>
      </c>
      <c r="AM523" s="15" t="e">
        <f>VLOOKUP(AP523,'[2]CONTENEUR PLEIN'!$F:$L,7,FALSE)</f>
        <v>#N/A</v>
      </c>
      <c r="AN523" s="264" t="s">
        <v>63</v>
      </c>
      <c r="AO523" s="75"/>
      <c r="AP523" s="75"/>
      <c r="AQ523" s="75"/>
      <c r="AR523" s="75" t="e">
        <f>VLOOKUP(AP523,'[2]CONTENEUR PLEIN'!$F:$L,2,FALSE)</f>
        <v>#N/A</v>
      </c>
      <c r="AS523" s="75"/>
      <c r="AT523" s="84"/>
    </row>
    <row r="524" spans="2:46" s="72" customFormat="1" hidden="1" x14ac:dyDescent="0.25">
      <c r="B524" s="274" t="s">
        <v>45</v>
      </c>
      <c r="C524" s="74">
        <v>45979</v>
      </c>
      <c r="D524" s="75">
        <v>25113</v>
      </c>
      <c r="E524" s="275" t="s">
        <v>590</v>
      </c>
      <c r="F524" s="75">
        <v>2511140937</v>
      </c>
      <c r="G524" s="273" t="s">
        <v>303</v>
      </c>
      <c r="H524" s="276" t="s">
        <v>593</v>
      </c>
      <c r="I524" s="273" t="s">
        <v>49</v>
      </c>
      <c r="J524" s="273" t="s">
        <v>46</v>
      </c>
      <c r="K524" s="364" t="s">
        <v>60</v>
      </c>
      <c r="L524" s="273" t="s">
        <v>47</v>
      </c>
      <c r="M524" s="380" t="e">
        <f t="shared" si="100"/>
        <v>#N/A</v>
      </c>
      <c r="N524" s="77" t="s">
        <v>49</v>
      </c>
      <c r="O524" s="78">
        <v>21460011</v>
      </c>
      <c r="P524" s="42" t="str">
        <f>VLOOKUP(O524,[1]Feuil2!$A:$M,5,FALSE)</f>
        <v>FOURCHETTE FUSEAU + GENCOD</v>
      </c>
      <c r="Q524" s="75">
        <v>15552</v>
      </c>
      <c r="R524" s="79">
        <v>0.24199999999999999</v>
      </c>
      <c r="S524" s="80">
        <f t="shared" si="98"/>
        <v>3763.5839999999998</v>
      </c>
      <c r="T524" s="81">
        <f t="shared" si="95"/>
        <v>16808.544000000002</v>
      </c>
      <c r="U524" s="139"/>
      <c r="V524" s="82">
        <f t="shared" si="99"/>
        <v>16808.544000000002</v>
      </c>
      <c r="W524" s="9">
        <f>VLOOKUP(O524,[1]Feuil2!$A:$M,6,FALSE)</f>
        <v>144</v>
      </c>
      <c r="X524" s="10">
        <f>VLOOKUP(O524,[1]Feuil2!$A:$M,13,FALSE)</f>
        <v>9.6937499999999992E-3</v>
      </c>
      <c r="Y524" s="11">
        <f t="shared" si="93"/>
        <v>1.0469249999999999</v>
      </c>
      <c r="Z524" s="83">
        <f t="shared" si="97"/>
        <v>4.7889299999999997</v>
      </c>
      <c r="AA524" s="66" t="s">
        <v>61</v>
      </c>
      <c r="AB524" s="28" t="s">
        <v>61</v>
      </c>
      <c r="AC524" s="75"/>
      <c r="AD524" s="28" t="s">
        <v>61</v>
      </c>
      <c r="AE524" s="14"/>
      <c r="AF524" s="13"/>
      <c r="AG524" s="13"/>
      <c r="AH524" s="84"/>
      <c r="AI524" s="134">
        <v>46060</v>
      </c>
      <c r="AJ524" s="144">
        <f t="shared" ca="1" si="96"/>
        <v>38</v>
      </c>
      <c r="AK524" s="85" t="e">
        <f>VLOOKUP(AP524,'[2]CONTENEUR PLEIN'!$F:$L,3,FALSE)</f>
        <v>#N/A</v>
      </c>
      <c r="AL524" s="86" t="e">
        <f>VLOOKUP(AP524,'[2]CONTENEUR PLEIN'!$F:$L,5,FALSE)</f>
        <v>#N/A</v>
      </c>
      <c r="AM524" s="15" t="e">
        <f>VLOOKUP(AP524,'[2]CONTENEUR PLEIN'!$F:$L,7,FALSE)</f>
        <v>#N/A</v>
      </c>
      <c r="AN524" s="264" t="s">
        <v>63</v>
      </c>
      <c r="AO524" s="75"/>
      <c r="AP524" s="75"/>
      <c r="AQ524" s="75"/>
      <c r="AR524" s="75" t="e">
        <f>VLOOKUP(AP524,'[2]CONTENEUR PLEIN'!$F:$L,2,FALSE)</f>
        <v>#N/A</v>
      </c>
      <c r="AS524" s="75"/>
      <c r="AT524" s="84"/>
    </row>
    <row r="525" spans="2:46" s="72" customFormat="1" hidden="1" x14ac:dyDescent="0.25">
      <c r="B525" s="274" t="s">
        <v>45</v>
      </c>
      <c r="C525" s="74">
        <v>45979</v>
      </c>
      <c r="D525" s="75">
        <v>25113</v>
      </c>
      <c r="E525" s="275" t="s">
        <v>590</v>
      </c>
      <c r="F525" s="75">
        <v>2511140937</v>
      </c>
      <c r="G525" s="273" t="s">
        <v>303</v>
      </c>
      <c r="H525" s="276" t="s">
        <v>593</v>
      </c>
      <c r="I525" s="273" t="s">
        <v>49</v>
      </c>
      <c r="J525" s="273" t="s">
        <v>46</v>
      </c>
      <c r="K525" s="364" t="s">
        <v>60</v>
      </c>
      <c r="L525" s="273" t="s">
        <v>47</v>
      </c>
      <c r="M525" s="380" t="e">
        <f t="shared" si="100"/>
        <v>#N/A</v>
      </c>
      <c r="N525" s="77" t="s">
        <v>49</v>
      </c>
      <c r="O525" s="78">
        <v>21460010</v>
      </c>
      <c r="P525" s="42" t="str">
        <f>VLOOKUP(O525,[1]Feuil2!$A:$M,5,FALSE)</f>
        <v>COUTEAU FUSEAU + GENCOD</v>
      </c>
      <c r="Q525" s="75">
        <v>15552</v>
      </c>
      <c r="R525" s="79">
        <v>0.35299999999999998</v>
      </c>
      <c r="S525" s="80">
        <f t="shared" si="98"/>
        <v>5489.8559999999998</v>
      </c>
      <c r="T525" s="81">
        <f t="shared" si="95"/>
        <v>16808.544000000002</v>
      </c>
      <c r="U525" s="139"/>
      <c r="V525" s="82">
        <f t="shared" si="99"/>
        <v>16808.544000000002</v>
      </c>
      <c r="W525" s="9">
        <f>VLOOKUP(O525,[1]Feuil2!$A:$M,6,FALSE)</f>
        <v>144</v>
      </c>
      <c r="X525" s="10">
        <f>VLOOKUP(O525,[1]Feuil2!$A:$M,13,FALSE)</f>
        <v>1.1610000000000001E-2</v>
      </c>
      <c r="Y525" s="11">
        <f t="shared" si="93"/>
        <v>1.2538800000000001</v>
      </c>
      <c r="Z525" s="83">
        <f t="shared" si="97"/>
        <v>4.7889299999999997</v>
      </c>
      <c r="AA525" s="66" t="s">
        <v>61</v>
      </c>
      <c r="AB525" s="28" t="s">
        <v>61</v>
      </c>
      <c r="AC525" s="75"/>
      <c r="AD525" s="28" t="s">
        <v>61</v>
      </c>
      <c r="AE525" s="14"/>
      <c r="AF525" s="13"/>
      <c r="AG525" s="13"/>
      <c r="AH525" s="84"/>
      <c r="AI525" s="134">
        <v>46060</v>
      </c>
      <c r="AJ525" s="144">
        <f t="shared" ca="1" si="96"/>
        <v>38</v>
      </c>
      <c r="AK525" s="85" t="e">
        <f>VLOOKUP(AP525,'[2]CONTENEUR PLEIN'!$F:$L,3,FALSE)</f>
        <v>#N/A</v>
      </c>
      <c r="AL525" s="86" t="e">
        <f>VLOOKUP(AP525,'[2]CONTENEUR PLEIN'!$F:$L,5,FALSE)</f>
        <v>#N/A</v>
      </c>
      <c r="AM525" s="15" t="e">
        <f>VLOOKUP(AP525,'[2]CONTENEUR PLEIN'!$F:$L,7,FALSE)</f>
        <v>#N/A</v>
      </c>
      <c r="AN525" s="264" t="s">
        <v>63</v>
      </c>
      <c r="AO525" s="75"/>
      <c r="AP525" s="75"/>
      <c r="AQ525" s="75"/>
      <c r="AR525" s="75" t="e">
        <f>VLOOKUP(AP525,'[2]CONTENEUR PLEIN'!$F:$L,2,FALSE)</f>
        <v>#N/A</v>
      </c>
      <c r="AS525" s="75"/>
      <c r="AT525" s="84"/>
    </row>
    <row r="526" spans="2:46" s="72" customFormat="1" hidden="1" x14ac:dyDescent="0.25">
      <c r="B526" s="274" t="s">
        <v>45</v>
      </c>
      <c r="C526" s="74">
        <v>45979</v>
      </c>
      <c r="D526" s="75">
        <v>25113</v>
      </c>
      <c r="E526" s="275" t="s">
        <v>590</v>
      </c>
      <c r="F526" s="75">
        <v>2511140937</v>
      </c>
      <c r="G526" s="273" t="s">
        <v>303</v>
      </c>
      <c r="H526" s="276" t="s">
        <v>593</v>
      </c>
      <c r="I526" s="273" t="s">
        <v>49</v>
      </c>
      <c r="J526" s="273" t="s">
        <v>46</v>
      </c>
      <c r="K526" s="364" t="s">
        <v>60</v>
      </c>
      <c r="L526" s="273" t="s">
        <v>47</v>
      </c>
      <c r="M526" s="380" t="e">
        <f t="shared" si="100"/>
        <v>#N/A</v>
      </c>
      <c r="N526" s="77" t="s">
        <v>49</v>
      </c>
      <c r="O526" s="78">
        <v>21460012</v>
      </c>
      <c r="P526" s="42" t="str">
        <f>VLOOKUP(O526,[1]Feuil2!$A:$M,5,FALSE)</f>
        <v>CUILLERE FUSEAU + GENCOD</v>
      </c>
      <c r="Q526" s="75">
        <v>15552</v>
      </c>
      <c r="R526" s="79">
        <v>0.23100000000000001</v>
      </c>
      <c r="S526" s="80">
        <f t="shared" si="98"/>
        <v>3592.5120000000002</v>
      </c>
      <c r="T526" s="81">
        <f t="shared" si="95"/>
        <v>16808.544000000002</v>
      </c>
      <c r="U526" s="139"/>
      <c r="V526" s="82">
        <f t="shared" si="99"/>
        <v>16808.544000000002</v>
      </c>
      <c r="W526" s="9">
        <f>VLOOKUP(O526,[1]Feuil2!$A:$M,6,FALSE)</f>
        <v>144</v>
      </c>
      <c r="X526" s="10">
        <f>VLOOKUP(O526,[1]Feuil2!$A:$M,13,FALSE)</f>
        <v>9.6937499999999992E-3</v>
      </c>
      <c r="Y526" s="11">
        <f t="shared" si="93"/>
        <v>1.0469249999999999</v>
      </c>
      <c r="Z526" s="83">
        <f t="shared" si="97"/>
        <v>4.7889299999999997</v>
      </c>
      <c r="AA526" s="66" t="s">
        <v>61</v>
      </c>
      <c r="AB526" s="28" t="s">
        <v>61</v>
      </c>
      <c r="AC526" s="75"/>
      <c r="AD526" s="28" t="s">
        <v>61</v>
      </c>
      <c r="AE526" s="14"/>
      <c r="AF526" s="13"/>
      <c r="AG526" s="13"/>
      <c r="AH526" s="84"/>
      <c r="AI526" s="134">
        <v>46060</v>
      </c>
      <c r="AJ526" s="144">
        <f t="shared" ca="1" si="96"/>
        <v>38</v>
      </c>
      <c r="AK526" s="85" t="e">
        <f>VLOOKUP(AP526,'[2]CONTENEUR PLEIN'!$F:$L,3,FALSE)</f>
        <v>#N/A</v>
      </c>
      <c r="AL526" s="86" t="e">
        <f>VLOOKUP(AP526,'[2]CONTENEUR PLEIN'!$F:$L,5,FALSE)</f>
        <v>#N/A</v>
      </c>
      <c r="AM526" s="15" t="e">
        <f>VLOOKUP(AP526,'[2]CONTENEUR PLEIN'!$F:$L,7,FALSE)</f>
        <v>#N/A</v>
      </c>
      <c r="AN526" s="264" t="s">
        <v>63</v>
      </c>
      <c r="AO526" s="75"/>
      <c r="AP526" s="75"/>
      <c r="AQ526" s="75"/>
      <c r="AR526" s="75" t="e">
        <f>VLOOKUP(AP526,'[2]CONTENEUR PLEIN'!$F:$L,2,FALSE)</f>
        <v>#N/A</v>
      </c>
      <c r="AS526" s="75"/>
      <c r="AT526" s="84"/>
    </row>
    <row r="527" spans="2:46" s="72" customFormat="1" hidden="1" x14ac:dyDescent="0.25">
      <c r="B527" s="274" t="s">
        <v>45</v>
      </c>
      <c r="C527" s="74">
        <v>45979</v>
      </c>
      <c r="D527" s="75">
        <v>25113</v>
      </c>
      <c r="E527" s="275" t="s">
        <v>590</v>
      </c>
      <c r="F527" s="75">
        <v>2511140937</v>
      </c>
      <c r="G527" s="273" t="s">
        <v>303</v>
      </c>
      <c r="H527" s="276" t="s">
        <v>593</v>
      </c>
      <c r="I527" s="273" t="s">
        <v>49</v>
      </c>
      <c r="J527" s="273" t="s">
        <v>46</v>
      </c>
      <c r="K527" s="364" t="s">
        <v>60</v>
      </c>
      <c r="L527" s="273" t="s">
        <v>47</v>
      </c>
      <c r="M527" s="380" t="e">
        <f t="shared" si="100"/>
        <v>#N/A</v>
      </c>
      <c r="N527" s="77" t="s">
        <v>49</v>
      </c>
      <c r="O527" s="78">
        <v>21460013</v>
      </c>
      <c r="P527" s="42" t="str">
        <f>VLOOKUP(O527,[1]Feuil2!$A:$M,5,FALSE)</f>
        <v>CAFE FUSEAU + GENCOD</v>
      </c>
      <c r="Q527" s="75">
        <v>15552</v>
      </c>
      <c r="R527" s="79">
        <v>0.16600000000000001</v>
      </c>
      <c r="S527" s="80">
        <f t="shared" si="98"/>
        <v>2581.6320000000001</v>
      </c>
      <c r="T527" s="81">
        <f t="shared" si="95"/>
        <v>16808.544000000002</v>
      </c>
      <c r="U527" s="139"/>
      <c r="V527" s="82">
        <f t="shared" si="99"/>
        <v>16808.544000000002</v>
      </c>
      <c r="W527" s="9">
        <f>VLOOKUP(O527,[1]Feuil2!$A:$M,6,FALSE)</f>
        <v>144</v>
      </c>
      <c r="X527" s="10">
        <f>VLOOKUP(O527,[1]Feuil2!$A:$M,13,FALSE)</f>
        <v>5.94E-3</v>
      </c>
      <c r="Y527" s="11">
        <f t="shared" si="93"/>
        <v>0.64151999999999998</v>
      </c>
      <c r="Z527" s="83">
        <f t="shared" si="97"/>
        <v>4.7889299999999997</v>
      </c>
      <c r="AA527" s="66" t="s">
        <v>61</v>
      </c>
      <c r="AB527" s="28" t="s">
        <v>61</v>
      </c>
      <c r="AC527" s="75"/>
      <c r="AD527" s="28" t="s">
        <v>61</v>
      </c>
      <c r="AE527" s="14"/>
      <c r="AF527" s="13"/>
      <c r="AG527" s="13"/>
      <c r="AH527" s="84"/>
      <c r="AI527" s="134">
        <v>46060</v>
      </c>
      <c r="AJ527" s="144">
        <f t="shared" ca="1" si="96"/>
        <v>38</v>
      </c>
      <c r="AK527" s="85" t="e">
        <f>VLOOKUP(AP527,'[2]CONTENEUR PLEIN'!$F:$L,3,FALSE)</f>
        <v>#N/A</v>
      </c>
      <c r="AL527" s="86" t="e">
        <f>VLOOKUP(AP527,'[2]CONTENEUR PLEIN'!$F:$L,5,FALSE)</f>
        <v>#N/A</v>
      </c>
      <c r="AM527" s="15" t="e">
        <f>VLOOKUP(AP527,'[2]CONTENEUR PLEIN'!$F:$L,7,FALSE)</f>
        <v>#N/A</v>
      </c>
      <c r="AN527" s="264" t="s">
        <v>63</v>
      </c>
      <c r="AO527" s="75"/>
      <c r="AP527" s="75"/>
      <c r="AQ527" s="75"/>
      <c r="AR527" s="75" t="e">
        <f>VLOOKUP(AP527,'[2]CONTENEUR PLEIN'!$F:$L,2,FALSE)</f>
        <v>#N/A</v>
      </c>
      <c r="AS527" s="75"/>
      <c r="AT527" s="84"/>
    </row>
    <row r="528" spans="2:46" s="72" customFormat="1" hidden="1" x14ac:dyDescent="0.25">
      <c r="B528" s="274" t="s">
        <v>45</v>
      </c>
      <c r="C528" s="74">
        <v>45979</v>
      </c>
      <c r="D528" s="75">
        <v>25112</v>
      </c>
      <c r="E528" s="275" t="s">
        <v>591</v>
      </c>
      <c r="F528" s="75">
        <v>2511171226</v>
      </c>
      <c r="G528" s="273" t="s">
        <v>303</v>
      </c>
      <c r="H528" s="273" t="s">
        <v>46</v>
      </c>
      <c r="I528" s="273" t="s">
        <v>49</v>
      </c>
      <c r="J528" s="273" t="s">
        <v>46</v>
      </c>
      <c r="K528" s="364" t="s">
        <v>60</v>
      </c>
      <c r="L528" s="273" t="s">
        <v>47</v>
      </c>
      <c r="M528" s="380" t="e">
        <f t="shared" si="100"/>
        <v>#N/A</v>
      </c>
      <c r="N528" s="192" t="s">
        <v>146</v>
      </c>
      <c r="O528" s="78">
        <v>20160001</v>
      </c>
      <c r="P528" s="42" t="str">
        <f>VLOOKUP(O528,[1]Feuil2!$A:$M,5,FALSE)</f>
        <v>LOT 3 COUTEAUX TABLE OSLO BRILLANT CLASSIQUE +SUSPENSION</v>
      </c>
      <c r="Q528" s="75">
        <v>4032</v>
      </c>
      <c r="R528" s="79">
        <v>0.23200000000000001</v>
      </c>
      <c r="S528" s="80">
        <f t="shared" si="98"/>
        <v>935.42400000000009</v>
      </c>
      <c r="T528" s="81">
        <f t="shared" si="95"/>
        <v>16787.735999999997</v>
      </c>
      <c r="U528" s="139"/>
      <c r="V528" s="82">
        <f t="shared" si="99"/>
        <v>16787.735999999997</v>
      </c>
      <c r="W528" s="9">
        <f>VLOOKUP(O528,[1]Feuil2!$A:$M,6,FALSE)</f>
        <v>72</v>
      </c>
      <c r="X528" s="10">
        <f>VLOOKUP(O528,[1]Feuil2!$A:$M,13,FALSE)</f>
        <v>1.4699999999999998E-2</v>
      </c>
      <c r="Y528" s="11">
        <f t="shared" si="93"/>
        <v>0.82319999999999993</v>
      </c>
      <c r="Z528" s="83">
        <f t="shared" si="97"/>
        <v>16.154073</v>
      </c>
      <c r="AA528" s="66" t="s">
        <v>61</v>
      </c>
      <c r="AB528" s="28" t="s">
        <v>61</v>
      </c>
      <c r="AC528" s="75"/>
      <c r="AD528" s="28" t="s">
        <v>61</v>
      </c>
      <c r="AE528" s="14"/>
      <c r="AF528" s="13"/>
      <c r="AG528" s="13"/>
      <c r="AH528" s="84"/>
      <c r="AI528" s="134">
        <v>46112</v>
      </c>
      <c r="AJ528" s="144" t="e">
        <f t="shared" ca="1" si="96"/>
        <v>#NUM!</v>
      </c>
      <c r="AK528" s="85" t="e">
        <f>VLOOKUP(AP528,'[2]CONTENEUR PLEIN'!$F:$L,3,FALSE)</f>
        <v>#N/A</v>
      </c>
      <c r="AL528" s="86" t="e">
        <f>VLOOKUP(AP528,'[2]CONTENEUR PLEIN'!$F:$L,5,FALSE)</f>
        <v>#N/A</v>
      </c>
      <c r="AM528" s="15" t="e">
        <f>VLOOKUP(AP528,'[2]CONTENEUR PLEIN'!$F:$L,7,FALSE)</f>
        <v>#N/A</v>
      </c>
      <c r="AN528" s="264" t="s">
        <v>63</v>
      </c>
      <c r="AO528" s="75"/>
      <c r="AP528" s="75"/>
      <c r="AQ528" s="75"/>
      <c r="AR528" s="75" t="e">
        <f>VLOOKUP(AP528,'[2]CONTENEUR PLEIN'!$F:$L,2,FALSE)</f>
        <v>#N/A</v>
      </c>
      <c r="AS528" s="75"/>
      <c r="AT528" s="84"/>
    </row>
    <row r="529" spans="2:46" s="72" customFormat="1" hidden="1" x14ac:dyDescent="0.25">
      <c r="B529" s="274" t="s">
        <v>45</v>
      </c>
      <c r="C529" s="74">
        <v>45979</v>
      </c>
      <c r="D529" s="75">
        <v>25112</v>
      </c>
      <c r="E529" s="275" t="s">
        <v>591</v>
      </c>
      <c r="F529" s="75">
        <v>2511171226</v>
      </c>
      <c r="G529" s="273" t="s">
        <v>303</v>
      </c>
      <c r="H529" s="273" t="s">
        <v>46</v>
      </c>
      <c r="I529" s="273" t="s">
        <v>49</v>
      </c>
      <c r="J529" s="273" t="s">
        <v>46</v>
      </c>
      <c r="K529" s="364" t="s">
        <v>60</v>
      </c>
      <c r="L529" s="273" t="s">
        <v>47</v>
      </c>
      <c r="M529" s="380" t="e">
        <f t="shared" si="100"/>
        <v>#N/A</v>
      </c>
      <c r="N529" s="192" t="s">
        <v>146</v>
      </c>
      <c r="O529" s="78">
        <v>20160002</v>
      </c>
      <c r="P529" s="42" t="str">
        <f>VLOOKUP(O529,[1]Feuil2!$A:$M,5,FALSE)</f>
        <v>LOT 3 STEAK POINTU OSLO BRILLANT CLASSIQUE +SUSPENSION</v>
      </c>
      <c r="Q529" s="75">
        <v>19008</v>
      </c>
      <c r="R529" s="79">
        <v>0.24299999999999999</v>
      </c>
      <c r="S529" s="80">
        <f t="shared" si="98"/>
        <v>4618.9439999999995</v>
      </c>
      <c r="T529" s="81">
        <f t="shared" si="95"/>
        <v>16787.735999999997</v>
      </c>
      <c r="U529" s="139"/>
      <c r="V529" s="82">
        <f t="shared" si="99"/>
        <v>16787.735999999997</v>
      </c>
      <c r="W529" s="9">
        <f>VLOOKUP(O529,[1]Feuil2!$A:$M,6,FALSE)</f>
        <v>72</v>
      </c>
      <c r="X529" s="10">
        <f>VLOOKUP(O529,[1]Feuil2!$A:$M,13,FALSE)</f>
        <v>1.5007499999999998E-2</v>
      </c>
      <c r="Y529" s="11">
        <f t="shared" si="93"/>
        <v>3.9619799999999996</v>
      </c>
      <c r="Z529" s="83">
        <f t="shared" si="97"/>
        <v>16.154073</v>
      </c>
      <c r="AA529" s="66" t="s">
        <v>61</v>
      </c>
      <c r="AB529" s="28" t="s">
        <v>61</v>
      </c>
      <c r="AC529" s="75"/>
      <c r="AD529" s="28" t="s">
        <v>61</v>
      </c>
      <c r="AE529" s="14"/>
      <c r="AF529" s="13"/>
      <c r="AG529" s="13"/>
      <c r="AH529" s="84"/>
      <c r="AI529" s="134">
        <v>46112</v>
      </c>
      <c r="AJ529" s="144" t="e">
        <f t="shared" ca="1" si="96"/>
        <v>#NUM!</v>
      </c>
      <c r="AK529" s="85" t="e">
        <f>VLOOKUP(AP529,'[2]CONTENEUR PLEIN'!$F:$L,3,FALSE)</f>
        <v>#N/A</v>
      </c>
      <c r="AL529" s="86" t="e">
        <f>VLOOKUP(AP529,'[2]CONTENEUR PLEIN'!$F:$L,5,FALSE)</f>
        <v>#N/A</v>
      </c>
      <c r="AM529" s="15" t="e">
        <f>VLOOKUP(AP529,'[2]CONTENEUR PLEIN'!$F:$L,7,FALSE)</f>
        <v>#N/A</v>
      </c>
      <c r="AN529" s="264" t="s">
        <v>63</v>
      </c>
      <c r="AO529" s="75"/>
      <c r="AP529" s="75"/>
      <c r="AQ529" s="75"/>
      <c r="AR529" s="75" t="e">
        <f>VLOOKUP(AP529,'[2]CONTENEUR PLEIN'!$F:$L,2,FALSE)</f>
        <v>#N/A</v>
      </c>
      <c r="AS529" s="75"/>
      <c r="AT529" s="84"/>
    </row>
    <row r="530" spans="2:46" s="72" customFormat="1" hidden="1" x14ac:dyDescent="0.25">
      <c r="B530" s="274" t="s">
        <v>45</v>
      </c>
      <c r="C530" s="74">
        <v>45979</v>
      </c>
      <c r="D530" s="75">
        <v>25112</v>
      </c>
      <c r="E530" s="275" t="s">
        <v>591</v>
      </c>
      <c r="F530" s="75">
        <v>2511171226</v>
      </c>
      <c r="G530" s="273" t="s">
        <v>303</v>
      </c>
      <c r="H530" s="273" t="s">
        <v>46</v>
      </c>
      <c r="I530" s="273" t="s">
        <v>49</v>
      </c>
      <c r="J530" s="273" t="s">
        <v>46</v>
      </c>
      <c r="K530" s="364" t="s">
        <v>60</v>
      </c>
      <c r="L530" s="273" t="s">
        <v>47</v>
      </c>
      <c r="M530" s="380" t="e">
        <f t="shared" si="100"/>
        <v>#N/A</v>
      </c>
      <c r="N530" s="192" t="s">
        <v>146</v>
      </c>
      <c r="O530" s="78">
        <v>20160003</v>
      </c>
      <c r="P530" s="42" t="str">
        <f>VLOOKUP(O530,[1]Feuil2!$A:$M,5,FALSE)</f>
        <v>LOT 3 COUTEAUX DESSERT OSLO BRILLANT CLASSIQUE +SUSPENSION</v>
      </c>
      <c r="Q530" s="75">
        <v>8136</v>
      </c>
      <c r="R530" s="79">
        <v>0.2</v>
      </c>
      <c r="S530" s="80">
        <f t="shared" si="98"/>
        <v>1627.2</v>
      </c>
      <c r="T530" s="81">
        <f t="shared" si="95"/>
        <v>16787.735999999997</v>
      </c>
      <c r="U530" s="139"/>
      <c r="V530" s="82">
        <f t="shared" si="99"/>
        <v>16787.735999999997</v>
      </c>
      <c r="W530" s="9">
        <f>VLOOKUP(O530,[1]Feuil2!$A:$M,6,FALSE)</f>
        <v>72</v>
      </c>
      <c r="X530" s="10">
        <f>VLOOKUP(O530,[1]Feuil2!$A:$M,13,FALSE)</f>
        <v>1.5957249999999999E-2</v>
      </c>
      <c r="Y530" s="11">
        <f t="shared" si="93"/>
        <v>1.8031692499999998</v>
      </c>
      <c r="Z530" s="83">
        <f t="shared" si="97"/>
        <v>16.154073</v>
      </c>
      <c r="AA530" s="66" t="s">
        <v>61</v>
      </c>
      <c r="AB530" s="28" t="s">
        <v>61</v>
      </c>
      <c r="AC530" s="75"/>
      <c r="AD530" s="28" t="s">
        <v>61</v>
      </c>
      <c r="AE530" s="14"/>
      <c r="AF530" s="13"/>
      <c r="AG530" s="13"/>
      <c r="AH530" s="84"/>
      <c r="AI530" s="134">
        <v>46112</v>
      </c>
      <c r="AJ530" s="144" t="e">
        <f t="shared" ca="1" si="96"/>
        <v>#NUM!</v>
      </c>
      <c r="AK530" s="85" t="e">
        <f>VLOOKUP(AP530,'[2]CONTENEUR PLEIN'!$F:$L,3,FALSE)</f>
        <v>#N/A</v>
      </c>
      <c r="AL530" s="86" t="e">
        <f>VLOOKUP(AP530,'[2]CONTENEUR PLEIN'!$F:$L,5,FALSE)</f>
        <v>#N/A</v>
      </c>
      <c r="AM530" s="15" t="e">
        <f>VLOOKUP(AP530,'[2]CONTENEUR PLEIN'!$F:$L,7,FALSE)</f>
        <v>#N/A</v>
      </c>
      <c r="AN530" s="264" t="s">
        <v>63</v>
      </c>
      <c r="AO530" s="75"/>
      <c r="AP530" s="75"/>
      <c r="AQ530" s="75"/>
      <c r="AR530" s="75" t="e">
        <f>VLOOKUP(AP530,'[2]CONTENEUR PLEIN'!$F:$L,2,FALSE)</f>
        <v>#N/A</v>
      </c>
      <c r="AS530" s="75"/>
      <c r="AT530" s="84"/>
    </row>
    <row r="531" spans="2:46" s="72" customFormat="1" hidden="1" x14ac:dyDescent="0.25">
      <c r="B531" s="274" t="s">
        <v>45</v>
      </c>
      <c r="C531" s="74">
        <v>45979</v>
      </c>
      <c r="D531" s="75">
        <v>25112</v>
      </c>
      <c r="E531" s="275" t="s">
        <v>591</v>
      </c>
      <c r="F531" s="75">
        <v>2511171226</v>
      </c>
      <c r="G531" s="273" t="s">
        <v>303</v>
      </c>
      <c r="H531" s="273" t="s">
        <v>46</v>
      </c>
      <c r="I531" s="273" t="s">
        <v>49</v>
      </c>
      <c r="J531" s="273" t="s">
        <v>46</v>
      </c>
      <c r="K531" s="364" t="s">
        <v>60</v>
      </c>
      <c r="L531" s="273" t="s">
        <v>47</v>
      </c>
      <c r="M531" s="380" t="e">
        <f t="shared" si="100"/>
        <v>#N/A</v>
      </c>
      <c r="N531" s="192" t="s">
        <v>146</v>
      </c>
      <c r="O531" s="78">
        <v>20160004</v>
      </c>
      <c r="P531" s="42" t="str">
        <f>VLOOKUP(O531,[1]Feuil2!$A:$M,5,FALSE)</f>
        <v>LOT 6 FOURCHETTES OSLO BRILLANT CLASSIQUE +SUSPENSION</v>
      </c>
      <c r="Q531" s="75">
        <v>17064</v>
      </c>
      <c r="R531" s="79">
        <v>0.17299999999999999</v>
      </c>
      <c r="S531" s="80">
        <f t="shared" si="98"/>
        <v>2952.0719999999997</v>
      </c>
      <c r="T531" s="81">
        <f t="shared" si="95"/>
        <v>16787.735999999997</v>
      </c>
      <c r="U531" s="139"/>
      <c r="V531" s="82">
        <f t="shared" si="99"/>
        <v>16787.735999999997</v>
      </c>
      <c r="W531" s="9">
        <f>VLOOKUP(O531,[1]Feuil2!$A:$M,6,FALSE)</f>
        <v>72</v>
      </c>
      <c r="X531" s="10">
        <f>VLOOKUP(O531,[1]Feuil2!$A:$M,13,FALSE)</f>
        <v>2.1780000000000001E-2</v>
      </c>
      <c r="Y531" s="11">
        <f t="shared" si="93"/>
        <v>5.1618599999999999</v>
      </c>
      <c r="Z531" s="83">
        <f t="shared" si="97"/>
        <v>16.154073</v>
      </c>
      <c r="AA531" s="66" t="s">
        <v>61</v>
      </c>
      <c r="AB531" s="28" t="s">
        <v>61</v>
      </c>
      <c r="AC531" s="75"/>
      <c r="AD531" s="28" t="s">
        <v>61</v>
      </c>
      <c r="AE531" s="14"/>
      <c r="AF531" s="13"/>
      <c r="AG531" s="13"/>
      <c r="AH531" s="84"/>
      <c r="AI531" s="134">
        <v>46112</v>
      </c>
      <c r="AJ531" s="144" t="e">
        <f t="shared" ca="1" si="96"/>
        <v>#NUM!</v>
      </c>
      <c r="AK531" s="85" t="e">
        <f>VLOOKUP(AP531,'[2]CONTENEUR PLEIN'!$F:$L,3,FALSE)</f>
        <v>#N/A</v>
      </c>
      <c r="AL531" s="86" t="e">
        <f>VLOOKUP(AP531,'[2]CONTENEUR PLEIN'!$F:$L,5,FALSE)</f>
        <v>#N/A</v>
      </c>
      <c r="AM531" s="15" t="e">
        <f>VLOOKUP(AP531,'[2]CONTENEUR PLEIN'!$F:$L,7,FALSE)</f>
        <v>#N/A</v>
      </c>
      <c r="AN531" s="264" t="s">
        <v>63</v>
      </c>
      <c r="AO531" s="75"/>
      <c r="AP531" s="75"/>
      <c r="AQ531" s="75"/>
      <c r="AR531" s="75" t="e">
        <f>VLOOKUP(AP531,'[2]CONTENEUR PLEIN'!$F:$L,2,FALSE)</f>
        <v>#N/A</v>
      </c>
      <c r="AS531" s="75"/>
      <c r="AT531" s="84"/>
    </row>
    <row r="532" spans="2:46" s="72" customFormat="1" hidden="1" x14ac:dyDescent="0.25">
      <c r="B532" s="274" t="s">
        <v>45</v>
      </c>
      <c r="C532" s="74">
        <v>45979</v>
      </c>
      <c r="D532" s="75">
        <v>25112</v>
      </c>
      <c r="E532" s="275" t="s">
        <v>591</v>
      </c>
      <c r="F532" s="75">
        <v>2511171226</v>
      </c>
      <c r="G532" s="273" t="s">
        <v>303</v>
      </c>
      <c r="H532" s="273" t="s">
        <v>46</v>
      </c>
      <c r="I532" s="273" t="s">
        <v>49</v>
      </c>
      <c r="J532" s="273" t="s">
        <v>46</v>
      </c>
      <c r="K532" s="364" t="s">
        <v>60</v>
      </c>
      <c r="L532" s="273" t="s">
        <v>47</v>
      </c>
      <c r="M532" s="380" t="e">
        <f t="shared" si="100"/>
        <v>#N/A</v>
      </c>
      <c r="N532" s="192" t="s">
        <v>146</v>
      </c>
      <c r="O532" s="78">
        <v>20160006</v>
      </c>
      <c r="P532" s="42" t="str">
        <f>VLOOKUP(O532,[1]Feuil2!$A:$M,5,FALSE)</f>
        <v>LOT 6 CAFE OSLO BRILLANT CLASSIQUE +SUSPENSION</v>
      </c>
      <c r="Q532" s="75">
        <v>9072</v>
      </c>
      <c r="R532" s="79">
        <v>0.11899999999999999</v>
      </c>
      <c r="S532" s="80">
        <f t="shared" si="98"/>
        <v>1079.568</v>
      </c>
      <c r="T532" s="81">
        <f t="shared" si="95"/>
        <v>16787.735999999997</v>
      </c>
      <c r="U532" s="139"/>
      <c r="V532" s="82">
        <f t="shared" si="99"/>
        <v>16787.735999999997</v>
      </c>
      <c r="W532" s="9">
        <f>VLOOKUP(O532,[1]Feuil2!$A:$M,6,FALSE)</f>
        <v>144</v>
      </c>
      <c r="X532" s="10">
        <f>VLOOKUP(O532,[1]Feuil2!$A:$M,13,FALSE)</f>
        <v>2.2000000000000002E-2</v>
      </c>
      <c r="Y532" s="11">
        <f t="shared" ref="Y532:Y595" si="101">(Q532/W532)*X532</f>
        <v>1.3860000000000001</v>
      </c>
      <c r="Z532" s="83">
        <f t="shared" si="97"/>
        <v>16.154073</v>
      </c>
      <c r="AA532" s="66" t="s">
        <v>61</v>
      </c>
      <c r="AB532" s="28" t="s">
        <v>61</v>
      </c>
      <c r="AC532" s="75"/>
      <c r="AD532" s="28" t="s">
        <v>61</v>
      </c>
      <c r="AE532" s="14"/>
      <c r="AF532" s="13"/>
      <c r="AG532" s="13"/>
      <c r="AH532" s="84"/>
      <c r="AI532" s="134">
        <v>46112</v>
      </c>
      <c r="AJ532" s="144" t="e">
        <f t="shared" ca="1" si="96"/>
        <v>#NUM!</v>
      </c>
      <c r="AK532" s="85" t="e">
        <f>VLOOKUP(AP532,'[2]CONTENEUR PLEIN'!$F:$L,3,FALSE)</f>
        <v>#N/A</v>
      </c>
      <c r="AL532" s="86" t="e">
        <f>VLOOKUP(AP532,'[2]CONTENEUR PLEIN'!$F:$L,5,FALSE)</f>
        <v>#N/A</v>
      </c>
      <c r="AM532" s="15" t="e">
        <f>VLOOKUP(AP532,'[2]CONTENEUR PLEIN'!$F:$L,7,FALSE)</f>
        <v>#N/A</v>
      </c>
      <c r="AN532" s="264" t="s">
        <v>63</v>
      </c>
      <c r="AO532" s="75"/>
      <c r="AP532" s="75"/>
      <c r="AQ532" s="75"/>
      <c r="AR532" s="75" t="e">
        <f>VLOOKUP(AP532,'[2]CONTENEUR PLEIN'!$F:$L,2,FALSE)</f>
        <v>#N/A</v>
      </c>
      <c r="AS532" s="75"/>
      <c r="AT532" s="84"/>
    </row>
    <row r="533" spans="2:46" s="72" customFormat="1" hidden="1" x14ac:dyDescent="0.25">
      <c r="B533" s="274" t="s">
        <v>45</v>
      </c>
      <c r="C533" s="74">
        <v>45979</v>
      </c>
      <c r="D533" s="75">
        <v>25112</v>
      </c>
      <c r="E533" s="275" t="s">
        <v>591</v>
      </c>
      <c r="F533" s="75">
        <v>2511171226</v>
      </c>
      <c r="G533" s="273" t="s">
        <v>303</v>
      </c>
      <c r="H533" s="273" t="s">
        <v>46</v>
      </c>
      <c r="I533" s="273" t="s">
        <v>49</v>
      </c>
      <c r="J533" s="273" t="s">
        <v>46</v>
      </c>
      <c r="K533" s="364" t="s">
        <v>60</v>
      </c>
      <c r="L533" s="273" t="s">
        <v>47</v>
      </c>
      <c r="M533" s="380" t="e">
        <f t="shared" si="100"/>
        <v>#N/A</v>
      </c>
      <c r="N533" s="192" t="s">
        <v>146</v>
      </c>
      <c r="O533" s="78">
        <v>20160007</v>
      </c>
      <c r="P533" s="42" t="str">
        <f>VLOOKUP(O533,[1]Feuil2!$A:$M,5,FALSE)</f>
        <v>LOT 6 MOKA OSLO BRILLANT CLASSIQUE +SUSPENSION</v>
      </c>
      <c r="Q533" s="75">
        <v>11520</v>
      </c>
      <c r="R533" s="79">
        <v>0.11600000000000001</v>
      </c>
      <c r="S533" s="80">
        <f t="shared" si="98"/>
        <v>1336.3200000000002</v>
      </c>
      <c r="T533" s="81">
        <f t="shared" si="95"/>
        <v>16787.735999999997</v>
      </c>
      <c r="U533" s="139"/>
      <c r="V533" s="82">
        <f t="shared" si="99"/>
        <v>16787.735999999997</v>
      </c>
      <c r="W533" s="9">
        <f>VLOOKUP(O533,[1]Feuil2!$A:$M,6,FALSE)</f>
        <v>144</v>
      </c>
      <c r="X533" s="10">
        <f>VLOOKUP(O533,[1]Feuil2!$A:$M,13,FALSE)</f>
        <v>2.1560000000000003E-2</v>
      </c>
      <c r="Y533" s="11">
        <f t="shared" si="101"/>
        <v>1.7248000000000001</v>
      </c>
      <c r="Z533" s="83">
        <f t="shared" si="97"/>
        <v>16.154073</v>
      </c>
      <c r="AA533" s="66" t="s">
        <v>61</v>
      </c>
      <c r="AB533" s="28" t="s">
        <v>61</v>
      </c>
      <c r="AC533" s="75"/>
      <c r="AD533" s="28" t="s">
        <v>61</v>
      </c>
      <c r="AE533" s="14"/>
      <c r="AF533" s="13"/>
      <c r="AG533" s="13"/>
      <c r="AH533" s="84"/>
      <c r="AI533" s="134">
        <v>46112</v>
      </c>
      <c r="AJ533" s="144" t="e">
        <f t="shared" ca="1" si="96"/>
        <v>#NUM!</v>
      </c>
      <c r="AK533" s="85" t="e">
        <f>VLOOKUP(AP533,'[2]CONTENEUR PLEIN'!$F:$L,3,FALSE)</f>
        <v>#N/A</v>
      </c>
      <c r="AL533" s="86" t="e">
        <f>VLOOKUP(AP533,'[2]CONTENEUR PLEIN'!$F:$L,5,FALSE)</f>
        <v>#N/A</v>
      </c>
      <c r="AM533" s="15" t="e">
        <f>VLOOKUP(AP533,'[2]CONTENEUR PLEIN'!$F:$L,7,FALSE)</f>
        <v>#N/A</v>
      </c>
      <c r="AN533" s="264" t="s">
        <v>63</v>
      </c>
      <c r="AO533" s="75"/>
      <c r="AP533" s="75"/>
      <c r="AQ533" s="75"/>
      <c r="AR533" s="75" t="e">
        <f>VLOOKUP(AP533,'[2]CONTENEUR PLEIN'!$F:$L,2,FALSE)</f>
        <v>#N/A</v>
      </c>
      <c r="AS533" s="75"/>
      <c r="AT533" s="84"/>
    </row>
    <row r="534" spans="2:46" s="72" customFormat="1" hidden="1" x14ac:dyDescent="0.25">
      <c r="B534" s="274" t="s">
        <v>45</v>
      </c>
      <c r="C534" s="74">
        <v>45979</v>
      </c>
      <c r="D534" s="75">
        <v>25112</v>
      </c>
      <c r="E534" s="275" t="s">
        <v>591</v>
      </c>
      <c r="F534" s="75">
        <v>2511171226</v>
      </c>
      <c r="G534" s="273" t="s">
        <v>303</v>
      </c>
      <c r="H534" s="273" t="s">
        <v>46</v>
      </c>
      <c r="I534" s="273" t="s">
        <v>49</v>
      </c>
      <c r="J534" s="273" t="s">
        <v>46</v>
      </c>
      <c r="K534" s="364" t="s">
        <v>60</v>
      </c>
      <c r="L534" s="273" t="s">
        <v>47</v>
      </c>
      <c r="M534" s="380" t="e">
        <f t="shared" si="100"/>
        <v>#N/A</v>
      </c>
      <c r="N534" s="77" t="s">
        <v>49</v>
      </c>
      <c r="O534" s="78">
        <v>433870</v>
      </c>
      <c r="P534" s="42" t="str">
        <f>VLOOKUP(O534,[1]Feuil2!$A:$M,5,FALSE)</f>
        <v>FETTE KOS(TOSCANE SATINE)+GENC</v>
      </c>
      <c r="Q534" s="75">
        <v>7056</v>
      </c>
      <c r="R534" s="79">
        <v>0.36</v>
      </c>
      <c r="S534" s="80">
        <f t="shared" si="98"/>
        <v>2540.16</v>
      </c>
      <c r="T534" s="81">
        <f t="shared" si="95"/>
        <v>16787.735999999997</v>
      </c>
      <c r="U534" s="139"/>
      <c r="V534" s="82">
        <f t="shared" si="99"/>
        <v>16787.735999999997</v>
      </c>
      <c r="W534" s="9">
        <f>VLOOKUP(O534,[1]Feuil2!$A:$M,6,FALSE)</f>
        <v>144</v>
      </c>
      <c r="X534" s="10">
        <f>VLOOKUP(O534,[1]Feuil2!$A:$M,13,FALSE)</f>
        <v>9.6937499999999992E-3</v>
      </c>
      <c r="Y534" s="11">
        <f t="shared" si="101"/>
        <v>0.47499374999999994</v>
      </c>
      <c r="Z534" s="83">
        <f t="shared" si="97"/>
        <v>16.154073</v>
      </c>
      <c r="AA534" s="66" t="s">
        <v>61</v>
      </c>
      <c r="AB534" s="28" t="s">
        <v>61</v>
      </c>
      <c r="AC534" s="75"/>
      <c r="AD534" s="28" t="s">
        <v>61</v>
      </c>
      <c r="AE534" s="14"/>
      <c r="AF534" s="13"/>
      <c r="AG534" s="13"/>
      <c r="AH534" s="84"/>
      <c r="AI534" s="134">
        <v>46112</v>
      </c>
      <c r="AJ534" s="144" t="e">
        <f t="shared" ca="1" si="96"/>
        <v>#NUM!</v>
      </c>
      <c r="AK534" s="85" t="e">
        <f>VLOOKUP(AP534,'[2]CONTENEUR PLEIN'!$F:$L,3,FALSE)</f>
        <v>#N/A</v>
      </c>
      <c r="AL534" s="86" t="e">
        <f>VLOOKUP(AP534,'[2]CONTENEUR PLEIN'!$F:$L,5,FALSE)</f>
        <v>#N/A</v>
      </c>
      <c r="AM534" s="15" t="e">
        <f>VLOOKUP(AP534,'[2]CONTENEUR PLEIN'!$F:$L,7,FALSE)</f>
        <v>#N/A</v>
      </c>
      <c r="AN534" s="264" t="s">
        <v>63</v>
      </c>
      <c r="AO534" s="75"/>
      <c r="AP534" s="75"/>
      <c r="AQ534" s="75"/>
      <c r="AR534" s="75" t="e">
        <f>VLOOKUP(AP534,'[2]CONTENEUR PLEIN'!$F:$L,2,FALSE)</f>
        <v>#N/A</v>
      </c>
      <c r="AS534" s="75"/>
      <c r="AT534" s="84"/>
    </row>
    <row r="535" spans="2:46" s="72" customFormat="1" hidden="1" x14ac:dyDescent="0.25">
      <c r="B535" s="274" t="s">
        <v>45</v>
      </c>
      <c r="C535" s="74">
        <v>45979</v>
      </c>
      <c r="D535" s="75">
        <v>25112</v>
      </c>
      <c r="E535" s="275" t="s">
        <v>591</v>
      </c>
      <c r="F535" s="75">
        <v>2511171226</v>
      </c>
      <c r="G535" s="273" t="s">
        <v>303</v>
      </c>
      <c r="H535" s="273" t="s">
        <v>46</v>
      </c>
      <c r="I535" s="273" t="s">
        <v>49</v>
      </c>
      <c r="J535" s="273" t="s">
        <v>46</v>
      </c>
      <c r="K535" s="364" t="s">
        <v>60</v>
      </c>
      <c r="L535" s="273" t="s">
        <v>47</v>
      </c>
      <c r="M535" s="380" t="e">
        <f t="shared" si="100"/>
        <v>#N/A</v>
      </c>
      <c r="N535" s="192" t="s">
        <v>146</v>
      </c>
      <c r="O535" s="78">
        <v>20260004</v>
      </c>
      <c r="P535" s="42" t="str">
        <f>VLOOKUP(O535,[1]Feuil2!$A:$M,5,FALSE)</f>
        <v>FOURCHETTE CURVING FINITION BRILLANTE EN BOITE PEGBOARDABLE</v>
      </c>
      <c r="Q535" s="75">
        <v>4824</v>
      </c>
      <c r="R535" s="79">
        <v>0.35199999999999998</v>
      </c>
      <c r="S535" s="80">
        <f t="shared" si="98"/>
        <v>1698.048</v>
      </c>
      <c r="T535" s="81">
        <f t="shared" si="95"/>
        <v>16787.735999999997</v>
      </c>
      <c r="U535" s="139"/>
      <c r="V535" s="82">
        <f t="shared" si="99"/>
        <v>16787.735999999997</v>
      </c>
      <c r="W535" s="9">
        <f>VLOOKUP(O535,[1]Feuil2!$A:$M,6,FALSE)</f>
        <v>72</v>
      </c>
      <c r="X535" s="10">
        <f>VLOOKUP(O535,[1]Feuil2!$A:$M,13,FALSE)</f>
        <v>1.221E-2</v>
      </c>
      <c r="Y535" s="11">
        <f t="shared" si="101"/>
        <v>0.81807000000000007</v>
      </c>
      <c r="Z535" s="83">
        <f t="shared" si="97"/>
        <v>16.154073</v>
      </c>
      <c r="AA535" s="66" t="s">
        <v>61</v>
      </c>
      <c r="AB535" s="28" t="s">
        <v>61</v>
      </c>
      <c r="AC535" s="75"/>
      <c r="AD535" s="28" t="s">
        <v>61</v>
      </c>
      <c r="AE535" s="14"/>
      <c r="AF535" s="13"/>
      <c r="AG535" s="13"/>
      <c r="AH535" s="84"/>
      <c r="AI535" s="134">
        <v>46112</v>
      </c>
      <c r="AJ535" s="144" t="e">
        <f t="shared" ca="1" si="96"/>
        <v>#NUM!</v>
      </c>
      <c r="AK535" s="85" t="e">
        <f>VLOOKUP(AP535,'[2]CONTENEUR PLEIN'!$F:$L,3,FALSE)</f>
        <v>#N/A</v>
      </c>
      <c r="AL535" s="86" t="e">
        <f>VLOOKUP(AP535,'[2]CONTENEUR PLEIN'!$F:$L,5,FALSE)</f>
        <v>#N/A</v>
      </c>
      <c r="AM535" s="15" t="e">
        <f>VLOOKUP(AP535,'[2]CONTENEUR PLEIN'!$F:$L,7,FALSE)</f>
        <v>#N/A</v>
      </c>
      <c r="AN535" s="264" t="s">
        <v>63</v>
      </c>
      <c r="AO535" s="75"/>
      <c r="AP535" s="75"/>
      <c r="AQ535" s="75"/>
      <c r="AR535" s="75" t="e">
        <f>VLOOKUP(AP535,'[2]CONTENEUR PLEIN'!$F:$L,2,FALSE)</f>
        <v>#N/A</v>
      </c>
      <c r="AS535" s="75"/>
      <c r="AT535" s="84"/>
    </row>
    <row r="536" spans="2:46" s="72" customFormat="1" hidden="1" x14ac:dyDescent="0.25">
      <c r="B536" s="608" t="s">
        <v>52</v>
      </c>
      <c r="C536" s="89">
        <v>45980</v>
      </c>
      <c r="D536" s="290" t="s">
        <v>53</v>
      </c>
      <c r="E536" s="609" t="s">
        <v>592</v>
      </c>
      <c r="F536" s="90">
        <v>2511181131</v>
      </c>
      <c r="G536" s="610" t="s">
        <v>72</v>
      </c>
      <c r="H536" s="610" t="s">
        <v>593</v>
      </c>
      <c r="I536" s="610" t="s">
        <v>49</v>
      </c>
      <c r="J536" s="610" t="s">
        <v>46</v>
      </c>
      <c r="K536" s="16" t="s">
        <v>1051</v>
      </c>
      <c r="L536" s="476">
        <v>46056</v>
      </c>
      <c r="M536" s="381">
        <f t="shared" si="100"/>
        <v>3</v>
      </c>
      <c r="N536" s="98" t="s">
        <v>62</v>
      </c>
      <c r="O536" s="92">
        <v>10010198</v>
      </c>
      <c r="P536" s="24" t="str">
        <f>VLOOKUP(O536,[1]Feuil2!$A:$M,5,FALSE)</f>
        <v>STEAK UNIVERSAL CERAMIC CRF SS BLISTER PEGB</v>
      </c>
      <c r="Q536" s="90">
        <f>22014-10998</f>
        <v>11016</v>
      </c>
      <c r="R536" s="93">
        <v>0.97</v>
      </c>
      <c r="S536" s="94">
        <f t="shared" si="98"/>
        <v>10685.52</v>
      </c>
      <c r="T536" s="95">
        <f t="shared" si="95"/>
        <v>70949.555999999997</v>
      </c>
      <c r="U536" s="138"/>
      <c r="V536" s="96">
        <f t="shared" si="99"/>
        <v>70949.555999999997</v>
      </c>
      <c r="W536" s="4">
        <f>VLOOKUP(O536,[1]Feuil2!$A:$M,6,FALSE)</f>
        <v>18</v>
      </c>
      <c r="X536" s="5">
        <f>VLOOKUP(O536,[1]Feuil2!$A:$M,13,FALSE)</f>
        <v>1.3395374999999998E-2</v>
      </c>
      <c r="Y536" s="6">
        <f t="shared" si="101"/>
        <v>8.1979694999999992</v>
      </c>
      <c r="Z536" s="97">
        <f t="shared" si="97"/>
        <v>52.470422124999999</v>
      </c>
      <c r="AA536" s="68" t="s">
        <v>48</v>
      </c>
      <c r="AB536" s="67" t="s">
        <v>48</v>
      </c>
      <c r="AC536" s="90" t="s">
        <v>48</v>
      </c>
      <c r="AD536" s="90" t="s">
        <v>48</v>
      </c>
      <c r="AE536" s="90" t="s">
        <v>48</v>
      </c>
      <c r="AF536" s="611" t="s">
        <v>49</v>
      </c>
      <c r="AG536" s="21"/>
      <c r="AH536" s="98"/>
      <c r="AI536" s="135">
        <v>46078</v>
      </c>
      <c r="AJ536" s="145" t="s">
        <v>49</v>
      </c>
      <c r="AK536" s="100">
        <f>VLOOKUP(AP536,'[2]CONTENEUR PLEIN'!$F:$L,3,FALSE)</f>
        <v>46046</v>
      </c>
      <c r="AL536" s="99">
        <f>VLOOKUP(AP536,'[2]CONTENEUR PLEIN'!$F:$L,5,FALSE)</f>
        <v>46085</v>
      </c>
      <c r="AM536" s="436">
        <f>VLOOKUP(AP536,'[2]CONTENEUR PLEIN'!$F:$L,7,FALSE)</f>
        <v>46098.333333333336</v>
      </c>
      <c r="AN536" s="612" t="s">
        <v>63</v>
      </c>
      <c r="AO536" s="441" t="s">
        <v>931</v>
      </c>
      <c r="AP536" s="441" t="s">
        <v>900</v>
      </c>
      <c r="AQ536" s="441" t="s">
        <v>899</v>
      </c>
      <c r="AR536" s="90" t="str">
        <f>VLOOKUP(AP536,'[2]CONTENEUR PLEIN'!$F:$L,2,FALSE)</f>
        <v>CMA CGM CEDRUS</v>
      </c>
      <c r="AS536" s="441" t="s">
        <v>316</v>
      </c>
      <c r="AT536" s="98"/>
    </row>
    <row r="537" spans="2:46" s="72" customFormat="1" hidden="1" x14ac:dyDescent="0.25">
      <c r="B537" s="608" t="s">
        <v>52</v>
      </c>
      <c r="C537" s="89">
        <v>45980</v>
      </c>
      <c r="D537" s="290" t="s">
        <v>53</v>
      </c>
      <c r="E537" s="609" t="s">
        <v>592</v>
      </c>
      <c r="F537" s="90">
        <v>2511181131</v>
      </c>
      <c r="G537" s="610" t="s">
        <v>72</v>
      </c>
      <c r="H537" s="610" t="s">
        <v>593</v>
      </c>
      <c r="I537" s="610" t="s">
        <v>49</v>
      </c>
      <c r="J537" s="610" t="s">
        <v>46</v>
      </c>
      <c r="K537" s="16" t="s">
        <v>1051</v>
      </c>
      <c r="L537" s="476">
        <v>46056</v>
      </c>
      <c r="M537" s="381">
        <f t="shared" si="100"/>
        <v>3</v>
      </c>
      <c r="N537" s="98" t="s">
        <v>62</v>
      </c>
      <c r="O537" s="92">
        <v>441823</v>
      </c>
      <c r="P537" s="24" t="str">
        <f>VLOOKUP(O537,[1]Feuil2!$A:$M,5,FALSE)</f>
        <v>COFFRET 1 STEAK CERAMIQUE LAME BLANCHE</v>
      </c>
      <c r="Q537" s="90">
        <v>6246</v>
      </c>
      <c r="R537" s="614">
        <v>1.038</v>
      </c>
      <c r="S537" s="94">
        <f t="shared" si="98"/>
        <v>6483.348</v>
      </c>
      <c r="T537" s="95">
        <f t="shared" si="95"/>
        <v>70949.555999999997</v>
      </c>
      <c r="U537" s="138"/>
      <c r="V537" s="96">
        <f t="shared" si="99"/>
        <v>70949.555999999997</v>
      </c>
      <c r="W537" s="4">
        <f>VLOOKUP(O537,[1]Feuil2!$A:$M,6,FALSE)</f>
        <v>18</v>
      </c>
      <c r="X537" s="5">
        <f>VLOOKUP(O537,[1]Feuil2!$A:$M,13,FALSE)</f>
        <v>2.1645749999999998E-2</v>
      </c>
      <c r="Y537" s="6">
        <f t="shared" si="101"/>
        <v>7.5110752499999993</v>
      </c>
      <c r="Z537" s="97">
        <f t="shared" si="97"/>
        <v>52.470422124999999</v>
      </c>
      <c r="AA537" s="68" t="s">
        <v>48</v>
      </c>
      <c r="AB537" s="67" t="s">
        <v>48</v>
      </c>
      <c r="AC537" s="90" t="s">
        <v>48</v>
      </c>
      <c r="AD537" s="90" t="s">
        <v>48</v>
      </c>
      <c r="AE537" s="90" t="s">
        <v>48</v>
      </c>
      <c r="AF537" s="611" t="s">
        <v>49</v>
      </c>
      <c r="AG537" s="21"/>
      <c r="AH537" s="98"/>
      <c r="AI537" s="135">
        <v>46078</v>
      </c>
      <c r="AJ537" s="145" t="s">
        <v>49</v>
      </c>
      <c r="AK537" s="100">
        <f>VLOOKUP(AP537,'[2]CONTENEUR PLEIN'!$F:$L,3,FALSE)</f>
        <v>46046</v>
      </c>
      <c r="AL537" s="99">
        <f>VLOOKUP(AP537,'[2]CONTENEUR PLEIN'!$F:$L,5,FALSE)</f>
        <v>46085</v>
      </c>
      <c r="AM537" s="436">
        <f>VLOOKUP(AP537,'[2]CONTENEUR PLEIN'!$F:$L,7,FALSE)</f>
        <v>46098.333333333336</v>
      </c>
      <c r="AN537" s="612" t="s">
        <v>63</v>
      </c>
      <c r="AO537" s="441" t="s">
        <v>931</v>
      </c>
      <c r="AP537" s="426" t="s">
        <v>900</v>
      </c>
      <c r="AQ537" s="441" t="s">
        <v>899</v>
      </c>
      <c r="AR537" s="90" t="str">
        <f>VLOOKUP(AP537,'[2]CONTENEUR PLEIN'!$F:$L,2,FALSE)</f>
        <v>CMA CGM CEDRUS</v>
      </c>
      <c r="AS537" s="441" t="s">
        <v>316</v>
      </c>
      <c r="AT537" s="98"/>
    </row>
    <row r="538" spans="2:46" s="72" customFormat="1" hidden="1" x14ac:dyDescent="0.25">
      <c r="B538" s="608" t="s">
        <v>52</v>
      </c>
      <c r="C538" s="89">
        <v>45980</v>
      </c>
      <c r="D538" s="290" t="s">
        <v>53</v>
      </c>
      <c r="E538" s="609" t="s">
        <v>592</v>
      </c>
      <c r="F538" s="90">
        <v>2511181131</v>
      </c>
      <c r="G538" s="610" t="s">
        <v>72</v>
      </c>
      <c r="H538" s="610" t="s">
        <v>593</v>
      </c>
      <c r="I538" s="610" t="s">
        <v>49</v>
      </c>
      <c r="J538" s="610" t="s">
        <v>46</v>
      </c>
      <c r="K538" s="16" t="s">
        <v>1051</v>
      </c>
      <c r="L538" s="476">
        <v>46056</v>
      </c>
      <c r="M538" s="381">
        <f t="shared" si="100"/>
        <v>3</v>
      </c>
      <c r="N538" s="98" t="s">
        <v>62</v>
      </c>
      <c r="O538" s="92">
        <v>10010199</v>
      </c>
      <c r="P538" s="24" t="str">
        <f>VLOOKUP(O538,[1]Feuil2!$A:$M,5,FALSE)</f>
        <v>CHEF UNIVERSAL CERAMIC CRF SS BLISTER PEGB</v>
      </c>
      <c r="Q538" s="90">
        <f>20016-10008</f>
        <v>10008</v>
      </c>
      <c r="R538" s="93">
        <v>1.83</v>
      </c>
      <c r="S538" s="94">
        <f t="shared" si="98"/>
        <v>18314.64</v>
      </c>
      <c r="T538" s="95">
        <f t="shared" ref="T538:T601" si="102">SUMIF($E$5:$E$9257,E538,$S$5:$S$9257)</f>
        <v>70949.555999999997</v>
      </c>
      <c r="U538" s="138"/>
      <c r="V538" s="96">
        <f t="shared" si="99"/>
        <v>70949.555999999997</v>
      </c>
      <c r="W538" s="4">
        <f>VLOOKUP(O538,[1]Feuil2!$A:$M,6,FALSE)</f>
        <v>18</v>
      </c>
      <c r="X538" s="5">
        <f>VLOOKUP(O538,[1]Feuil2!$A:$M,13,FALSE)</f>
        <v>1.8944000000000003E-2</v>
      </c>
      <c r="Y538" s="6">
        <f t="shared" si="101"/>
        <v>10.532864000000002</v>
      </c>
      <c r="Z538" s="97">
        <f t="shared" si="97"/>
        <v>52.470422124999999</v>
      </c>
      <c r="AA538" s="68" t="s">
        <v>48</v>
      </c>
      <c r="AB538" s="67" t="s">
        <v>48</v>
      </c>
      <c r="AC538" s="90" t="s">
        <v>48</v>
      </c>
      <c r="AD538" s="90" t="s">
        <v>48</v>
      </c>
      <c r="AE538" s="90" t="s">
        <v>48</v>
      </c>
      <c r="AF538" s="611" t="s">
        <v>49</v>
      </c>
      <c r="AG538" s="21"/>
      <c r="AH538" s="98"/>
      <c r="AI538" s="135">
        <v>46078</v>
      </c>
      <c r="AJ538" s="145" t="s">
        <v>49</v>
      </c>
      <c r="AK538" s="100">
        <f>VLOOKUP(AP538,'[2]CONTENEUR PLEIN'!$F:$L,3,FALSE)</f>
        <v>46046</v>
      </c>
      <c r="AL538" s="99">
        <f>VLOOKUP(AP538,'[2]CONTENEUR PLEIN'!$F:$L,5,FALSE)</f>
        <v>46085</v>
      </c>
      <c r="AM538" s="436">
        <f>VLOOKUP(AP538,'[2]CONTENEUR PLEIN'!$F:$L,7,FALSE)</f>
        <v>46098.333333333336</v>
      </c>
      <c r="AN538" s="612" t="s">
        <v>63</v>
      </c>
      <c r="AO538" s="441" t="s">
        <v>931</v>
      </c>
      <c r="AP538" s="441" t="s">
        <v>900</v>
      </c>
      <c r="AQ538" s="441" t="s">
        <v>899</v>
      </c>
      <c r="AR538" s="90" t="str">
        <f>VLOOKUP(AP538,'[2]CONTENEUR PLEIN'!$F:$L,2,FALSE)</f>
        <v>CMA CGM CEDRUS</v>
      </c>
      <c r="AS538" s="441" t="s">
        <v>316</v>
      </c>
      <c r="AT538" s="98"/>
    </row>
    <row r="539" spans="2:46" s="72" customFormat="1" hidden="1" x14ac:dyDescent="0.25">
      <c r="B539" s="608" t="s">
        <v>52</v>
      </c>
      <c r="C539" s="89">
        <v>45980</v>
      </c>
      <c r="D539" s="290" t="s">
        <v>53</v>
      </c>
      <c r="E539" s="609" t="s">
        <v>592</v>
      </c>
      <c r="F539" s="90">
        <v>2511181131</v>
      </c>
      <c r="G539" s="610" t="s">
        <v>72</v>
      </c>
      <c r="H539" s="610" t="s">
        <v>593</v>
      </c>
      <c r="I539" s="610" t="s">
        <v>49</v>
      </c>
      <c r="J539" s="610" t="s">
        <v>46</v>
      </c>
      <c r="K539" s="8" t="s">
        <v>1050</v>
      </c>
      <c r="L539" s="476">
        <v>46056</v>
      </c>
      <c r="M539" s="381">
        <f t="shared" si="100"/>
        <v>3</v>
      </c>
      <c r="N539" s="98" t="s">
        <v>62</v>
      </c>
      <c r="O539" s="92">
        <v>10010198</v>
      </c>
      <c r="P539" s="24" t="str">
        <f>VLOOKUP(O539,[1]Feuil2!$A:$M,5,FALSE)</f>
        <v>STEAK UNIVERSAL CERAMIC CRF SS BLISTER PEGB</v>
      </c>
      <c r="Q539" s="90">
        <v>10998</v>
      </c>
      <c r="R539" s="93">
        <v>0.97</v>
      </c>
      <c r="S539" s="94">
        <f t="shared" si="98"/>
        <v>10668.06</v>
      </c>
      <c r="T539" s="95">
        <f t="shared" si="102"/>
        <v>70949.555999999997</v>
      </c>
      <c r="U539" s="138"/>
      <c r="V539" s="96">
        <f t="shared" si="99"/>
        <v>70949.555999999997</v>
      </c>
      <c r="W539" s="4">
        <f>VLOOKUP(O539,[1]Feuil2!$A:$M,6,FALSE)</f>
        <v>18</v>
      </c>
      <c r="X539" s="5">
        <f>VLOOKUP(O539,[1]Feuil2!$A:$M,13,FALSE)</f>
        <v>1.3395374999999998E-2</v>
      </c>
      <c r="Y539" s="6">
        <f t="shared" si="101"/>
        <v>8.1845741249999993</v>
      </c>
      <c r="Z539" s="97">
        <f t="shared" si="97"/>
        <v>52.470422124999999</v>
      </c>
      <c r="AA539" s="68" t="s">
        <v>48</v>
      </c>
      <c r="AB539" s="67" t="s">
        <v>48</v>
      </c>
      <c r="AC539" s="90" t="s">
        <v>48</v>
      </c>
      <c r="AD539" s="90" t="s">
        <v>48</v>
      </c>
      <c r="AE539" s="90" t="s">
        <v>48</v>
      </c>
      <c r="AF539" s="611" t="s">
        <v>49</v>
      </c>
      <c r="AG539" s="21"/>
      <c r="AH539" s="98"/>
      <c r="AI539" s="135">
        <v>46078</v>
      </c>
      <c r="AJ539" s="145" t="s">
        <v>49</v>
      </c>
      <c r="AK539" s="100">
        <f>VLOOKUP(AP539,'[2]CONTENEUR PLEIN'!$F:$L,3,FALSE)</f>
        <v>46046</v>
      </c>
      <c r="AL539" s="99">
        <f>VLOOKUP(AP539,'[2]CONTENEUR PLEIN'!$F:$L,5,FALSE)</f>
        <v>46085</v>
      </c>
      <c r="AM539" s="436">
        <f>VLOOKUP(AP539,'[2]CONTENEUR PLEIN'!$F:$L,7,FALSE)</f>
        <v>46097.333333333336</v>
      </c>
      <c r="AN539" s="612" t="s">
        <v>63</v>
      </c>
      <c r="AO539" s="441" t="s">
        <v>931</v>
      </c>
      <c r="AP539" s="613" t="s">
        <v>901</v>
      </c>
      <c r="AQ539" s="441" t="s">
        <v>899</v>
      </c>
      <c r="AR539" s="90" t="str">
        <f>VLOOKUP(AP539,'[2]CONTENEUR PLEIN'!$F:$L,2,FALSE)</f>
        <v>CMA CGM CEDRUS</v>
      </c>
      <c r="AS539" s="441" t="s">
        <v>316</v>
      </c>
      <c r="AT539" s="98"/>
    </row>
    <row r="540" spans="2:46" s="72" customFormat="1" hidden="1" x14ac:dyDescent="0.25">
      <c r="B540" s="608" t="s">
        <v>52</v>
      </c>
      <c r="C540" s="89">
        <v>45980</v>
      </c>
      <c r="D540" s="290" t="s">
        <v>53</v>
      </c>
      <c r="E540" s="609" t="s">
        <v>592</v>
      </c>
      <c r="F540" s="90">
        <v>2511181131</v>
      </c>
      <c r="G540" s="610" t="s">
        <v>72</v>
      </c>
      <c r="H540" s="610" t="s">
        <v>593</v>
      </c>
      <c r="I540" s="610" t="s">
        <v>49</v>
      </c>
      <c r="J540" s="610" t="s">
        <v>46</v>
      </c>
      <c r="K540" s="8" t="s">
        <v>1050</v>
      </c>
      <c r="L540" s="476">
        <v>46056</v>
      </c>
      <c r="M540" s="381">
        <f t="shared" si="100"/>
        <v>3</v>
      </c>
      <c r="N540" s="98" t="s">
        <v>62</v>
      </c>
      <c r="O540" s="92">
        <v>441823</v>
      </c>
      <c r="P540" s="24" t="str">
        <f>VLOOKUP(O540,[1]Feuil2!$A:$M,5,FALSE)</f>
        <v>COFFRET 1 STEAK CERAMIQUE LAME BLANCHE</v>
      </c>
      <c r="Q540" s="90">
        <f>12492-6246</f>
        <v>6246</v>
      </c>
      <c r="R540" s="614">
        <v>1.038</v>
      </c>
      <c r="S540" s="94">
        <f t="shared" si="98"/>
        <v>6483.348</v>
      </c>
      <c r="T540" s="95">
        <f t="shared" si="102"/>
        <v>70949.555999999997</v>
      </c>
      <c r="U540" s="138"/>
      <c r="V540" s="96">
        <f t="shared" si="99"/>
        <v>70949.555999999997</v>
      </c>
      <c r="W540" s="4">
        <f>VLOOKUP(O540,[1]Feuil2!$A:$M,6,FALSE)</f>
        <v>18</v>
      </c>
      <c r="X540" s="5">
        <f>VLOOKUP(O540,[1]Feuil2!$A:$M,13,FALSE)</f>
        <v>2.1645749999999998E-2</v>
      </c>
      <c r="Y540" s="6">
        <f t="shared" si="101"/>
        <v>7.5110752499999993</v>
      </c>
      <c r="Z540" s="97">
        <f t="shared" si="97"/>
        <v>52.470422124999999</v>
      </c>
      <c r="AA540" s="68" t="s">
        <v>48</v>
      </c>
      <c r="AB540" s="67" t="s">
        <v>48</v>
      </c>
      <c r="AC540" s="90" t="s">
        <v>48</v>
      </c>
      <c r="AD540" s="90" t="s">
        <v>48</v>
      </c>
      <c r="AE540" s="90" t="s">
        <v>48</v>
      </c>
      <c r="AF540" s="611" t="s">
        <v>49</v>
      </c>
      <c r="AG540" s="21"/>
      <c r="AH540" s="98"/>
      <c r="AI540" s="135">
        <v>46078</v>
      </c>
      <c r="AJ540" s="145" t="s">
        <v>49</v>
      </c>
      <c r="AK540" s="100">
        <f>VLOOKUP(AP540,'[2]CONTENEUR PLEIN'!$F:$L,3,FALSE)</f>
        <v>46046</v>
      </c>
      <c r="AL540" s="99">
        <f>VLOOKUP(AP540,'[2]CONTENEUR PLEIN'!$F:$L,5,FALSE)</f>
        <v>46085</v>
      </c>
      <c r="AM540" s="436">
        <f>VLOOKUP(AP540,'[2]CONTENEUR PLEIN'!$F:$L,7,FALSE)</f>
        <v>46097.333333333336</v>
      </c>
      <c r="AN540" s="612" t="s">
        <v>63</v>
      </c>
      <c r="AO540" s="441" t="s">
        <v>931</v>
      </c>
      <c r="AP540" s="426" t="s">
        <v>901</v>
      </c>
      <c r="AQ540" s="441" t="s">
        <v>899</v>
      </c>
      <c r="AR540" s="90" t="str">
        <f>VLOOKUP(AP540,'[2]CONTENEUR PLEIN'!$F:$L,2,FALSE)</f>
        <v>CMA CGM CEDRUS</v>
      </c>
      <c r="AS540" s="441" t="s">
        <v>316</v>
      </c>
      <c r="AT540" s="98"/>
    </row>
    <row r="541" spans="2:46" s="72" customFormat="1" hidden="1" x14ac:dyDescent="0.25">
      <c r="B541" s="608" t="s">
        <v>52</v>
      </c>
      <c r="C541" s="89">
        <v>45980</v>
      </c>
      <c r="D541" s="290" t="s">
        <v>53</v>
      </c>
      <c r="E541" s="609" t="s">
        <v>592</v>
      </c>
      <c r="F541" s="90">
        <v>2511181131</v>
      </c>
      <c r="G541" s="610" t="s">
        <v>72</v>
      </c>
      <c r="H541" s="610" t="s">
        <v>593</v>
      </c>
      <c r="I541" s="610" t="s">
        <v>49</v>
      </c>
      <c r="J541" s="610" t="s">
        <v>46</v>
      </c>
      <c r="K541" s="8" t="s">
        <v>1050</v>
      </c>
      <c r="L541" s="476">
        <v>46056</v>
      </c>
      <c r="M541" s="381">
        <f t="shared" si="100"/>
        <v>3</v>
      </c>
      <c r="N541" s="98" t="s">
        <v>62</v>
      </c>
      <c r="O541" s="92">
        <v>10010199</v>
      </c>
      <c r="P541" s="24" t="str">
        <f>VLOOKUP(O541,[1]Feuil2!$A:$M,5,FALSE)</f>
        <v>CHEF UNIVERSAL CERAMIC CRF SS BLISTER PEGB</v>
      </c>
      <c r="Q541" s="90">
        <v>10008</v>
      </c>
      <c r="R541" s="93">
        <v>1.83</v>
      </c>
      <c r="S541" s="94">
        <f t="shared" si="98"/>
        <v>18314.64</v>
      </c>
      <c r="T541" s="95">
        <f t="shared" si="102"/>
        <v>70949.555999999997</v>
      </c>
      <c r="U541" s="138"/>
      <c r="V541" s="96">
        <f t="shared" si="99"/>
        <v>70949.555999999997</v>
      </c>
      <c r="W541" s="4">
        <f>VLOOKUP(O541,[1]Feuil2!$A:$M,6,FALSE)</f>
        <v>18</v>
      </c>
      <c r="X541" s="5">
        <f>VLOOKUP(O541,[1]Feuil2!$A:$M,13,FALSE)</f>
        <v>1.8944000000000003E-2</v>
      </c>
      <c r="Y541" s="6">
        <f t="shared" si="101"/>
        <v>10.532864000000002</v>
      </c>
      <c r="Z541" s="97">
        <f t="shared" si="97"/>
        <v>52.470422124999999</v>
      </c>
      <c r="AA541" s="68" t="s">
        <v>48</v>
      </c>
      <c r="AB541" s="67" t="s">
        <v>48</v>
      </c>
      <c r="AC541" s="90" t="s">
        <v>48</v>
      </c>
      <c r="AD541" s="90" t="s">
        <v>48</v>
      </c>
      <c r="AE541" s="90" t="s">
        <v>48</v>
      </c>
      <c r="AF541" s="611" t="s">
        <v>49</v>
      </c>
      <c r="AG541" s="21"/>
      <c r="AH541" s="98"/>
      <c r="AI541" s="135">
        <v>46078</v>
      </c>
      <c r="AJ541" s="145" t="s">
        <v>49</v>
      </c>
      <c r="AK541" s="100">
        <f>VLOOKUP(AP541,'[2]CONTENEUR PLEIN'!$F:$L,3,FALSE)</f>
        <v>46046</v>
      </c>
      <c r="AL541" s="99">
        <f>VLOOKUP(AP541,'[2]CONTENEUR PLEIN'!$F:$L,5,FALSE)</f>
        <v>46085</v>
      </c>
      <c r="AM541" s="436">
        <f>VLOOKUP(AP541,'[2]CONTENEUR PLEIN'!$F:$L,7,FALSE)</f>
        <v>46097.333333333336</v>
      </c>
      <c r="AN541" s="612" t="s">
        <v>63</v>
      </c>
      <c r="AO541" s="441" t="s">
        <v>931</v>
      </c>
      <c r="AP541" s="441" t="s">
        <v>901</v>
      </c>
      <c r="AQ541" s="441" t="s">
        <v>899</v>
      </c>
      <c r="AR541" s="90" t="str">
        <f>VLOOKUP(AP541,'[2]CONTENEUR PLEIN'!$F:$L,2,FALSE)</f>
        <v>CMA CGM CEDRUS</v>
      </c>
      <c r="AS541" s="441" t="s">
        <v>316</v>
      </c>
      <c r="AT541" s="98"/>
    </row>
    <row r="542" spans="2:46" s="72" customFormat="1" hidden="1" x14ac:dyDescent="0.25">
      <c r="B542" s="281" t="s">
        <v>45</v>
      </c>
      <c r="C542" s="74">
        <v>45989</v>
      </c>
      <c r="D542" s="75">
        <v>25114</v>
      </c>
      <c r="E542" s="280" t="s">
        <v>648</v>
      </c>
      <c r="F542" s="75">
        <v>2511191445</v>
      </c>
      <c r="G542" s="279" t="s">
        <v>74</v>
      </c>
      <c r="H542" s="279" t="s">
        <v>593</v>
      </c>
      <c r="I542" s="279" t="s">
        <v>49</v>
      </c>
      <c r="J542" s="279" t="s">
        <v>46</v>
      </c>
      <c r="K542" s="364" t="s">
        <v>60</v>
      </c>
      <c r="L542" s="279" t="s">
        <v>47</v>
      </c>
      <c r="M542" s="380" t="e">
        <f t="shared" ref="M542:M586" si="103">DATEDIF(C542,AM542,"M")</f>
        <v>#N/A</v>
      </c>
      <c r="N542" s="282" t="s">
        <v>62</v>
      </c>
      <c r="O542" s="78">
        <v>438580</v>
      </c>
      <c r="P542" s="42" t="str">
        <f>VLOOKUP(O542,[1]Feuil2!$A:$M,5,FALSE)</f>
        <v>M24 LAG MULTICOLORS COF+BAND MI</v>
      </c>
      <c r="Q542" s="75">
        <v>3552</v>
      </c>
      <c r="R542" s="79">
        <v>6.4</v>
      </c>
      <c r="S542" s="80">
        <f t="shared" ref="S542:S586" si="104">Q542*R542</f>
        <v>22732.800000000003</v>
      </c>
      <c r="T542" s="81">
        <f t="shared" ref="T542:T586" si="105">SUMIF($E$5:$E$9257,E542,$S$5:$S$9257)</f>
        <v>289262.17800000001</v>
      </c>
      <c r="U542" s="139"/>
      <c r="V542" s="82">
        <f t="shared" ref="V542:V586" si="106">U542+T542</f>
        <v>289262.17800000001</v>
      </c>
      <c r="W542" s="9">
        <f>VLOOKUP(O542,[1]Feuil2!$A:$M,6,FALSE)</f>
        <v>6</v>
      </c>
      <c r="X542" s="10">
        <f>VLOOKUP(O542,[1]Feuil2!$A:$M,13,FALSE)</f>
        <v>2.8173499999999997E-2</v>
      </c>
      <c r="Y542" s="11">
        <f t="shared" ref="Y542:Y586" si="107">(Q542/W542)*X542</f>
        <v>16.678711999999997</v>
      </c>
      <c r="Z542" s="83">
        <f t="shared" ref="Z542:Z586" si="108">SUMIF($E:$E,E542,$Y:$Y)</f>
        <v>214.17046237499997</v>
      </c>
      <c r="AA542" s="12" t="s">
        <v>57</v>
      </c>
      <c r="AB542" s="22" t="s">
        <v>48</v>
      </c>
      <c r="AC542" s="349" t="s">
        <v>55</v>
      </c>
      <c r="AD542" s="13" t="s">
        <v>57</v>
      </c>
      <c r="AE542" s="14"/>
      <c r="AF542" s="13"/>
      <c r="AG542" s="13"/>
      <c r="AH542" s="84"/>
      <c r="AI542" s="134">
        <v>46106</v>
      </c>
      <c r="AJ542" s="144" t="e">
        <f ca="1">DATEDIF(AI542,$AJ$1,"D")</f>
        <v>#NUM!</v>
      </c>
      <c r="AK542" s="85" t="e">
        <f>VLOOKUP(AP542,'[2]CONTENEUR PLEIN'!$F:$L,3,FALSE)</f>
        <v>#N/A</v>
      </c>
      <c r="AL542" s="86" t="e">
        <f>VLOOKUP(AP542,'[2]CONTENEUR PLEIN'!$F:$L,5,FALSE)</f>
        <v>#N/A</v>
      </c>
      <c r="AM542" s="15" t="e">
        <f>VLOOKUP(AP542,'[2]CONTENEUR PLEIN'!$F:$L,7,FALSE)</f>
        <v>#N/A</v>
      </c>
      <c r="AN542" s="279" t="s">
        <v>63</v>
      </c>
      <c r="AO542" s="75"/>
      <c r="AP542" s="75"/>
      <c r="AQ542" s="75"/>
      <c r="AR542" s="75" t="e">
        <f>VLOOKUP(AP542,'[2]CONTENEUR PLEIN'!$F:$L,2,FALSE)</f>
        <v>#N/A</v>
      </c>
      <c r="AS542" s="75"/>
      <c r="AT542" s="84"/>
    </row>
    <row r="543" spans="2:46" s="72" customFormat="1" hidden="1" x14ac:dyDescent="0.25">
      <c r="B543" s="370" t="s">
        <v>45</v>
      </c>
      <c r="C543" s="146">
        <v>45989</v>
      </c>
      <c r="D543" s="147">
        <v>25114</v>
      </c>
      <c r="E543" s="371" t="s">
        <v>648</v>
      </c>
      <c r="F543" s="147">
        <v>2511191445</v>
      </c>
      <c r="G543" s="372" t="s">
        <v>74</v>
      </c>
      <c r="H543" s="372" t="s">
        <v>593</v>
      </c>
      <c r="I543" s="372" t="s">
        <v>49</v>
      </c>
      <c r="J543" s="297" t="s">
        <v>66</v>
      </c>
      <c r="K543" s="369" t="s">
        <v>68</v>
      </c>
      <c r="L543" s="238">
        <v>46056</v>
      </c>
      <c r="M543" s="380">
        <f t="shared" si="103"/>
        <v>3</v>
      </c>
      <c r="N543" s="282" t="s">
        <v>62</v>
      </c>
      <c r="O543" s="78">
        <v>535811</v>
      </c>
      <c r="P543" s="42" t="str">
        <f>VLOOKUP(O543,[1]Feuil2!$A:$M,5,FALSE)</f>
        <v>M24 TROQUET ROUGE PS POT PET</v>
      </c>
      <c r="Q543" s="75">
        <v>9000</v>
      </c>
      <c r="R543" s="79">
        <v>2.61</v>
      </c>
      <c r="S543" s="80">
        <f t="shared" si="104"/>
        <v>23490</v>
      </c>
      <c r="T543" s="81">
        <f t="shared" si="105"/>
        <v>289262.17800000001</v>
      </c>
      <c r="U543" s="139"/>
      <c r="V543" s="82">
        <f t="shared" si="106"/>
        <v>289262.17800000001</v>
      </c>
      <c r="W543" s="9">
        <f>VLOOKUP(O543,[1]Feuil2!$A:$M,6,FALSE)</f>
        <v>9</v>
      </c>
      <c r="X543" s="10">
        <f>VLOOKUP(O543,[1]Feuil2!$A:$M,13,FALSE)</f>
        <v>1.8816000000000003E-2</v>
      </c>
      <c r="Y543" s="11">
        <f t="shared" si="107"/>
        <v>18.816000000000003</v>
      </c>
      <c r="Z543" s="83">
        <f t="shared" si="108"/>
        <v>214.17046237499997</v>
      </c>
      <c r="AA543" s="12" t="s">
        <v>57</v>
      </c>
      <c r="AB543" s="22" t="s">
        <v>48</v>
      </c>
      <c r="AC543" s="349" t="s">
        <v>55</v>
      </c>
      <c r="AD543" s="13" t="s">
        <v>57</v>
      </c>
      <c r="AE543" s="14">
        <v>46042</v>
      </c>
      <c r="AF543" s="527" t="s">
        <v>855</v>
      </c>
      <c r="AG543" s="13"/>
      <c r="AH543" s="84"/>
      <c r="AI543" s="134">
        <v>46106</v>
      </c>
      <c r="AJ543" s="144" t="s">
        <v>49</v>
      </c>
      <c r="AK543" s="85">
        <f>VLOOKUP(AP543,'[2]CONTENEUR PLEIN'!$F:$L,3,FALSE)</f>
        <v>46053</v>
      </c>
      <c r="AL543" s="86">
        <f>VLOOKUP(AP543,'[2]CONTENEUR PLEIN'!$F:$L,5,FALSE)</f>
        <v>46091</v>
      </c>
      <c r="AM543" s="18">
        <f>VLOOKUP(AP543,'[2]CONTENEUR PLEIN'!$F:$L,7,FALSE)</f>
        <v>46101.291666666664</v>
      </c>
      <c r="AN543" s="279" t="s">
        <v>63</v>
      </c>
      <c r="AO543" s="368" t="s">
        <v>868</v>
      </c>
      <c r="AP543" s="368" t="s">
        <v>869</v>
      </c>
      <c r="AQ543" s="75">
        <v>20260123</v>
      </c>
      <c r="AR543" s="75" t="str">
        <f>VLOOKUP(AP543,'[2]CONTENEUR PLEIN'!$F:$L,2,FALSE)</f>
        <v>CMA CGM JULES VERNE</v>
      </c>
      <c r="AS543" s="368" t="s">
        <v>316</v>
      </c>
      <c r="AT543" s="84"/>
    </row>
    <row r="544" spans="2:46" s="72" customFormat="1" hidden="1" x14ac:dyDescent="0.25">
      <c r="B544" s="281" t="s">
        <v>45</v>
      </c>
      <c r="C544" s="74">
        <v>45989</v>
      </c>
      <c r="D544" s="75">
        <v>25114</v>
      </c>
      <c r="E544" s="280" t="s">
        <v>648</v>
      </c>
      <c r="F544" s="75">
        <v>2511191445</v>
      </c>
      <c r="G544" s="279" t="s">
        <v>74</v>
      </c>
      <c r="H544" s="279" t="s">
        <v>593</v>
      </c>
      <c r="I544" s="279" t="s">
        <v>49</v>
      </c>
      <c r="J544" s="279" t="s">
        <v>46</v>
      </c>
      <c r="K544" s="364" t="s">
        <v>60</v>
      </c>
      <c r="L544" s="279" t="s">
        <v>47</v>
      </c>
      <c r="M544" s="380" t="e">
        <f t="shared" si="103"/>
        <v>#N/A</v>
      </c>
      <c r="N544" s="282" t="s">
        <v>62</v>
      </c>
      <c r="O544" s="78">
        <v>535820</v>
      </c>
      <c r="P544" s="42" t="str">
        <f>VLOOKUP(O544,[1]Feuil2!$A:$M,5,FALSE)</f>
        <v>M24 TROQUET MARINE PS POT PET</v>
      </c>
      <c r="Q544" s="75">
        <v>8802</v>
      </c>
      <c r="R544" s="79">
        <v>2.61</v>
      </c>
      <c r="S544" s="80">
        <f t="shared" si="104"/>
        <v>22973.219999999998</v>
      </c>
      <c r="T544" s="81">
        <f t="shared" si="105"/>
        <v>289262.17800000001</v>
      </c>
      <c r="U544" s="139"/>
      <c r="V544" s="82">
        <f t="shared" si="106"/>
        <v>289262.17800000001</v>
      </c>
      <c r="W544" s="9">
        <f>VLOOKUP(O544,[1]Feuil2!$A:$M,6,FALSE)</f>
        <v>9</v>
      </c>
      <c r="X544" s="10">
        <f>VLOOKUP(O544,[1]Feuil2!$A:$M,13,FALSE)</f>
        <v>1.8816000000000003E-2</v>
      </c>
      <c r="Y544" s="11">
        <f t="shared" si="107"/>
        <v>18.402048000000004</v>
      </c>
      <c r="Z544" s="83">
        <f t="shared" si="108"/>
        <v>214.17046237499997</v>
      </c>
      <c r="AA544" s="12" t="s">
        <v>57</v>
      </c>
      <c r="AB544" s="22" t="s">
        <v>48</v>
      </c>
      <c r="AC544" s="349" t="s">
        <v>55</v>
      </c>
      <c r="AD544" s="13" t="s">
        <v>57</v>
      </c>
      <c r="AE544" s="14"/>
      <c r="AF544" s="13"/>
      <c r="AG544" s="13"/>
      <c r="AH544" s="84"/>
      <c r="AI544" s="134">
        <v>46106</v>
      </c>
      <c r="AJ544" s="144" t="e">
        <f ca="1">DATEDIF(AI544,$AJ$1,"D")</f>
        <v>#NUM!</v>
      </c>
      <c r="AK544" s="85" t="e">
        <f>VLOOKUP(AP544,'[2]CONTENEUR PLEIN'!$F:$L,3,FALSE)</f>
        <v>#N/A</v>
      </c>
      <c r="AL544" s="86" t="e">
        <f>VLOOKUP(AP544,'[2]CONTENEUR PLEIN'!$F:$L,5,FALSE)</f>
        <v>#N/A</v>
      </c>
      <c r="AM544" s="15" t="e">
        <f>VLOOKUP(AP544,'[2]CONTENEUR PLEIN'!$F:$L,7,FALSE)</f>
        <v>#N/A</v>
      </c>
      <c r="AN544" s="279" t="s">
        <v>63</v>
      </c>
      <c r="AO544" s="75"/>
      <c r="AP544" s="75"/>
      <c r="AQ544" s="75"/>
      <c r="AR544" s="75" t="e">
        <f>VLOOKUP(AP544,'[2]CONTENEUR PLEIN'!$F:$L,2,FALSE)</f>
        <v>#N/A</v>
      </c>
      <c r="AS544" s="75"/>
      <c r="AT544" s="84"/>
    </row>
    <row r="545" spans="1:46" s="72" customFormat="1" hidden="1" x14ac:dyDescent="0.25">
      <c r="A545" s="71"/>
      <c r="B545" s="281" t="s">
        <v>45</v>
      </c>
      <c r="C545" s="74">
        <v>45989</v>
      </c>
      <c r="D545" s="75">
        <v>25114</v>
      </c>
      <c r="E545" s="280" t="s">
        <v>648</v>
      </c>
      <c r="F545" s="75">
        <v>2511191445</v>
      </c>
      <c r="G545" s="279" t="s">
        <v>74</v>
      </c>
      <c r="H545" s="279" t="s">
        <v>593</v>
      </c>
      <c r="I545" s="279" t="s">
        <v>49</v>
      </c>
      <c r="J545" s="279" t="s">
        <v>46</v>
      </c>
      <c r="K545" s="364" t="s">
        <v>60</v>
      </c>
      <c r="L545" s="279" t="s">
        <v>47</v>
      </c>
      <c r="M545" s="380" t="e">
        <f t="shared" si="103"/>
        <v>#N/A</v>
      </c>
      <c r="N545" s="77" t="s">
        <v>49</v>
      </c>
      <c r="O545" s="78">
        <v>21140002</v>
      </c>
      <c r="P545" s="42" t="str">
        <f>VLOOKUP(O545,[1]Feuil2!$A:$M,5,FALSE)</f>
        <v>COUTEAU PALMA + GENCOD</v>
      </c>
      <c r="Q545" s="75">
        <v>5880</v>
      </c>
      <c r="R545" s="79">
        <v>0.35699999999999998</v>
      </c>
      <c r="S545" s="80">
        <f t="shared" si="104"/>
        <v>2099.16</v>
      </c>
      <c r="T545" s="81">
        <f t="shared" si="105"/>
        <v>289262.17800000001</v>
      </c>
      <c r="U545" s="139"/>
      <c r="V545" s="82">
        <f t="shared" si="106"/>
        <v>289262.17800000001</v>
      </c>
      <c r="W545" s="9">
        <f>VLOOKUP(O545,[1]Feuil2!$A:$M,6,FALSE)</f>
        <v>120</v>
      </c>
      <c r="X545" s="10">
        <f>VLOOKUP(O545,[1]Feuil2!$A:$M,13,FALSE)</f>
        <v>1.1825E-2</v>
      </c>
      <c r="Y545" s="11">
        <f t="shared" si="107"/>
        <v>0.57942499999999997</v>
      </c>
      <c r="Z545" s="83">
        <f t="shared" si="108"/>
        <v>214.17046237499997</v>
      </c>
      <c r="AA545" s="12" t="s">
        <v>57</v>
      </c>
      <c r="AB545" s="22" t="s">
        <v>48</v>
      </c>
      <c r="AC545" s="75"/>
      <c r="AD545" s="28" t="s">
        <v>61</v>
      </c>
      <c r="AE545" s="22"/>
      <c r="AF545" s="22"/>
      <c r="AG545" s="22"/>
      <c r="AH545" s="70"/>
      <c r="AI545" s="134">
        <v>46106</v>
      </c>
      <c r="AJ545" s="144" t="e">
        <f ca="1">DATEDIF(AI545,$AJ$1,"D")</f>
        <v>#NUM!</v>
      </c>
      <c r="AK545" s="85" t="e">
        <f>VLOOKUP(AP545,'[2]CONTENEUR PLEIN'!$F:$L,3,FALSE)</f>
        <v>#N/A</v>
      </c>
      <c r="AL545" s="86" t="e">
        <f>VLOOKUP(AP545,'[2]CONTENEUR PLEIN'!$F:$L,5,FALSE)</f>
        <v>#N/A</v>
      </c>
      <c r="AM545" s="15" t="e">
        <f>VLOOKUP(AP545,'[2]CONTENEUR PLEIN'!$F:$L,7,FALSE)</f>
        <v>#N/A</v>
      </c>
      <c r="AN545" s="279" t="s">
        <v>63</v>
      </c>
      <c r="AO545" s="75"/>
      <c r="AP545" s="75"/>
      <c r="AQ545" s="75"/>
      <c r="AR545" s="75" t="e">
        <f>VLOOKUP(AP545,'[2]CONTENEUR PLEIN'!$F:$L,2,FALSE)</f>
        <v>#N/A</v>
      </c>
      <c r="AS545" s="75"/>
      <c r="AT545" s="84"/>
    </row>
    <row r="546" spans="1:46" s="72" customFormat="1" hidden="1" x14ac:dyDescent="0.25">
      <c r="B546" s="281" t="s">
        <v>45</v>
      </c>
      <c r="C546" s="74">
        <v>45989</v>
      </c>
      <c r="D546" s="75">
        <v>25114</v>
      </c>
      <c r="E546" s="280" t="s">
        <v>648</v>
      </c>
      <c r="F546" s="75">
        <v>2511191445</v>
      </c>
      <c r="G546" s="279" t="s">
        <v>74</v>
      </c>
      <c r="H546" s="279" t="s">
        <v>593</v>
      </c>
      <c r="I546" s="279" t="s">
        <v>49</v>
      </c>
      <c r="J546" s="279" t="s">
        <v>46</v>
      </c>
      <c r="K546" s="364" t="s">
        <v>60</v>
      </c>
      <c r="L546" s="279" t="s">
        <v>47</v>
      </c>
      <c r="M546" s="380" t="e">
        <f t="shared" si="103"/>
        <v>#N/A</v>
      </c>
      <c r="N546" s="77" t="s">
        <v>49</v>
      </c>
      <c r="O546" s="78">
        <v>21160005</v>
      </c>
      <c r="P546" s="42" t="str">
        <f>VLOOKUP(O546,[1]Feuil2!$A:$M,5,FALSE)</f>
        <v>CAFE IMPERIAL + GENCOD</v>
      </c>
      <c r="Q546" s="75">
        <v>7680</v>
      </c>
      <c r="R546" s="79">
        <v>0.13500000000000001</v>
      </c>
      <c r="S546" s="80">
        <f t="shared" si="104"/>
        <v>1036.8000000000002</v>
      </c>
      <c r="T546" s="81">
        <f t="shared" si="105"/>
        <v>289262.17800000001</v>
      </c>
      <c r="U546" s="139"/>
      <c r="V546" s="82">
        <f t="shared" si="106"/>
        <v>289262.17800000001</v>
      </c>
      <c r="W546" s="9">
        <f>VLOOKUP(O546,[1]Feuil2!$A:$M,6,FALSE)</f>
        <v>240</v>
      </c>
      <c r="X546" s="10">
        <f>VLOOKUP(O546,[1]Feuil2!$A:$M,13,FALSE)</f>
        <v>1.8810000000000004E-2</v>
      </c>
      <c r="Y546" s="11">
        <f t="shared" si="107"/>
        <v>0.60192000000000012</v>
      </c>
      <c r="Z546" s="83">
        <f t="shared" si="108"/>
        <v>214.17046237499997</v>
      </c>
      <c r="AA546" s="12" t="s">
        <v>57</v>
      </c>
      <c r="AB546" s="22" t="s">
        <v>48</v>
      </c>
      <c r="AC546" s="75"/>
      <c r="AD546" s="28" t="s">
        <v>61</v>
      </c>
      <c r="AE546" s="14"/>
      <c r="AF546" s="13"/>
      <c r="AG546" s="13"/>
      <c r="AH546" s="84"/>
      <c r="AI546" s="134">
        <v>46106</v>
      </c>
      <c r="AJ546" s="144" t="e">
        <f ca="1">DATEDIF(AI546,$AJ$1,"D")</f>
        <v>#NUM!</v>
      </c>
      <c r="AK546" s="85" t="e">
        <f>VLOOKUP(AP546,'[2]CONTENEUR PLEIN'!$F:$L,3,FALSE)</f>
        <v>#N/A</v>
      </c>
      <c r="AL546" s="86" t="e">
        <f>VLOOKUP(AP546,'[2]CONTENEUR PLEIN'!$F:$L,5,FALSE)</f>
        <v>#N/A</v>
      </c>
      <c r="AM546" s="15" t="e">
        <f>VLOOKUP(AP546,'[2]CONTENEUR PLEIN'!$F:$L,7,FALSE)</f>
        <v>#N/A</v>
      </c>
      <c r="AN546" s="292" t="s">
        <v>63</v>
      </c>
      <c r="AO546" s="75"/>
      <c r="AP546" s="75"/>
      <c r="AQ546" s="75"/>
      <c r="AR546" s="75" t="e">
        <f>VLOOKUP(AP546,'[2]CONTENEUR PLEIN'!$F:$L,2,FALSE)</f>
        <v>#N/A</v>
      </c>
      <c r="AS546" s="75"/>
      <c r="AT546" s="84"/>
    </row>
    <row r="547" spans="1:46" s="72" customFormat="1" hidden="1" x14ac:dyDescent="0.25">
      <c r="B547" s="370" t="s">
        <v>45</v>
      </c>
      <c r="C547" s="146">
        <v>45989</v>
      </c>
      <c r="D547" s="147">
        <v>25114</v>
      </c>
      <c r="E547" s="371" t="s">
        <v>648</v>
      </c>
      <c r="F547" s="147">
        <v>2511191445</v>
      </c>
      <c r="G547" s="372" t="s">
        <v>74</v>
      </c>
      <c r="H547" s="372" t="s">
        <v>593</v>
      </c>
      <c r="I547" s="372" t="s">
        <v>49</v>
      </c>
      <c r="J547" s="372" t="s">
        <v>46</v>
      </c>
      <c r="K547" s="489" t="s">
        <v>68</v>
      </c>
      <c r="L547" s="238">
        <v>46072</v>
      </c>
      <c r="M547" s="380" t="e">
        <f t="shared" si="103"/>
        <v>#VALUE!</v>
      </c>
      <c r="N547" s="282" t="s">
        <v>62</v>
      </c>
      <c r="O547" s="78">
        <v>21520037</v>
      </c>
      <c r="P547" s="42" t="str">
        <f>VLOOKUP(O547,[1]Feuil2!$A:$M,5,FALSE)</f>
        <v>M16 LAGUIOLE INTUITION BELLE SAISON EN BOITE LAGUIOLE</v>
      </c>
      <c r="Q547" s="75">
        <v>4302</v>
      </c>
      <c r="R547" s="79">
        <v>5.15</v>
      </c>
      <c r="S547" s="80">
        <f t="shared" si="104"/>
        <v>22155.300000000003</v>
      </c>
      <c r="T547" s="81">
        <f t="shared" si="105"/>
        <v>289262.17800000001</v>
      </c>
      <c r="U547" s="139"/>
      <c r="V547" s="82">
        <f t="shared" si="106"/>
        <v>289262.17800000001</v>
      </c>
      <c r="W547" s="9">
        <f>VLOOKUP(O547,[1]Feuil2!$A:$M,6,FALSE)</f>
        <v>6</v>
      </c>
      <c r="X547" s="10">
        <f>VLOOKUP(O547,[1]Feuil2!$A:$M,13,FALSE)</f>
        <v>2.4300000000000002E-2</v>
      </c>
      <c r="Y547" s="11">
        <f t="shared" si="107"/>
        <v>17.423100000000002</v>
      </c>
      <c r="Z547" s="83">
        <f t="shared" si="108"/>
        <v>214.17046237499997</v>
      </c>
      <c r="AA547" s="12" t="s">
        <v>57</v>
      </c>
      <c r="AB547" s="22" t="s">
        <v>48</v>
      </c>
      <c r="AC547" s="426" t="s">
        <v>55</v>
      </c>
      <c r="AD547" s="13" t="s">
        <v>57</v>
      </c>
      <c r="AE547" s="14">
        <v>46053</v>
      </c>
      <c r="AF547" s="13" t="s">
        <v>943</v>
      </c>
      <c r="AG547" s="13"/>
      <c r="AH547" s="84"/>
      <c r="AI547" s="134">
        <v>46106</v>
      </c>
      <c r="AJ547" s="144" t="s">
        <v>49</v>
      </c>
      <c r="AK547" s="85">
        <f>VLOOKUP(AP547,'[2]CONTENEUR PLEIN'!$F:$L,3,FALSE)</f>
        <v>46072</v>
      </c>
      <c r="AL547" s="86">
        <f>VLOOKUP(AP547,'[2]CONTENEUR PLEIN'!$F:$L,5,FALSE)</f>
        <v>46112</v>
      </c>
      <c r="AM547" s="46" t="str">
        <f>VLOOKUP(AP547,'[2]CONTENEUR PLEIN'!$F:$L,7,FALSE)</f>
        <v>Estimée : 07-avril</v>
      </c>
      <c r="AN547" s="279" t="s">
        <v>63</v>
      </c>
      <c r="AO547" s="490" t="s">
        <v>971</v>
      </c>
      <c r="AP547" s="490" t="s">
        <v>972</v>
      </c>
      <c r="AQ547" s="490" t="s">
        <v>974</v>
      </c>
      <c r="AR547" s="75" t="str">
        <f>VLOOKUP(AP547,'[2]CONTENEUR PLEIN'!$F:$L,2,FALSE)</f>
        <v>CMA CGM ALEXANDER VON HUMBOLDT</v>
      </c>
      <c r="AS547" s="490" t="s">
        <v>316</v>
      </c>
      <c r="AT547" s="84"/>
    </row>
    <row r="548" spans="1:46" s="72" customFormat="1" hidden="1" x14ac:dyDescent="0.25">
      <c r="B548" s="370" t="s">
        <v>45</v>
      </c>
      <c r="C548" s="146">
        <v>45989</v>
      </c>
      <c r="D548" s="147">
        <v>25114</v>
      </c>
      <c r="E548" s="371" t="s">
        <v>648</v>
      </c>
      <c r="F548" s="147">
        <v>2511191445</v>
      </c>
      <c r="G548" s="372" t="s">
        <v>74</v>
      </c>
      <c r="H548" s="372" t="s">
        <v>593</v>
      </c>
      <c r="I548" s="372" t="s">
        <v>49</v>
      </c>
      <c r="J548" s="372" t="s">
        <v>46</v>
      </c>
      <c r="K548" s="489" t="s">
        <v>68</v>
      </c>
      <c r="L548" s="238">
        <v>46072</v>
      </c>
      <c r="M548" s="380" t="e">
        <f t="shared" si="103"/>
        <v>#VALUE!</v>
      </c>
      <c r="N548" s="282" t="s">
        <v>62</v>
      </c>
      <c r="O548" s="78">
        <v>30020308</v>
      </c>
      <c r="P548" s="42" t="str">
        <f>VLOOKUP(O548,[1]Feuil2!$A:$M,5,FALSE)</f>
        <v>M16 ACIDULE BEE TURQUOISE 7715C BTE LAGUIOLE</v>
      </c>
      <c r="Q548" s="75">
        <v>2034</v>
      </c>
      <c r="R548" s="79">
        <v>4.6719999999999997</v>
      </c>
      <c r="S548" s="80">
        <f t="shared" si="104"/>
        <v>9502.848</v>
      </c>
      <c r="T548" s="81">
        <f t="shared" si="105"/>
        <v>289262.17800000001</v>
      </c>
      <c r="U548" s="139"/>
      <c r="V548" s="82">
        <f t="shared" si="106"/>
        <v>289262.17800000001</v>
      </c>
      <c r="W548" s="9">
        <f>VLOOKUP(O548,[1]Feuil2!$A:$M,6,FALSE)</f>
        <v>6</v>
      </c>
      <c r="X548" s="10">
        <f>VLOOKUP(O548,[1]Feuil2!$A:$M,13,FALSE)</f>
        <v>2.5528499999999999E-2</v>
      </c>
      <c r="Y548" s="11">
        <f t="shared" si="107"/>
        <v>8.654161499999999</v>
      </c>
      <c r="Z548" s="83">
        <f t="shared" si="108"/>
        <v>214.17046237499997</v>
      </c>
      <c r="AA548" s="12" t="s">
        <v>57</v>
      </c>
      <c r="AB548" s="22" t="s">
        <v>48</v>
      </c>
      <c r="AC548" s="426" t="s">
        <v>55</v>
      </c>
      <c r="AD548" s="13" t="s">
        <v>57</v>
      </c>
      <c r="AE548" s="14">
        <v>46055</v>
      </c>
      <c r="AF548" s="13" t="s">
        <v>957</v>
      </c>
      <c r="AG548" s="13"/>
      <c r="AH548" s="84"/>
      <c r="AI548" s="134">
        <v>46106</v>
      </c>
      <c r="AJ548" s="144" t="s">
        <v>49</v>
      </c>
      <c r="AK548" s="85">
        <f>VLOOKUP(AP548,'[2]CONTENEUR PLEIN'!$F:$L,3,FALSE)</f>
        <v>46072</v>
      </c>
      <c r="AL548" s="86">
        <f>VLOOKUP(AP548,'[2]CONTENEUR PLEIN'!$F:$L,5,FALSE)</f>
        <v>46112</v>
      </c>
      <c r="AM548" s="46" t="str">
        <f>VLOOKUP(AP548,'[2]CONTENEUR PLEIN'!$F:$L,7,FALSE)</f>
        <v>Estimée : 07-avril</v>
      </c>
      <c r="AN548" s="279" t="s">
        <v>63</v>
      </c>
      <c r="AO548" s="490" t="s">
        <v>971</v>
      </c>
      <c r="AP548" s="490" t="s">
        <v>972</v>
      </c>
      <c r="AQ548" s="490" t="s">
        <v>974</v>
      </c>
      <c r="AR548" s="75" t="str">
        <f>VLOOKUP(AP548,'[2]CONTENEUR PLEIN'!$F:$L,2,FALSE)</f>
        <v>CMA CGM ALEXANDER VON HUMBOLDT</v>
      </c>
      <c r="AS548" s="490" t="s">
        <v>316</v>
      </c>
      <c r="AT548" s="84"/>
    </row>
    <row r="549" spans="1:46" s="72" customFormat="1" hidden="1" x14ac:dyDescent="0.25">
      <c r="B549" s="281" t="s">
        <v>45</v>
      </c>
      <c r="C549" s="74">
        <v>45989</v>
      </c>
      <c r="D549" s="75">
        <v>25114</v>
      </c>
      <c r="E549" s="280" t="s">
        <v>648</v>
      </c>
      <c r="F549" s="75">
        <v>2511191445</v>
      </c>
      <c r="G549" s="279" t="s">
        <v>74</v>
      </c>
      <c r="H549" s="279" t="s">
        <v>593</v>
      </c>
      <c r="I549" s="279" t="s">
        <v>49</v>
      </c>
      <c r="J549" s="279" t="s">
        <v>46</v>
      </c>
      <c r="K549" s="594" t="s">
        <v>76</v>
      </c>
      <c r="L549" s="279" t="s">
        <v>47</v>
      </c>
      <c r="M549" s="380" t="e">
        <f t="shared" si="103"/>
        <v>#N/A</v>
      </c>
      <c r="N549" s="282" t="s">
        <v>62</v>
      </c>
      <c r="O549" s="78">
        <v>30090017</v>
      </c>
      <c r="P549" s="42" t="str">
        <f>VLOOKUP(O549,[1]Feuil2!$A:$M,5,FALSE)</f>
        <v>M16 LAGUIOLE CUIR NOIR EN BOITE LAGUIOLE</v>
      </c>
      <c r="Q549" s="75">
        <v>3504</v>
      </c>
      <c r="R549" s="79">
        <v>5.6379999999999999</v>
      </c>
      <c r="S549" s="80">
        <f t="shared" si="104"/>
        <v>19755.552</v>
      </c>
      <c r="T549" s="81">
        <f t="shared" si="105"/>
        <v>289262.17800000001</v>
      </c>
      <c r="U549" s="139"/>
      <c r="V549" s="82">
        <f t="shared" si="106"/>
        <v>289262.17800000001</v>
      </c>
      <c r="W549" s="9">
        <f>VLOOKUP(O549,[1]Feuil2!$A:$M,6,FALSE)</f>
        <v>6</v>
      </c>
      <c r="X549" s="10">
        <f>VLOOKUP(O549,[1]Feuil2!$A:$M,13,FALSE)</f>
        <v>2.5375999999999999E-2</v>
      </c>
      <c r="Y549" s="11">
        <f t="shared" si="107"/>
        <v>14.819583999999999</v>
      </c>
      <c r="Z549" s="83">
        <f t="shared" si="108"/>
        <v>214.17046237499997</v>
      </c>
      <c r="AA549" s="12" t="s">
        <v>57</v>
      </c>
      <c r="AB549" s="22" t="s">
        <v>48</v>
      </c>
      <c r="AC549" s="75"/>
      <c r="AD549" s="28" t="s">
        <v>61</v>
      </c>
      <c r="AE549" s="14">
        <v>46091</v>
      </c>
      <c r="AF549" s="13" t="s">
        <v>1037</v>
      </c>
      <c r="AG549" s="13"/>
      <c r="AH549" s="84"/>
      <c r="AI549" s="134">
        <v>46106</v>
      </c>
      <c r="AJ549" s="144" t="e">
        <f ca="1">DATEDIF(AI549,$AJ$1,"D")</f>
        <v>#NUM!</v>
      </c>
      <c r="AK549" s="85" t="e">
        <f>VLOOKUP(AP549,'[2]CONTENEUR PLEIN'!$F:$L,3,FALSE)</f>
        <v>#N/A</v>
      </c>
      <c r="AL549" s="86" t="e">
        <f>VLOOKUP(AP549,'[2]CONTENEUR PLEIN'!$F:$L,5,FALSE)</f>
        <v>#N/A</v>
      </c>
      <c r="AM549" s="15" t="e">
        <f>VLOOKUP(AP549,'[2]CONTENEUR PLEIN'!$F:$L,7,FALSE)</f>
        <v>#N/A</v>
      </c>
      <c r="AN549" s="279" t="s">
        <v>63</v>
      </c>
      <c r="AO549" s="75"/>
      <c r="AP549" s="75"/>
      <c r="AQ549" s="75"/>
      <c r="AR549" s="75" t="e">
        <f>VLOOKUP(AP549,'[2]CONTENEUR PLEIN'!$F:$L,2,FALSE)</f>
        <v>#N/A</v>
      </c>
      <c r="AS549" s="75"/>
      <c r="AT549" s="84"/>
    </row>
    <row r="550" spans="1:46" s="72" customFormat="1" hidden="1" x14ac:dyDescent="0.25">
      <c r="B550" s="281" t="s">
        <v>45</v>
      </c>
      <c r="C550" s="74">
        <v>45989</v>
      </c>
      <c r="D550" s="75">
        <v>25114</v>
      </c>
      <c r="E550" s="280" t="s">
        <v>648</v>
      </c>
      <c r="F550" s="75">
        <v>2511191445</v>
      </c>
      <c r="G550" s="279" t="s">
        <v>74</v>
      </c>
      <c r="H550" s="279" t="s">
        <v>593</v>
      </c>
      <c r="I550" s="279" t="s">
        <v>49</v>
      </c>
      <c r="J550" s="279" t="s">
        <v>46</v>
      </c>
      <c r="K550" s="364" t="s">
        <v>60</v>
      </c>
      <c r="L550" s="279" t="s">
        <v>47</v>
      </c>
      <c r="M550" s="380" t="e">
        <f t="shared" si="103"/>
        <v>#N/A</v>
      </c>
      <c r="N550" s="282" t="s">
        <v>62</v>
      </c>
      <c r="O550" s="78">
        <v>30101079</v>
      </c>
      <c r="P550" s="42" t="str">
        <f>VLOOKUP(O550,[1]Feuil2!$A:$M,5,FALSE)</f>
        <v>M24 LAGUIOLE ABS ROUGE</v>
      </c>
      <c r="Q550" s="75">
        <v>654</v>
      </c>
      <c r="R550" s="79">
        <v>6.5060000000000002</v>
      </c>
      <c r="S550" s="80">
        <f t="shared" si="104"/>
        <v>4254.924</v>
      </c>
      <c r="T550" s="81">
        <f t="shared" si="105"/>
        <v>289262.17800000001</v>
      </c>
      <c r="U550" s="139"/>
      <c r="V550" s="82">
        <f t="shared" si="106"/>
        <v>289262.17800000001</v>
      </c>
      <c r="W550" s="9">
        <f>VLOOKUP(O550,[1]Feuil2!$A:$M,6,FALSE)</f>
        <v>6</v>
      </c>
      <c r="X550" s="10">
        <f>VLOOKUP(O550,[1]Feuil2!$A:$M,13,FALSE)</f>
        <v>2.5871999999999996E-2</v>
      </c>
      <c r="Y550" s="11">
        <f t="shared" si="107"/>
        <v>2.8200479999999994</v>
      </c>
      <c r="Z550" s="83">
        <f t="shared" si="108"/>
        <v>214.17046237499997</v>
      </c>
      <c r="AA550" s="12" t="s">
        <v>57</v>
      </c>
      <c r="AB550" s="22" t="s">
        <v>48</v>
      </c>
      <c r="AC550" s="75"/>
      <c r="AD550" s="28" t="s">
        <v>61</v>
      </c>
      <c r="AE550" s="14"/>
      <c r="AF550" s="13"/>
      <c r="AG550" s="13"/>
      <c r="AH550" s="84"/>
      <c r="AI550" s="134">
        <v>46106</v>
      </c>
      <c r="AJ550" s="144" t="e">
        <f ca="1">DATEDIF(AI550,$AJ$1,"D")</f>
        <v>#NUM!</v>
      </c>
      <c r="AK550" s="85" t="e">
        <f>VLOOKUP(AP550,'[2]CONTENEUR PLEIN'!$F:$L,3,FALSE)</f>
        <v>#N/A</v>
      </c>
      <c r="AL550" s="86" t="e">
        <f>VLOOKUP(AP550,'[2]CONTENEUR PLEIN'!$F:$L,5,FALSE)</f>
        <v>#N/A</v>
      </c>
      <c r="AM550" s="15" t="e">
        <f>VLOOKUP(AP550,'[2]CONTENEUR PLEIN'!$F:$L,7,FALSE)</f>
        <v>#N/A</v>
      </c>
      <c r="AN550" s="279" t="s">
        <v>63</v>
      </c>
      <c r="AO550" s="75"/>
      <c r="AP550" s="75"/>
      <c r="AQ550" s="75"/>
      <c r="AR550" s="75" t="e">
        <f>VLOOKUP(AP550,'[2]CONTENEUR PLEIN'!$F:$L,2,FALSE)</f>
        <v>#N/A</v>
      </c>
      <c r="AS550" s="75"/>
      <c r="AT550" s="84"/>
    </row>
    <row r="551" spans="1:46" s="72" customFormat="1" hidden="1" x14ac:dyDescent="0.25">
      <c r="B551" s="281" t="s">
        <v>45</v>
      </c>
      <c r="C551" s="74">
        <v>45989</v>
      </c>
      <c r="D551" s="75">
        <v>25114</v>
      </c>
      <c r="E551" s="280" t="s">
        <v>648</v>
      </c>
      <c r="F551" s="75">
        <v>2511191445</v>
      </c>
      <c r="G551" s="279" t="s">
        <v>74</v>
      </c>
      <c r="H551" s="279" t="s">
        <v>593</v>
      </c>
      <c r="I551" s="279" t="s">
        <v>49</v>
      </c>
      <c r="J551" s="279" t="s">
        <v>46</v>
      </c>
      <c r="K551" s="364" t="s">
        <v>60</v>
      </c>
      <c r="L551" s="279" t="s">
        <v>47</v>
      </c>
      <c r="M551" s="380" t="e">
        <f t="shared" si="103"/>
        <v>#N/A</v>
      </c>
      <c r="N551" s="282" t="s">
        <v>62</v>
      </c>
      <c r="O551" s="78">
        <v>30101080</v>
      </c>
      <c r="P551" s="42" t="str">
        <f>VLOOKUP(O551,[1]Feuil2!$A:$M,5,FALSE)</f>
        <v>M24 LAGUIOLE HERITAGE BLANC EN COFFRET+BANDEAU</v>
      </c>
      <c r="Q551" s="75">
        <v>654</v>
      </c>
      <c r="R551" s="79">
        <v>6.2709999999999999</v>
      </c>
      <c r="S551" s="80">
        <f t="shared" si="104"/>
        <v>4101.2340000000004</v>
      </c>
      <c r="T551" s="81">
        <f t="shared" si="105"/>
        <v>289262.17800000001</v>
      </c>
      <c r="U551" s="139"/>
      <c r="V551" s="82">
        <f t="shared" si="106"/>
        <v>289262.17800000001</v>
      </c>
      <c r="W551" s="9">
        <f>VLOOKUP(O551,[1]Feuil2!$A:$M,6,FALSE)</f>
        <v>6</v>
      </c>
      <c r="X551" s="10">
        <f>VLOOKUP(O551,[1]Feuil2!$A:$M,13,FALSE)</f>
        <v>2.5871999999999996E-2</v>
      </c>
      <c r="Y551" s="11">
        <f t="shared" si="107"/>
        <v>2.8200479999999994</v>
      </c>
      <c r="Z551" s="83">
        <f t="shared" si="108"/>
        <v>214.17046237499997</v>
      </c>
      <c r="AA551" s="12" t="s">
        <v>57</v>
      </c>
      <c r="AB551" s="22" t="s">
        <v>48</v>
      </c>
      <c r="AC551" s="75"/>
      <c r="AD551" s="28" t="s">
        <v>61</v>
      </c>
      <c r="AE551" s="14"/>
      <c r="AF551" s="13"/>
      <c r="AG551" s="13"/>
      <c r="AH551" s="84"/>
      <c r="AI551" s="134">
        <v>46106</v>
      </c>
      <c r="AJ551" s="144" t="e">
        <f ca="1">DATEDIF(AI551,$AJ$1,"D")</f>
        <v>#NUM!</v>
      </c>
      <c r="AK551" s="85" t="e">
        <f>VLOOKUP(AP551,'[2]CONTENEUR PLEIN'!$F:$L,3,FALSE)</f>
        <v>#N/A</v>
      </c>
      <c r="AL551" s="86" t="e">
        <f>VLOOKUP(AP551,'[2]CONTENEUR PLEIN'!$F:$L,5,FALSE)</f>
        <v>#N/A</v>
      </c>
      <c r="AM551" s="15" t="e">
        <f>VLOOKUP(AP551,'[2]CONTENEUR PLEIN'!$F:$L,7,FALSE)</f>
        <v>#N/A</v>
      </c>
      <c r="AN551" s="279" t="s">
        <v>63</v>
      </c>
      <c r="AO551" s="75"/>
      <c r="AP551" s="75"/>
      <c r="AQ551" s="75"/>
      <c r="AR551" s="75" t="e">
        <f>VLOOKUP(AP551,'[2]CONTENEUR PLEIN'!$F:$L,2,FALSE)</f>
        <v>#N/A</v>
      </c>
      <c r="AS551" s="75"/>
      <c r="AT551" s="84"/>
    </row>
    <row r="552" spans="1:46" s="72" customFormat="1" hidden="1" x14ac:dyDescent="0.25">
      <c r="B552" s="281" t="s">
        <v>45</v>
      </c>
      <c r="C552" s="74">
        <v>45989</v>
      </c>
      <c r="D552" s="75">
        <v>25114</v>
      </c>
      <c r="E552" s="280" t="s">
        <v>648</v>
      </c>
      <c r="F552" s="75">
        <v>2511191445</v>
      </c>
      <c r="G552" s="279" t="s">
        <v>74</v>
      </c>
      <c r="H552" s="279" t="s">
        <v>593</v>
      </c>
      <c r="I552" s="279" t="s">
        <v>49</v>
      </c>
      <c r="J552" s="279" t="s">
        <v>46</v>
      </c>
      <c r="K552" s="364" t="s">
        <v>60</v>
      </c>
      <c r="L552" s="279" t="s">
        <v>47</v>
      </c>
      <c r="M552" s="380" t="e">
        <f t="shared" si="103"/>
        <v>#N/A</v>
      </c>
      <c r="N552" s="77" t="s">
        <v>49</v>
      </c>
      <c r="O552" s="78">
        <v>30101108</v>
      </c>
      <c r="P552" s="42" t="str">
        <f>VLOOKUP(O552,[1]Feuil2!$A:$M,5,FALSE)</f>
        <v>CAFE LAGUIOLE ABS GRIS MARBRE VRAC + GENCOD</v>
      </c>
      <c r="Q552" s="75">
        <v>2880</v>
      </c>
      <c r="R552" s="79">
        <v>0.182</v>
      </c>
      <c r="S552" s="80">
        <f t="shared" si="104"/>
        <v>524.16</v>
      </c>
      <c r="T552" s="81">
        <f t="shared" si="105"/>
        <v>289262.17800000001</v>
      </c>
      <c r="U552" s="139"/>
      <c r="V552" s="82">
        <f t="shared" si="106"/>
        <v>289262.17800000001</v>
      </c>
      <c r="W552" s="9">
        <f>VLOOKUP(O552,[1]Feuil2!$A:$M,6,FALSE)</f>
        <v>240</v>
      </c>
      <c r="X552" s="10">
        <f>VLOOKUP(O552,[1]Feuil2!$A:$M,13,FALSE)</f>
        <v>2.0643500000000002E-2</v>
      </c>
      <c r="Y552" s="11">
        <f t="shared" si="107"/>
        <v>0.24772200000000003</v>
      </c>
      <c r="Z552" s="83">
        <f t="shared" si="108"/>
        <v>214.17046237499997</v>
      </c>
      <c r="AA552" s="12" t="s">
        <v>57</v>
      </c>
      <c r="AB552" s="22" t="s">
        <v>48</v>
      </c>
      <c r="AC552" s="75"/>
      <c r="AD552" s="28" t="s">
        <v>61</v>
      </c>
      <c r="AE552" s="14"/>
      <c r="AF552" s="13"/>
      <c r="AG552" s="13"/>
      <c r="AH552" s="84"/>
      <c r="AI552" s="134">
        <v>46106</v>
      </c>
      <c r="AJ552" s="144" t="e">
        <f ca="1">DATEDIF(AI552,$AJ$1,"D")</f>
        <v>#NUM!</v>
      </c>
      <c r="AK552" s="85" t="e">
        <f>VLOOKUP(AP552,'[2]CONTENEUR PLEIN'!$F:$L,3,FALSE)</f>
        <v>#N/A</v>
      </c>
      <c r="AL552" s="86" t="e">
        <f>VLOOKUP(AP552,'[2]CONTENEUR PLEIN'!$F:$L,5,FALSE)</f>
        <v>#N/A</v>
      </c>
      <c r="AM552" s="15" t="e">
        <f>VLOOKUP(AP552,'[2]CONTENEUR PLEIN'!$F:$L,7,FALSE)</f>
        <v>#N/A</v>
      </c>
      <c r="AN552" s="279" t="s">
        <v>63</v>
      </c>
      <c r="AO552" s="75"/>
      <c r="AP552" s="75"/>
      <c r="AQ552" s="75"/>
      <c r="AR552" s="75" t="e">
        <f>VLOOKUP(AP552,'[2]CONTENEUR PLEIN'!$F:$L,2,FALSE)</f>
        <v>#N/A</v>
      </c>
      <c r="AS552" s="75"/>
      <c r="AT552" s="84"/>
    </row>
    <row r="553" spans="1:46" s="72" customFormat="1" hidden="1" x14ac:dyDescent="0.25">
      <c r="B553" s="370" t="s">
        <v>45</v>
      </c>
      <c r="C553" s="146">
        <v>45989</v>
      </c>
      <c r="D553" s="147">
        <v>25114</v>
      </c>
      <c r="E553" s="371" t="s">
        <v>648</v>
      </c>
      <c r="F553" s="147">
        <v>2511191445</v>
      </c>
      <c r="G553" s="372" t="s">
        <v>74</v>
      </c>
      <c r="H553" s="372" t="s">
        <v>593</v>
      </c>
      <c r="I553" s="372" t="s">
        <v>49</v>
      </c>
      <c r="J553" s="372" t="s">
        <v>46</v>
      </c>
      <c r="K553" s="489" t="s">
        <v>68</v>
      </c>
      <c r="L553" s="238">
        <v>46072</v>
      </c>
      <c r="M553" s="380" t="e">
        <f t="shared" si="103"/>
        <v>#VALUE!</v>
      </c>
      <c r="N553" s="77" t="s">
        <v>49</v>
      </c>
      <c r="O553" s="78">
        <v>30170008</v>
      </c>
      <c r="P553" s="42" t="str">
        <f>VLOOKUP(O553,[1]Feuil2!$A:$M,5,FALSE)</f>
        <v>COUTEAU LAG DUO GRIS COOL GREY 7C+ GENCOD</v>
      </c>
      <c r="Q553" s="75">
        <v>9840</v>
      </c>
      <c r="R553" s="79">
        <v>0.33100000000000002</v>
      </c>
      <c r="S553" s="80">
        <f t="shared" si="104"/>
        <v>3257.04</v>
      </c>
      <c r="T553" s="81">
        <f t="shared" si="105"/>
        <v>289262.17800000001</v>
      </c>
      <c r="U553" s="139"/>
      <c r="V553" s="82">
        <f t="shared" si="106"/>
        <v>289262.17800000001</v>
      </c>
      <c r="W553" s="9">
        <f>VLOOKUP(O553,[1]Feuil2!$A:$M,6,FALSE)</f>
        <v>240</v>
      </c>
      <c r="X553" s="10">
        <f>VLOOKUP(O553,[1]Feuil2!$A:$M,13,FALSE)</f>
        <v>3.1849999999999996E-2</v>
      </c>
      <c r="Y553" s="11">
        <f t="shared" si="107"/>
        <v>1.30585</v>
      </c>
      <c r="Z553" s="83">
        <f t="shared" si="108"/>
        <v>214.17046237499997</v>
      </c>
      <c r="AA553" s="12" t="s">
        <v>57</v>
      </c>
      <c r="AB553" s="22" t="s">
        <v>48</v>
      </c>
      <c r="AC553" s="426" t="s">
        <v>55</v>
      </c>
      <c r="AD553" s="13" t="s">
        <v>57</v>
      </c>
      <c r="AE553" s="14">
        <v>46053</v>
      </c>
      <c r="AF553" s="13" t="s">
        <v>947</v>
      </c>
      <c r="AG553" s="13"/>
      <c r="AH553" s="84"/>
      <c r="AI553" s="134">
        <v>46106</v>
      </c>
      <c r="AJ553" s="144" t="s">
        <v>49</v>
      </c>
      <c r="AK553" s="85">
        <f>VLOOKUP(AP553,'[2]CONTENEUR PLEIN'!$F:$L,3,FALSE)</f>
        <v>46072</v>
      </c>
      <c r="AL553" s="86">
        <f>VLOOKUP(AP553,'[2]CONTENEUR PLEIN'!$F:$L,5,FALSE)</f>
        <v>46112</v>
      </c>
      <c r="AM553" s="46" t="str">
        <f>VLOOKUP(AP553,'[2]CONTENEUR PLEIN'!$F:$L,7,FALSE)</f>
        <v>Estimée : 07-avril</v>
      </c>
      <c r="AN553" s="279" t="s">
        <v>63</v>
      </c>
      <c r="AO553" s="490" t="s">
        <v>971</v>
      </c>
      <c r="AP553" s="490" t="s">
        <v>972</v>
      </c>
      <c r="AQ553" s="490" t="s">
        <v>974</v>
      </c>
      <c r="AR553" s="75" t="str">
        <f>VLOOKUP(AP553,'[2]CONTENEUR PLEIN'!$F:$L,2,FALSE)</f>
        <v>CMA CGM ALEXANDER VON HUMBOLDT</v>
      </c>
      <c r="AS553" s="490" t="s">
        <v>316</v>
      </c>
      <c r="AT553" s="84"/>
    </row>
    <row r="554" spans="1:46" s="72" customFormat="1" hidden="1" x14ac:dyDescent="0.25">
      <c r="B554" s="370" t="s">
        <v>45</v>
      </c>
      <c r="C554" s="146">
        <v>45989</v>
      </c>
      <c r="D554" s="147">
        <v>25114</v>
      </c>
      <c r="E554" s="371" t="s">
        <v>648</v>
      </c>
      <c r="F554" s="147">
        <v>2511191445</v>
      </c>
      <c r="G554" s="372" t="s">
        <v>74</v>
      </c>
      <c r="H554" s="372" t="s">
        <v>593</v>
      </c>
      <c r="I554" s="372" t="s">
        <v>49</v>
      </c>
      <c r="J554" s="372" t="s">
        <v>46</v>
      </c>
      <c r="K554" s="489" t="s">
        <v>68</v>
      </c>
      <c r="L554" s="238">
        <v>46072</v>
      </c>
      <c r="M554" s="380" t="e">
        <f t="shared" si="103"/>
        <v>#VALUE!</v>
      </c>
      <c r="N554" s="77" t="s">
        <v>49</v>
      </c>
      <c r="O554" s="78">
        <v>30170009</v>
      </c>
      <c r="P554" s="42" t="str">
        <f>VLOOKUP(O554,[1]Feuil2!$A:$M,5,FALSE)</f>
        <v>FOURCHETTE LAG DUO GRIS COOL GREY 7C+ GENCOD</v>
      </c>
      <c r="Q554" s="75">
        <v>8160</v>
      </c>
      <c r="R554" s="79">
        <v>0.318</v>
      </c>
      <c r="S554" s="80">
        <f t="shared" si="104"/>
        <v>2594.88</v>
      </c>
      <c r="T554" s="81">
        <f t="shared" si="105"/>
        <v>289262.17800000001</v>
      </c>
      <c r="U554" s="139"/>
      <c r="V554" s="82">
        <f t="shared" si="106"/>
        <v>289262.17800000001</v>
      </c>
      <c r="W554" s="9">
        <f>VLOOKUP(O554,[1]Feuil2!$A:$M,6,FALSE)</f>
        <v>240</v>
      </c>
      <c r="X554" s="10">
        <f>VLOOKUP(O554,[1]Feuil2!$A:$M,13,FALSE)</f>
        <v>2.8940625000000001E-2</v>
      </c>
      <c r="Y554" s="11">
        <f t="shared" si="107"/>
        <v>0.98398125000000003</v>
      </c>
      <c r="Z554" s="83">
        <f t="shared" si="108"/>
        <v>214.17046237499997</v>
      </c>
      <c r="AA554" s="12" t="s">
        <v>57</v>
      </c>
      <c r="AB554" s="22" t="s">
        <v>48</v>
      </c>
      <c r="AC554" s="426" t="s">
        <v>55</v>
      </c>
      <c r="AD554" s="28" t="s">
        <v>61</v>
      </c>
      <c r="AE554" s="14">
        <v>46053</v>
      </c>
      <c r="AF554" s="45" t="s">
        <v>946</v>
      </c>
      <c r="AG554" s="13"/>
      <c r="AH554" s="84"/>
      <c r="AI554" s="134">
        <v>46106</v>
      </c>
      <c r="AJ554" s="144" t="s">
        <v>49</v>
      </c>
      <c r="AK554" s="85">
        <f>VLOOKUP(AP554,'[2]CONTENEUR PLEIN'!$F:$L,3,FALSE)</f>
        <v>46072</v>
      </c>
      <c r="AL554" s="86">
        <f>VLOOKUP(AP554,'[2]CONTENEUR PLEIN'!$F:$L,5,FALSE)</f>
        <v>46112</v>
      </c>
      <c r="AM554" s="46" t="str">
        <f>VLOOKUP(AP554,'[2]CONTENEUR PLEIN'!$F:$L,7,FALSE)</f>
        <v>Estimée : 07-avril</v>
      </c>
      <c r="AN554" s="279" t="s">
        <v>63</v>
      </c>
      <c r="AO554" s="490" t="s">
        <v>971</v>
      </c>
      <c r="AP554" s="490" t="s">
        <v>972</v>
      </c>
      <c r="AQ554" s="490" t="s">
        <v>974</v>
      </c>
      <c r="AR554" s="75" t="str">
        <f>VLOOKUP(AP554,'[2]CONTENEUR PLEIN'!$F:$L,2,FALSE)</f>
        <v>CMA CGM ALEXANDER VON HUMBOLDT</v>
      </c>
      <c r="AS554" s="490" t="s">
        <v>316</v>
      </c>
      <c r="AT554" s="84"/>
    </row>
    <row r="555" spans="1:46" s="72" customFormat="1" hidden="1" x14ac:dyDescent="0.25">
      <c r="B555" s="370" t="s">
        <v>45</v>
      </c>
      <c r="C555" s="146">
        <v>45989</v>
      </c>
      <c r="D555" s="147">
        <v>25114</v>
      </c>
      <c r="E555" s="371" t="s">
        <v>648</v>
      </c>
      <c r="F555" s="147">
        <v>2511191445</v>
      </c>
      <c r="G555" s="372" t="s">
        <v>74</v>
      </c>
      <c r="H555" s="372" t="s">
        <v>593</v>
      </c>
      <c r="I555" s="372" t="s">
        <v>49</v>
      </c>
      <c r="J555" s="372" t="s">
        <v>46</v>
      </c>
      <c r="K555" s="489" t="s">
        <v>68</v>
      </c>
      <c r="L555" s="238">
        <v>46072</v>
      </c>
      <c r="M555" s="380" t="e">
        <f t="shared" si="103"/>
        <v>#VALUE!</v>
      </c>
      <c r="N555" s="77" t="s">
        <v>49</v>
      </c>
      <c r="O555" s="78">
        <v>30170010</v>
      </c>
      <c r="P555" s="42" t="str">
        <f>VLOOKUP(O555,[1]Feuil2!$A:$M,5,FALSE)</f>
        <v>CUILLERE LAG DUO GRIS COOL GREY 7C+ GENCOD</v>
      </c>
      <c r="Q555" s="75">
        <v>3840</v>
      </c>
      <c r="R555" s="79">
        <v>0.32200000000000001</v>
      </c>
      <c r="S555" s="80">
        <f t="shared" si="104"/>
        <v>1236.48</v>
      </c>
      <c r="T555" s="81">
        <f t="shared" si="105"/>
        <v>289262.17800000001</v>
      </c>
      <c r="U555" s="139"/>
      <c r="V555" s="82">
        <f t="shared" si="106"/>
        <v>289262.17800000001</v>
      </c>
      <c r="W555" s="9">
        <f>VLOOKUP(O555,[1]Feuil2!$A:$M,6,FALSE)</f>
        <v>240</v>
      </c>
      <c r="X555" s="10">
        <f>VLOOKUP(O555,[1]Feuil2!$A:$M,13,FALSE)</f>
        <v>2.9791999999999999E-2</v>
      </c>
      <c r="Y555" s="11">
        <f t="shared" si="107"/>
        <v>0.47667199999999998</v>
      </c>
      <c r="Z555" s="83">
        <f t="shared" si="108"/>
        <v>214.17046237499997</v>
      </c>
      <c r="AA555" s="12" t="s">
        <v>57</v>
      </c>
      <c r="AB555" s="22" t="s">
        <v>48</v>
      </c>
      <c r="AC555" s="426" t="s">
        <v>55</v>
      </c>
      <c r="AD555" s="13" t="s">
        <v>57</v>
      </c>
      <c r="AE555" s="14">
        <v>46055</v>
      </c>
      <c r="AF555" s="13" t="s">
        <v>954</v>
      </c>
      <c r="AG555" s="13"/>
      <c r="AH555" s="84"/>
      <c r="AI555" s="134">
        <v>46106</v>
      </c>
      <c r="AJ555" s="144" t="s">
        <v>49</v>
      </c>
      <c r="AK555" s="85">
        <f>VLOOKUP(AP555,'[2]CONTENEUR PLEIN'!$F:$L,3,FALSE)</f>
        <v>46072</v>
      </c>
      <c r="AL555" s="86">
        <f>VLOOKUP(AP555,'[2]CONTENEUR PLEIN'!$F:$L,5,FALSE)</f>
        <v>46112</v>
      </c>
      <c r="AM555" s="46" t="str">
        <f>VLOOKUP(AP555,'[2]CONTENEUR PLEIN'!$F:$L,7,FALSE)</f>
        <v>Estimée : 07-avril</v>
      </c>
      <c r="AN555" s="279" t="s">
        <v>63</v>
      </c>
      <c r="AO555" s="490" t="s">
        <v>971</v>
      </c>
      <c r="AP555" s="490" t="s">
        <v>972</v>
      </c>
      <c r="AQ555" s="490" t="s">
        <v>974</v>
      </c>
      <c r="AR555" s="75" t="str">
        <f>VLOOKUP(AP555,'[2]CONTENEUR PLEIN'!$F:$L,2,FALSE)</f>
        <v>CMA CGM ALEXANDER VON HUMBOLDT</v>
      </c>
      <c r="AS555" s="490" t="s">
        <v>316</v>
      </c>
      <c r="AT555" s="84"/>
    </row>
    <row r="556" spans="1:46" s="72" customFormat="1" hidden="1" x14ac:dyDescent="0.25">
      <c r="B556" s="370" t="s">
        <v>45</v>
      </c>
      <c r="C556" s="146">
        <v>45989</v>
      </c>
      <c r="D556" s="147">
        <v>25114</v>
      </c>
      <c r="E556" s="371" t="s">
        <v>648</v>
      </c>
      <c r="F556" s="147">
        <v>2511191445</v>
      </c>
      <c r="G556" s="372" t="s">
        <v>74</v>
      </c>
      <c r="H556" s="372" t="s">
        <v>593</v>
      </c>
      <c r="I556" s="372" t="s">
        <v>49</v>
      </c>
      <c r="J556" s="372" t="s">
        <v>46</v>
      </c>
      <c r="K556" s="489" t="s">
        <v>68</v>
      </c>
      <c r="L556" s="238">
        <v>46072</v>
      </c>
      <c r="M556" s="380" t="e">
        <f t="shared" si="103"/>
        <v>#VALUE!</v>
      </c>
      <c r="N556" s="77" t="s">
        <v>49</v>
      </c>
      <c r="O556" s="78">
        <v>30170011</v>
      </c>
      <c r="P556" s="42" t="str">
        <f>VLOOKUP(O556,[1]Feuil2!$A:$M,5,FALSE)</f>
        <v>CAFE LAG DUO GRIS COOL GREY 7C+ GENCOD</v>
      </c>
      <c r="Q556" s="75">
        <v>8160</v>
      </c>
      <c r="R556" s="79">
        <v>0.248</v>
      </c>
      <c r="S556" s="80">
        <f t="shared" si="104"/>
        <v>2023.68</v>
      </c>
      <c r="T556" s="81">
        <f t="shared" si="105"/>
        <v>289262.17800000001</v>
      </c>
      <c r="U556" s="139"/>
      <c r="V556" s="82">
        <f t="shared" si="106"/>
        <v>289262.17800000001</v>
      </c>
      <c r="W556" s="9">
        <f>VLOOKUP(O556,[1]Feuil2!$A:$M,6,FALSE)</f>
        <v>240</v>
      </c>
      <c r="X556" s="10">
        <f>VLOOKUP(O556,[1]Feuil2!$A:$M,13,FALSE)</f>
        <v>2.0645625000000001E-2</v>
      </c>
      <c r="Y556" s="11">
        <f t="shared" si="107"/>
        <v>0.70195125000000003</v>
      </c>
      <c r="Z556" s="83">
        <f t="shared" si="108"/>
        <v>214.17046237499997</v>
      </c>
      <c r="AA556" s="12" t="s">
        <v>57</v>
      </c>
      <c r="AB556" s="22" t="s">
        <v>48</v>
      </c>
      <c r="AC556" s="426" t="s">
        <v>55</v>
      </c>
      <c r="AD556" s="13" t="s">
        <v>57</v>
      </c>
      <c r="AE556" s="14">
        <v>46055</v>
      </c>
      <c r="AF556" s="13" t="s">
        <v>955</v>
      </c>
      <c r="AG556" s="13"/>
      <c r="AH556" s="84"/>
      <c r="AI556" s="134">
        <v>46106</v>
      </c>
      <c r="AJ556" s="144" t="s">
        <v>49</v>
      </c>
      <c r="AK556" s="85">
        <f>VLOOKUP(AP556,'[2]CONTENEUR PLEIN'!$F:$L,3,FALSE)</f>
        <v>46072</v>
      </c>
      <c r="AL556" s="86">
        <f>VLOOKUP(AP556,'[2]CONTENEUR PLEIN'!$F:$L,5,FALSE)</f>
        <v>46112</v>
      </c>
      <c r="AM556" s="46" t="str">
        <f>VLOOKUP(AP556,'[2]CONTENEUR PLEIN'!$F:$L,7,FALSE)</f>
        <v>Estimée : 07-avril</v>
      </c>
      <c r="AN556" s="279" t="s">
        <v>63</v>
      </c>
      <c r="AO556" s="490" t="s">
        <v>971</v>
      </c>
      <c r="AP556" s="490" t="s">
        <v>972</v>
      </c>
      <c r="AQ556" s="490" t="s">
        <v>974</v>
      </c>
      <c r="AR556" s="75" t="str">
        <f>VLOOKUP(AP556,'[2]CONTENEUR PLEIN'!$F:$L,2,FALSE)</f>
        <v>CMA CGM ALEXANDER VON HUMBOLDT</v>
      </c>
      <c r="AS556" s="490" t="s">
        <v>316</v>
      </c>
      <c r="AT556" s="84"/>
    </row>
    <row r="557" spans="1:46" s="72" customFormat="1" hidden="1" x14ac:dyDescent="0.25">
      <c r="B557" s="370" t="s">
        <v>45</v>
      </c>
      <c r="C557" s="146">
        <v>45989</v>
      </c>
      <c r="D557" s="147">
        <v>25114</v>
      </c>
      <c r="E557" s="371" t="s">
        <v>648</v>
      </c>
      <c r="F557" s="147">
        <v>2511191445</v>
      </c>
      <c r="G557" s="372" t="s">
        <v>74</v>
      </c>
      <c r="H557" s="372" t="s">
        <v>593</v>
      </c>
      <c r="I557" s="372" t="s">
        <v>49</v>
      </c>
      <c r="J557" s="372" t="s">
        <v>46</v>
      </c>
      <c r="K557" s="489" t="s">
        <v>68</v>
      </c>
      <c r="L557" s="238">
        <v>46072</v>
      </c>
      <c r="M557" s="380" t="e">
        <f t="shared" si="103"/>
        <v>#VALUE!</v>
      </c>
      <c r="N557" s="77" t="s">
        <v>49</v>
      </c>
      <c r="O557" s="78">
        <v>30170030</v>
      </c>
      <c r="P557" s="42" t="str">
        <f>VLOOKUP(O557,[1]Feuil2!$A:$M,5,FALSE)</f>
        <v>CUILLERE LAG DUO ROUGE 200 C+ GENCOD</v>
      </c>
      <c r="Q557" s="75">
        <v>1920</v>
      </c>
      <c r="R557" s="79">
        <v>0.32200000000000001</v>
      </c>
      <c r="S557" s="80">
        <f t="shared" si="104"/>
        <v>618.24</v>
      </c>
      <c r="T557" s="81">
        <f t="shared" si="105"/>
        <v>289262.17800000001</v>
      </c>
      <c r="U557" s="139"/>
      <c r="V557" s="82">
        <f t="shared" si="106"/>
        <v>289262.17800000001</v>
      </c>
      <c r="W557" s="9">
        <f>VLOOKUP(O557,[1]Feuil2!$A:$M,6,FALSE)</f>
        <v>240</v>
      </c>
      <c r="X557" s="10">
        <f>VLOOKUP(O557,[1]Feuil2!$A:$M,13,FALSE)</f>
        <v>2.9791999999999999E-2</v>
      </c>
      <c r="Y557" s="11">
        <f t="shared" si="107"/>
        <v>0.23833599999999999</v>
      </c>
      <c r="Z557" s="83">
        <f t="shared" si="108"/>
        <v>214.17046237499997</v>
      </c>
      <c r="AA557" s="12" t="s">
        <v>57</v>
      </c>
      <c r="AB557" s="22" t="s">
        <v>48</v>
      </c>
      <c r="AC557" s="426" t="s">
        <v>55</v>
      </c>
      <c r="AD557" s="13" t="s">
        <v>57</v>
      </c>
      <c r="AE557" s="14">
        <v>46055</v>
      </c>
      <c r="AF557" s="45" t="s">
        <v>956</v>
      </c>
      <c r="AG557" s="13"/>
      <c r="AH557" s="84"/>
      <c r="AI557" s="134">
        <v>46106</v>
      </c>
      <c r="AJ557" s="144" t="s">
        <v>49</v>
      </c>
      <c r="AK557" s="85">
        <f>VLOOKUP(AP557,'[2]CONTENEUR PLEIN'!$F:$L,3,FALSE)</f>
        <v>46072</v>
      </c>
      <c r="AL557" s="86">
        <f>VLOOKUP(AP557,'[2]CONTENEUR PLEIN'!$F:$L,5,FALSE)</f>
        <v>46112</v>
      </c>
      <c r="AM557" s="46" t="str">
        <f>VLOOKUP(AP557,'[2]CONTENEUR PLEIN'!$F:$L,7,FALSE)</f>
        <v>Estimée : 07-avril</v>
      </c>
      <c r="AN557" s="279" t="s">
        <v>63</v>
      </c>
      <c r="AO557" s="490" t="s">
        <v>971</v>
      </c>
      <c r="AP557" s="490" t="s">
        <v>972</v>
      </c>
      <c r="AQ557" s="490" t="s">
        <v>974</v>
      </c>
      <c r="AR557" s="75" t="str">
        <f>VLOOKUP(AP557,'[2]CONTENEUR PLEIN'!$F:$L,2,FALSE)</f>
        <v>CMA CGM ALEXANDER VON HUMBOLDT</v>
      </c>
      <c r="AS557" s="490" t="s">
        <v>316</v>
      </c>
      <c r="AT557" s="84"/>
    </row>
    <row r="558" spans="1:46" s="72" customFormat="1" hidden="1" x14ac:dyDescent="0.25">
      <c r="B558" s="370" t="s">
        <v>45</v>
      </c>
      <c r="C558" s="146">
        <v>45989</v>
      </c>
      <c r="D558" s="147">
        <v>25114</v>
      </c>
      <c r="E558" s="371" t="s">
        <v>648</v>
      </c>
      <c r="F558" s="147">
        <v>2511191445</v>
      </c>
      <c r="G558" s="372" t="s">
        <v>74</v>
      </c>
      <c r="H558" s="372" t="s">
        <v>593</v>
      </c>
      <c r="I558" s="372" t="s">
        <v>49</v>
      </c>
      <c r="J558" s="372" t="s">
        <v>46</v>
      </c>
      <c r="K558" s="489" t="s">
        <v>68</v>
      </c>
      <c r="L558" s="238">
        <v>46072</v>
      </c>
      <c r="M558" s="380" t="e">
        <f t="shared" si="103"/>
        <v>#VALUE!</v>
      </c>
      <c r="N558" s="77" t="s">
        <v>49</v>
      </c>
      <c r="O558" s="78">
        <v>30170041</v>
      </c>
      <c r="P558" s="42" t="str">
        <f>VLOOKUP(O558,[1]Feuil2!$A:$M,5,FALSE)</f>
        <v>COUTEAU LAG DUO VERT FONCE 5615C VRAC + GENCOD</v>
      </c>
      <c r="Q558" s="75">
        <v>5040</v>
      </c>
      <c r="R558" s="79">
        <v>0.33100000000000002</v>
      </c>
      <c r="S558" s="80">
        <f t="shared" si="104"/>
        <v>1668.24</v>
      </c>
      <c r="T558" s="81">
        <f t="shared" si="105"/>
        <v>289262.17800000001</v>
      </c>
      <c r="U558" s="139"/>
      <c r="V558" s="82">
        <f t="shared" si="106"/>
        <v>289262.17800000001</v>
      </c>
      <c r="W558" s="9">
        <f>VLOOKUP(O558,[1]Feuil2!$A:$M,6,FALSE)</f>
        <v>240</v>
      </c>
      <c r="X558" s="10">
        <f>VLOOKUP(O558,[1]Feuil2!$A:$M,13,FALSE)</f>
        <v>3.0834374999999997E-2</v>
      </c>
      <c r="Y558" s="11">
        <f t="shared" si="107"/>
        <v>0.64752187499999991</v>
      </c>
      <c r="Z558" s="83">
        <f t="shared" si="108"/>
        <v>214.17046237499997</v>
      </c>
      <c r="AA558" s="12" t="s">
        <v>57</v>
      </c>
      <c r="AB558" s="22" t="s">
        <v>48</v>
      </c>
      <c r="AC558" s="426" t="s">
        <v>55</v>
      </c>
      <c r="AD558" s="13" t="s">
        <v>57</v>
      </c>
      <c r="AE558" s="14">
        <v>46055</v>
      </c>
      <c r="AF558" s="13" t="s">
        <v>958</v>
      </c>
      <c r="AG558" s="13"/>
      <c r="AH558" s="84"/>
      <c r="AI558" s="134">
        <v>46106</v>
      </c>
      <c r="AJ558" s="144" t="s">
        <v>49</v>
      </c>
      <c r="AK558" s="85">
        <f>VLOOKUP(AP558,'[2]CONTENEUR PLEIN'!$F:$L,3,FALSE)</f>
        <v>46072</v>
      </c>
      <c r="AL558" s="86">
        <f>VLOOKUP(AP558,'[2]CONTENEUR PLEIN'!$F:$L,5,FALSE)</f>
        <v>46112</v>
      </c>
      <c r="AM558" s="46" t="str">
        <f>VLOOKUP(AP558,'[2]CONTENEUR PLEIN'!$F:$L,7,FALSE)</f>
        <v>Estimée : 07-avril</v>
      </c>
      <c r="AN558" s="279" t="s">
        <v>63</v>
      </c>
      <c r="AO558" s="490" t="s">
        <v>971</v>
      </c>
      <c r="AP558" s="490" t="s">
        <v>972</v>
      </c>
      <c r="AQ558" s="490" t="s">
        <v>974</v>
      </c>
      <c r="AR558" s="75" t="str">
        <f>VLOOKUP(AP558,'[2]CONTENEUR PLEIN'!$F:$L,2,FALSE)</f>
        <v>CMA CGM ALEXANDER VON HUMBOLDT</v>
      </c>
      <c r="AS558" s="490" t="s">
        <v>316</v>
      </c>
      <c r="AT558" s="84"/>
    </row>
    <row r="559" spans="1:46" s="72" customFormat="1" hidden="1" x14ac:dyDescent="0.25">
      <c r="B559" s="281" t="s">
        <v>45</v>
      </c>
      <c r="C559" s="74">
        <v>45989</v>
      </c>
      <c r="D559" s="75">
        <v>25114</v>
      </c>
      <c r="E559" s="280" t="s">
        <v>648</v>
      </c>
      <c r="F559" s="75">
        <v>2511191445</v>
      </c>
      <c r="G559" s="279" t="s">
        <v>74</v>
      </c>
      <c r="H559" s="279" t="s">
        <v>593</v>
      </c>
      <c r="I559" s="279" t="s">
        <v>49</v>
      </c>
      <c r="J559" s="279" t="s">
        <v>46</v>
      </c>
      <c r="K559" s="594" t="s">
        <v>76</v>
      </c>
      <c r="L559" s="279" t="s">
        <v>47</v>
      </c>
      <c r="M559" s="380" t="e">
        <f t="shared" si="103"/>
        <v>#N/A</v>
      </c>
      <c r="N559" s="77" t="s">
        <v>49</v>
      </c>
      <c r="O559" s="78">
        <v>30190001</v>
      </c>
      <c r="P559" s="42" t="str">
        <f>VLOOKUP(O559,[1]Feuil2!$A:$M,5,FALSE)</f>
        <v>COUTEAU INEDIT USA+GENCOD</v>
      </c>
      <c r="Q559" s="75">
        <v>1920</v>
      </c>
      <c r="R559" s="79">
        <v>0.31900000000000001</v>
      </c>
      <c r="S559" s="80">
        <f t="shared" si="104"/>
        <v>612.48</v>
      </c>
      <c r="T559" s="81">
        <f t="shared" si="105"/>
        <v>289262.17800000001</v>
      </c>
      <c r="U559" s="139"/>
      <c r="V559" s="82">
        <f t="shared" si="106"/>
        <v>289262.17800000001</v>
      </c>
      <c r="W559" s="9">
        <f>VLOOKUP(O559,[1]Feuil2!$A:$M,6,FALSE)</f>
        <v>240</v>
      </c>
      <c r="X559" s="10">
        <f>VLOOKUP(O559,[1]Feuil2!$A:$M,13,FALSE)</f>
        <v>2.7317250000000001E-2</v>
      </c>
      <c r="Y559" s="11">
        <f t="shared" si="107"/>
        <v>0.21853800000000001</v>
      </c>
      <c r="Z559" s="83">
        <f t="shared" si="108"/>
        <v>214.17046237499997</v>
      </c>
      <c r="AA559" s="12" t="s">
        <v>57</v>
      </c>
      <c r="AB559" s="22" t="s">
        <v>48</v>
      </c>
      <c r="AC559" s="426" t="s">
        <v>55</v>
      </c>
      <c r="AD559" s="13" t="s">
        <v>57</v>
      </c>
      <c r="AE559" s="14">
        <v>46091</v>
      </c>
      <c r="AF559" s="13" t="s">
        <v>1038</v>
      </c>
      <c r="AG559" s="13"/>
      <c r="AH559" s="84"/>
      <c r="AI559" s="134">
        <v>46106</v>
      </c>
      <c r="AJ559" s="144" t="e">
        <f t="shared" ref="AJ559:AJ566" ca="1" si="109">DATEDIF(AI559,$AJ$1,"D")</f>
        <v>#NUM!</v>
      </c>
      <c r="AK559" s="85" t="e">
        <f>VLOOKUP(AP559,'[2]CONTENEUR PLEIN'!$F:$L,3,FALSE)</f>
        <v>#N/A</v>
      </c>
      <c r="AL559" s="86" t="e">
        <f>VLOOKUP(AP559,'[2]CONTENEUR PLEIN'!$F:$L,5,FALSE)</f>
        <v>#N/A</v>
      </c>
      <c r="AM559" s="15" t="e">
        <f>VLOOKUP(AP559,'[2]CONTENEUR PLEIN'!$F:$L,7,FALSE)</f>
        <v>#N/A</v>
      </c>
      <c r="AN559" s="279" t="s">
        <v>63</v>
      </c>
      <c r="AO559" s="75"/>
      <c r="AP559" s="75"/>
      <c r="AQ559" s="75"/>
      <c r="AR559" s="75" t="e">
        <f>VLOOKUP(AP559,'[2]CONTENEUR PLEIN'!$F:$L,2,FALSE)</f>
        <v>#N/A</v>
      </c>
      <c r="AS559" s="75"/>
      <c r="AT559" s="84"/>
    </row>
    <row r="560" spans="1:46" s="72" customFormat="1" hidden="1" x14ac:dyDescent="0.25">
      <c r="B560" s="281" t="s">
        <v>45</v>
      </c>
      <c r="C560" s="74">
        <v>45989</v>
      </c>
      <c r="D560" s="75">
        <v>25114</v>
      </c>
      <c r="E560" s="280" t="s">
        <v>648</v>
      </c>
      <c r="F560" s="75">
        <v>2511191445</v>
      </c>
      <c r="G560" s="279" t="s">
        <v>74</v>
      </c>
      <c r="H560" s="279" t="s">
        <v>593</v>
      </c>
      <c r="I560" s="279" t="s">
        <v>49</v>
      </c>
      <c r="J560" s="279" t="s">
        <v>46</v>
      </c>
      <c r="K560" s="594" t="s">
        <v>76</v>
      </c>
      <c r="L560" s="279" t="s">
        <v>47</v>
      </c>
      <c r="M560" s="380" t="e">
        <f t="shared" si="103"/>
        <v>#N/A</v>
      </c>
      <c r="N560" s="77" t="s">
        <v>49</v>
      </c>
      <c r="O560" s="78">
        <v>30190003</v>
      </c>
      <c r="P560" s="42" t="str">
        <f>VLOOKUP(O560,[1]Feuil2!$A:$M,5,FALSE)</f>
        <v>CUILLERE INEDIT USA+GENCOD</v>
      </c>
      <c r="Q560" s="75">
        <v>2160</v>
      </c>
      <c r="R560" s="79">
        <v>0.34</v>
      </c>
      <c r="S560" s="80">
        <f t="shared" si="104"/>
        <v>734.40000000000009</v>
      </c>
      <c r="T560" s="81">
        <f t="shared" si="105"/>
        <v>289262.17800000001</v>
      </c>
      <c r="U560" s="139"/>
      <c r="V560" s="82">
        <f t="shared" si="106"/>
        <v>289262.17800000001</v>
      </c>
      <c r="W560" s="9">
        <f>VLOOKUP(O560,[1]Feuil2!$A:$M,6,FALSE)</f>
        <v>240</v>
      </c>
      <c r="X560" s="10">
        <f>VLOOKUP(O560,[1]Feuil2!$A:$M,13,FALSE)</f>
        <v>2.9218750000000002E-2</v>
      </c>
      <c r="Y560" s="11">
        <f t="shared" si="107"/>
        <v>0.26296875000000003</v>
      </c>
      <c r="Z560" s="83">
        <f t="shared" si="108"/>
        <v>214.17046237499997</v>
      </c>
      <c r="AA560" s="12" t="s">
        <v>57</v>
      </c>
      <c r="AB560" s="22" t="s">
        <v>48</v>
      </c>
      <c r="AC560" s="426" t="s">
        <v>55</v>
      </c>
      <c r="AD560" s="13" t="s">
        <v>57</v>
      </c>
      <c r="AE560" s="14">
        <v>46091</v>
      </c>
      <c r="AF560" s="13" t="s">
        <v>1039</v>
      </c>
      <c r="AG560" s="13"/>
      <c r="AH560" s="84"/>
      <c r="AI560" s="134">
        <v>46106</v>
      </c>
      <c r="AJ560" s="144" t="e">
        <f t="shared" ca="1" si="109"/>
        <v>#NUM!</v>
      </c>
      <c r="AK560" s="85" t="e">
        <f>VLOOKUP(AP560,'[2]CONTENEUR PLEIN'!$F:$L,3,FALSE)</f>
        <v>#N/A</v>
      </c>
      <c r="AL560" s="86" t="e">
        <f>VLOOKUP(AP560,'[2]CONTENEUR PLEIN'!$F:$L,5,FALSE)</f>
        <v>#N/A</v>
      </c>
      <c r="AM560" s="15" t="e">
        <f>VLOOKUP(AP560,'[2]CONTENEUR PLEIN'!$F:$L,7,FALSE)</f>
        <v>#N/A</v>
      </c>
      <c r="AN560" s="279" t="s">
        <v>63</v>
      </c>
      <c r="AO560" s="75"/>
      <c r="AP560" s="75"/>
      <c r="AQ560" s="75"/>
      <c r="AR560" s="75" t="e">
        <f>VLOOKUP(AP560,'[2]CONTENEUR PLEIN'!$F:$L,2,FALSE)</f>
        <v>#N/A</v>
      </c>
      <c r="AS560" s="75"/>
      <c r="AT560" s="84"/>
    </row>
    <row r="561" spans="2:46" s="72" customFormat="1" hidden="1" x14ac:dyDescent="0.25">
      <c r="B561" s="281" t="s">
        <v>45</v>
      </c>
      <c r="C561" s="74">
        <v>45989</v>
      </c>
      <c r="D561" s="75">
        <v>25114</v>
      </c>
      <c r="E561" s="280" t="s">
        <v>648</v>
      </c>
      <c r="F561" s="75">
        <v>2511191445</v>
      </c>
      <c r="G561" s="279" t="s">
        <v>74</v>
      </c>
      <c r="H561" s="279" t="s">
        <v>593</v>
      </c>
      <c r="I561" s="279" t="s">
        <v>49</v>
      </c>
      <c r="J561" s="279" t="s">
        <v>46</v>
      </c>
      <c r="K561" s="594" t="s">
        <v>76</v>
      </c>
      <c r="L561" s="279" t="s">
        <v>47</v>
      </c>
      <c r="M561" s="380" t="e">
        <f t="shared" si="103"/>
        <v>#N/A</v>
      </c>
      <c r="N561" s="282" t="s">
        <v>62</v>
      </c>
      <c r="O561" s="78">
        <v>30363709</v>
      </c>
      <c r="P561" s="42" t="str">
        <f>VLOOKUP(O561,[1]Feuil2!$A:$M,5,FALSE)</f>
        <v>M24 BISTROT CLASSIC BLANC POT PET CARREFOUR</v>
      </c>
      <c r="Q561" s="75">
        <v>16002</v>
      </c>
      <c r="R561" s="79">
        <v>2.61</v>
      </c>
      <c r="S561" s="80">
        <f t="shared" si="104"/>
        <v>41765.22</v>
      </c>
      <c r="T561" s="81">
        <f t="shared" si="105"/>
        <v>289262.17800000001</v>
      </c>
      <c r="U561" s="139"/>
      <c r="V561" s="82">
        <f t="shared" si="106"/>
        <v>289262.17800000001</v>
      </c>
      <c r="W561" s="9">
        <f>VLOOKUP(O561,[1]Feuil2!$A:$M,6,FALSE)</f>
        <v>6</v>
      </c>
      <c r="X561" s="10">
        <f>VLOOKUP(O561,[1]Feuil2!$A:$M,13,FALSE)</f>
        <v>1.43E-2</v>
      </c>
      <c r="Y561" s="11">
        <f t="shared" si="107"/>
        <v>38.138100000000001</v>
      </c>
      <c r="Z561" s="83">
        <f t="shared" si="108"/>
        <v>214.17046237499997</v>
      </c>
      <c r="AA561" s="12" t="s">
        <v>57</v>
      </c>
      <c r="AB561" s="22" t="s">
        <v>48</v>
      </c>
      <c r="AC561" s="426" t="s">
        <v>55</v>
      </c>
      <c r="AD561" s="13" t="s">
        <v>57</v>
      </c>
      <c r="AE561" s="14">
        <v>46091</v>
      </c>
      <c r="AF561" s="13" t="s">
        <v>1041</v>
      </c>
      <c r="AG561" s="13"/>
      <c r="AH561" s="84"/>
      <c r="AI561" s="134">
        <v>46106</v>
      </c>
      <c r="AJ561" s="144" t="e">
        <f t="shared" ca="1" si="109"/>
        <v>#NUM!</v>
      </c>
      <c r="AK561" s="85" t="e">
        <f>VLOOKUP(AP561,'[2]CONTENEUR PLEIN'!$F:$L,3,FALSE)</f>
        <v>#N/A</v>
      </c>
      <c r="AL561" s="86" t="e">
        <f>VLOOKUP(AP561,'[2]CONTENEUR PLEIN'!$F:$L,5,FALSE)</f>
        <v>#N/A</v>
      </c>
      <c r="AM561" s="15" t="e">
        <f>VLOOKUP(AP561,'[2]CONTENEUR PLEIN'!$F:$L,7,FALSE)</f>
        <v>#N/A</v>
      </c>
      <c r="AN561" s="279" t="s">
        <v>63</v>
      </c>
      <c r="AO561" s="75"/>
      <c r="AP561" s="75"/>
      <c r="AQ561" s="75"/>
      <c r="AR561" s="75" t="e">
        <f>VLOOKUP(AP561,'[2]CONTENEUR PLEIN'!$F:$L,2,FALSE)</f>
        <v>#N/A</v>
      </c>
      <c r="AS561" s="75"/>
      <c r="AT561" s="84"/>
    </row>
    <row r="562" spans="2:46" s="72" customFormat="1" hidden="1" x14ac:dyDescent="0.25">
      <c r="B562" s="281" t="s">
        <v>45</v>
      </c>
      <c r="C562" s="74">
        <v>45989</v>
      </c>
      <c r="D562" s="75">
        <v>25114</v>
      </c>
      <c r="E562" s="280" t="s">
        <v>648</v>
      </c>
      <c r="F562" s="75">
        <v>2511191445</v>
      </c>
      <c r="G562" s="279" t="s">
        <v>74</v>
      </c>
      <c r="H562" s="279" t="s">
        <v>593</v>
      </c>
      <c r="I562" s="279" t="s">
        <v>49</v>
      </c>
      <c r="J562" s="279" t="s">
        <v>46</v>
      </c>
      <c r="K562" s="594" t="s">
        <v>76</v>
      </c>
      <c r="L562" s="279" t="s">
        <v>47</v>
      </c>
      <c r="M562" s="380" t="e">
        <f t="shared" si="103"/>
        <v>#N/A</v>
      </c>
      <c r="N562" s="77" t="s">
        <v>49</v>
      </c>
      <c r="O562" s="78">
        <v>31090010</v>
      </c>
      <c r="P562" s="42" t="str">
        <f>VLOOKUP(O562,[1]Feuil2!$A:$M,5,FALSE)</f>
        <v>FOURCHETTE INEDIT SCANDINAVE NOIR VRAC GENCOD</v>
      </c>
      <c r="Q562" s="75">
        <v>3840</v>
      </c>
      <c r="R562" s="79">
        <v>0.32900000000000001</v>
      </c>
      <c r="S562" s="80">
        <f t="shared" si="104"/>
        <v>1263.3600000000001</v>
      </c>
      <c r="T562" s="81">
        <f t="shared" si="105"/>
        <v>289262.17800000001</v>
      </c>
      <c r="U562" s="139"/>
      <c r="V562" s="82">
        <f t="shared" si="106"/>
        <v>289262.17800000001</v>
      </c>
      <c r="W562" s="9">
        <f>VLOOKUP(O562,[1]Feuil2!$A:$M,6,FALSE)</f>
        <v>240</v>
      </c>
      <c r="X562" s="10">
        <f>VLOOKUP(O562,[1]Feuil2!$A:$M,13,FALSE)</f>
        <v>2.9218750000000002E-2</v>
      </c>
      <c r="Y562" s="11">
        <f t="shared" si="107"/>
        <v>0.46750000000000003</v>
      </c>
      <c r="Z562" s="83">
        <f t="shared" si="108"/>
        <v>214.17046237499997</v>
      </c>
      <c r="AA562" s="12" t="s">
        <v>57</v>
      </c>
      <c r="AB562" s="22" t="s">
        <v>48</v>
      </c>
      <c r="AC562" s="426" t="s">
        <v>55</v>
      </c>
      <c r="AD562" s="13" t="s">
        <v>57</v>
      </c>
      <c r="AE562" s="14">
        <v>46092</v>
      </c>
      <c r="AF562" s="13" t="s">
        <v>1040</v>
      </c>
      <c r="AG562" s="13"/>
      <c r="AH562" s="84"/>
      <c r="AI562" s="134">
        <v>46106</v>
      </c>
      <c r="AJ562" s="144" t="e">
        <f t="shared" ca="1" si="109"/>
        <v>#NUM!</v>
      </c>
      <c r="AK562" s="85" t="e">
        <f>VLOOKUP(AP562,'[2]CONTENEUR PLEIN'!$F:$L,3,FALSE)</f>
        <v>#N/A</v>
      </c>
      <c r="AL562" s="86" t="e">
        <f>VLOOKUP(AP562,'[2]CONTENEUR PLEIN'!$F:$L,5,FALSE)</f>
        <v>#N/A</v>
      </c>
      <c r="AM562" s="15" t="e">
        <f>VLOOKUP(AP562,'[2]CONTENEUR PLEIN'!$F:$L,7,FALSE)</f>
        <v>#N/A</v>
      </c>
      <c r="AN562" s="279" t="s">
        <v>63</v>
      </c>
      <c r="AO562" s="75"/>
      <c r="AP562" s="75"/>
      <c r="AQ562" s="75"/>
      <c r="AR562" s="75" t="e">
        <f>VLOOKUP(AP562,'[2]CONTENEUR PLEIN'!$F:$L,2,FALSE)</f>
        <v>#N/A</v>
      </c>
      <c r="AS562" s="75"/>
      <c r="AT562" s="84"/>
    </row>
    <row r="563" spans="2:46" s="72" customFormat="1" hidden="1" x14ac:dyDescent="0.25">
      <c r="B563" s="281" t="s">
        <v>45</v>
      </c>
      <c r="C563" s="74">
        <v>45989</v>
      </c>
      <c r="D563" s="75">
        <v>25114</v>
      </c>
      <c r="E563" s="280" t="s">
        <v>648</v>
      </c>
      <c r="F563" s="75">
        <v>2511191445</v>
      </c>
      <c r="G563" s="279" t="s">
        <v>74</v>
      </c>
      <c r="H563" s="279" t="s">
        <v>593</v>
      </c>
      <c r="I563" s="279" t="s">
        <v>49</v>
      </c>
      <c r="J563" s="279" t="s">
        <v>46</v>
      </c>
      <c r="K563" s="594" t="s">
        <v>76</v>
      </c>
      <c r="L563" s="279" t="s">
        <v>47</v>
      </c>
      <c r="M563" s="380" t="e">
        <f t="shared" si="103"/>
        <v>#N/A</v>
      </c>
      <c r="N563" s="77" t="s">
        <v>49</v>
      </c>
      <c r="O563" s="78">
        <v>31090012</v>
      </c>
      <c r="P563" s="42" t="str">
        <f>VLOOKUP(O563,[1]Feuil2!$A:$M,5,FALSE)</f>
        <v>CAFE INEDIT SCANDINAVE NOIR VRAC GENCOD</v>
      </c>
      <c r="Q563" s="75">
        <v>5760</v>
      </c>
      <c r="R563" s="79">
        <v>0.315</v>
      </c>
      <c r="S563" s="80">
        <f t="shared" si="104"/>
        <v>1814.4</v>
      </c>
      <c r="T563" s="81">
        <f t="shared" si="105"/>
        <v>289262.17800000001</v>
      </c>
      <c r="U563" s="139"/>
      <c r="V563" s="82">
        <f t="shared" si="106"/>
        <v>289262.17800000001</v>
      </c>
      <c r="W563" s="9">
        <f>VLOOKUP(O563,[1]Feuil2!$A:$M,6,FALSE)</f>
        <v>240</v>
      </c>
      <c r="X563" s="10">
        <f>VLOOKUP(O563,[1]Feuil2!$A:$M,13,FALSE)</f>
        <v>1.6982999999999998E-2</v>
      </c>
      <c r="Y563" s="11">
        <f t="shared" si="107"/>
        <v>0.40759199999999995</v>
      </c>
      <c r="Z563" s="83">
        <f t="shared" si="108"/>
        <v>214.17046237499997</v>
      </c>
      <c r="AA563" s="12" t="s">
        <v>57</v>
      </c>
      <c r="AB563" s="22" t="s">
        <v>48</v>
      </c>
      <c r="AC563" s="426" t="s">
        <v>55</v>
      </c>
      <c r="AD563" s="13" t="s">
        <v>57</v>
      </c>
      <c r="AE563" s="14">
        <v>46092</v>
      </c>
      <c r="AF563" s="13" t="s">
        <v>1042</v>
      </c>
      <c r="AG563" s="13"/>
      <c r="AH563" s="84"/>
      <c r="AI563" s="134">
        <v>46106</v>
      </c>
      <c r="AJ563" s="144" t="e">
        <f t="shared" ca="1" si="109"/>
        <v>#NUM!</v>
      </c>
      <c r="AK563" s="85" t="e">
        <f>VLOOKUP(AP563,'[2]CONTENEUR PLEIN'!$F:$L,3,FALSE)</f>
        <v>#N/A</v>
      </c>
      <c r="AL563" s="86" t="e">
        <f>VLOOKUP(AP563,'[2]CONTENEUR PLEIN'!$F:$L,5,FALSE)</f>
        <v>#N/A</v>
      </c>
      <c r="AM563" s="15" t="e">
        <f>VLOOKUP(AP563,'[2]CONTENEUR PLEIN'!$F:$L,7,FALSE)</f>
        <v>#N/A</v>
      </c>
      <c r="AN563" s="279" t="s">
        <v>63</v>
      </c>
      <c r="AO563" s="75"/>
      <c r="AP563" s="75"/>
      <c r="AQ563" s="75"/>
      <c r="AR563" s="75" t="e">
        <f>VLOOKUP(AP563,'[2]CONTENEUR PLEIN'!$F:$L,2,FALSE)</f>
        <v>#N/A</v>
      </c>
      <c r="AS563" s="75"/>
      <c r="AT563" s="84"/>
    </row>
    <row r="564" spans="2:46" s="72" customFormat="1" hidden="1" x14ac:dyDescent="0.25">
      <c r="B564" s="281" t="s">
        <v>45</v>
      </c>
      <c r="C564" s="74">
        <v>45989</v>
      </c>
      <c r="D564" s="75">
        <v>25114</v>
      </c>
      <c r="E564" s="280" t="s">
        <v>648</v>
      </c>
      <c r="F564" s="75">
        <v>2511191445</v>
      </c>
      <c r="G564" s="279" t="s">
        <v>74</v>
      </c>
      <c r="H564" s="279" t="s">
        <v>593</v>
      </c>
      <c r="I564" s="279" t="s">
        <v>49</v>
      </c>
      <c r="J564" s="279" t="s">
        <v>46</v>
      </c>
      <c r="K564" s="594" t="s">
        <v>76</v>
      </c>
      <c r="L564" s="279" t="s">
        <v>47</v>
      </c>
      <c r="M564" s="380" t="e">
        <f t="shared" si="103"/>
        <v>#N/A</v>
      </c>
      <c r="N564" s="77" t="s">
        <v>49</v>
      </c>
      <c r="O564" s="78">
        <v>31930016</v>
      </c>
      <c r="P564" s="42" t="str">
        <f>VLOOKUP(O564,[1]Feuil2!$A:$M,5,FALSE)</f>
        <v>COUTEAU DROP LIGHT WOOD</v>
      </c>
      <c r="Q564" s="75">
        <v>10800</v>
      </c>
      <c r="R564" s="79">
        <v>0.26800000000000002</v>
      </c>
      <c r="S564" s="80">
        <f t="shared" si="104"/>
        <v>2894.4</v>
      </c>
      <c r="T564" s="81">
        <f t="shared" si="105"/>
        <v>289262.17800000001</v>
      </c>
      <c r="U564" s="139"/>
      <c r="V564" s="82">
        <f t="shared" si="106"/>
        <v>289262.17800000001</v>
      </c>
      <c r="W564" s="9">
        <f>VLOOKUP(O564,[1]Feuil2!$A:$M,6,FALSE)</f>
        <v>240</v>
      </c>
      <c r="X564" s="10">
        <f>VLOOKUP(O564,[1]Feuil2!$A:$M,13,FALSE)</f>
        <v>2.9807999999999998E-2</v>
      </c>
      <c r="Y564" s="11">
        <f t="shared" si="107"/>
        <v>1.3413599999999999</v>
      </c>
      <c r="Z564" s="83">
        <f t="shared" si="108"/>
        <v>214.17046237499997</v>
      </c>
      <c r="AA564" s="12" t="s">
        <v>57</v>
      </c>
      <c r="AB564" s="22" t="s">
        <v>48</v>
      </c>
      <c r="AC564" s="426" t="s">
        <v>55</v>
      </c>
      <c r="AD564" s="13" t="s">
        <v>57</v>
      </c>
      <c r="AE564" s="14">
        <v>46092</v>
      </c>
      <c r="AF564" s="13" t="s">
        <v>1043</v>
      </c>
      <c r="AG564" s="13"/>
      <c r="AH564" s="84"/>
      <c r="AI564" s="134">
        <v>46106</v>
      </c>
      <c r="AJ564" s="144" t="e">
        <f t="shared" ca="1" si="109"/>
        <v>#NUM!</v>
      </c>
      <c r="AK564" s="85" t="e">
        <f>VLOOKUP(AP564,'[2]CONTENEUR PLEIN'!$F:$L,3,FALSE)</f>
        <v>#N/A</v>
      </c>
      <c r="AL564" s="86" t="e">
        <f>VLOOKUP(AP564,'[2]CONTENEUR PLEIN'!$F:$L,5,FALSE)</f>
        <v>#N/A</v>
      </c>
      <c r="AM564" s="15" t="e">
        <f>VLOOKUP(AP564,'[2]CONTENEUR PLEIN'!$F:$L,7,FALSE)</f>
        <v>#N/A</v>
      </c>
      <c r="AN564" s="279" t="s">
        <v>63</v>
      </c>
      <c r="AO564" s="75"/>
      <c r="AP564" s="75"/>
      <c r="AQ564" s="75"/>
      <c r="AR564" s="75" t="e">
        <f>VLOOKUP(AP564,'[2]CONTENEUR PLEIN'!$F:$L,2,FALSE)</f>
        <v>#N/A</v>
      </c>
      <c r="AS564" s="75"/>
      <c r="AT564" s="84"/>
    </row>
    <row r="565" spans="2:46" s="72" customFormat="1" hidden="1" x14ac:dyDescent="0.25">
      <c r="B565" s="281" t="s">
        <v>45</v>
      </c>
      <c r="C565" s="74">
        <v>45989</v>
      </c>
      <c r="D565" s="75">
        <v>25114</v>
      </c>
      <c r="E565" s="280" t="s">
        <v>648</v>
      </c>
      <c r="F565" s="75">
        <v>2511191445</v>
      </c>
      <c r="G565" s="279" t="s">
        <v>74</v>
      </c>
      <c r="H565" s="279" t="s">
        <v>593</v>
      </c>
      <c r="I565" s="279" t="s">
        <v>49</v>
      </c>
      <c r="J565" s="279" t="s">
        <v>46</v>
      </c>
      <c r="K565" s="594" t="s">
        <v>76</v>
      </c>
      <c r="L565" s="279" t="s">
        <v>47</v>
      </c>
      <c r="M565" s="380" t="e">
        <f t="shared" si="103"/>
        <v>#N/A</v>
      </c>
      <c r="N565" s="77" t="s">
        <v>49</v>
      </c>
      <c r="O565" s="78">
        <v>31930017</v>
      </c>
      <c r="P565" s="42" t="str">
        <f>VLOOKUP(O565,[1]Feuil2!$A:$M,5,FALSE)</f>
        <v>FOURCHETTE DROP LIGHT WOOD</v>
      </c>
      <c r="Q565" s="75">
        <v>10080</v>
      </c>
      <c r="R565" s="79">
        <v>0.221</v>
      </c>
      <c r="S565" s="80">
        <f t="shared" si="104"/>
        <v>2227.6799999999998</v>
      </c>
      <c r="T565" s="81">
        <f t="shared" si="105"/>
        <v>289262.17800000001</v>
      </c>
      <c r="U565" s="139"/>
      <c r="V565" s="82">
        <f t="shared" si="106"/>
        <v>289262.17800000001</v>
      </c>
      <c r="W565" s="9">
        <f>VLOOKUP(O565,[1]Feuil2!$A:$M,6,FALSE)</f>
        <v>240</v>
      </c>
      <c r="X565" s="10">
        <f>VLOOKUP(O565,[1]Feuil2!$A:$M,13,FALSE)</f>
        <v>3.1200000000000002E-2</v>
      </c>
      <c r="Y565" s="11">
        <f t="shared" si="107"/>
        <v>1.3104</v>
      </c>
      <c r="Z565" s="83">
        <f t="shared" si="108"/>
        <v>214.17046237499997</v>
      </c>
      <c r="AA565" s="12" t="s">
        <v>57</v>
      </c>
      <c r="AB565" s="22" t="s">
        <v>48</v>
      </c>
      <c r="AC565" s="426" t="s">
        <v>55</v>
      </c>
      <c r="AD565" s="13" t="s">
        <v>57</v>
      </c>
      <c r="AE565" s="14">
        <v>46092</v>
      </c>
      <c r="AF565" s="13" t="s">
        <v>1044</v>
      </c>
      <c r="AG565" s="13"/>
      <c r="AH565" s="84"/>
      <c r="AI565" s="134">
        <v>46106</v>
      </c>
      <c r="AJ565" s="144" t="e">
        <f t="shared" ca="1" si="109"/>
        <v>#NUM!</v>
      </c>
      <c r="AK565" s="85" t="e">
        <f>VLOOKUP(AP565,'[2]CONTENEUR PLEIN'!$F:$L,3,FALSE)</f>
        <v>#N/A</v>
      </c>
      <c r="AL565" s="86" t="e">
        <f>VLOOKUP(AP565,'[2]CONTENEUR PLEIN'!$F:$L,5,FALSE)</f>
        <v>#N/A</v>
      </c>
      <c r="AM565" s="15" t="e">
        <f>VLOOKUP(AP565,'[2]CONTENEUR PLEIN'!$F:$L,7,FALSE)</f>
        <v>#N/A</v>
      </c>
      <c r="AN565" s="279" t="s">
        <v>63</v>
      </c>
      <c r="AO565" s="75"/>
      <c r="AP565" s="75"/>
      <c r="AQ565" s="75"/>
      <c r="AR565" s="75" t="e">
        <f>VLOOKUP(AP565,'[2]CONTENEUR PLEIN'!$F:$L,2,FALSE)</f>
        <v>#N/A</v>
      </c>
      <c r="AS565" s="75"/>
      <c r="AT565" s="84"/>
    </row>
    <row r="566" spans="2:46" s="72" customFormat="1" hidden="1" x14ac:dyDescent="0.25">
      <c r="B566" s="281" t="s">
        <v>45</v>
      </c>
      <c r="C566" s="74">
        <v>45989</v>
      </c>
      <c r="D566" s="75">
        <v>25114</v>
      </c>
      <c r="E566" s="280" t="s">
        <v>648</v>
      </c>
      <c r="F566" s="75">
        <v>2511191445</v>
      </c>
      <c r="G566" s="279" t="s">
        <v>74</v>
      </c>
      <c r="H566" s="279" t="s">
        <v>593</v>
      </c>
      <c r="I566" s="279" t="s">
        <v>49</v>
      </c>
      <c r="J566" s="279" t="s">
        <v>46</v>
      </c>
      <c r="K566" s="594" t="s">
        <v>76</v>
      </c>
      <c r="L566" s="279" t="s">
        <v>47</v>
      </c>
      <c r="M566" s="380" t="e">
        <f t="shared" si="103"/>
        <v>#N/A</v>
      </c>
      <c r="N566" s="77" t="s">
        <v>49</v>
      </c>
      <c r="O566" s="78">
        <v>31930019</v>
      </c>
      <c r="P566" s="42" t="str">
        <f>VLOOKUP(O566,[1]Feuil2!$A:$M,5,FALSE)</f>
        <v>CAFE DROP LIGHT WOOD</v>
      </c>
      <c r="Q566" s="75">
        <v>12240</v>
      </c>
      <c r="R566" s="79">
        <v>0.182</v>
      </c>
      <c r="S566" s="80">
        <f t="shared" si="104"/>
        <v>2227.6799999999998</v>
      </c>
      <c r="T566" s="81">
        <f t="shared" si="105"/>
        <v>289262.17800000001</v>
      </c>
      <c r="U566" s="139"/>
      <c r="V566" s="82">
        <f t="shared" si="106"/>
        <v>289262.17800000001</v>
      </c>
      <c r="W566" s="9">
        <f>VLOOKUP(O566,[1]Feuil2!$A:$M,6,FALSE)</f>
        <v>240</v>
      </c>
      <c r="X566" s="10">
        <f>VLOOKUP(O566,[1]Feuil2!$A:$M,13,FALSE)</f>
        <v>2.1309749999999999E-2</v>
      </c>
      <c r="Y566" s="11">
        <f t="shared" si="107"/>
        <v>1.08679725</v>
      </c>
      <c r="Z566" s="83">
        <f t="shared" si="108"/>
        <v>214.17046237499997</v>
      </c>
      <c r="AA566" s="12" t="s">
        <v>57</v>
      </c>
      <c r="AB566" s="22" t="s">
        <v>48</v>
      </c>
      <c r="AC566" s="426" t="s">
        <v>55</v>
      </c>
      <c r="AD566" s="13" t="s">
        <v>57</v>
      </c>
      <c r="AE566" s="14">
        <v>46092</v>
      </c>
      <c r="AF566" s="13" t="s">
        <v>1045</v>
      </c>
      <c r="AG566" s="13"/>
      <c r="AH566" s="84"/>
      <c r="AI566" s="134">
        <v>46106</v>
      </c>
      <c r="AJ566" s="144" t="e">
        <f t="shared" ca="1" si="109"/>
        <v>#NUM!</v>
      </c>
      <c r="AK566" s="85" t="e">
        <f>VLOOKUP(AP566,'[2]CONTENEUR PLEIN'!$F:$L,3,FALSE)</f>
        <v>#N/A</v>
      </c>
      <c r="AL566" s="86" t="e">
        <f>VLOOKUP(AP566,'[2]CONTENEUR PLEIN'!$F:$L,5,FALSE)</f>
        <v>#N/A</v>
      </c>
      <c r="AM566" s="15" t="e">
        <f>VLOOKUP(AP566,'[2]CONTENEUR PLEIN'!$F:$L,7,FALSE)</f>
        <v>#N/A</v>
      </c>
      <c r="AN566" s="279" t="s">
        <v>63</v>
      </c>
      <c r="AO566" s="75"/>
      <c r="AP566" s="75"/>
      <c r="AQ566" s="75"/>
      <c r="AR566" s="75" t="e">
        <f>VLOOKUP(AP566,'[2]CONTENEUR PLEIN'!$F:$L,2,FALSE)</f>
        <v>#N/A</v>
      </c>
      <c r="AS566" s="75"/>
      <c r="AT566" s="84"/>
    </row>
    <row r="567" spans="2:46" s="72" customFormat="1" hidden="1" x14ac:dyDescent="0.25">
      <c r="B567" s="370" t="s">
        <v>45</v>
      </c>
      <c r="C567" s="146">
        <v>45989</v>
      </c>
      <c r="D567" s="147">
        <v>25114</v>
      </c>
      <c r="E567" s="371" t="s">
        <v>648</v>
      </c>
      <c r="F567" s="147">
        <v>2511191445</v>
      </c>
      <c r="G567" s="372" t="s">
        <v>74</v>
      </c>
      <c r="H567" s="372" t="s">
        <v>593</v>
      </c>
      <c r="I567" s="372" t="s">
        <v>49</v>
      </c>
      <c r="J567" s="372" t="s">
        <v>46</v>
      </c>
      <c r="K567" s="489" t="s">
        <v>68</v>
      </c>
      <c r="L567" s="238">
        <v>46072</v>
      </c>
      <c r="M567" s="380" t="e">
        <f t="shared" si="103"/>
        <v>#VALUE!</v>
      </c>
      <c r="N567" s="77" t="s">
        <v>49</v>
      </c>
      <c r="O567" s="78">
        <v>31930021</v>
      </c>
      <c r="P567" s="42" t="str">
        <f>VLOOKUP(O567,[1]Feuil2!$A:$M,5,FALSE)</f>
        <v>COUTEAU DROP DARK WOOD</v>
      </c>
      <c r="Q567" s="75">
        <v>15600</v>
      </c>
      <c r="R567" s="79">
        <v>0.26800000000000002</v>
      </c>
      <c r="S567" s="80">
        <f t="shared" si="104"/>
        <v>4180.8</v>
      </c>
      <c r="T567" s="81">
        <f t="shared" si="105"/>
        <v>289262.17800000001</v>
      </c>
      <c r="U567" s="139"/>
      <c r="V567" s="82">
        <f t="shared" si="106"/>
        <v>289262.17800000001</v>
      </c>
      <c r="W567" s="9">
        <f>VLOOKUP(O567,[1]Feuil2!$A:$M,6,FALSE)</f>
        <v>240</v>
      </c>
      <c r="X567" s="10">
        <f>VLOOKUP(O567,[1]Feuil2!$A:$M,13,FALSE)</f>
        <v>3.2339999999999994E-2</v>
      </c>
      <c r="Y567" s="11">
        <f t="shared" si="107"/>
        <v>2.1020999999999996</v>
      </c>
      <c r="Z567" s="83">
        <f t="shared" si="108"/>
        <v>214.17046237499997</v>
      </c>
      <c r="AA567" s="12" t="s">
        <v>57</v>
      </c>
      <c r="AB567" s="22" t="s">
        <v>48</v>
      </c>
      <c r="AC567" s="426" t="s">
        <v>55</v>
      </c>
      <c r="AD567" s="13" t="s">
        <v>57</v>
      </c>
      <c r="AE567" s="14">
        <v>46052</v>
      </c>
      <c r="AF567" s="13" t="s">
        <v>945</v>
      </c>
      <c r="AG567" s="13"/>
      <c r="AH567" s="84"/>
      <c r="AI567" s="134">
        <v>46106</v>
      </c>
      <c r="AJ567" s="144" t="s">
        <v>49</v>
      </c>
      <c r="AK567" s="85">
        <f>VLOOKUP(AP567,'[2]CONTENEUR PLEIN'!$F:$L,3,FALSE)</f>
        <v>46072</v>
      </c>
      <c r="AL567" s="86">
        <f>VLOOKUP(AP567,'[2]CONTENEUR PLEIN'!$F:$L,5,FALSE)</f>
        <v>46112</v>
      </c>
      <c r="AM567" s="46" t="str">
        <f>VLOOKUP(AP567,'[2]CONTENEUR PLEIN'!$F:$L,7,FALSE)</f>
        <v>Estimée : 07-avril</v>
      </c>
      <c r="AN567" s="279" t="s">
        <v>63</v>
      </c>
      <c r="AO567" s="490" t="s">
        <v>971</v>
      </c>
      <c r="AP567" s="490" t="s">
        <v>972</v>
      </c>
      <c r="AQ567" s="490" t="s">
        <v>974</v>
      </c>
      <c r="AR567" s="75" t="str">
        <f>VLOOKUP(AP567,'[2]CONTENEUR PLEIN'!$F:$L,2,FALSE)</f>
        <v>CMA CGM ALEXANDER VON HUMBOLDT</v>
      </c>
      <c r="AS567" s="490" t="s">
        <v>316</v>
      </c>
      <c r="AT567" s="84"/>
    </row>
    <row r="568" spans="2:46" s="72" customFormat="1" hidden="1" x14ac:dyDescent="0.25">
      <c r="B568" s="370" t="s">
        <v>45</v>
      </c>
      <c r="C568" s="146">
        <v>45989</v>
      </c>
      <c r="D568" s="147">
        <v>25114</v>
      </c>
      <c r="E568" s="371" t="s">
        <v>648</v>
      </c>
      <c r="F568" s="147">
        <v>2511191445</v>
      </c>
      <c r="G568" s="372" t="s">
        <v>74</v>
      </c>
      <c r="H568" s="372" t="s">
        <v>593</v>
      </c>
      <c r="I568" s="372" t="s">
        <v>49</v>
      </c>
      <c r="J568" s="372" t="s">
        <v>46</v>
      </c>
      <c r="K568" s="489" t="s">
        <v>68</v>
      </c>
      <c r="L568" s="238">
        <v>46072</v>
      </c>
      <c r="M568" s="380" t="e">
        <f t="shared" si="103"/>
        <v>#VALUE!</v>
      </c>
      <c r="N568" s="77" t="s">
        <v>49</v>
      </c>
      <c r="O568" s="78">
        <v>31930022</v>
      </c>
      <c r="P568" s="42" t="str">
        <f>VLOOKUP(O568,[1]Feuil2!$A:$M,5,FALSE)</f>
        <v>FOURCHETTE DROP DARK WOOD</v>
      </c>
      <c r="Q568" s="75">
        <v>15600</v>
      </c>
      <c r="R568" s="79">
        <v>0.221</v>
      </c>
      <c r="S568" s="80">
        <f t="shared" si="104"/>
        <v>3447.6</v>
      </c>
      <c r="T568" s="81">
        <f t="shared" si="105"/>
        <v>289262.17800000001</v>
      </c>
      <c r="U568" s="139"/>
      <c r="V568" s="82">
        <f t="shared" si="106"/>
        <v>289262.17800000001</v>
      </c>
      <c r="W568" s="9">
        <f>VLOOKUP(O568,[1]Feuil2!$A:$M,6,FALSE)</f>
        <v>240</v>
      </c>
      <c r="X568" s="10">
        <f>VLOOKUP(O568,[1]Feuil2!$A:$M,13,FALSE)</f>
        <v>2.9791999999999999E-2</v>
      </c>
      <c r="Y568" s="11">
        <f t="shared" si="107"/>
        <v>1.93648</v>
      </c>
      <c r="Z568" s="83">
        <f t="shared" si="108"/>
        <v>214.17046237499997</v>
      </c>
      <c r="AA568" s="12" t="s">
        <v>57</v>
      </c>
      <c r="AB568" s="22" t="s">
        <v>48</v>
      </c>
      <c r="AC568" s="426" t="s">
        <v>55</v>
      </c>
      <c r="AD568" s="13" t="s">
        <v>57</v>
      </c>
      <c r="AE568" s="14">
        <v>46052</v>
      </c>
      <c r="AF568" s="13" t="s">
        <v>948</v>
      </c>
      <c r="AG568" s="13"/>
      <c r="AH568" s="84"/>
      <c r="AI568" s="134">
        <v>46106</v>
      </c>
      <c r="AJ568" s="144" t="s">
        <v>49</v>
      </c>
      <c r="AK568" s="85">
        <f>VLOOKUP(AP568,'[2]CONTENEUR PLEIN'!$F:$L,3,FALSE)</f>
        <v>46072</v>
      </c>
      <c r="AL568" s="86">
        <f>VLOOKUP(AP568,'[2]CONTENEUR PLEIN'!$F:$L,5,FALSE)</f>
        <v>46112</v>
      </c>
      <c r="AM568" s="46" t="str">
        <f>VLOOKUP(AP568,'[2]CONTENEUR PLEIN'!$F:$L,7,FALSE)</f>
        <v>Estimée : 07-avril</v>
      </c>
      <c r="AN568" s="279" t="s">
        <v>63</v>
      </c>
      <c r="AO568" s="490" t="s">
        <v>971</v>
      </c>
      <c r="AP568" s="490" t="s">
        <v>972</v>
      </c>
      <c r="AQ568" s="490" t="s">
        <v>974</v>
      </c>
      <c r="AR568" s="75" t="str">
        <f>VLOOKUP(AP568,'[2]CONTENEUR PLEIN'!$F:$L,2,FALSE)</f>
        <v>CMA CGM ALEXANDER VON HUMBOLDT</v>
      </c>
      <c r="AS568" s="490" t="s">
        <v>316</v>
      </c>
      <c r="AT568" s="84"/>
    </row>
    <row r="569" spans="2:46" s="72" customFormat="1" hidden="1" x14ac:dyDescent="0.25">
      <c r="B569" s="370" t="s">
        <v>45</v>
      </c>
      <c r="C569" s="146">
        <v>45989</v>
      </c>
      <c r="D569" s="147">
        <v>25114</v>
      </c>
      <c r="E569" s="371" t="s">
        <v>648</v>
      </c>
      <c r="F569" s="147">
        <v>2511191445</v>
      </c>
      <c r="G569" s="372" t="s">
        <v>74</v>
      </c>
      <c r="H569" s="372" t="s">
        <v>593</v>
      </c>
      <c r="I569" s="372" t="s">
        <v>49</v>
      </c>
      <c r="J569" s="372" t="s">
        <v>46</v>
      </c>
      <c r="K569" s="489" t="s">
        <v>68</v>
      </c>
      <c r="L569" s="238">
        <v>46072</v>
      </c>
      <c r="M569" s="380" t="e">
        <f t="shared" si="103"/>
        <v>#VALUE!</v>
      </c>
      <c r="N569" s="77" t="s">
        <v>49</v>
      </c>
      <c r="O569" s="78">
        <v>31930023</v>
      </c>
      <c r="P569" s="42" t="str">
        <f>VLOOKUP(O569,[1]Feuil2!$A:$M,5,FALSE)</f>
        <v>CUILLERE DROP DARK WOOD</v>
      </c>
      <c r="Q569" s="75">
        <v>13200</v>
      </c>
      <c r="R569" s="79">
        <v>0.24</v>
      </c>
      <c r="S569" s="80">
        <f t="shared" si="104"/>
        <v>3168</v>
      </c>
      <c r="T569" s="81">
        <f t="shared" si="105"/>
        <v>289262.17800000001</v>
      </c>
      <c r="U569" s="139"/>
      <c r="V569" s="82">
        <f t="shared" si="106"/>
        <v>289262.17800000001</v>
      </c>
      <c r="W569" s="9">
        <f>VLOOKUP(O569,[1]Feuil2!$A:$M,6,FALSE)</f>
        <v>240</v>
      </c>
      <c r="X569" s="10">
        <f>VLOOKUP(O569,[1]Feuil2!$A:$M,13,FALSE)</f>
        <v>3.0800000000000001E-2</v>
      </c>
      <c r="Y569" s="11">
        <f t="shared" si="107"/>
        <v>1.694</v>
      </c>
      <c r="Z569" s="83">
        <f t="shared" si="108"/>
        <v>214.17046237499997</v>
      </c>
      <c r="AA569" s="12" t="s">
        <v>57</v>
      </c>
      <c r="AB569" s="22" t="s">
        <v>48</v>
      </c>
      <c r="AC569" s="426" t="s">
        <v>55</v>
      </c>
      <c r="AD569" s="13" t="s">
        <v>57</v>
      </c>
      <c r="AE569" s="14">
        <v>46052</v>
      </c>
      <c r="AF569" s="13" t="s">
        <v>949</v>
      </c>
      <c r="AG569" s="13"/>
      <c r="AH569" s="84"/>
      <c r="AI569" s="134">
        <v>46106</v>
      </c>
      <c r="AJ569" s="144" t="s">
        <v>49</v>
      </c>
      <c r="AK569" s="85">
        <f>VLOOKUP(AP569,'[2]CONTENEUR PLEIN'!$F:$L,3,FALSE)</f>
        <v>46072</v>
      </c>
      <c r="AL569" s="86">
        <f>VLOOKUP(AP569,'[2]CONTENEUR PLEIN'!$F:$L,5,FALSE)</f>
        <v>46112</v>
      </c>
      <c r="AM569" s="46" t="str">
        <f>VLOOKUP(AP569,'[2]CONTENEUR PLEIN'!$F:$L,7,FALSE)</f>
        <v>Estimée : 07-avril</v>
      </c>
      <c r="AN569" s="279" t="s">
        <v>63</v>
      </c>
      <c r="AO569" s="490" t="s">
        <v>971</v>
      </c>
      <c r="AP569" s="490" t="s">
        <v>972</v>
      </c>
      <c r="AQ569" s="490" t="s">
        <v>974</v>
      </c>
      <c r="AR569" s="75" t="str">
        <f>VLOOKUP(AP569,'[2]CONTENEUR PLEIN'!$F:$L,2,FALSE)</f>
        <v>CMA CGM ALEXANDER VON HUMBOLDT</v>
      </c>
      <c r="AS569" s="490" t="s">
        <v>316</v>
      </c>
      <c r="AT569" s="84"/>
    </row>
    <row r="570" spans="2:46" s="72" customFormat="1" hidden="1" x14ac:dyDescent="0.25">
      <c r="B570" s="370" t="s">
        <v>45</v>
      </c>
      <c r="C570" s="146">
        <v>45989</v>
      </c>
      <c r="D570" s="147">
        <v>25114</v>
      </c>
      <c r="E570" s="371" t="s">
        <v>648</v>
      </c>
      <c r="F570" s="147">
        <v>2511191445</v>
      </c>
      <c r="G570" s="372" t="s">
        <v>74</v>
      </c>
      <c r="H570" s="372" t="s">
        <v>593</v>
      </c>
      <c r="I570" s="372" t="s">
        <v>49</v>
      </c>
      <c r="J570" s="372" t="s">
        <v>46</v>
      </c>
      <c r="K570" s="489" t="s">
        <v>68</v>
      </c>
      <c r="L570" s="238">
        <v>46072</v>
      </c>
      <c r="M570" s="380" t="e">
        <f t="shared" si="103"/>
        <v>#VALUE!</v>
      </c>
      <c r="N570" s="77" t="s">
        <v>49</v>
      </c>
      <c r="O570" s="78">
        <v>31930024</v>
      </c>
      <c r="P570" s="42" t="str">
        <f>VLOOKUP(O570,[1]Feuil2!$A:$M,5,FALSE)</f>
        <v>CAFE DROP DARK WOOD</v>
      </c>
      <c r="Q570" s="75">
        <v>15600</v>
      </c>
      <c r="R570" s="79">
        <v>0.182</v>
      </c>
      <c r="S570" s="80">
        <f t="shared" si="104"/>
        <v>2839.2</v>
      </c>
      <c r="T570" s="81">
        <f t="shared" si="105"/>
        <v>289262.17800000001</v>
      </c>
      <c r="U570" s="139"/>
      <c r="V570" s="82">
        <f t="shared" si="106"/>
        <v>289262.17800000001</v>
      </c>
      <c r="W570" s="9">
        <f>VLOOKUP(O570,[1]Feuil2!$A:$M,6,FALSE)</f>
        <v>240</v>
      </c>
      <c r="X570" s="10">
        <f>VLOOKUP(O570,[1]Feuil2!$A:$M,13,FALSE)</f>
        <v>2.0625000000000001E-2</v>
      </c>
      <c r="Y570" s="11">
        <f t="shared" si="107"/>
        <v>1.340625</v>
      </c>
      <c r="Z570" s="83">
        <f t="shared" si="108"/>
        <v>214.17046237499997</v>
      </c>
      <c r="AA570" s="12" t="s">
        <v>57</v>
      </c>
      <c r="AB570" s="22" t="s">
        <v>48</v>
      </c>
      <c r="AC570" s="426" t="s">
        <v>55</v>
      </c>
      <c r="AD570" s="13" t="s">
        <v>57</v>
      </c>
      <c r="AE570" s="14">
        <v>46053</v>
      </c>
      <c r="AF570" s="13" t="s">
        <v>950</v>
      </c>
      <c r="AG570" s="13"/>
      <c r="AH570" s="84"/>
      <c r="AI570" s="134">
        <v>46106</v>
      </c>
      <c r="AJ570" s="144" t="s">
        <v>49</v>
      </c>
      <c r="AK570" s="85">
        <f>VLOOKUP(AP570,'[2]CONTENEUR PLEIN'!$F:$L,3,FALSE)</f>
        <v>46072</v>
      </c>
      <c r="AL570" s="86">
        <f>VLOOKUP(AP570,'[2]CONTENEUR PLEIN'!$F:$L,5,FALSE)</f>
        <v>46112</v>
      </c>
      <c r="AM570" s="46" t="str">
        <f>VLOOKUP(AP570,'[2]CONTENEUR PLEIN'!$F:$L,7,FALSE)</f>
        <v>Estimée : 07-avril</v>
      </c>
      <c r="AN570" s="279" t="s">
        <v>63</v>
      </c>
      <c r="AO570" s="490" t="s">
        <v>971</v>
      </c>
      <c r="AP570" s="490" t="s">
        <v>972</v>
      </c>
      <c r="AQ570" s="490" t="s">
        <v>974</v>
      </c>
      <c r="AR570" s="75" t="str">
        <f>VLOOKUP(AP570,'[2]CONTENEUR PLEIN'!$F:$L,2,FALSE)</f>
        <v>CMA CGM ALEXANDER VON HUMBOLDT</v>
      </c>
      <c r="AS570" s="490" t="s">
        <v>316</v>
      </c>
      <c r="AT570" s="84"/>
    </row>
    <row r="571" spans="2:46" s="72" customFormat="1" hidden="1" x14ac:dyDescent="0.25">
      <c r="B571" s="370" t="s">
        <v>45</v>
      </c>
      <c r="C571" s="146">
        <v>45989</v>
      </c>
      <c r="D571" s="147">
        <v>25114</v>
      </c>
      <c r="E571" s="371" t="s">
        <v>648</v>
      </c>
      <c r="F571" s="147">
        <v>2511191445</v>
      </c>
      <c r="G571" s="372" t="s">
        <v>74</v>
      </c>
      <c r="H571" s="372" t="s">
        <v>593</v>
      </c>
      <c r="I571" s="372" t="s">
        <v>49</v>
      </c>
      <c r="J571" s="372" t="s">
        <v>46</v>
      </c>
      <c r="K571" s="489" t="s">
        <v>68</v>
      </c>
      <c r="L571" s="500">
        <v>46072</v>
      </c>
      <c r="M571" s="380" t="e">
        <f t="shared" si="103"/>
        <v>#VALUE!</v>
      </c>
      <c r="N571" s="77" t="s">
        <v>49</v>
      </c>
      <c r="O571" s="78">
        <v>31930025</v>
      </c>
      <c r="P571" s="42" t="str">
        <f>VLOOKUP(O571,[1]Feuil2!$A:$M,5,FALSE)</f>
        <v>M24 DROP DARK WOOD EN BOITE</v>
      </c>
      <c r="Q571" s="75">
        <v>6051</v>
      </c>
      <c r="R571" s="79">
        <v>5.56</v>
      </c>
      <c r="S571" s="80">
        <f t="shared" si="104"/>
        <v>33643.56</v>
      </c>
      <c r="T571" s="81">
        <f t="shared" si="105"/>
        <v>289262.17800000001</v>
      </c>
      <c r="U571" s="139"/>
      <c r="V571" s="82">
        <f t="shared" si="106"/>
        <v>289262.17800000001</v>
      </c>
      <c r="W571" s="9">
        <f>VLOOKUP(O571,[1]Feuil2!$A:$M,6,FALSE)</f>
        <v>3</v>
      </c>
      <c r="X571" s="10">
        <f>VLOOKUP(O571,[1]Feuil2!$A:$M,13,FALSE)</f>
        <v>1.2622500000000002E-2</v>
      </c>
      <c r="Y571" s="11">
        <f t="shared" si="107"/>
        <v>25.459582500000003</v>
      </c>
      <c r="Z571" s="83">
        <f t="shared" si="108"/>
        <v>214.17046237499997</v>
      </c>
      <c r="AA571" s="12" t="s">
        <v>57</v>
      </c>
      <c r="AB571" s="22" t="s">
        <v>48</v>
      </c>
      <c r="AC571" s="426" t="s">
        <v>55</v>
      </c>
      <c r="AD571" s="13" t="s">
        <v>57</v>
      </c>
      <c r="AE571" s="14">
        <v>46055</v>
      </c>
      <c r="AF571" s="13" t="s">
        <v>959</v>
      </c>
      <c r="AG571" s="13"/>
      <c r="AH571" s="84"/>
      <c r="AI571" s="134">
        <v>46106</v>
      </c>
      <c r="AJ571" s="144" t="e">
        <f ca="1">DATEDIF(AI571,$AJ$1,"D")</f>
        <v>#NUM!</v>
      </c>
      <c r="AK571" s="85">
        <f>VLOOKUP(AP571,'[2]CONTENEUR PLEIN'!$F:$L,3,FALSE)</f>
        <v>46072</v>
      </c>
      <c r="AL571" s="86">
        <f>VLOOKUP(AP571,'[2]CONTENEUR PLEIN'!$F:$L,5,FALSE)</f>
        <v>46112</v>
      </c>
      <c r="AM571" s="46" t="str">
        <f>VLOOKUP(AP571,'[2]CONTENEUR PLEIN'!$F:$L,7,FALSE)</f>
        <v>Estimée : 07-avril</v>
      </c>
      <c r="AN571" s="279" t="s">
        <v>63</v>
      </c>
      <c r="AO571" s="490" t="s">
        <v>977</v>
      </c>
      <c r="AP571" s="490" t="s">
        <v>976</v>
      </c>
      <c r="AQ571" s="75">
        <v>20260205</v>
      </c>
      <c r="AR571" s="75" t="str">
        <f>VLOOKUP(AP571,'[2]CONTENEUR PLEIN'!$F:$L,2,FALSE)</f>
        <v>CMA CGM ALEXANDER VON HUMBOLDT</v>
      </c>
      <c r="AS571" s="490" t="s">
        <v>316</v>
      </c>
      <c r="AT571" s="84"/>
    </row>
    <row r="572" spans="2:46" s="72" customFormat="1" hidden="1" x14ac:dyDescent="0.25">
      <c r="B572" s="370" t="s">
        <v>45</v>
      </c>
      <c r="C572" s="146">
        <v>45989</v>
      </c>
      <c r="D572" s="147">
        <v>25114</v>
      </c>
      <c r="E572" s="371" t="s">
        <v>648</v>
      </c>
      <c r="F572" s="147">
        <v>2511191445</v>
      </c>
      <c r="G572" s="372" t="s">
        <v>74</v>
      </c>
      <c r="H572" s="372" t="s">
        <v>593</v>
      </c>
      <c r="I572" s="372" t="s">
        <v>49</v>
      </c>
      <c r="J572" s="372" t="s">
        <v>46</v>
      </c>
      <c r="K572" s="369" t="s">
        <v>68</v>
      </c>
      <c r="L572" s="238">
        <v>46056</v>
      </c>
      <c r="M572" s="380">
        <f t="shared" si="103"/>
        <v>3</v>
      </c>
      <c r="N572" s="77" t="s">
        <v>49</v>
      </c>
      <c r="O572" s="78">
        <v>32000006</v>
      </c>
      <c r="P572" s="42" t="str">
        <f>VLOOKUP(O572,[1]Feuil2!$A:$M,5,FALSE)</f>
        <v>M24 PASSION VERT 5635C BOITE LAGUIOLE HERITAGE</v>
      </c>
      <c r="Q572" s="75">
        <v>2520</v>
      </c>
      <c r="R572" s="79">
        <v>7.23</v>
      </c>
      <c r="S572" s="80">
        <f t="shared" si="104"/>
        <v>18219.600000000002</v>
      </c>
      <c r="T572" s="81">
        <f t="shared" si="105"/>
        <v>289262.17800000001</v>
      </c>
      <c r="U572" s="139"/>
      <c r="V572" s="82">
        <f t="shared" si="106"/>
        <v>289262.17800000001</v>
      </c>
      <c r="W572" s="9">
        <f>VLOOKUP(O572,[1]Feuil2!$A:$M,6,FALSE)</f>
        <v>6</v>
      </c>
      <c r="X572" s="10">
        <f>VLOOKUP(O572,[1]Feuil2!$A:$M,13,FALSE)</f>
        <v>2.3789999999999999E-2</v>
      </c>
      <c r="Y572" s="11">
        <f t="shared" si="107"/>
        <v>9.9917999999999996</v>
      </c>
      <c r="Z572" s="83">
        <f t="shared" si="108"/>
        <v>214.17046237499997</v>
      </c>
      <c r="AA572" s="12" t="s">
        <v>57</v>
      </c>
      <c r="AB572" s="22" t="s">
        <v>48</v>
      </c>
      <c r="AC572" s="426" t="s">
        <v>55</v>
      </c>
      <c r="AD572" s="13" t="s">
        <v>57</v>
      </c>
      <c r="AE572" s="14">
        <v>46042</v>
      </c>
      <c r="AF572" s="13" t="s">
        <v>856</v>
      </c>
      <c r="AG572" s="13"/>
      <c r="AH572" s="84"/>
      <c r="AI572" s="134">
        <v>46106</v>
      </c>
      <c r="AJ572" s="144" t="s">
        <v>49</v>
      </c>
      <c r="AK572" s="85">
        <f>VLOOKUP(AP572,'[2]CONTENEUR PLEIN'!$F:$L,3,FALSE)</f>
        <v>46053</v>
      </c>
      <c r="AL572" s="86">
        <f>VLOOKUP(AP572,'[2]CONTENEUR PLEIN'!$F:$L,5,FALSE)</f>
        <v>46091</v>
      </c>
      <c r="AM572" s="18">
        <f>VLOOKUP(AP572,'[2]CONTENEUR PLEIN'!$F:$L,7,FALSE)</f>
        <v>46101.291666666664</v>
      </c>
      <c r="AN572" s="279" t="s">
        <v>63</v>
      </c>
      <c r="AO572" s="368" t="s">
        <v>868</v>
      </c>
      <c r="AP572" s="368" t="s">
        <v>869</v>
      </c>
      <c r="AQ572" s="75">
        <v>20260123</v>
      </c>
      <c r="AR572" s="75" t="str">
        <f>VLOOKUP(AP572,'[2]CONTENEUR PLEIN'!$F:$L,2,FALSE)</f>
        <v>CMA CGM JULES VERNE</v>
      </c>
      <c r="AS572" s="368" t="s">
        <v>316</v>
      </c>
      <c r="AT572" s="84"/>
    </row>
    <row r="573" spans="2:46" s="72" customFormat="1" hidden="1" x14ac:dyDescent="0.25">
      <c r="B573" s="370" t="s">
        <v>45</v>
      </c>
      <c r="C573" s="146">
        <v>45989</v>
      </c>
      <c r="D573" s="147">
        <v>25114</v>
      </c>
      <c r="E573" s="371" t="s">
        <v>648</v>
      </c>
      <c r="F573" s="147">
        <v>2511191445</v>
      </c>
      <c r="G573" s="372" t="s">
        <v>74</v>
      </c>
      <c r="H573" s="372" t="s">
        <v>593</v>
      </c>
      <c r="I573" s="372" t="s">
        <v>49</v>
      </c>
      <c r="J573" s="372" t="s">
        <v>46</v>
      </c>
      <c r="K573" s="489" t="s">
        <v>68</v>
      </c>
      <c r="L573" s="500">
        <v>46072</v>
      </c>
      <c r="M573" s="380" t="e">
        <f t="shared" si="103"/>
        <v>#VALUE!</v>
      </c>
      <c r="N573" s="77" t="s">
        <v>49</v>
      </c>
      <c r="O573" s="78">
        <v>32000006</v>
      </c>
      <c r="P573" s="42" t="str">
        <f>VLOOKUP(O573,[1]Feuil2!$A:$M,5,FALSE)</f>
        <v>M24 PASSION VERT 5635C BOITE LAGUIOLE HERITAGE</v>
      </c>
      <c r="Q573" s="75">
        <f>3300-2520</f>
        <v>780</v>
      </c>
      <c r="R573" s="79">
        <v>7.23</v>
      </c>
      <c r="S573" s="80">
        <f t="shared" si="104"/>
        <v>5639.4000000000005</v>
      </c>
      <c r="T573" s="81">
        <f t="shared" si="105"/>
        <v>289262.17800000001</v>
      </c>
      <c r="U573" s="139"/>
      <c r="V573" s="82">
        <f t="shared" si="106"/>
        <v>289262.17800000001</v>
      </c>
      <c r="W573" s="9">
        <f>VLOOKUP(O573,[1]Feuil2!$A:$M,6,FALSE)</f>
        <v>6</v>
      </c>
      <c r="X573" s="10">
        <f>VLOOKUP(O573,[1]Feuil2!$A:$M,13,FALSE)</f>
        <v>2.3789999999999999E-2</v>
      </c>
      <c r="Y573" s="11">
        <f t="shared" si="107"/>
        <v>3.0926999999999998</v>
      </c>
      <c r="Z573" s="83">
        <f t="shared" si="108"/>
        <v>214.17046237499997</v>
      </c>
      <c r="AA573" s="12" t="s">
        <v>57</v>
      </c>
      <c r="AB573" s="22" t="s">
        <v>48</v>
      </c>
      <c r="AC573" s="426" t="s">
        <v>55</v>
      </c>
      <c r="AD573" s="13" t="s">
        <v>57</v>
      </c>
      <c r="AE573" s="14">
        <v>46042</v>
      </c>
      <c r="AF573" s="13" t="s">
        <v>856</v>
      </c>
      <c r="AG573" s="13"/>
      <c r="AH573" s="84"/>
      <c r="AI573" s="134">
        <v>46106</v>
      </c>
      <c r="AJ573" s="144" t="e">
        <f ca="1">DATEDIF(AI573,$AJ$1,"D")</f>
        <v>#NUM!</v>
      </c>
      <c r="AK573" s="85">
        <f>VLOOKUP(AP573,'[2]CONTENEUR PLEIN'!$F:$L,3,FALSE)</f>
        <v>46072</v>
      </c>
      <c r="AL573" s="86">
        <f>VLOOKUP(AP573,'[2]CONTENEUR PLEIN'!$F:$L,5,FALSE)</f>
        <v>46112</v>
      </c>
      <c r="AM573" s="46" t="str">
        <f>VLOOKUP(AP573,'[2]CONTENEUR PLEIN'!$F:$L,7,FALSE)</f>
        <v>Estimée : 07-avril</v>
      </c>
      <c r="AN573" s="279" t="s">
        <v>63</v>
      </c>
      <c r="AO573" s="490" t="s">
        <v>977</v>
      </c>
      <c r="AP573" s="490" t="s">
        <v>976</v>
      </c>
      <c r="AQ573" s="75">
        <v>20260205</v>
      </c>
      <c r="AR573" s="75" t="str">
        <f>VLOOKUP(AP573,'[2]CONTENEUR PLEIN'!$F:$L,2,FALSE)</f>
        <v>CMA CGM ALEXANDER VON HUMBOLDT</v>
      </c>
      <c r="AS573" s="490" t="s">
        <v>316</v>
      </c>
      <c r="AT573" s="84"/>
    </row>
    <row r="574" spans="2:46" s="72" customFormat="1" hidden="1" x14ac:dyDescent="0.25">
      <c r="B574" s="370" t="s">
        <v>45</v>
      </c>
      <c r="C574" s="146">
        <v>45989</v>
      </c>
      <c r="D574" s="147">
        <v>25114</v>
      </c>
      <c r="E574" s="371" t="s">
        <v>648</v>
      </c>
      <c r="F574" s="147">
        <v>2511191445</v>
      </c>
      <c r="G574" s="372" t="s">
        <v>74</v>
      </c>
      <c r="H574" s="372" t="s">
        <v>593</v>
      </c>
      <c r="I574" s="372" t="s">
        <v>49</v>
      </c>
      <c r="J574" s="372" t="s">
        <v>46</v>
      </c>
      <c r="K574" s="489" t="s">
        <v>68</v>
      </c>
      <c r="L574" s="238">
        <v>46072</v>
      </c>
      <c r="M574" s="380" t="e">
        <f t="shared" si="103"/>
        <v>#VALUE!</v>
      </c>
      <c r="N574" s="282" t="s">
        <v>62</v>
      </c>
      <c r="O574" s="78">
        <v>32030001</v>
      </c>
      <c r="P574" s="42" t="str">
        <f>VLOOKUP(O574,[1]Feuil2!$A:$M,5,FALSE)</f>
        <v>M24 COLOR BLEU PANTONE 7470C EN BOITE CARREFOUR HOME</v>
      </c>
      <c r="Q574" s="75">
        <v>2040</v>
      </c>
      <c r="R574" s="79">
        <v>4.6420000000000003</v>
      </c>
      <c r="S574" s="80">
        <f t="shared" si="104"/>
        <v>9469.68</v>
      </c>
      <c r="T574" s="81">
        <f t="shared" si="105"/>
        <v>289262.17800000001</v>
      </c>
      <c r="U574" s="139"/>
      <c r="V574" s="82">
        <f t="shared" si="106"/>
        <v>289262.17800000001</v>
      </c>
      <c r="W574" s="9">
        <f>VLOOKUP(O574,[1]Feuil2!$A:$M,6,FALSE)</f>
        <v>3</v>
      </c>
      <c r="X574" s="10">
        <f>VLOOKUP(O574,[1]Feuil2!$A:$M,13,FALSE)</f>
        <v>1.9417999999999998E-2</v>
      </c>
      <c r="Y574" s="11">
        <f t="shared" si="107"/>
        <v>13.204239999999999</v>
      </c>
      <c r="Z574" s="83">
        <f t="shared" si="108"/>
        <v>214.17046237499997</v>
      </c>
      <c r="AA574" s="12" t="s">
        <v>57</v>
      </c>
      <c r="AB574" s="22" t="s">
        <v>48</v>
      </c>
      <c r="AC574" s="426" t="s">
        <v>55</v>
      </c>
      <c r="AD574" s="13" t="s">
        <v>57</v>
      </c>
      <c r="AE574" s="14">
        <v>46052</v>
      </c>
      <c r="AF574" s="13" t="s">
        <v>944</v>
      </c>
      <c r="AG574" s="13"/>
      <c r="AH574" s="84"/>
      <c r="AI574" s="134">
        <v>46106</v>
      </c>
      <c r="AJ574" s="144" t="s">
        <v>49</v>
      </c>
      <c r="AK574" s="85">
        <f>VLOOKUP(AP574,'[2]CONTENEUR PLEIN'!$F:$L,3,FALSE)</f>
        <v>46072</v>
      </c>
      <c r="AL574" s="86">
        <f>VLOOKUP(AP574,'[2]CONTENEUR PLEIN'!$F:$L,5,FALSE)</f>
        <v>46112</v>
      </c>
      <c r="AM574" s="46" t="str">
        <f>VLOOKUP(AP574,'[2]CONTENEUR PLEIN'!$F:$L,7,FALSE)</f>
        <v>Estimée : 07-avril</v>
      </c>
      <c r="AN574" s="279" t="s">
        <v>63</v>
      </c>
      <c r="AO574" s="490" t="s">
        <v>971</v>
      </c>
      <c r="AP574" s="490" t="s">
        <v>972</v>
      </c>
      <c r="AQ574" s="490" t="s">
        <v>974</v>
      </c>
      <c r="AR574" s="75" t="str">
        <f>VLOOKUP(AP574,'[2]CONTENEUR PLEIN'!$F:$L,2,FALSE)</f>
        <v>CMA CGM ALEXANDER VON HUMBOLDT</v>
      </c>
      <c r="AS574" s="490" t="s">
        <v>316</v>
      </c>
      <c r="AT574" s="84"/>
    </row>
    <row r="575" spans="2:46" s="72" customFormat="1" ht="15" hidden="1" customHeight="1" x14ac:dyDescent="0.25">
      <c r="B575" s="281" t="s">
        <v>45</v>
      </c>
      <c r="C575" s="74">
        <v>45989</v>
      </c>
      <c r="D575" s="75">
        <v>25114</v>
      </c>
      <c r="E575" s="280" t="s">
        <v>648</v>
      </c>
      <c r="F575" s="75">
        <v>2511191445</v>
      </c>
      <c r="G575" s="279" t="s">
        <v>74</v>
      </c>
      <c r="H575" s="279" t="s">
        <v>593</v>
      </c>
      <c r="I575" s="279" t="s">
        <v>49</v>
      </c>
      <c r="J575" s="279" t="s">
        <v>46</v>
      </c>
      <c r="K575" s="364" t="s">
        <v>60</v>
      </c>
      <c r="L575" s="279" t="s">
        <v>47</v>
      </c>
      <c r="M575" s="380" t="e">
        <f t="shared" si="103"/>
        <v>#N/A</v>
      </c>
      <c r="N575" s="282" t="s">
        <v>62</v>
      </c>
      <c r="O575" s="78">
        <v>32070002</v>
      </c>
      <c r="P575" s="42" t="str">
        <f>VLOOKUP(O575,[1]Feuil2!$A:$M,5,FALSE)</f>
        <v>FOURCHETTE OPEN DECOR CARREAU DE CIMENT  CARREFOUR HOME</v>
      </c>
      <c r="Q575" s="75">
        <v>6960</v>
      </c>
      <c r="R575" s="79">
        <v>0.23400000000000001</v>
      </c>
      <c r="S575" s="80">
        <f t="shared" si="104"/>
        <v>1628.64</v>
      </c>
      <c r="T575" s="81">
        <f t="shared" si="105"/>
        <v>289262.17800000001</v>
      </c>
      <c r="U575" s="139"/>
      <c r="V575" s="82">
        <f t="shared" si="106"/>
        <v>289262.17800000001</v>
      </c>
      <c r="W575" s="9">
        <f>VLOOKUP(O575,[1]Feuil2!$A:$M,6,FALSE)</f>
        <v>240</v>
      </c>
      <c r="X575" s="10">
        <f>VLOOKUP(O575,[1]Feuil2!$A:$M,13,FALSE)</f>
        <v>3.0318750000000002E-2</v>
      </c>
      <c r="Y575" s="11">
        <f t="shared" si="107"/>
        <v>0.8792437500000001</v>
      </c>
      <c r="Z575" s="83">
        <f t="shared" si="108"/>
        <v>214.17046237499997</v>
      </c>
      <c r="AA575" s="12" t="s">
        <v>57</v>
      </c>
      <c r="AB575" s="22" t="s">
        <v>48</v>
      </c>
      <c r="AC575" s="75"/>
      <c r="AD575" s="28" t="s">
        <v>61</v>
      </c>
      <c r="AE575" s="14"/>
      <c r="AF575" s="13"/>
      <c r="AG575" s="13"/>
      <c r="AH575" s="84"/>
      <c r="AI575" s="134">
        <v>46106</v>
      </c>
      <c r="AJ575" s="144" t="e">
        <f t="shared" ref="AJ575:AJ586" ca="1" si="110">DATEDIF(AI575,$AJ$1,"D")</f>
        <v>#NUM!</v>
      </c>
      <c r="AK575" s="85" t="e">
        <f>VLOOKUP(AP575,'[2]CONTENEUR PLEIN'!$F:$L,3,FALSE)</f>
        <v>#N/A</v>
      </c>
      <c r="AL575" s="86" t="e">
        <f>VLOOKUP(AP575,'[2]CONTENEUR PLEIN'!$F:$L,5,FALSE)</f>
        <v>#N/A</v>
      </c>
      <c r="AM575" s="15" t="e">
        <f>VLOOKUP(AP575,'[2]CONTENEUR PLEIN'!$F:$L,7,FALSE)</f>
        <v>#N/A</v>
      </c>
      <c r="AN575" s="279" t="s">
        <v>63</v>
      </c>
      <c r="AO575" s="75"/>
      <c r="AP575" s="75"/>
      <c r="AQ575" s="75"/>
      <c r="AR575" s="75" t="e">
        <f>VLOOKUP(AP575,'[2]CONTENEUR PLEIN'!$F:$L,2,FALSE)</f>
        <v>#N/A</v>
      </c>
      <c r="AS575" s="75"/>
      <c r="AT575" s="84"/>
    </row>
    <row r="576" spans="2:46" s="72" customFormat="1" hidden="1" x14ac:dyDescent="0.25">
      <c r="B576" s="281" t="s">
        <v>45</v>
      </c>
      <c r="C576" s="74">
        <v>45989</v>
      </c>
      <c r="D576" s="75">
        <v>25114</v>
      </c>
      <c r="E576" s="280" t="s">
        <v>648</v>
      </c>
      <c r="F576" s="75">
        <v>2511191445</v>
      </c>
      <c r="G576" s="279" t="s">
        <v>74</v>
      </c>
      <c r="H576" s="279" t="s">
        <v>593</v>
      </c>
      <c r="I576" s="279" t="s">
        <v>49</v>
      </c>
      <c r="J576" s="279" t="s">
        <v>46</v>
      </c>
      <c r="K576" s="364" t="s">
        <v>60</v>
      </c>
      <c r="L576" s="279" t="s">
        <v>47</v>
      </c>
      <c r="M576" s="380" t="e">
        <f t="shared" si="103"/>
        <v>#N/A</v>
      </c>
      <c r="N576" s="282" t="s">
        <v>62</v>
      </c>
      <c r="O576" s="78">
        <v>32070019</v>
      </c>
      <c r="P576" s="42" t="str">
        <f>VLOOKUP(O576,[1]Feuil2!$A:$M,5,FALSE)</f>
        <v>CUILLERE OPEN DECOR POIS ROUGE 3517C CARREFOUR HOME</v>
      </c>
      <c r="Q576" s="75">
        <v>2880</v>
      </c>
      <c r="R576" s="79">
        <v>0.246</v>
      </c>
      <c r="S576" s="80">
        <f t="shared" si="104"/>
        <v>708.48</v>
      </c>
      <c r="T576" s="81">
        <f t="shared" si="105"/>
        <v>289262.17800000001</v>
      </c>
      <c r="U576" s="139"/>
      <c r="V576" s="82">
        <f t="shared" si="106"/>
        <v>289262.17800000001</v>
      </c>
      <c r="W576" s="9">
        <f>VLOOKUP(O576,[1]Feuil2!$A:$M,6,FALSE)</f>
        <v>240</v>
      </c>
      <c r="X576" s="10">
        <f>VLOOKUP(O576,[1]Feuil2!$A:$M,13,FALSE)</f>
        <v>2.9183999999999998E-2</v>
      </c>
      <c r="Y576" s="11">
        <f t="shared" si="107"/>
        <v>0.35020799999999996</v>
      </c>
      <c r="Z576" s="83">
        <f t="shared" si="108"/>
        <v>214.17046237499997</v>
      </c>
      <c r="AA576" s="12" t="s">
        <v>57</v>
      </c>
      <c r="AB576" s="22" t="s">
        <v>48</v>
      </c>
      <c r="AC576" s="75"/>
      <c r="AD576" s="28" t="s">
        <v>61</v>
      </c>
      <c r="AE576" s="14"/>
      <c r="AF576" s="13"/>
      <c r="AG576" s="13"/>
      <c r="AH576" s="84"/>
      <c r="AI576" s="134">
        <v>46106</v>
      </c>
      <c r="AJ576" s="144" t="e">
        <f t="shared" ca="1" si="110"/>
        <v>#NUM!</v>
      </c>
      <c r="AK576" s="85" t="e">
        <f>VLOOKUP(AP576,'[2]CONTENEUR PLEIN'!$F:$L,3,FALSE)</f>
        <v>#N/A</v>
      </c>
      <c r="AL576" s="86" t="e">
        <f>VLOOKUP(AP576,'[2]CONTENEUR PLEIN'!$F:$L,5,FALSE)</f>
        <v>#N/A</v>
      </c>
      <c r="AM576" s="15" t="e">
        <f>VLOOKUP(AP576,'[2]CONTENEUR PLEIN'!$F:$L,7,FALSE)</f>
        <v>#N/A</v>
      </c>
      <c r="AN576" s="279" t="s">
        <v>63</v>
      </c>
      <c r="AO576" s="75"/>
      <c r="AP576" s="75"/>
      <c r="AQ576" s="75"/>
      <c r="AR576" s="75" t="e">
        <f>VLOOKUP(AP576,'[2]CONTENEUR PLEIN'!$F:$L,2,FALSE)</f>
        <v>#N/A</v>
      </c>
      <c r="AS576" s="75"/>
      <c r="AT576" s="84"/>
    </row>
    <row r="577" spans="2:46" s="72" customFormat="1" hidden="1" x14ac:dyDescent="0.25">
      <c r="B577" s="281" t="s">
        <v>45</v>
      </c>
      <c r="C577" s="74">
        <v>45989</v>
      </c>
      <c r="D577" s="75">
        <v>25114</v>
      </c>
      <c r="E577" s="280" t="s">
        <v>648</v>
      </c>
      <c r="F577" s="75">
        <v>2511191445</v>
      </c>
      <c r="G577" s="279" t="s">
        <v>74</v>
      </c>
      <c r="H577" s="279" t="s">
        <v>593</v>
      </c>
      <c r="I577" s="279" t="s">
        <v>49</v>
      </c>
      <c r="J577" s="279" t="s">
        <v>46</v>
      </c>
      <c r="K577" s="364" t="s">
        <v>60</v>
      </c>
      <c r="L577" s="279" t="s">
        <v>47</v>
      </c>
      <c r="M577" s="380" t="e">
        <f t="shared" si="103"/>
        <v>#N/A</v>
      </c>
      <c r="N577" s="282" t="s">
        <v>62</v>
      </c>
      <c r="O577" s="78">
        <v>32070022</v>
      </c>
      <c r="P577" s="42" t="str">
        <f>VLOOKUP(O577,[1]Feuil2!$A:$M,5,FALSE)</f>
        <v>FOURCHETTE OPEN DECOR POIS NOIR 6C CARREFOUR HOME</v>
      </c>
      <c r="Q577" s="75">
        <v>3600</v>
      </c>
      <c r="R577" s="79">
        <v>0.23400000000000001</v>
      </c>
      <c r="S577" s="80">
        <f t="shared" si="104"/>
        <v>842.40000000000009</v>
      </c>
      <c r="T577" s="81">
        <f t="shared" si="105"/>
        <v>289262.17800000001</v>
      </c>
      <c r="U577" s="139"/>
      <c r="V577" s="82">
        <f t="shared" si="106"/>
        <v>289262.17800000001</v>
      </c>
      <c r="W577" s="9">
        <f>VLOOKUP(O577,[1]Feuil2!$A:$M,6,FALSE)</f>
        <v>240</v>
      </c>
      <c r="X577" s="10">
        <f>VLOOKUP(O577,[1]Feuil2!$A:$M,13,FALSE)</f>
        <v>3.1200000000000002E-2</v>
      </c>
      <c r="Y577" s="11">
        <f t="shared" si="107"/>
        <v>0.46800000000000003</v>
      </c>
      <c r="Z577" s="83">
        <f t="shared" si="108"/>
        <v>214.17046237499997</v>
      </c>
      <c r="AA577" s="12" t="s">
        <v>57</v>
      </c>
      <c r="AB577" s="22" t="s">
        <v>48</v>
      </c>
      <c r="AC577" s="75"/>
      <c r="AD577" s="28" t="s">
        <v>61</v>
      </c>
      <c r="AE577" s="14"/>
      <c r="AF577" s="13"/>
      <c r="AG577" s="13"/>
      <c r="AH577" s="84"/>
      <c r="AI577" s="134">
        <v>46106</v>
      </c>
      <c r="AJ577" s="144" t="e">
        <f t="shared" ca="1" si="110"/>
        <v>#NUM!</v>
      </c>
      <c r="AK577" s="85" t="e">
        <f>VLOOKUP(AP577,'[2]CONTENEUR PLEIN'!$F:$L,3,FALSE)</f>
        <v>#N/A</v>
      </c>
      <c r="AL577" s="86" t="e">
        <f>VLOOKUP(AP577,'[2]CONTENEUR PLEIN'!$F:$L,5,FALSE)</f>
        <v>#N/A</v>
      </c>
      <c r="AM577" s="15" t="e">
        <f>VLOOKUP(AP577,'[2]CONTENEUR PLEIN'!$F:$L,7,FALSE)</f>
        <v>#N/A</v>
      </c>
      <c r="AN577" s="279" t="s">
        <v>63</v>
      </c>
      <c r="AO577" s="75"/>
      <c r="AP577" s="75"/>
      <c r="AQ577" s="75"/>
      <c r="AR577" s="75" t="e">
        <f>VLOOKUP(AP577,'[2]CONTENEUR PLEIN'!$F:$L,2,FALSE)</f>
        <v>#N/A</v>
      </c>
      <c r="AS577" s="75"/>
      <c r="AT577" s="84"/>
    </row>
    <row r="578" spans="2:46" s="72" customFormat="1" hidden="1" x14ac:dyDescent="0.25">
      <c r="B578" s="281" t="s">
        <v>45</v>
      </c>
      <c r="C578" s="74">
        <v>45989</v>
      </c>
      <c r="D578" s="75">
        <v>25114</v>
      </c>
      <c r="E578" s="280" t="s">
        <v>648</v>
      </c>
      <c r="F578" s="75">
        <v>2511191445</v>
      </c>
      <c r="G578" s="279" t="s">
        <v>74</v>
      </c>
      <c r="H578" s="279" t="s">
        <v>593</v>
      </c>
      <c r="I578" s="279" t="s">
        <v>49</v>
      </c>
      <c r="J578" s="279" t="s">
        <v>46</v>
      </c>
      <c r="K578" s="364" t="s">
        <v>60</v>
      </c>
      <c r="L578" s="279" t="s">
        <v>47</v>
      </c>
      <c r="M578" s="380" t="e">
        <f t="shared" si="103"/>
        <v>#N/A</v>
      </c>
      <c r="N578" s="77" t="s">
        <v>49</v>
      </c>
      <c r="O578" s="78">
        <v>32070035</v>
      </c>
      <c r="P578" s="42" t="str">
        <f>VLOOKUP(O578,[1]Feuil2!$A:$M,5,FALSE)</f>
        <v>CUILLERE OPEN DECOR POIS ROUGE 3517C TB COLLECTION</v>
      </c>
      <c r="Q578" s="75">
        <v>3600</v>
      </c>
      <c r="R578" s="79">
        <v>0.246</v>
      </c>
      <c r="S578" s="80">
        <f t="shared" si="104"/>
        <v>885.6</v>
      </c>
      <c r="T578" s="81">
        <f t="shared" si="105"/>
        <v>289262.17800000001</v>
      </c>
      <c r="U578" s="139"/>
      <c r="V578" s="82">
        <f t="shared" si="106"/>
        <v>289262.17800000001</v>
      </c>
      <c r="W578" s="9">
        <f>VLOOKUP(O578,[1]Feuil2!$A:$M,6,FALSE)</f>
        <v>240</v>
      </c>
      <c r="X578" s="10">
        <f>VLOOKUP(O578,[1]Feuil2!$A:$M,13,FALSE)</f>
        <v>3.0318750000000002E-2</v>
      </c>
      <c r="Y578" s="11">
        <f t="shared" si="107"/>
        <v>0.45478125000000003</v>
      </c>
      <c r="Z578" s="83">
        <f t="shared" si="108"/>
        <v>214.17046237499997</v>
      </c>
      <c r="AA578" s="12" t="s">
        <v>57</v>
      </c>
      <c r="AB578" s="22" t="s">
        <v>48</v>
      </c>
      <c r="AC578" s="75"/>
      <c r="AD578" s="28" t="s">
        <v>61</v>
      </c>
      <c r="AE578" s="14"/>
      <c r="AF578" s="13"/>
      <c r="AG578" s="13"/>
      <c r="AH578" s="84"/>
      <c r="AI578" s="134">
        <v>46106</v>
      </c>
      <c r="AJ578" s="144" t="e">
        <f t="shared" ca="1" si="110"/>
        <v>#NUM!</v>
      </c>
      <c r="AK578" s="85" t="e">
        <f>VLOOKUP(AP578,'[2]CONTENEUR PLEIN'!$F:$L,3,FALSE)</f>
        <v>#N/A</v>
      </c>
      <c r="AL578" s="86" t="e">
        <f>VLOOKUP(AP578,'[2]CONTENEUR PLEIN'!$F:$L,5,FALSE)</f>
        <v>#N/A</v>
      </c>
      <c r="AM578" s="15" t="e">
        <f>VLOOKUP(AP578,'[2]CONTENEUR PLEIN'!$F:$L,7,FALSE)</f>
        <v>#N/A</v>
      </c>
      <c r="AN578" s="279" t="s">
        <v>63</v>
      </c>
      <c r="AO578" s="75"/>
      <c r="AP578" s="75"/>
      <c r="AQ578" s="75"/>
      <c r="AR578" s="75" t="e">
        <f>VLOOKUP(AP578,'[2]CONTENEUR PLEIN'!$F:$L,2,FALSE)</f>
        <v>#N/A</v>
      </c>
      <c r="AS578" s="75"/>
      <c r="AT578" s="84"/>
    </row>
    <row r="579" spans="2:46" s="72" customFormat="1" hidden="1" x14ac:dyDescent="0.25">
      <c r="B579" s="281" t="s">
        <v>45</v>
      </c>
      <c r="C579" s="74">
        <v>45989</v>
      </c>
      <c r="D579" s="75">
        <v>25114</v>
      </c>
      <c r="E579" s="280" t="s">
        <v>648</v>
      </c>
      <c r="F579" s="75">
        <v>2511191445</v>
      </c>
      <c r="G579" s="279" t="s">
        <v>74</v>
      </c>
      <c r="H579" s="279" t="s">
        <v>593</v>
      </c>
      <c r="I579" s="279" t="s">
        <v>49</v>
      </c>
      <c r="J579" s="279" t="s">
        <v>46</v>
      </c>
      <c r="K579" s="364" t="s">
        <v>60</v>
      </c>
      <c r="L579" s="279" t="s">
        <v>47</v>
      </c>
      <c r="M579" s="380" t="e">
        <f t="shared" si="103"/>
        <v>#N/A</v>
      </c>
      <c r="N579" s="77" t="s">
        <v>49</v>
      </c>
      <c r="O579" s="78">
        <v>32070036</v>
      </c>
      <c r="P579" s="42" t="str">
        <f>VLOOKUP(O579,[1]Feuil2!$A:$M,5,FALSE)</f>
        <v>CAFE OPEN DECOR POIS ROUGE 3517C TB COLLECTION</v>
      </c>
      <c r="Q579" s="75">
        <v>3600</v>
      </c>
      <c r="R579" s="79">
        <v>0.21299999999999999</v>
      </c>
      <c r="S579" s="80">
        <f t="shared" si="104"/>
        <v>766.8</v>
      </c>
      <c r="T579" s="81">
        <f t="shared" si="105"/>
        <v>289262.17800000001</v>
      </c>
      <c r="U579" s="139"/>
      <c r="V579" s="82">
        <f t="shared" si="106"/>
        <v>289262.17800000001</v>
      </c>
      <c r="W579" s="9">
        <f>VLOOKUP(O579,[1]Feuil2!$A:$M,6,FALSE)</f>
        <v>240</v>
      </c>
      <c r="X579" s="10">
        <f>VLOOKUP(O579,[1]Feuil2!$A:$M,13,FALSE)</f>
        <v>1.6800000000000002E-2</v>
      </c>
      <c r="Y579" s="11">
        <f t="shared" si="107"/>
        <v>0.25200000000000006</v>
      </c>
      <c r="Z579" s="83">
        <f t="shared" si="108"/>
        <v>214.17046237499997</v>
      </c>
      <c r="AA579" s="12" t="s">
        <v>57</v>
      </c>
      <c r="AB579" s="22" t="s">
        <v>48</v>
      </c>
      <c r="AC579" s="75"/>
      <c r="AD579" s="28" t="s">
        <v>61</v>
      </c>
      <c r="AE579" s="14"/>
      <c r="AF579" s="13"/>
      <c r="AG579" s="13"/>
      <c r="AH579" s="84"/>
      <c r="AI579" s="134">
        <v>46106</v>
      </c>
      <c r="AJ579" s="144" t="e">
        <f t="shared" ca="1" si="110"/>
        <v>#NUM!</v>
      </c>
      <c r="AK579" s="85" t="e">
        <f>VLOOKUP(AP579,'[2]CONTENEUR PLEIN'!$F:$L,3,FALSE)</f>
        <v>#N/A</v>
      </c>
      <c r="AL579" s="86" t="e">
        <f>VLOOKUP(AP579,'[2]CONTENEUR PLEIN'!$F:$L,5,FALSE)</f>
        <v>#N/A</v>
      </c>
      <c r="AM579" s="15" t="e">
        <f>VLOOKUP(AP579,'[2]CONTENEUR PLEIN'!$F:$L,7,FALSE)</f>
        <v>#N/A</v>
      </c>
      <c r="AN579" s="279" t="s">
        <v>63</v>
      </c>
      <c r="AO579" s="75"/>
      <c r="AP579" s="75"/>
      <c r="AQ579" s="75"/>
      <c r="AR579" s="75" t="e">
        <f>VLOOKUP(AP579,'[2]CONTENEUR PLEIN'!$F:$L,2,FALSE)</f>
        <v>#N/A</v>
      </c>
      <c r="AS579" s="75"/>
      <c r="AT579" s="84"/>
    </row>
    <row r="580" spans="2:46" s="72" customFormat="1" hidden="1" x14ac:dyDescent="0.25">
      <c r="B580" s="281" t="s">
        <v>45</v>
      </c>
      <c r="C580" s="74">
        <v>45989</v>
      </c>
      <c r="D580" s="75">
        <v>25114</v>
      </c>
      <c r="E580" s="280" t="s">
        <v>648</v>
      </c>
      <c r="F580" s="75">
        <v>2511191445</v>
      </c>
      <c r="G580" s="279" t="s">
        <v>74</v>
      </c>
      <c r="H580" s="279" t="s">
        <v>593</v>
      </c>
      <c r="I580" s="279" t="s">
        <v>49</v>
      </c>
      <c r="J580" s="279" t="s">
        <v>46</v>
      </c>
      <c r="K580" s="364" t="s">
        <v>60</v>
      </c>
      <c r="L580" s="279" t="s">
        <v>47</v>
      </c>
      <c r="M580" s="380" t="e">
        <f t="shared" si="103"/>
        <v>#N/A</v>
      </c>
      <c r="N580" s="77" t="s">
        <v>49</v>
      </c>
      <c r="O580" s="78">
        <v>32070037</v>
      </c>
      <c r="P580" s="42" t="str">
        <f>VLOOKUP(O580,[1]Feuil2!$A:$M,5,FALSE)</f>
        <v>COUTEAU OPEN DECOR POIS NOIR 6C TB COLLECTION</v>
      </c>
      <c r="Q580" s="75">
        <v>3600</v>
      </c>
      <c r="R580" s="79">
        <v>0.23899999999999999</v>
      </c>
      <c r="S580" s="80">
        <f t="shared" si="104"/>
        <v>860.4</v>
      </c>
      <c r="T580" s="81">
        <f t="shared" si="105"/>
        <v>289262.17800000001</v>
      </c>
      <c r="U580" s="139"/>
      <c r="V580" s="82">
        <f t="shared" si="106"/>
        <v>289262.17800000001</v>
      </c>
      <c r="W580" s="9">
        <f>VLOOKUP(O580,[1]Feuil2!$A:$M,6,FALSE)</f>
        <v>240</v>
      </c>
      <c r="X580" s="10">
        <f>VLOOKUP(O580,[1]Feuil2!$A:$M,13,FALSE)</f>
        <v>2.5650000000000003E-2</v>
      </c>
      <c r="Y580" s="11">
        <f t="shared" si="107"/>
        <v>0.38475000000000004</v>
      </c>
      <c r="Z580" s="83">
        <f t="shared" si="108"/>
        <v>214.17046237499997</v>
      </c>
      <c r="AA580" s="12" t="s">
        <v>57</v>
      </c>
      <c r="AB580" s="22" t="s">
        <v>48</v>
      </c>
      <c r="AC580" s="75"/>
      <c r="AD580" s="28" t="s">
        <v>61</v>
      </c>
      <c r="AE580" s="14"/>
      <c r="AF580" s="13"/>
      <c r="AG580" s="13"/>
      <c r="AH580" s="84"/>
      <c r="AI580" s="134">
        <v>46106</v>
      </c>
      <c r="AJ580" s="144" t="e">
        <f t="shared" ca="1" si="110"/>
        <v>#NUM!</v>
      </c>
      <c r="AK580" s="85" t="e">
        <f>VLOOKUP(AP580,'[2]CONTENEUR PLEIN'!$F:$L,3,FALSE)</f>
        <v>#N/A</v>
      </c>
      <c r="AL580" s="86" t="e">
        <f>VLOOKUP(AP580,'[2]CONTENEUR PLEIN'!$F:$L,5,FALSE)</f>
        <v>#N/A</v>
      </c>
      <c r="AM580" s="15" t="e">
        <f>VLOOKUP(AP580,'[2]CONTENEUR PLEIN'!$F:$L,7,FALSE)</f>
        <v>#N/A</v>
      </c>
      <c r="AN580" s="279" t="s">
        <v>63</v>
      </c>
      <c r="AO580" s="75"/>
      <c r="AP580" s="75"/>
      <c r="AQ580" s="75"/>
      <c r="AR580" s="75" t="e">
        <f>VLOOKUP(AP580,'[2]CONTENEUR PLEIN'!$F:$L,2,FALSE)</f>
        <v>#N/A</v>
      </c>
      <c r="AS580" s="75"/>
      <c r="AT580" s="84"/>
    </row>
    <row r="581" spans="2:46" s="72" customFormat="1" hidden="1" x14ac:dyDescent="0.25">
      <c r="B581" s="281" t="s">
        <v>45</v>
      </c>
      <c r="C581" s="74">
        <v>45989</v>
      </c>
      <c r="D581" s="75">
        <v>25114</v>
      </c>
      <c r="E581" s="280" t="s">
        <v>648</v>
      </c>
      <c r="F581" s="75">
        <v>2511191445</v>
      </c>
      <c r="G581" s="279" t="s">
        <v>74</v>
      </c>
      <c r="H581" s="279" t="s">
        <v>593</v>
      </c>
      <c r="I581" s="279" t="s">
        <v>49</v>
      </c>
      <c r="J581" s="279" t="s">
        <v>46</v>
      </c>
      <c r="K581" s="364" t="s">
        <v>60</v>
      </c>
      <c r="L581" s="279" t="s">
        <v>47</v>
      </c>
      <c r="M581" s="380" t="e">
        <f t="shared" si="103"/>
        <v>#N/A</v>
      </c>
      <c r="N581" s="77" t="s">
        <v>49</v>
      </c>
      <c r="O581" s="78">
        <v>32070038</v>
      </c>
      <c r="P581" s="42" t="str">
        <f>VLOOKUP(O581,[1]Feuil2!$A:$M,5,FALSE)</f>
        <v>FOURCHETTE OPEN DECOR POIS NOIR 6C TB COLLECTION</v>
      </c>
      <c r="Q581" s="75">
        <v>3600</v>
      </c>
      <c r="R581" s="79">
        <v>0.23400000000000001</v>
      </c>
      <c r="S581" s="80">
        <f t="shared" si="104"/>
        <v>842.40000000000009</v>
      </c>
      <c r="T581" s="81">
        <f t="shared" si="105"/>
        <v>289262.17800000001</v>
      </c>
      <c r="U581" s="139"/>
      <c r="V581" s="82">
        <f t="shared" si="106"/>
        <v>289262.17800000001</v>
      </c>
      <c r="W581" s="9">
        <f>VLOOKUP(O581,[1]Feuil2!$A:$M,6,FALSE)</f>
        <v>240</v>
      </c>
      <c r="X581" s="10">
        <f>VLOOKUP(O581,[1]Feuil2!$A:$M,13,FALSE)</f>
        <v>3.1350000000000003E-2</v>
      </c>
      <c r="Y581" s="11">
        <f t="shared" si="107"/>
        <v>0.47025000000000006</v>
      </c>
      <c r="Z581" s="83">
        <f t="shared" si="108"/>
        <v>214.17046237499997</v>
      </c>
      <c r="AA581" s="12" t="s">
        <v>57</v>
      </c>
      <c r="AB581" s="22" t="s">
        <v>48</v>
      </c>
      <c r="AC581" s="75"/>
      <c r="AD581" s="28" t="s">
        <v>61</v>
      </c>
      <c r="AE581" s="14"/>
      <c r="AF581" s="13"/>
      <c r="AG581" s="13"/>
      <c r="AH581" s="84"/>
      <c r="AI581" s="134">
        <v>46106</v>
      </c>
      <c r="AJ581" s="144" t="e">
        <f t="shared" ca="1" si="110"/>
        <v>#NUM!</v>
      </c>
      <c r="AK581" s="85" t="e">
        <f>VLOOKUP(AP581,'[2]CONTENEUR PLEIN'!$F:$L,3,FALSE)</f>
        <v>#N/A</v>
      </c>
      <c r="AL581" s="86" t="e">
        <f>VLOOKUP(AP581,'[2]CONTENEUR PLEIN'!$F:$L,5,FALSE)</f>
        <v>#N/A</v>
      </c>
      <c r="AM581" s="15" t="e">
        <f>VLOOKUP(AP581,'[2]CONTENEUR PLEIN'!$F:$L,7,FALSE)</f>
        <v>#N/A</v>
      </c>
      <c r="AN581" s="279" t="s">
        <v>63</v>
      </c>
      <c r="AO581" s="75"/>
      <c r="AP581" s="75"/>
      <c r="AQ581" s="75"/>
      <c r="AR581" s="75" t="e">
        <f>VLOOKUP(AP581,'[2]CONTENEUR PLEIN'!$F:$L,2,FALSE)</f>
        <v>#N/A</v>
      </c>
      <c r="AS581" s="75"/>
      <c r="AT581" s="84"/>
    </row>
    <row r="582" spans="2:46" s="72" customFormat="1" hidden="1" x14ac:dyDescent="0.25">
      <c r="B582" s="281" t="s">
        <v>45</v>
      </c>
      <c r="C582" s="74">
        <v>45989</v>
      </c>
      <c r="D582" s="75">
        <v>25114</v>
      </c>
      <c r="E582" s="280" t="s">
        <v>648</v>
      </c>
      <c r="F582" s="75">
        <v>2511191445</v>
      </c>
      <c r="G582" s="279" t="s">
        <v>74</v>
      </c>
      <c r="H582" s="279" t="s">
        <v>593</v>
      </c>
      <c r="I582" s="279" t="s">
        <v>49</v>
      </c>
      <c r="J582" s="279" t="s">
        <v>46</v>
      </c>
      <c r="K582" s="364" t="s">
        <v>60</v>
      </c>
      <c r="L582" s="279" t="s">
        <v>47</v>
      </c>
      <c r="M582" s="380" t="e">
        <f t="shared" si="103"/>
        <v>#N/A</v>
      </c>
      <c r="N582" s="77" t="s">
        <v>49</v>
      </c>
      <c r="O582" s="78">
        <v>32070039</v>
      </c>
      <c r="P582" s="42" t="str">
        <f>VLOOKUP(O582,[1]Feuil2!$A:$M,5,FALSE)</f>
        <v>CUILLERE OPEN DECOR POIS NOIR 6C TB COLLECTION</v>
      </c>
      <c r="Q582" s="75">
        <v>3600</v>
      </c>
      <c r="R582" s="79">
        <v>0.246</v>
      </c>
      <c r="S582" s="80">
        <f t="shared" si="104"/>
        <v>885.6</v>
      </c>
      <c r="T582" s="81">
        <f t="shared" si="105"/>
        <v>289262.17800000001</v>
      </c>
      <c r="U582" s="139"/>
      <c r="V582" s="82">
        <f t="shared" si="106"/>
        <v>289262.17800000001</v>
      </c>
      <c r="W582" s="9">
        <f>VLOOKUP(O582,[1]Feuil2!$A:$M,6,FALSE)</f>
        <v>240</v>
      </c>
      <c r="X582" s="10">
        <f>VLOOKUP(O582,[1]Feuil2!$A:$M,13,FALSE)</f>
        <v>3.0095999999999998E-2</v>
      </c>
      <c r="Y582" s="11">
        <f t="shared" si="107"/>
        <v>0.45143999999999995</v>
      </c>
      <c r="Z582" s="83">
        <f t="shared" si="108"/>
        <v>214.17046237499997</v>
      </c>
      <c r="AA582" s="12" t="s">
        <v>57</v>
      </c>
      <c r="AB582" s="22" t="s">
        <v>48</v>
      </c>
      <c r="AC582" s="75"/>
      <c r="AD582" s="28" t="s">
        <v>61</v>
      </c>
      <c r="AE582" s="14"/>
      <c r="AF582" s="13"/>
      <c r="AG582" s="13"/>
      <c r="AH582" s="84"/>
      <c r="AI582" s="134">
        <v>46106</v>
      </c>
      <c r="AJ582" s="144" t="e">
        <f t="shared" ca="1" si="110"/>
        <v>#NUM!</v>
      </c>
      <c r="AK582" s="85" t="e">
        <f>VLOOKUP(AP582,'[2]CONTENEUR PLEIN'!$F:$L,3,FALSE)</f>
        <v>#N/A</v>
      </c>
      <c r="AL582" s="86" t="e">
        <f>VLOOKUP(AP582,'[2]CONTENEUR PLEIN'!$F:$L,5,FALSE)</f>
        <v>#N/A</v>
      </c>
      <c r="AM582" s="15" t="e">
        <f>VLOOKUP(AP582,'[2]CONTENEUR PLEIN'!$F:$L,7,FALSE)</f>
        <v>#N/A</v>
      </c>
      <c r="AN582" s="279" t="s">
        <v>63</v>
      </c>
      <c r="AO582" s="75"/>
      <c r="AP582" s="75"/>
      <c r="AQ582" s="75"/>
      <c r="AR582" s="75" t="e">
        <f>VLOOKUP(AP582,'[2]CONTENEUR PLEIN'!$F:$L,2,FALSE)</f>
        <v>#N/A</v>
      </c>
      <c r="AS582" s="75"/>
      <c r="AT582" s="84"/>
    </row>
    <row r="583" spans="2:46" s="72" customFormat="1" hidden="1" x14ac:dyDescent="0.25">
      <c r="B583" s="281" t="s">
        <v>45</v>
      </c>
      <c r="C583" s="74">
        <v>45989</v>
      </c>
      <c r="D583" s="75">
        <v>25114</v>
      </c>
      <c r="E583" s="280" t="s">
        <v>648</v>
      </c>
      <c r="F583" s="75">
        <v>2511191445</v>
      </c>
      <c r="G583" s="279" t="s">
        <v>74</v>
      </c>
      <c r="H583" s="279" t="s">
        <v>593</v>
      </c>
      <c r="I583" s="279" t="s">
        <v>49</v>
      </c>
      <c r="J583" s="279" t="s">
        <v>46</v>
      </c>
      <c r="K583" s="364" t="s">
        <v>60</v>
      </c>
      <c r="L583" s="279" t="s">
        <v>47</v>
      </c>
      <c r="M583" s="380" t="e">
        <f t="shared" si="103"/>
        <v>#N/A</v>
      </c>
      <c r="N583" s="77" t="s">
        <v>49</v>
      </c>
      <c r="O583" s="78">
        <v>32070040</v>
      </c>
      <c r="P583" s="42" t="str">
        <f>VLOOKUP(O583,[1]Feuil2!$A:$M,5,FALSE)</f>
        <v>CAFE OPEN DECOR POIS NOIR 6C TB COLLECTION</v>
      </c>
      <c r="Q583" s="75">
        <v>3600</v>
      </c>
      <c r="R583" s="79">
        <v>0.21299999999999999</v>
      </c>
      <c r="S583" s="80">
        <f t="shared" si="104"/>
        <v>766.8</v>
      </c>
      <c r="T583" s="81">
        <f t="shared" si="105"/>
        <v>289262.17800000001</v>
      </c>
      <c r="U583" s="139"/>
      <c r="V583" s="82">
        <f t="shared" si="106"/>
        <v>289262.17800000001</v>
      </c>
      <c r="W583" s="9">
        <f>VLOOKUP(O583,[1]Feuil2!$A:$M,6,FALSE)</f>
        <v>240</v>
      </c>
      <c r="X583" s="10">
        <f>VLOOKUP(O583,[1]Feuil2!$A:$M,13,FALSE)</f>
        <v>2.052E-2</v>
      </c>
      <c r="Y583" s="11">
        <f t="shared" si="107"/>
        <v>0.30780000000000002</v>
      </c>
      <c r="Z583" s="83">
        <f t="shared" si="108"/>
        <v>214.17046237499997</v>
      </c>
      <c r="AA583" s="12" t="s">
        <v>57</v>
      </c>
      <c r="AB583" s="22" t="s">
        <v>48</v>
      </c>
      <c r="AC583" s="75"/>
      <c r="AD583" s="28" t="s">
        <v>61</v>
      </c>
      <c r="AE583" s="14"/>
      <c r="AF583" s="13"/>
      <c r="AG583" s="13"/>
      <c r="AH583" s="84"/>
      <c r="AI583" s="134">
        <v>46106</v>
      </c>
      <c r="AJ583" s="144" t="e">
        <f t="shared" ca="1" si="110"/>
        <v>#NUM!</v>
      </c>
      <c r="AK583" s="85" t="e">
        <f>VLOOKUP(AP583,'[2]CONTENEUR PLEIN'!$F:$L,3,FALSE)</f>
        <v>#N/A</v>
      </c>
      <c r="AL583" s="86" t="e">
        <f>VLOOKUP(AP583,'[2]CONTENEUR PLEIN'!$F:$L,5,FALSE)</f>
        <v>#N/A</v>
      </c>
      <c r="AM583" s="15" t="e">
        <f>VLOOKUP(AP583,'[2]CONTENEUR PLEIN'!$F:$L,7,FALSE)</f>
        <v>#N/A</v>
      </c>
      <c r="AN583" s="279" t="s">
        <v>63</v>
      </c>
      <c r="AO583" s="75"/>
      <c r="AP583" s="75"/>
      <c r="AQ583" s="75"/>
      <c r="AR583" s="75" t="e">
        <f>VLOOKUP(AP583,'[2]CONTENEUR PLEIN'!$F:$L,2,FALSE)</f>
        <v>#N/A</v>
      </c>
      <c r="AS583" s="75"/>
      <c r="AT583" s="84"/>
    </row>
    <row r="584" spans="2:46" s="72" customFormat="1" hidden="1" x14ac:dyDescent="0.25">
      <c r="B584" s="281" t="s">
        <v>45</v>
      </c>
      <c r="C584" s="74">
        <v>45989</v>
      </c>
      <c r="D584" s="75">
        <v>25114</v>
      </c>
      <c r="E584" s="280" t="s">
        <v>648</v>
      </c>
      <c r="F584" s="75">
        <v>2511191445</v>
      </c>
      <c r="G584" s="279" t="s">
        <v>74</v>
      </c>
      <c r="H584" s="279" t="s">
        <v>593</v>
      </c>
      <c r="I584" s="279" t="s">
        <v>49</v>
      </c>
      <c r="J584" s="279" t="s">
        <v>46</v>
      </c>
      <c r="K584" s="364" t="s">
        <v>60</v>
      </c>
      <c r="L584" s="279" t="s">
        <v>47</v>
      </c>
      <c r="M584" s="380" t="e">
        <f t="shared" si="103"/>
        <v>#N/A</v>
      </c>
      <c r="N584" s="282" t="s">
        <v>62</v>
      </c>
      <c r="O584" s="78">
        <v>32210002</v>
      </c>
      <c r="P584" s="42" t="str">
        <f>VLOOKUP(O584,[1]Feuil2!$A:$M,5,FALSE)</f>
        <v>FOURCHETTE OPEN UNI COLOR BLEU 2180C CARREFOUR HOME</v>
      </c>
      <c r="Q584" s="75">
        <v>5520</v>
      </c>
      <c r="R584" s="79">
        <v>0.192</v>
      </c>
      <c r="S584" s="80">
        <f t="shared" si="104"/>
        <v>1059.8399999999999</v>
      </c>
      <c r="T584" s="81">
        <f t="shared" si="105"/>
        <v>289262.17800000001</v>
      </c>
      <c r="U584" s="139"/>
      <c r="V584" s="82">
        <f t="shared" si="106"/>
        <v>289262.17800000001</v>
      </c>
      <c r="W584" s="9">
        <f>VLOOKUP(O584,[1]Feuil2!$A:$M,6,FALSE)</f>
        <v>240</v>
      </c>
      <c r="X584" s="10">
        <f>VLOOKUP(O584,[1]Feuil2!$A:$M,13,FALSE)</f>
        <v>2.8875000000000001E-2</v>
      </c>
      <c r="Y584" s="11">
        <f t="shared" si="107"/>
        <v>0.66412500000000008</v>
      </c>
      <c r="Z584" s="83">
        <f t="shared" si="108"/>
        <v>214.17046237499997</v>
      </c>
      <c r="AA584" s="12" t="s">
        <v>57</v>
      </c>
      <c r="AB584" s="22" t="s">
        <v>48</v>
      </c>
      <c r="AC584" s="75"/>
      <c r="AD584" s="28" t="s">
        <v>61</v>
      </c>
      <c r="AE584" s="14"/>
      <c r="AF584" s="13"/>
      <c r="AG584" s="13"/>
      <c r="AH584" s="84"/>
      <c r="AI584" s="134">
        <v>46106</v>
      </c>
      <c r="AJ584" s="144" t="e">
        <f t="shared" ca="1" si="110"/>
        <v>#NUM!</v>
      </c>
      <c r="AK584" s="85" t="e">
        <f>VLOOKUP(AP584,'[2]CONTENEUR PLEIN'!$F:$L,3,FALSE)</f>
        <v>#N/A</v>
      </c>
      <c r="AL584" s="86" t="e">
        <f>VLOOKUP(AP584,'[2]CONTENEUR PLEIN'!$F:$L,5,FALSE)</f>
        <v>#N/A</v>
      </c>
      <c r="AM584" s="15" t="e">
        <f>VLOOKUP(AP584,'[2]CONTENEUR PLEIN'!$F:$L,7,FALSE)</f>
        <v>#N/A</v>
      </c>
      <c r="AN584" s="279" t="s">
        <v>63</v>
      </c>
      <c r="AO584" s="75"/>
      <c r="AP584" s="75"/>
      <c r="AQ584" s="75"/>
      <c r="AR584" s="75" t="e">
        <f>VLOOKUP(AP584,'[2]CONTENEUR PLEIN'!$F:$L,2,FALSE)</f>
        <v>#N/A</v>
      </c>
      <c r="AS584" s="75"/>
      <c r="AT584" s="84"/>
    </row>
    <row r="585" spans="2:46" s="72" customFormat="1" hidden="1" x14ac:dyDescent="0.25">
      <c r="B585" s="281" t="s">
        <v>45</v>
      </c>
      <c r="C585" s="74">
        <v>45989</v>
      </c>
      <c r="D585" s="75">
        <v>25114</v>
      </c>
      <c r="E585" s="280" t="s">
        <v>648</v>
      </c>
      <c r="F585" s="75">
        <v>2511191445</v>
      </c>
      <c r="G585" s="279" t="s">
        <v>74</v>
      </c>
      <c r="H585" s="279" t="s">
        <v>593</v>
      </c>
      <c r="I585" s="279" t="s">
        <v>49</v>
      </c>
      <c r="J585" s="279" t="s">
        <v>46</v>
      </c>
      <c r="K585" s="364" t="s">
        <v>60</v>
      </c>
      <c r="L585" s="279" t="s">
        <v>47</v>
      </c>
      <c r="M585" s="380" t="e">
        <f t="shared" si="103"/>
        <v>#N/A</v>
      </c>
      <c r="N585" s="282" t="s">
        <v>62</v>
      </c>
      <c r="O585" s="78">
        <v>32210014</v>
      </c>
      <c r="P585" s="42" t="str">
        <f>VLOOKUP(O585,[1]Feuil2!$A:$M,5,FALSE)</f>
        <v>FOURCHETTE OPEN UNI COLOR BEIGE 7529C CARREFOUR HOME</v>
      </c>
      <c r="Q585" s="75">
        <v>7200</v>
      </c>
      <c r="R585" s="79">
        <v>0.192</v>
      </c>
      <c r="S585" s="80">
        <f t="shared" si="104"/>
        <v>1382.4</v>
      </c>
      <c r="T585" s="81">
        <f t="shared" si="105"/>
        <v>289262.17800000001</v>
      </c>
      <c r="U585" s="139"/>
      <c r="V585" s="82">
        <f t="shared" si="106"/>
        <v>289262.17800000001</v>
      </c>
      <c r="W585" s="9">
        <f>VLOOKUP(O585,[1]Feuil2!$A:$M,6,FALSE)</f>
        <v>240</v>
      </c>
      <c r="X585" s="10">
        <f>VLOOKUP(O585,[1]Feuil2!$A:$M,13,FALSE)</f>
        <v>3.04E-2</v>
      </c>
      <c r="Y585" s="11">
        <f t="shared" si="107"/>
        <v>0.91200000000000003</v>
      </c>
      <c r="Z585" s="83">
        <f t="shared" si="108"/>
        <v>214.17046237499997</v>
      </c>
      <c r="AA585" s="12" t="s">
        <v>57</v>
      </c>
      <c r="AB585" s="22" t="s">
        <v>48</v>
      </c>
      <c r="AC585" s="75"/>
      <c r="AD585" s="28" t="s">
        <v>61</v>
      </c>
      <c r="AE585" s="14"/>
      <c r="AF585" s="13"/>
      <c r="AG585" s="13"/>
      <c r="AH585" s="84"/>
      <c r="AI585" s="134">
        <v>46106</v>
      </c>
      <c r="AJ585" s="144" t="e">
        <f t="shared" ca="1" si="110"/>
        <v>#NUM!</v>
      </c>
      <c r="AK585" s="85" t="e">
        <f>VLOOKUP(AP585,'[2]CONTENEUR PLEIN'!$F:$L,3,FALSE)</f>
        <v>#N/A</v>
      </c>
      <c r="AL585" s="86" t="e">
        <f>VLOOKUP(AP585,'[2]CONTENEUR PLEIN'!$F:$L,5,FALSE)</f>
        <v>#N/A</v>
      </c>
      <c r="AM585" s="15" t="e">
        <f>VLOOKUP(AP585,'[2]CONTENEUR PLEIN'!$F:$L,7,FALSE)</f>
        <v>#N/A</v>
      </c>
      <c r="AN585" s="279" t="s">
        <v>63</v>
      </c>
      <c r="AO585" s="75"/>
      <c r="AP585" s="75"/>
      <c r="AQ585" s="75"/>
      <c r="AR585" s="75" t="e">
        <f>VLOOKUP(AP585,'[2]CONTENEUR PLEIN'!$F:$L,2,FALSE)</f>
        <v>#N/A</v>
      </c>
      <c r="AS585" s="75"/>
      <c r="AT585" s="84"/>
    </row>
    <row r="586" spans="2:46" s="72" customFormat="1" hidden="1" x14ac:dyDescent="0.25">
      <c r="B586" s="281" t="s">
        <v>45</v>
      </c>
      <c r="C586" s="74">
        <v>45989</v>
      </c>
      <c r="D586" s="75">
        <v>25114</v>
      </c>
      <c r="E586" s="280" t="s">
        <v>648</v>
      </c>
      <c r="F586" s="75">
        <v>2511191445</v>
      </c>
      <c r="G586" s="279" t="s">
        <v>74</v>
      </c>
      <c r="H586" s="279" t="s">
        <v>593</v>
      </c>
      <c r="I586" s="279" t="s">
        <v>49</v>
      </c>
      <c r="J586" s="279" t="s">
        <v>46</v>
      </c>
      <c r="K586" s="364" t="s">
        <v>60</v>
      </c>
      <c r="L586" s="279" t="s">
        <v>47</v>
      </c>
      <c r="M586" s="380" t="e">
        <f t="shared" si="103"/>
        <v>#N/A</v>
      </c>
      <c r="N586" s="77" t="s">
        <v>49</v>
      </c>
      <c r="O586" s="78">
        <v>32210022</v>
      </c>
      <c r="P586" s="42" t="str">
        <f>VLOOKUP(O586,[1]Feuil2!$A:$M,5,FALSE)</f>
        <v>FOURCHETTE OPEN UNI COLOR BLEU 2180C TB COLLECTION</v>
      </c>
      <c r="Q586" s="75">
        <v>2400</v>
      </c>
      <c r="R586" s="79">
        <v>0.192</v>
      </c>
      <c r="S586" s="80">
        <f t="shared" si="104"/>
        <v>460.8</v>
      </c>
      <c r="T586" s="81">
        <f t="shared" si="105"/>
        <v>289262.17800000001</v>
      </c>
      <c r="U586" s="139"/>
      <c r="V586" s="82">
        <f t="shared" si="106"/>
        <v>289262.17800000001</v>
      </c>
      <c r="W586" s="9">
        <f>VLOOKUP(O586,[1]Feuil2!$A:$M,6,FALSE)</f>
        <v>240</v>
      </c>
      <c r="X586" s="10">
        <f>VLOOKUP(O586,[1]Feuil2!$A:$M,13,FALSE)</f>
        <v>3.04E-2</v>
      </c>
      <c r="Y586" s="11">
        <f t="shared" si="107"/>
        <v>0.30399999999999999</v>
      </c>
      <c r="Z586" s="83">
        <f t="shared" si="108"/>
        <v>214.17046237499997</v>
      </c>
      <c r="AA586" s="12" t="s">
        <v>57</v>
      </c>
      <c r="AB586" s="22" t="s">
        <v>48</v>
      </c>
      <c r="AC586" s="75"/>
      <c r="AD586" s="28" t="s">
        <v>61</v>
      </c>
      <c r="AE586" s="14"/>
      <c r="AF586" s="13"/>
      <c r="AG586" s="13"/>
      <c r="AH586" s="84"/>
      <c r="AI586" s="134">
        <v>46106</v>
      </c>
      <c r="AJ586" s="144" t="e">
        <f t="shared" ca="1" si="110"/>
        <v>#NUM!</v>
      </c>
      <c r="AK586" s="85" t="e">
        <f>VLOOKUP(AP586,'[2]CONTENEUR PLEIN'!$F:$L,3,FALSE)</f>
        <v>#N/A</v>
      </c>
      <c r="AL586" s="86" t="e">
        <f>VLOOKUP(AP586,'[2]CONTENEUR PLEIN'!$F:$L,5,FALSE)</f>
        <v>#N/A</v>
      </c>
      <c r="AM586" s="15" t="e">
        <f>VLOOKUP(AP586,'[2]CONTENEUR PLEIN'!$F:$L,7,FALSE)</f>
        <v>#N/A</v>
      </c>
      <c r="AN586" s="279" t="s">
        <v>63</v>
      </c>
      <c r="AO586" s="75"/>
      <c r="AP586" s="75"/>
      <c r="AQ586" s="75"/>
      <c r="AR586" s="75" t="e">
        <f>VLOOKUP(AP586,'[2]CONTENEUR PLEIN'!$F:$L,2,FALSE)</f>
        <v>#N/A</v>
      </c>
      <c r="AS586" s="75"/>
      <c r="AT586" s="84"/>
    </row>
    <row r="587" spans="2:46" s="72" customFormat="1" hidden="1" x14ac:dyDescent="0.25">
      <c r="B587" s="29" t="s">
        <v>45</v>
      </c>
      <c r="C587" s="48">
        <v>45989</v>
      </c>
      <c r="D587" s="49">
        <v>25115</v>
      </c>
      <c r="E587" s="50" t="s">
        <v>646</v>
      </c>
      <c r="F587" s="49">
        <v>2511251025</v>
      </c>
      <c r="G587" s="49" t="s">
        <v>647</v>
      </c>
      <c r="H587" s="49" t="s">
        <v>65</v>
      </c>
      <c r="I587" s="49" t="s">
        <v>49</v>
      </c>
      <c r="J587" s="49" t="s">
        <v>46</v>
      </c>
      <c r="K587" s="112" t="s">
        <v>71</v>
      </c>
      <c r="L587" s="49" t="s">
        <v>47</v>
      </c>
      <c r="M587" s="382" t="e">
        <f t="shared" ref="M587:M649" si="111">DATEDIF(C587,AM587,"M")</f>
        <v>#N/A</v>
      </c>
      <c r="N587" s="57" t="s">
        <v>62</v>
      </c>
      <c r="O587" s="51">
        <v>32110001</v>
      </c>
      <c r="P587" s="30" t="str">
        <f>VLOOKUP(O587,[1]Feuil2!$A:$M,5,FALSE)</f>
        <v xml:space="preserve">M16 ORÉE TB COLLECTION </v>
      </c>
      <c r="Q587" s="49">
        <v>1206</v>
      </c>
      <c r="R587" s="52">
        <v>6.33</v>
      </c>
      <c r="S587" s="53">
        <f t="shared" ref="S587:S646" si="112">Q587*R587</f>
        <v>7633.9800000000005</v>
      </c>
      <c r="T587" s="31">
        <f t="shared" si="102"/>
        <v>7633.9800000000005</v>
      </c>
      <c r="U587" s="140"/>
      <c r="V587" s="32">
        <f t="shared" ref="V587:V646" si="113">U587+T587</f>
        <v>7633.9800000000005</v>
      </c>
      <c r="W587" s="33">
        <f>VLOOKUP(O587,[1]Feuil2!$A:$M,6,FALSE)</f>
        <v>6</v>
      </c>
      <c r="X587" s="34">
        <f>VLOOKUP(O587,[1]Feuil2!$A:$M,13,FALSE)</f>
        <v>2.5375999999999999E-2</v>
      </c>
      <c r="Y587" s="35">
        <f t="shared" si="101"/>
        <v>5.1005760000000002</v>
      </c>
      <c r="Z587" s="36">
        <f t="shared" ref="Z587:Z644" si="114">SUMIF($E:$E,E587,$Y:$Y)</f>
        <v>5.1005760000000002</v>
      </c>
      <c r="AA587" s="235" t="s">
        <v>61</v>
      </c>
      <c r="AB587" s="55" t="s">
        <v>61</v>
      </c>
      <c r="AC587" s="49"/>
      <c r="AD587" s="55" t="s">
        <v>61</v>
      </c>
      <c r="AE587" s="48"/>
      <c r="AF587" s="55"/>
      <c r="AG587" s="55"/>
      <c r="AH587" s="57"/>
      <c r="AI587" s="136">
        <v>46106</v>
      </c>
      <c r="AJ587" s="137" t="e">
        <f t="shared" ref="AJ587:AJ590" ca="1" si="115">DATEDIF(AI587,$AJ$1,"D")</f>
        <v>#NUM!</v>
      </c>
      <c r="AK587" s="56" t="e">
        <f>VLOOKUP(AP587,'[2]CONTENEUR PLEIN'!$F:$L,3,FALSE)</f>
        <v>#N/A</v>
      </c>
      <c r="AL587" s="37" t="e">
        <f>VLOOKUP(AP587,'[2]CONTENEUR PLEIN'!$F:$L,5,FALSE)</f>
        <v>#N/A</v>
      </c>
      <c r="AM587" s="38" t="e">
        <f>VLOOKUP(AP587,'[2]CONTENEUR PLEIN'!$F:$L,7,FALSE)</f>
        <v>#N/A</v>
      </c>
      <c r="AN587" s="49" t="s">
        <v>63</v>
      </c>
      <c r="AO587" s="49"/>
      <c r="AP587" s="49"/>
      <c r="AQ587" s="49"/>
      <c r="AR587" s="49" t="e">
        <f>VLOOKUP(AP587,'[2]CONTENEUR PLEIN'!$F:$L,2,FALSE)</f>
        <v>#N/A</v>
      </c>
      <c r="AS587" s="49"/>
      <c r="AT587" s="57"/>
    </row>
    <row r="588" spans="2:46" s="72" customFormat="1" hidden="1" x14ac:dyDescent="0.25">
      <c r="B588" s="289" t="s">
        <v>45</v>
      </c>
      <c r="C588" s="74">
        <v>45999</v>
      </c>
      <c r="D588" s="75">
        <v>25116</v>
      </c>
      <c r="E588" s="288" t="s">
        <v>683</v>
      </c>
      <c r="F588" s="75">
        <v>2512041705</v>
      </c>
      <c r="G588" s="284" t="s">
        <v>303</v>
      </c>
      <c r="H588" s="284" t="s">
        <v>65</v>
      </c>
      <c r="I588" s="284" t="s">
        <v>49</v>
      </c>
      <c r="J588" s="284" t="s">
        <v>46</v>
      </c>
      <c r="K588" s="364" t="s">
        <v>60</v>
      </c>
      <c r="L588" s="284" t="s">
        <v>47</v>
      </c>
      <c r="M588" s="380" t="e">
        <f t="shared" si="111"/>
        <v>#N/A</v>
      </c>
      <c r="N588" s="282" t="s">
        <v>62</v>
      </c>
      <c r="O588" s="78">
        <v>20110060</v>
      </c>
      <c r="P588" s="42" t="str">
        <f>VLOOKUP(O588,[1]Feuil2!$A:$M,5,FALSE)</f>
        <v>COFFRET 4 PCS LAG HERITAGE COUVERTS ENFANTS</v>
      </c>
      <c r="Q588" s="75">
        <v>2004</v>
      </c>
      <c r="R588" s="79">
        <v>1.73</v>
      </c>
      <c r="S588" s="80">
        <f t="shared" si="112"/>
        <v>3466.92</v>
      </c>
      <c r="T588" s="81">
        <f t="shared" si="102"/>
        <v>3466.92</v>
      </c>
      <c r="U588" s="139"/>
      <c r="V588" s="82">
        <f t="shared" si="113"/>
        <v>3466.92</v>
      </c>
      <c r="W588" s="9">
        <f>VLOOKUP(O588,[1]Feuil2!$A:$M,6,FALSE)</f>
        <v>6</v>
      </c>
      <c r="X588" s="10">
        <f>VLOOKUP(O588,[1]Feuil2!$A:$M,13,FALSE)</f>
        <v>0</v>
      </c>
      <c r="Y588" s="11">
        <f t="shared" si="101"/>
        <v>0</v>
      </c>
      <c r="Z588" s="83">
        <f t="shared" si="114"/>
        <v>0</v>
      </c>
      <c r="AA588" s="66" t="s">
        <v>61</v>
      </c>
      <c r="AB588" s="28" t="s">
        <v>61</v>
      </c>
      <c r="AC588" s="75"/>
      <c r="AD588" s="28" t="s">
        <v>61</v>
      </c>
      <c r="AE588" s="14"/>
      <c r="AF588" s="13"/>
      <c r="AG588" s="13"/>
      <c r="AH588" s="84"/>
      <c r="AI588" s="134">
        <v>46111</v>
      </c>
      <c r="AJ588" s="144" t="e">
        <f t="shared" ca="1" si="115"/>
        <v>#NUM!</v>
      </c>
      <c r="AK588" s="85" t="e">
        <f>VLOOKUP(AP588,'[2]CONTENEUR PLEIN'!$F:$L,3,FALSE)</f>
        <v>#N/A</v>
      </c>
      <c r="AL588" s="86" t="e">
        <f>VLOOKUP(AP588,'[2]CONTENEUR PLEIN'!$F:$L,5,FALSE)</f>
        <v>#N/A</v>
      </c>
      <c r="AM588" s="15" t="e">
        <f>VLOOKUP(AP588,'[2]CONTENEUR PLEIN'!$F:$L,7,FALSE)</f>
        <v>#N/A</v>
      </c>
      <c r="AN588" s="284" t="s">
        <v>63</v>
      </c>
      <c r="AO588" s="75"/>
      <c r="AP588" s="75"/>
      <c r="AQ588" s="75"/>
      <c r="AR588" s="75" t="e">
        <f>VLOOKUP(AP588,'[2]CONTENEUR PLEIN'!$F:$L,2,FALSE)</f>
        <v>#N/A</v>
      </c>
      <c r="AS588" s="75"/>
      <c r="AT588" s="84"/>
    </row>
    <row r="589" spans="2:46" s="72" customFormat="1" hidden="1" x14ac:dyDescent="0.25">
      <c r="B589" s="289" t="s">
        <v>45</v>
      </c>
      <c r="C589" s="74">
        <v>46013</v>
      </c>
      <c r="D589" s="341">
        <v>25117</v>
      </c>
      <c r="E589" s="318" t="s">
        <v>762</v>
      </c>
      <c r="F589" s="75">
        <v>2512191048</v>
      </c>
      <c r="G589" s="319" t="s">
        <v>58</v>
      </c>
      <c r="H589" s="319" t="s">
        <v>82</v>
      </c>
      <c r="I589" s="319" t="s">
        <v>49</v>
      </c>
      <c r="J589" s="319" t="s">
        <v>46</v>
      </c>
      <c r="K589" s="364" t="s">
        <v>60</v>
      </c>
      <c r="L589" s="319" t="s">
        <v>47</v>
      </c>
      <c r="M589" s="380" t="e">
        <f t="shared" si="111"/>
        <v>#N/A</v>
      </c>
      <c r="N589" s="282" t="s">
        <v>62</v>
      </c>
      <c r="O589" s="78">
        <v>10110024</v>
      </c>
      <c r="P589" s="42" t="str">
        <f>VLOOKUP(O589,[1]Feuil2!$A:$M,5,FALSE)</f>
        <v>LAG HERITAGE COUTEAUX STEAK BOIS D'OLIVIER 4PCS POLYFLAME</v>
      </c>
      <c r="Q589" s="75">
        <v>1008</v>
      </c>
      <c r="R589" s="79">
        <v>9.35</v>
      </c>
      <c r="S589" s="80">
        <f t="shared" si="112"/>
        <v>9424.7999999999993</v>
      </c>
      <c r="T589" s="81">
        <f t="shared" si="102"/>
        <v>18739.8</v>
      </c>
      <c r="U589" s="139"/>
      <c r="V589" s="82">
        <f t="shared" si="113"/>
        <v>18739.8</v>
      </c>
      <c r="W589" s="9">
        <f>VLOOKUP(O589,[1]Feuil2!$A:$M,6,FALSE)</f>
        <v>12</v>
      </c>
      <c r="X589" s="10">
        <f>VLOOKUP(O589,[1]Feuil2!$A:$M,13,FALSE)</f>
        <v>1.0619999999999997E-2</v>
      </c>
      <c r="Y589" s="11">
        <f t="shared" si="101"/>
        <v>0.89207999999999976</v>
      </c>
      <c r="Z589" s="83">
        <f t="shared" si="114"/>
        <v>3.1288456249999994</v>
      </c>
      <c r="AA589" s="66" t="s">
        <v>61</v>
      </c>
      <c r="AB589" s="28" t="s">
        <v>61</v>
      </c>
      <c r="AC589" s="75"/>
      <c r="AD589" s="28" t="s">
        <v>61</v>
      </c>
      <c r="AE589" s="14"/>
      <c r="AF589" s="13"/>
      <c r="AG589" s="22" t="s">
        <v>48</v>
      </c>
      <c r="AH589" s="84" t="s">
        <v>48</v>
      </c>
      <c r="AI589" s="134">
        <v>46117</v>
      </c>
      <c r="AJ589" s="144" t="e">
        <f t="shared" ca="1" si="115"/>
        <v>#NUM!</v>
      </c>
      <c r="AK589" s="85" t="e">
        <f>VLOOKUP(AP589,'[2]CONTENEUR PLEIN'!$F:$L,3,FALSE)</f>
        <v>#N/A</v>
      </c>
      <c r="AL589" s="86" t="e">
        <f>VLOOKUP(AP589,'[2]CONTENEUR PLEIN'!$F:$L,5,FALSE)</f>
        <v>#N/A</v>
      </c>
      <c r="AM589" s="15" t="e">
        <f>VLOOKUP(AP589,'[2]CONTENEUR PLEIN'!$F:$L,7,FALSE)</f>
        <v>#N/A</v>
      </c>
      <c r="AN589" s="319" t="s">
        <v>82</v>
      </c>
      <c r="AO589" s="75"/>
      <c r="AP589" s="75"/>
      <c r="AQ589" s="75"/>
      <c r="AR589" s="75" t="e">
        <f>VLOOKUP(AP589,'[2]CONTENEUR PLEIN'!$F:$L,2,FALSE)</f>
        <v>#N/A</v>
      </c>
      <c r="AS589" s="75"/>
      <c r="AT589" s="84"/>
    </row>
    <row r="590" spans="2:46" s="72" customFormat="1" hidden="1" x14ac:dyDescent="0.25">
      <c r="B590" s="289" t="s">
        <v>45</v>
      </c>
      <c r="C590" s="74">
        <v>46013</v>
      </c>
      <c r="D590" s="75">
        <v>25117</v>
      </c>
      <c r="E590" s="318" t="s">
        <v>762</v>
      </c>
      <c r="F590" s="75">
        <v>2512191048</v>
      </c>
      <c r="G590" s="319" t="s">
        <v>58</v>
      </c>
      <c r="H590" s="319" t="s">
        <v>82</v>
      </c>
      <c r="I590" s="319" t="s">
        <v>49</v>
      </c>
      <c r="J590" s="319" t="s">
        <v>46</v>
      </c>
      <c r="K590" s="364" t="s">
        <v>60</v>
      </c>
      <c r="L590" s="319" t="s">
        <v>47</v>
      </c>
      <c r="M590" s="380" t="e">
        <f t="shared" si="111"/>
        <v>#N/A</v>
      </c>
      <c r="N590" s="282" t="s">
        <v>62</v>
      </c>
      <c r="O590" s="78">
        <v>10110025</v>
      </c>
      <c r="P590" s="42" t="str">
        <f>VLOOKUP(O590,[1]Feuil2!$A:$M,5,FALSE)</f>
        <v>LAG HERITAGE COUTEAUX STEAK NOYER 6PCS POLYFLAME</v>
      </c>
      <c r="Q590" s="75">
        <v>1500</v>
      </c>
      <c r="R590" s="79">
        <v>6.21</v>
      </c>
      <c r="S590" s="80">
        <f t="shared" si="112"/>
        <v>9315</v>
      </c>
      <c r="T590" s="81">
        <f t="shared" si="102"/>
        <v>18739.8</v>
      </c>
      <c r="U590" s="139"/>
      <c r="V590" s="82">
        <f t="shared" si="113"/>
        <v>18739.8</v>
      </c>
      <c r="W590" s="9">
        <f>VLOOKUP(O590,[1]Feuil2!$A:$M,6,FALSE)</f>
        <v>12</v>
      </c>
      <c r="X590" s="10">
        <f>VLOOKUP(O590,[1]Feuil2!$A:$M,13,FALSE)</f>
        <v>1.7894124999999997E-2</v>
      </c>
      <c r="Y590" s="11">
        <f t="shared" si="101"/>
        <v>2.2367656249999994</v>
      </c>
      <c r="Z590" s="83">
        <f t="shared" si="114"/>
        <v>3.1288456249999994</v>
      </c>
      <c r="AA590" s="66" t="s">
        <v>61</v>
      </c>
      <c r="AB590" s="28" t="s">
        <v>61</v>
      </c>
      <c r="AC590" s="75"/>
      <c r="AD590" s="28" t="s">
        <v>61</v>
      </c>
      <c r="AE590" s="14"/>
      <c r="AF590" s="13"/>
      <c r="AG590" s="22" t="s">
        <v>48</v>
      </c>
      <c r="AH590" s="84" t="s">
        <v>48</v>
      </c>
      <c r="AI590" s="134">
        <v>46117</v>
      </c>
      <c r="AJ590" s="144" t="e">
        <f t="shared" ca="1" si="115"/>
        <v>#NUM!</v>
      </c>
      <c r="AK590" s="85" t="e">
        <f>VLOOKUP(AP590,'[2]CONTENEUR PLEIN'!$F:$L,3,FALSE)</f>
        <v>#N/A</v>
      </c>
      <c r="AL590" s="86" t="e">
        <f>VLOOKUP(AP590,'[2]CONTENEUR PLEIN'!$F:$L,5,FALSE)</f>
        <v>#N/A</v>
      </c>
      <c r="AM590" s="15" t="e">
        <f>VLOOKUP(AP590,'[2]CONTENEUR PLEIN'!$F:$L,7,FALSE)</f>
        <v>#N/A</v>
      </c>
      <c r="AN590" s="319" t="s">
        <v>82</v>
      </c>
      <c r="AO590" s="75"/>
      <c r="AP590" s="75"/>
      <c r="AQ590" s="75"/>
      <c r="AR590" s="75" t="e">
        <f>VLOOKUP(AP590,'[2]CONTENEUR PLEIN'!$F:$L,2,FALSE)</f>
        <v>#N/A</v>
      </c>
      <c r="AS590" s="75"/>
      <c r="AT590" s="84"/>
    </row>
    <row r="591" spans="2:46" s="72" customFormat="1" hidden="1" x14ac:dyDescent="0.25">
      <c r="B591" s="344" t="s">
        <v>45</v>
      </c>
      <c r="C591" s="74">
        <v>46036</v>
      </c>
      <c r="D591" s="75">
        <v>26002</v>
      </c>
      <c r="E591" s="343" t="s">
        <v>830</v>
      </c>
      <c r="F591" s="75">
        <v>2512241016</v>
      </c>
      <c r="G591" s="341" t="s">
        <v>303</v>
      </c>
      <c r="H591" s="341" t="s">
        <v>829</v>
      </c>
      <c r="I591" s="341" t="s">
        <v>49</v>
      </c>
      <c r="J591" s="341" t="s">
        <v>46</v>
      </c>
      <c r="K591" s="364" t="s">
        <v>60</v>
      </c>
      <c r="L591" s="341" t="s">
        <v>47</v>
      </c>
      <c r="M591" s="380" t="e">
        <f t="shared" si="111"/>
        <v>#N/A</v>
      </c>
      <c r="N591" s="77" t="s">
        <v>49</v>
      </c>
      <c r="O591" s="78">
        <v>21600005</v>
      </c>
      <c r="P591" s="42" t="str">
        <f>VLOOKUP(O591,[1]Feuil2!$A:$M,5,FALSE)</f>
        <v>CAFE ARABESQUE FINITION MIROIR VRAC+GENCOD</v>
      </c>
      <c r="Q591" s="75">
        <v>22800</v>
      </c>
      <c r="R591" s="79">
        <v>0.14899999999999999</v>
      </c>
      <c r="S591" s="80">
        <f t="shared" si="112"/>
        <v>3397.2</v>
      </c>
      <c r="T591" s="81">
        <f t="shared" si="102"/>
        <v>8942.4480000000003</v>
      </c>
      <c r="U591" s="139"/>
      <c r="V591" s="82">
        <f t="shared" si="113"/>
        <v>8942.4480000000003</v>
      </c>
      <c r="W591" s="9">
        <f>VLOOKUP(O591,[1]Feuil2!$A:$M,6,FALSE)</f>
        <v>240</v>
      </c>
      <c r="X591" s="10">
        <f>VLOOKUP(O591,[1]Feuil2!$A:$M,13,FALSE)</f>
        <v>1.9507500000000001E-2</v>
      </c>
      <c r="Y591" s="11">
        <f t="shared" si="101"/>
        <v>1.8532125000000002</v>
      </c>
      <c r="Z591" s="83">
        <f t="shared" si="114"/>
        <v>3.5961937499999999</v>
      </c>
      <c r="AA591" s="66" t="s">
        <v>61</v>
      </c>
      <c r="AB591" s="28" t="s">
        <v>61</v>
      </c>
      <c r="AC591" s="75"/>
      <c r="AD591" s="28" t="s">
        <v>61</v>
      </c>
      <c r="AE591" s="14"/>
      <c r="AF591" s="13"/>
      <c r="AG591" s="13"/>
      <c r="AH591" s="84"/>
      <c r="AI591" s="134">
        <v>46137</v>
      </c>
      <c r="AJ591" s="144" t="e">
        <f t="shared" ref="AJ591:AJ622" ca="1" si="116">DATEDIF(AI591,$AJ$1,"D")</f>
        <v>#NUM!</v>
      </c>
      <c r="AK591" s="85" t="e">
        <f>VLOOKUP(AP591,'[2]CONTENEUR PLEIN'!$F:$L,3,FALSE)</f>
        <v>#N/A</v>
      </c>
      <c r="AL591" s="86" t="e">
        <f>VLOOKUP(AP591,'[2]CONTENEUR PLEIN'!$F:$L,5,FALSE)</f>
        <v>#N/A</v>
      </c>
      <c r="AM591" s="15" t="e">
        <f>VLOOKUP(AP591,'[2]CONTENEUR PLEIN'!$F:$L,7,FALSE)</f>
        <v>#N/A</v>
      </c>
      <c r="AN591" s="284" t="s">
        <v>63</v>
      </c>
      <c r="AO591" s="75"/>
      <c r="AP591" s="75"/>
      <c r="AQ591" s="75"/>
      <c r="AR591" s="75" t="e">
        <f>VLOOKUP(AP591,'[2]CONTENEUR PLEIN'!$F:$L,2,FALSE)</f>
        <v>#N/A</v>
      </c>
      <c r="AS591" s="75"/>
      <c r="AT591" s="84"/>
    </row>
    <row r="592" spans="2:46" s="72" customFormat="1" hidden="1" x14ac:dyDescent="0.25">
      <c r="B592" s="344" t="s">
        <v>45</v>
      </c>
      <c r="C592" s="74">
        <v>46036</v>
      </c>
      <c r="D592" s="75">
        <v>26002</v>
      </c>
      <c r="E592" s="343" t="s">
        <v>830</v>
      </c>
      <c r="F592" s="75">
        <v>2512241016</v>
      </c>
      <c r="G592" s="341" t="s">
        <v>303</v>
      </c>
      <c r="H592" s="341" t="s">
        <v>829</v>
      </c>
      <c r="I592" s="341" t="s">
        <v>49</v>
      </c>
      <c r="J592" s="341" t="s">
        <v>46</v>
      </c>
      <c r="K592" s="364" t="s">
        <v>60</v>
      </c>
      <c r="L592" s="341" t="s">
        <v>47</v>
      </c>
      <c r="M592" s="380" t="e">
        <f t="shared" si="111"/>
        <v>#N/A</v>
      </c>
      <c r="N592" s="77" t="s">
        <v>49</v>
      </c>
      <c r="O592" s="78">
        <v>21600004</v>
      </c>
      <c r="P592" s="42" t="str">
        <f>VLOOKUP(O592,[1]Feuil2!$A:$M,5,FALSE)</f>
        <v>CUILLERE ARABESQUE FINITION MIROIR VRAC+GENCOD</v>
      </c>
      <c r="Q592" s="75">
        <v>6480</v>
      </c>
      <c r="R592" s="79">
        <v>0.2</v>
      </c>
      <c r="S592" s="80">
        <f t="shared" si="112"/>
        <v>1296</v>
      </c>
      <c r="T592" s="81">
        <f t="shared" si="102"/>
        <v>8942.4480000000003</v>
      </c>
      <c r="U592" s="139"/>
      <c r="V592" s="82">
        <f t="shared" si="113"/>
        <v>8942.4480000000003</v>
      </c>
      <c r="W592" s="9">
        <f>VLOOKUP(O592,[1]Feuil2!$A:$M,6,FALSE)</f>
        <v>240</v>
      </c>
      <c r="X592" s="10">
        <f>VLOOKUP(O592,[1]Feuil2!$A:$M,13,FALSE)</f>
        <v>1.9507500000000001E-2</v>
      </c>
      <c r="Y592" s="11">
        <f t="shared" si="101"/>
        <v>0.52670249999999996</v>
      </c>
      <c r="Z592" s="83">
        <f t="shared" si="114"/>
        <v>3.5961937499999999</v>
      </c>
      <c r="AA592" s="66" t="s">
        <v>61</v>
      </c>
      <c r="AB592" s="28" t="s">
        <v>61</v>
      </c>
      <c r="AC592" s="75"/>
      <c r="AD592" s="28" t="s">
        <v>61</v>
      </c>
      <c r="AE592" s="14"/>
      <c r="AF592" s="13"/>
      <c r="AG592" s="13"/>
      <c r="AH592" s="84"/>
      <c r="AI592" s="134">
        <v>46137</v>
      </c>
      <c r="AJ592" s="144" t="e">
        <f t="shared" ca="1" si="116"/>
        <v>#NUM!</v>
      </c>
      <c r="AK592" s="85" t="e">
        <f>VLOOKUP(AP592,'[2]CONTENEUR PLEIN'!$F:$L,3,FALSE)</f>
        <v>#N/A</v>
      </c>
      <c r="AL592" s="86" t="e">
        <f>VLOOKUP(AP592,'[2]CONTENEUR PLEIN'!$F:$L,5,FALSE)</f>
        <v>#N/A</v>
      </c>
      <c r="AM592" s="15" t="e">
        <f>VLOOKUP(AP592,'[2]CONTENEUR PLEIN'!$F:$L,7,FALSE)</f>
        <v>#N/A</v>
      </c>
      <c r="AN592" s="284" t="s">
        <v>63</v>
      </c>
      <c r="AO592" s="75"/>
      <c r="AP592" s="75"/>
      <c r="AQ592" s="75"/>
      <c r="AR592" s="75" t="e">
        <f>VLOOKUP(AP592,'[2]CONTENEUR PLEIN'!$F:$L,2,FALSE)</f>
        <v>#N/A</v>
      </c>
      <c r="AS592" s="75"/>
      <c r="AT592" s="84"/>
    </row>
    <row r="593" spans="2:46" s="72" customFormat="1" hidden="1" x14ac:dyDescent="0.25">
      <c r="B593" s="344" t="s">
        <v>45</v>
      </c>
      <c r="C593" s="74">
        <v>46036</v>
      </c>
      <c r="D593" s="75">
        <v>26002</v>
      </c>
      <c r="E593" s="343" t="s">
        <v>830</v>
      </c>
      <c r="F593" s="75">
        <v>2512241016</v>
      </c>
      <c r="G593" s="341" t="s">
        <v>303</v>
      </c>
      <c r="H593" s="341" t="s">
        <v>829</v>
      </c>
      <c r="I593" s="341" t="s">
        <v>49</v>
      </c>
      <c r="J593" s="341" t="s">
        <v>46</v>
      </c>
      <c r="K593" s="364" t="s">
        <v>60</v>
      </c>
      <c r="L593" s="341" t="s">
        <v>47</v>
      </c>
      <c r="M593" s="380" t="e">
        <f t="shared" si="111"/>
        <v>#N/A</v>
      </c>
      <c r="N593" s="77" t="s">
        <v>49</v>
      </c>
      <c r="O593" s="78">
        <v>21600003</v>
      </c>
      <c r="P593" s="42" t="str">
        <f>VLOOKUP(O593,[1]Feuil2!$A:$M,5,FALSE)</f>
        <v>FOURCHETTE ARABESQUE FINITION MIROIR VRAC+GENCOD</v>
      </c>
      <c r="Q593" s="75">
        <v>9120</v>
      </c>
      <c r="R593" s="79">
        <v>0.18740000000000001</v>
      </c>
      <c r="S593" s="80">
        <f t="shared" si="112"/>
        <v>1709.0880000000002</v>
      </c>
      <c r="T593" s="81">
        <f t="shared" si="102"/>
        <v>8942.4480000000003</v>
      </c>
      <c r="U593" s="139"/>
      <c r="V593" s="82">
        <f t="shared" si="113"/>
        <v>8942.4480000000003</v>
      </c>
      <c r="W593" s="9">
        <f>VLOOKUP(O593,[1]Feuil2!$A:$M,6,FALSE)</f>
        <v>240</v>
      </c>
      <c r="X593" s="10">
        <f>VLOOKUP(O593,[1]Feuil2!$A:$M,13,FALSE)</f>
        <v>1.9507500000000001E-2</v>
      </c>
      <c r="Y593" s="11">
        <f t="shared" si="101"/>
        <v>0.74128499999999997</v>
      </c>
      <c r="Z593" s="83">
        <f t="shared" si="114"/>
        <v>3.5961937499999999</v>
      </c>
      <c r="AA593" s="66" t="s">
        <v>61</v>
      </c>
      <c r="AB593" s="28" t="s">
        <v>61</v>
      </c>
      <c r="AC593" s="75"/>
      <c r="AD593" s="28" t="s">
        <v>61</v>
      </c>
      <c r="AE593" s="14"/>
      <c r="AF593" s="13"/>
      <c r="AG593" s="13"/>
      <c r="AH593" s="84"/>
      <c r="AI593" s="134">
        <v>46137</v>
      </c>
      <c r="AJ593" s="144" t="e">
        <f t="shared" ca="1" si="116"/>
        <v>#NUM!</v>
      </c>
      <c r="AK593" s="85" t="e">
        <f>VLOOKUP(AP593,'[2]CONTENEUR PLEIN'!$F:$L,3,FALSE)</f>
        <v>#N/A</v>
      </c>
      <c r="AL593" s="86" t="e">
        <f>VLOOKUP(AP593,'[2]CONTENEUR PLEIN'!$F:$L,5,FALSE)</f>
        <v>#N/A</v>
      </c>
      <c r="AM593" s="15" t="e">
        <f>VLOOKUP(AP593,'[2]CONTENEUR PLEIN'!$F:$L,7,FALSE)</f>
        <v>#N/A</v>
      </c>
      <c r="AN593" s="284" t="s">
        <v>63</v>
      </c>
      <c r="AO593" s="75"/>
      <c r="AP593" s="75"/>
      <c r="AQ593" s="75"/>
      <c r="AR593" s="75" t="e">
        <f>VLOOKUP(AP593,'[2]CONTENEUR PLEIN'!$F:$L,2,FALSE)</f>
        <v>#N/A</v>
      </c>
      <c r="AS593" s="75"/>
      <c r="AT593" s="84"/>
    </row>
    <row r="594" spans="2:46" s="72" customFormat="1" hidden="1" x14ac:dyDescent="0.25">
      <c r="B594" s="344" t="s">
        <v>45</v>
      </c>
      <c r="C594" s="74">
        <v>46036</v>
      </c>
      <c r="D594" s="75">
        <v>26002</v>
      </c>
      <c r="E594" s="343" t="s">
        <v>830</v>
      </c>
      <c r="F594" s="75">
        <v>2512241016</v>
      </c>
      <c r="G594" s="341" t="s">
        <v>303</v>
      </c>
      <c r="H594" s="341" t="s">
        <v>829</v>
      </c>
      <c r="I594" s="341" t="s">
        <v>49</v>
      </c>
      <c r="J594" s="341" t="s">
        <v>46</v>
      </c>
      <c r="K594" s="364" t="s">
        <v>60</v>
      </c>
      <c r="L594" s="341" t="s">
        <v>47</v>
      </c>
      <c r="M594" s="380" t="e">
        <f t="shared" si="111"/>
        <v>#N/A</v>
      </c>
      <c r="N594" s="77" t="s">
        <v>49</v>
      </c>
      <c r="O594" s="78">
        <v>433870</v>
      </c>
      <c r="P594" s="42" t="str">
        <f>VLOOKUP(O594,[1]Feuil2!$A:$M,5,FALSE)</f>
        <v>FETTE KOS(TOSCANE SATINE)+GENC</v>
      </c>
      <c r="Q594" s="75">
        <v>7056</v>
      </c>
      <c r="R594" s="79">
        <v>0.36</v>
      </c>
      <c r="S594" s="80">
        <f t="shared" si="112"/>
        <v>2540.16</v>
      </c>
      <c r="T594" s="81">
        <f t="shared" si="102"/>
        <v>8942.4480000000003</v>
      </c>
      <c r="U594" s="139"/>
      <c r="V594" s="82">
        <f t="shared" si="113"/>
        <v>8942.4480000000003</v>
      </c>
      <c r="W594" s="9">
        <f>VLOOKUP(O594,[1]Feuil2!$A:$M,6,FALSE)</f>
        <v>144</v>
      </c>
      <c r="X594" s="10">
        <f>VLOOKUP(O594,[1]Feuil2!$A:$M,13,FALSE)</f>
        <v>9.6937499999999992E-3</v>
      </c>
      <c r="Y594" s="11">
        <f t="shared" si="101"/>
        <v>0.47499374999999994</v>
      </c>
      <c r="Z594" s="83">
        <f t="shared" si="114"/>
        <v>3.5961937499999999</v>
      </c>
      <c r="AA594" s="66" t="s">
        <v>61</v>
      </c>
      <c r="AB594" s="28" t="s">
        <v>61</v>
      </c>
      <c r="AC594" s="75"/>
      <c r="AD594" s="28" t="s">
        <v>61</v>
      </c>
      <c r="AE594" s="14"/>
      <c r="AF594" s="13"/>
      <c r="AG594" s="13"/>
      <c r="AH594" s="84"/>
      <c r="AI594" s="134">
        <v>46137</v>
      </c>
      <c r="AJ594" s="144" t="e">
        <f t="shared" ca="1" si="116"/>
        <v>#NUM!</v>
      </c>
      <c r="AK594" s="85" t="e">
        <f>VLOOKUP(AP594,'[2]CONTENEUR PLEIN'!$F:$L,3,FALSE)</f>
        <v>#N/A</v>
      </c>
      <c r="AL594" s="86" t="e">
        <f>VLOOKUP(AP594,'[2]CONTENEUR PLEIN'!$F:$L,5,FALSE)</f>
        <v>#N/A</v>
      </c>
      <c r="AM594" s="15" t="e">
        <f>VLOOKUP(AP594,'[2]CONTENEUR PLEIN'!$F:$L,7,FALSE)</f>
        <v>#N/A</v>
      </c>
      <c r="AN594" s="284" t="s">
        <v>63</v>
      </c>
      <c r="AO594" s="75"/>
      <c r="AP594" s="75"/>
      <c r="AQ594" s="75"/>
      <c r="AR594" s="75" t="e">
        <f>VLOOKUP(AP594,'[2]CONTENEUR PLEIN'!$F:$L,2,FALSE)</f>
        <v>#N/A</v>
      </c>
      <c r="AS594" s="75"/>
      <c r="AT594" s="84"/>
    </row>
    <row r="595" spans="2:46" s="72" customFormat="1" hidden="1" x14ac:dyDescent="0.25">
      <c r="B595" s="344" t="s">
        <v>52</v>
      </c>
      <c r="C595" s="74">
        <v>46036</v>
      </c>
      <c r="D595" s="341" t="s">
        <v>53</v>
      </c>
      <c r="E595" s="343" t="s">
        <v>828</v>
      </c>
      <c r="F595" s="75">
        <v>2512241122</v>
      </c>
      <c r="G595" s="341" t="s">
        <v>72</v>
      </c>
      <c r="H595" s="341" t="s">
        <v>829</v>
      </c>
      <c r="I595" s="341" t="s">
        <v>49</v>
      </c>
      <c r="J595" s="341" t="s">
        <v>46</v>
      </c>
      <c r="K595" s="364" t="s">
        <v>60</v>
      </c>
      <c r="L595" s="341" t="s">
        <v>47</v>
      </c>
      <c r="M595" s="380" t="e">
        <f t="shared" si="111"/>
        <v>#N/A</v>
      </c>
      <c r="N595" s="282" t="s">
        <v>62</v>
      </c>
      <c r="O595" s="78">
        <v>10010152</v>
      </c>
      <c r="P595" s="42" t="str">
        <f>VLOOKUP(O595,[1]Feuil2!$A:$M,5,FALSE)</f>
        <v>EPLUCHEUR CERAMIQUE SIPLEC10300667 LAME BLANCHE BLISTER PEGB</v>
      </c>
      <c r="Q595" s="75">
        <v>30006</v>
      </c>
      <c r="R595" s="79">
        <v>0.36899999999999999</v>
      </c>
      <c r="S595" s="80">
        <f t="shared" si="112"/>
        <v>11072.214</v>
      </c>
      <c r="T595" s="81">
        <f t="shared" si="102"/>
        <v>58869.792000000001</v>
      </c>
      <c r="U595" s="139"/>
      <c r="V595" s="82">
        <f t="shared" si="113"/>
        <v>58869.792000000001</v>
      </c>
      <c r="W595" s="9">
        <f>VLOOKUP(O595,[1]Feuil2!$A:$M,6,FALSE)</f>
        <v>18</v>
      </c>
      <c r="X595" s="10">
        <f>VLOOKUP(O595,[1]Feuil2!$A:$M,13,FALSE)</f>
        <v>1.4325999999999998E-2</v>
      </c>
      <c r="Y595" s="11">
        <f t="shared" si="101"/>
        <v>23.881441999999996</v>
      </c>
      <c r="Z595" s="83">
        <f t="shared" si="114"/>
        <v>61.963979249999994</v>
      </c>
      <c r="AA595" s="27" t="s">
        <v>48</v>
      </c>
      <c r="AB595" s="22" t="s">
        <v>48</v>
      </c>
      <c r="AC595" s="75" t="s">
        <v>48</v>
      </c>
      <c r="AD595" s="75" t="s">
        <v>48</v>
      </c>
      <c r="AE595" s="75" t="s">
        <v>48</v>
      </c>
      <c r="AF595" s="277" t="s">
        <v>49</v>
      </c>
      <c r="AG595" s="13"/>
      <c r="AH595" s="84"/>
      <c r="AI595" s="134">
        <v>46137</v>
      </c>
      <c r="AJ595" s="144" t="e">
        <f t="shared" ca="1" si="116"/>
        <v>#NUM!</v>
      </c>
      <c r="AK595" s="85" t="e">
        <f>VLOOKUP(AP595,'[2]CONTENEUR PLEIN'!$F:$L,3,FALSE)</f>
        <v>#N/A</v>
      </c>
      <c r="AL595" s="86" t="e">
        <f>VLOOKUP(AP595,'[2]CONTENEUR PLEIN'!$F:$L,5,FALSE)</f>
        <v>#N/A</v>
      </c>
      <c r="AM595" s="15" t="e">
        <f>VLOOKUP(AP595,'[2]CONTENEUR PLEIN'!$F:$L,7,FALSE)</f>
        <v>#N/A</v>
      </c>
      <c r="AN595" s="284" t="s">
        <v>63</v>
      </c>
      <c r="AO595" s="75"/>
      <c r="AP595" s="75"/>
      <c r="AQ595" s="75"/>
      <c r="AR595" s="75" t="e">
        <f>VLOOKUP(AP595,'[2]CONTENEUR PLEIN'!$F:$L,2,FALSE)</f>
        <v>#N/A</v>
      </c>
      <c r="AS595" s="75"/>
      <c r="AT595" s="84"/>
    </row>
    <row r="596" spans="2:46" s="72" customFormat="1" hidden="1" x14ac:dyDescent="0.25">
      <c r="B596" s="344" t="s">
        <v>52</v>
      </c>
      <c r="C596" s="74">
        <v>46036</v>
      </c>
      <c r="D596" s="341" t="s">
        <v>53</v>
      </c>
      <c r="E596" s="343" t="s">
        <v>828</v>
      </c>
      <c r="F596" s="75">
        <v>2512241122</v>
      </c>
      <c r="G596" s="341" t="s">
        <v>72</v>
      </c>
      <c r="H596" s="341" t="s">
        <v>829</v>
      </c>
      <c r="I596" s="341" t="s">
        <v>49</v>
      </c>
      <c r="J596" s="341" t="s">
        <v>46</v>
      </c>
      <c r="K596" s="364" t="s">
        <v>60</v>
      </c>
      <c r="L596" s="341" t="s">
        <v>47</v>
      </c>
      <c r="M596" s="380" t="e">
        <f t="shared" si="111"/>
        <v>#N/A</v>
      </c>
      <c r="N596" s="282" t="s">
        <v>62</v>
      </c>
      <c r="O596" s="78">
        <v>10010153</v>
      </c>
      <c r="P596" s="42" t="str">
        <f>VLOOKUP(O596,[1]Feuil2!$A:$M,5,FALSE)</f>
        <v>OFFICE CERAMIQUE SIPLEC10300664 LAME BLANCHE BLISTER PEGB</v>
      </c>
      <c r="Q596" s="75">
        <v>12006</v>
      </c>
      <c r="R596" s="79">
        <v>0.85399999999999998</v>
      </c>
      <c r="S596" s="80">
        <f t="shared" si="112"/>
        <v>10253.124</v>
      </c>
      <c r="T596" s="81">
        <f t="shared" si="102"/>
        <v>58869.792000000001</v>
      </c>
      <c r="U596" s="139"/>
      <c r="V596" s="82">
        <f t="shared" si="113"/>
        <v>58869.792000000001</v>
      </c>
      <c r="W596" s="9">
        <f>VLOOKUP(O596,[1]Feuil2!$A:$M,6,FALSE)</f>
        <v>18</v>
      </c>
      <c r="X596" s="10">
        <f>VLOOKUP(O596,[1]Feuil2!$A:$M,13,FALSE)</f>
        <v>1.0559249999999997E-2</v>
      </c>
      <c r="Y596" s="11">
        <f t="shared" ref="Y596:Y659" si="117">(Q596/W596)*X596</f>
        <v>7.0430197499999982</v>
      </c>
      <c r="Z596" s="83">
        <f t="shared" si="114"/>
        <v>61.963979249999994</v>
      </c>
      <c r="AA596" s="27" t="s">
        <v>48</v>
      </c>
      <c r="AB596" s="22" t="s">
        <v>48</v>
      </c>
      <c r="AC596" s="75" t="s">
        <v>48</v>
      </c>
      <c r="AD596" s="75" t="s">
        <v>48</v>
      </c>
      <c r="AE596" s="75" t="s">
        <v>48</v>
      </c>
      <c r="AF596" s="277" t="s">
        <v>49</v>
      </c>
      <c r="AG596" s="13"/>
      <c r="AH596" s="84"/>
      <c r="AI596" s="134">
        <v>46137</v>
      </c>
      <c r="AJ596" s="144" t="e">
        <f t="shared" ca="1" si="116"/>
        <v>#NUM!</v>
      </c>
      <c r="AK596" s="85" t="e">
        <f>VLOOKUP(AP596,'[2]CONTENEUR PLEIN'!$F:$L,3,FALSE)</f>
        <v>#N/A</v>
      </c>
      <c r="AL596" s="86" t="e">
        <f>VLOOKUP(AP596,'[2]CONTENEUR PLEIN'!$F:$L,5,FALSE)</f>
        <v>#N/A</v>
      </c>
      <c r="AM596" s="15" t="e">
        <f>VLOOKUP(AP596,'[2]CONTENEUR PLEIN'!$F:$L,7,FALSE)</f>
        <v>#N/A</v>
      </c>
      <c r="AN596" s="284" t="s">
        <v>63</v>
      </c>
      <c r="AO596" s="75"/>
      <c r="AP596" s="75"/>
      <c r="AQ596" s="75"/>
      <c r="AR596" s="75" t="e">
        <f>VLOOKUP(AP596,'[2]CONTENEUR PLEIN'!$F:$L,2,FALSE)</f>
        <v>#N/A</v>
      </c>
      <c r="AS596" s="75"/>
      <c r="AT596" s="84"/>
    </row>
    <row r="597" spans="2:46" s="72" customFormat="1" hidden="1" x14ac:dyDescent="0.25">
      <c r="B597" s="344" t="s">
        <v>52</v>
      </c>
      <c r="C597" s="74">
        <v>46036</v>
      </c>
      <c r="D597" s="341" t="s">
        <v>53</v>
      </c>
      <c r="E597" s="343" t="s">
        <v>828</v>
      </c>
      <c r="F597" s="75">
        <v>2512241122</v>
      </c>
      <c r="G597" s="341" t="s">
        <v>72</v>
      </c>
      <c r="H597" s="341" t="s">
        <v>829</v>
      </c>
      <c r="I597" s="341" t="s">
        <v>49</v>
      </c>
      <c r="J597" s="341" t="s">
        <v>46</v>
      </c>
      <c r="K597" s="364" t="s">
        <v>60</v>
      </c>
      <c r="L597" s="341" t="s">
        <v>47</v>
      </c>
      <c r="M597" s="380" t="e">
        <f t="shared" si="111"/>
        <v>#N/A</v>
      </c>
      <c r="N597" s="282" t="s">
        <v>62</v>
      </c>
      <c r="O597" s="78">
        <v>10010154</v>
      </c>
      <c r="P597" s="42" t="str">
        <f>VLOOKUP(O597,[1]Feuil2!$A:$M,5,FALSE)</f>
        <v>CUISINE CERAMIQUE SIPLEC10300663 LAME BLANCHE BLISTER PEGB</v>
      </c>
      <c r="Q597" s="75">
        <v>15012</v>
      </c>
      <c r="R597" s="79">
        <v>1.4159999999999999</v>
      </c>
      <c r="S597" s="80">
        <f t="shared" si="112"/>
        <v>21256.991999999998</v>
      </c>
      <c r="T597" s="81">
        <f t="shared" si="102"/>
        <v>58869.792000000001</v>
      </c>
      <c r="U597" s="139"/>
      <c r="V597" s="82">
        <f t="shared" si="113"/>
        <v>58869.792000000001</v>
      </c>
      <c r="W597" s="9">
        <f>VLOOKUP(O597,[1]Feuil2!$A:$M,6,FALSE)</f>
        <v>18</v>
      </c>
      <c r="X597" s="10">
        <f>VLOOKUP(O597,[1]Feuil2!$A:$M,13,FALSE)</f>
        <v>1.7225999999999998E-2</v>
      </c>
      <c r="Y597" s="11">
        <f t="shared" si="117"/>
        <v>14.366483999999998</v>
      </c>
      <c r="Z597" s="83">
        <f t="shared" si="114"/>
        <v>61.963979249999994</v>
      </c>
      <c r="AA597" s="27" t="s">
        <v>48</v>
      </c>
      <c r="AB597" s="22" t="s">
        <v>48</v>
      </c>
      <c r="AC597" s="75" t="s">
        <v>48</v>
      </c>
      <c r="AD597" s="75" t="s">
        <v>48</v>
      </c>
      <c r="AE597" s="75" t="s">
        <v>48</v>
      </c>
      <c r="AF597" s="277" t="s">
        <v>49</v>
      </c>
      <c r="AG597" s="13"/>
      <c r="AH597" s="84"/>
      <c r="AI597" s="134">
        <v>46137</v>
      </c>
      <c r="AJ597" s="144" t="e">
        <f t="shared" ca="1" si="116"/>
        <v>#NUM!</v>
      </c>
      <c r="AK597" s="85" t="e">
        <f>VLOOKUP(AP597,'[2]CONTENEUR PLEIN'!$F:$L,3,FALSE)</f>
        <v>#N/A</v>
      </c>
      <c r="AL597" s="86" t="e">
        <f>VLOOKUP(AP597,'[2]CONTENEUR PLEIN'!$F:$L,5,FALSE)</f>
        <v>#N/A</v>
      </c>
      <c r="AM597" s="15" t="e">
        <f>VLOOKUP(AP597,'[2]CONTENEUR PLEIN'!$F:$L,7,FALSE)</f>
        <v>#N/A</v>
      </c>
      <c r="AN597" s="284" t="s">
        <v>63</v>
      </c>
      <c r="AO597" s="75"/>
      <c r="AP597" s="75"/>
      <c r="AQ597" s="75"/>
      <c r="AR597" s="75" t="e">
        <f>VLOOKUP(AP597,'[2]CONTENEUR PLEIN'!$F:$L,2,FALSE)</f>
        <v>#N/A</v>
      </c>
      <c r="AS597" s="75"/>
      <c r="AT597" s="84"/>
    </row>
    <row r="598" spans="2:46" s="72" customFormat="1" hidden="1" x14ac:dyDescent="0.25">
      <c r="B598" s="344" t="s">
        <v>52</v>
      </c>
      <c r="C598" s="74">
        <v>46036</v>
      </c>
      <c r="D598" s="341" t="s">
        <v>53</v>
      </c>
      <c r="E598" s="343" t="s">
        <v>828</v>
      </c>
      <c r="F598" s="75">
        <v>2512241122</v>
      </c>
      <c r="G598" s="341" t="s">
        <v>72</v>
      </c>
      <c r="H598" s="341" t="s">
        <v>829</v>
      </c>
      <c r="I598" s="341" t="s">
        <v>49</v>
      </c>
      <c r="J598" s="341" t="s">
        <v>46</v>
      </c>
      <c r="K598" s="364" t="s">
        <v>60</v>
      </c>
      <c r="L598" s="341" t="s">
        <v>47</v>
      </c>
      <c r="M598" s="380" t="e">
        <f t="shared" si="111"/>
        <v>#N/A</v>
      </c>
      <c r="N598" s="282" t="s">
        <v>62</v>
      </c>
      <c r="O598" s="78">
        <v>10010155</v>
      </c>
      <c r="P598" s="42" t="str">
        <f>VLOOKUP(O598,[1]Feuil2!$A:$M,5,FALSE)</f>
        <v>CHEF 15 CERAMIQUE SIPLEC10300662 LAME BLANCHE BLISTER PEGB</v>
      </c>
      <c r="Q598" s="75">
        <v>6012</v>
      </c>
      <c r="R598" s="79">
        <v>1.7270000000000001</v>
      </c>
      <c r="S598" s="80">
        <f t="shared" si="112"/>
        <v>10382.724</v>
      </c>
      <c r="T598" s="81">
        <f t="shared" si="102"/>
        <v>58869.792000000001</v>
      </c>
      <c r="U598" s="139"/>
      <c r="V598" s="82">
        <f t="shared" si="113"/>
        <v>58869.792000000001</v>
      </c>
      <c r="W598" s="9">
        <f>VLOOKUP(O598,[1]Feuil2!$A:$M,6,FALSE)</f>
        <v>18</v>
      </c>
      <c r="X598" s="10">
        <f>VLOOKUP(O598,[1]Feuil2!$A:$M,13,FALSE)</f>
        <v>1.8944000000000003E-2</v>
      </c>
      <c r="Y598" s="11">
        <f t="shared" si="117"/>
        <v>6.3272960000000005</v>
      </c>
      <c r="Z598" s="83">
        <f t="shared" si="114"/>
        <v>61.963979249999994</v>
      </c>
      <c r="AA598" s="27" t="s">
        <v>48</v>
      </c>
      <c r="AB598" s="22" t="s">
        <v>48</v>
      </c>
      <c r="AC598" s="75" t="s">
        <v>48</v>
      </c>
      <c r="AD598" s="75" t="s">
        <v>48</v>
      </c>
      <c r="AE598" s="75" t="s">
        <v>48</v>
      </c>
      <c r="AF598" s="277" t="s">
        <v>49</v>
      </c>
      <c r="AG598" s="13"/>
      <c r="AH598" s="84"/>
      <c r="AI598" s="134">
        <v>46137</v>
      </c>
      <c r="AJ598" s="144" t="e">
        <f t="shared" ca="1" si="116"/>
        <v>#NUM!</v>
      </c>
      <c r="AK598" s="85" t="e">
        <f>VLOOKUP(AP598,'[2]CONTENEUR PLEIN'!$F:$L,3,FALSE)</f>
        <v>#N/A</v>
      </c>
      <c r="AL598" s="86" t="e">
        <f>VLOOKUP(AP598,'[2]CONTENEUR PLEIN'!$F:$L,5,FALSE)</f>
        <v>#N/A</v>
      </c>
      <c r="AM598" s="15" t="e">
        <f>VLOOKUP(AP598,'[2]CONTENEUR PLEIN'!$F:$L,7,FALSE)</f>
        <v>#N/A</v>
      </c>
      <c r="AN598" s="284" t="s">
        <v>63</v>
      </c>
      <c r="AO598" s="75"/>
      <c r="AP598" s="75"/>
      <c r="AQ598" s="75"/>
      <c r="AR598" s="75" t="e">
        <f>VLOOKUP(AP598,'[2]CONTENEUR PLEIN'!$F:$L,2,FALSE)</f>
        <v>#N/A</v>
      </c>
      <c r="AS598" s="75"/>
      <c r="AT598" s="84"/>
    </row>
    <row r="599" spans="2:46" s="72" customFormat="1" hidden="1" x14ac:dyDescent="0.25">
      <c r="B599" s="344" t="s">
        <v>52</v>
      </c>
      <c r="C599" s="74">
        <v>46036</v>
      </c>
      <c r="D599" s="341" t="s">
        <v>53</v>
      </c>
      <c r="E599" s="343" t="s">
        <v>828</v>
      </c>
      <c r="F599" s="75">
        <v>2512241122</v>
      </c>
      <c r="G599" s="341" t="s">
        <v>72</v>
      </c>
      <c r="H599" s="341" t="s">
        <v>829</v>
      </c>
      <c r="I599" s="341" t="s">
        <v>49</v>
      </c>
      <c r="J599" s="341" t="s">
        <v>46</v>
      </c>
      <c r="K599" s="364" t="s">
        <v>60</v>
      </c>
      <c r="L599" s="341" t="s">
        <v>47</v>
      </c>
      <c r="M599" s="380" t="e">
        <f t="shared" si="111"/>
        <v>#N/A</v>
      </c>
      <c r="N599" s="282" t="s">
        <v>62</v>
      </c>
      <c r="O599" s="78">
        <v>10010196</v>
      </c>
      <c r="P599" s="42" t="str">
        <f>VLOOKUP(O599,[1]Feuil2!$A:$M,5,FALSE)</f>
        <v>EPLUCHEUR UNIVERSAL CERAMIC CRF SS BLISTER PEGB</v>
      </c>
      <c r="Q599" s="75">
        <v>16002</v>
      </c>
      <c r="R599" s="79">
        <v>0.36899999999999999</v>
      </c>
      <c r="S599" s="80">
        <f t="shared" si="112"/>
        <v>5904.7380000000003</v>
      </c>
      <c r="T599" s="81">
        <f t="shared" si="102"/>
        <v>58869.792000000001</v>
      </c>
      <c r="U599" s="139"/>
      <c r="V599" s="82">
        <f t="shared" si="113"/>
        <v>58869.792000000001</v>
      </c>
      <c r="W599" s="9">
        <f>VLOOKUP(O599,[1]Feuil2!$A:$M,6,FALSE)</f>
        <v>18</v>
      </c>
      <c r="X599" s="10">
        <f>VLOOKUP(O599,[1]Feuil2!$A:$M,13,FALSE)</f>
        <v>1.16375E-2</v>
      </c>
      <c r="Y599" s="11">
        <f t="shared" si="117"/>
        <v>10.3457375</v>
      </c>
      <c r="Z599" s="83">
        <f t="shared" si="114"/>
        <v>61.963979249999994</v>
      </c>
      <c r="AA599" s="27" t="s">
        <v>48</v>
      </c>
      <c r="AB599" s="22" t="s">
        <v>48</v>
      </c>
      <c r="AC599" s="75" t="s">
        <v>48</v>
      </c>
      <c r="AD599" s="75" t="s">
        <v>48</v>
      </c>
      <c r="AE599" s="75" t="s">
        <v>48</v>
      </c>
      <c r="AF599" s="277" t="s">
        <v>49</v>
      </c>
      <c r="AG599" s="13"/>
      <c r="AH599" s="84"/>
      <c r="AI599" s="134">
        <v>46137</v>
      </c>
      <c r="AJ599" s="144" t="e">
        <f t="shared" ca="1" si="116"/>
        <v>#NUM!</v>
      </c>
      <c r="AK599" s="85" t="e">
        <f>VLOOKUP(AP599,'[2]CONTENEUR PLEIN'!$F:$L,3,FALSE)</f>
        <v>#N/A</v>
      </c>
      <c r="AL599" s="86" t="e">
        <f>VLOOKUP(AP599,'[2]CONTENEUR PLEIN'!$F:$L,5,FALSE)</f>
        <v>#N/A</v>
      </c>
      <c r="AM599" s="15" t="e">
        <f>VLOOKUP(AP599,'[2]CONTENEUR PLEIN'!$F:$L,7,FALSE)</f>
        <v>#N/A</v>
      </c>
      <c r="AN599" s="284" t="s">
        <v>63</v>
      </c>
      <c r="AO599" s="75"/>
      <c r="AP599" s="75"/>
      <c r="AQ599" s="75"/>
      <c r="AR599" s="75" t="e">
        <f>VLOOKUP(AP599,'[2]CONTENEUR PLEIN'!$F:$L,2,FALSE)</f>
        <v>#N/A</v>
      </c>
      <c r="AS599" s="75"/>
      <c r="AT599" s="84"/>
    </row>
    <row r="600" spans="2:46" s="72" customFormat="1" ht="15" hidden="1" customHeight="1" x14ac:dyDescent="0.25">
      <c r="B600" s="375" t="s">
        <v>45</v>
      </c>
      <c r="C600" s="74">
        <v>46048</v>
      </c>
      <c r="D600" s="75">
        <v>26013</v>
      </c>
      <c r="E600" s="376" t="s">
        <v>878</v>
      </c>
      <c r="F600" s="75">
        <v>2512241134</v>
      </c>
      <c r="G600" s="377" t="s">
        <v>74</v>
      </c>
      <c r="H600" s="377" t="s">
        <v>829</v>
      </c>
      <c r="I600" s="377" t="s">
        <v>49</v>
      </c>
      <c r="J600" s="377" t="s">
        <v>46</v>
      </c>
      <c r="K600" s="377" t="s">
        <v>60</v>
      </c>
      <c r="L600" s="377" t="s">
        <v>47</v>
      </c>
      <c r="M600" s="380" t="e">
        <f t="shared" si="111"/>
        <v>#N/A</v>
      </c>
      <c r="N600" s="77" t="s">
        <v>49</v>
      </c>
      <c r="O600" s="78">
        <v>445706</v>
      </c>
      <c r="P600" s="42" t="str">
        <f>VLOOKUP(O600,[1]Feuil2!$A:$M,5,FALSE)</f>
        <v>BEURRE ACIDULE BEE COUL PANACH EN BTE DE 12</v>
      </c>
      <c r="Q600" s="75">
        <v>25056</v>
      </c>
      <c r="R600" s="79">
        <v>0.30399999999999999</v>
      </c>
      <c r="S600" s="80">
        <f t="shared" si="112"/>
        <v>7617.0239999999994</v>
      </c>
      <c r="T600" s="81">
        <f t="shared" si="102"/>
        <v>212703.09599999996</v>
      </c>
      <c r="U600" s="139"/>
      <c r="V600" s="82">
        <f t="shared" si="113"/>
        <v>212703.09599999996</v>
      </c>
      <c r="W600" s="9">
        <f>VLOOKUP(O600,[1]Feuil2!$A:$M,6,FALSE)</f>
        <v>144</v>
      </c>
      <c r="X600" s="10">
        <f>VLOOKUP(O600,[1]Feuil2!$A:$M,13,FALSE)</f>
        <v>1.0142999999999999E-2</v>
      </c>
      <c r="Y600" s="11">
        <f t="shared" si="117"/>
        <v>1.7648819999999998</v>
      </c>
      <c r="Z600" s="83">
        <f t="shared" si="114"/>
        <v>121.76061962500002</v>
      </c>
      <c r="AA600" s="66" t="s">
        <v>61</v>
      </c>
      <c r="AB600" s="28" t="s">
        <v>61</v>
      </c>
      <c r="AC600" s="75"/>
      <c r="AD600" s="28" t="s">
        <v>61</v>
      </c>
      <c r="AE600" s="14"/>
      <c r="AF600" s="13"/>
      <c r="AG600" s="13"/>
      <c r="AH600" s="84"/>
      <c r="AI600" s="134">
        <v>46142</v>
      </c>
      <c r="AJ600" s="144" t="e">
        <f t="shared" ca="1" si="116"/>
        <v>#NUM!</v>
      </c>
      <c r="AK600" s="85" t="e">
        <f>VLOOKUP(AP600,'[2]CONTENEUR PLEIN'!$F:$L,3,FALSE)</f>
        <v>#N/A</v>
      </c>
      <c r="AL600" s="86" t="e">
        <f>VLOOKUP(AP600,'[2]CONTENEUR PLEIN'!$F:$L,5,FALSE)</f>
        <v>#N/A</v>
      </c>
      <c r="AM600" s="15" t="e">
        <f>VLOOKUP(AP600,'[2]CONTENEUR PLEIN'!$F:$L,7,FALSE)</f>
        <v>#N/A</v>
      </c>
      <c r="AN600" s="284" t="s">
        <v>63</v>
      </c>
      <c r="AO600" s="75"/>
      <c r="AP600" s="75"/>
      <c r="AQ600" s="75"/>
      <c r="AR600" s="75" t="e">
        <f>VLOOKUP(AP600,'[2]CONTENEUR PLEIN'!$F:$L,2,FALSE)</f>
        <v>#N/A</v>
      </c>
      <c r="AS600" s="75"/>
      <c r="AT600" s="84"/>
    </row>
    <row r="601" spans="2:46" s="72" customFormat="1" hidden="1" x14ac:dyDescent="0.25">
      <c r="B601" s="375" t="s">
        <v>45</v>
      </c>
      <c r="C601" s="74">
        <v>46048</v>
      </c>
      <c r="D601" s="75">
        <v>26013</v>
      </c>
      <c r="E601" s="376" t="s">
        <v>878</v>
      </c>
      <c r="F601" s="75">
        <v>2512241134</v>
      </c>
      <c r="G601" s="377" t="s">
        <v>74</v>
      </c>
      <c r="H601" s="377" t="s">
        <v>829</v>
      </c>
      <c r="I601" s="377" t="s">
        <v>49</v>
      </c>
      <c r="J601" s="377" t="s">
        <v>46</v>
      </c>
      <c r="K601" s="377" t="s">
        <v>60</v>
      </c>
      <c r="L601" s="377" t="s">
        <v>47</v>
      </c>
      <c r="M601" s="380" t="e">
        <f t="shared" si="111"/>
        <v>#N/A</v>
      </c>
      <c r="N601" s="77" t="s">
        <v>49</v>
      </c>
      <c r="O601" s="78">
        <v>430535</v>
      </c>
      <c r="P601" s="42" t="str">
        <f>VLOOKUP(O601,[1]Feuil2!$A:$M,5,FALSE)</f>
        <v>FETTE AMANDE BLEU+GENCOD</v>
      </c>
      <c r="Q601" s="75">
        <v>5280</v>
      </c>
      <c r="R601" s="79">
        <v>0.20499999999999999</v>
      </c>
      <c r="S601" s="80">
        <f t="shared" si="112"/>
        <v>1082.3999999999999</v>
      </c>
      <c r="T601" s="81">
        <f t="shared" si="102"/>
        <v>212703.09599999996</v>
      </c>
      <c r="U601" s="139"/>
      <c r="V601" s="82">
        <f t="shared" si="113"/>
        <v>212703.09599999996</v>
      </c>
      <c r="W601" s="9">
        <f>VLOOKUP(O601,[1]Feuil2!$A:$M,6,FALSE)</f>
        <v>240</v>
      </c>
      <c r="X601" s="10">
        <f>VLOOKUP(O601,[1]Feuil2!$A:$M,13,FALSE)</f>
        <v>2.4528000000000005E-2</v>
      </c>
      <c r="Y601" s="11">
        <f t="shared" si="117"/>
        <v>0.5396160000000001</v>
      </c>
      <c r="Z601" s="83">
        <f t="shared" si="114"/>
        <v>121.76061962500002</v>
      </c>
      <c r="AA601" s="66" t="s">
        <v>61</v>
      </c>
      <c r="AB601" s="28" t="s">
        <v>61</v>
      </c>
      <c r="AC601" s="75"/>
      <c r="AD601" s="28" t="s">
        <v>61</v>
      </c>
      <c r="AE601" s="14"/>
      <c r="AF601" s="13"/>
      <c r="AG601" s="13"/>
      <c r="AH601" s="84"/>
      <c r="AI601" s="134">
        <v>46142</v>
      </c>
      <c r="AJ601" s="144" t="e">
        <f t="shared" ca="1" si="116"/>
        <v>#NUM!</v>
      </c>
      <c r="AK601" s="85" t="e">
        <f>VLOOKUP(AP601,'[2]CONTENEUR PLEIN'!$F:$L,3,FALSE)</f>
        <v>#N/A</v>
      </c>
      <c r="AL601" s="86" t="e">
        <f>VLOOKUP(AP601,'[2]CONTENEUR PLEIN'!$F:$L,5,FALSE)</f>
        <v>#N/A</v>
      </c>
      <c r="AM601" s="15" t="e">
        <f>VLOOKUP(AP601,'[2]CONTENEUR PLEIN'!$F:$L,7,FALSE)</f>
        <v>#N/A</v>
      </c>
      <c r="AN601" s="284" t="s">
        <v>63</v>
      </c>
      <c r="AO601" s="75"/>
      <c r="AP601" s="75"/>
      <c r="AQ601" s="75"/>
      <c r="AR601" s="75" t="e">
        <f>VLOOKUP(AP601,'[2]CONTENEUR PLEIN'!$F:$L,2,FALSE)</f>
        <v>#N/A</v>
      </c>
      <c r="AS601" s="75"/>
      <c r="AT601" s="84"/>
    </row>
    <row r="602" spans="2:46" s="72" customFormat="1" hidden="1" x14ac:dyDescent="0.25">
      <c r="B602" s="375" t="s">
        <v>45</v>
      </c>
      <c r="C602" s="74">
        <v>46048</v>
      </c>
      <c r="D602" s="75">
        <v>26013</v>
      </c>
      <c r="E602" s="376" t="s">
        <v>878</v>
      </c>
      <c r="F602" s="75">
        <v>2512241134</v>
      </c>
      <c r="G602" s="377" t="s">
        <v>74</v>
      </c>
      <c r="H602" s="377" t="s">
        <v>829</v>
      </c>
      <c r="I602" s="377" t="s">
        <v>49</v>
      </c>
      <c r="J602" s="377" t="s">
        <v>46</v>
      </c>
      <c r="K602" s="377" t="s">
        <v>60</v>
      </c>
      <c r="L602" s="377" t="s">
        <v>47</v>
      </c>
      <c r="M602" s="380" t="e">
        <f t="shared" si="111"/>
        <v>#N/A</v>
      </c>
      <c r="N602" s="77" t="s">
        <v>49</v>
      </c>
      <c r="O602" s="78">
        <v>31260012</v>
      </c>
      <c r="P602" s="42" t="str">
        <f>VLOOKUP(O602,[1]Feuil2!$A:$M,5,FALSE)</f>
        <v>FOURCHETTE COTTAGE RUBIS + GENCOD</v>
      </c>
      <c r="Q602" s="75">
        <v>3840</v>
      </c>
      <c r="R602" s="79">
        <v>0.217</v>
      </c>
      <c r="S602" s="80">
        <f t="shared" si="112"/>
        <v>833.28</v>
      </c>
      <c r="T602" s="81">
        <f t="shared" ref="T602:T665" si="118">SUMIF($E$5:$E$9257,E602,$S$5:$S$9257)</f>
        <v>212703.09599999996</v>
      </c>
      <c r="U602" s="139"/>
      <c r="V602" s="82">
        <f t="shared" si="113"/>
        <v>212703.09599999996</v>
      </c>
      <c r="W602" s="9">
        <f>VLOOKUP(O602,[1]Feuil2!$A:$M,6,FALSE)</f>
        <v>240</v>
      </c>
      <c r="X602" s="10">
        <f>VLOOKUP(O602,[1]Feuil2!$A:$M,13,FALSE)</f>
        <v>2.9951999999999996E-2</v>
      </c>
      <c r="Y602" s="11">
        <f t="shared" si="117"/>
        <v>0.47923199999999994</v>
      </c>
      <c r="Z602" s="83">
        <f t="shared" si="114"/>
        <v>121.76061962500002</v>
      </c>
      <c r="AA602" s="66" t="s">
        <v>61</v>
      </c>
      <c r="AB602" s="28" t="s">
        <v>61</v>
      </c>
      <c r="AC602" s="75"/>
      <c r="AD602" s="28" t="s">
        <v>61</v>
      </c>
      <c r="AE602" s="14"/>
      <c r="AF602" s="13"/>
      <c r="AG602" s="13"/>
      <c r="AH602" s="84"/>
      <c r="AI602" s="134">
        <v>46142</v>
      </c>
      <c r="AJ602" s="144" t="e">
        <f t="shared" ca="1" si="116"/>
        <v>#NUM!</v>
      </c>
      <c r="AK602" s="85" t="e">
        <f>VLOOKUP(AP602,'[2]CONTENEUR PLEIN'!$F:$L,3,FALSE)</f>
        <v>#N/A</v>
      </c>
      <c r="AL602" s="86" t="e">
        <f>VLOOKUP(AP602,'[2]CONTENEUR PLEIN'!$F:$L,5,FALSE)</f>
        <v>#N/A</v>
      </c>
      <c r="AM602" s="15" t="e">
        <f>VLOOKUP(AP602,'[2]CONTENEUR PLEIN'!$F:$L,7,FALSE)</f>
        <v>#N/A</v>
      </c>
      <c r="AN602" s="284" t="s">
        <v>63</v>
      </c>
      <c r="AO602" s="75"/>
      <c r="AP602" s="75"/>
      <c r="AQ602" s="75"/>
      <c r="AR602" s="75" t="e">
        <f>VLOOKUP(AP602,'[2]CONTENEUR PLEIN'!$F:$L,2,FALSE)</f>
        <v>#N/A</v>
      </c>
      <c r="AS602" s="75"/>
      <c r="AT602" s="84"/>
    </row>
    <row r="603" spans="2:46" s="72" customFormat="1" hidden="1" x14ac:dyDescent="0.25">
      <c r="B603" s="375" t="s">
        <v>45</v>
      </c>
      <c r="C603" s="74">
        <v>46048</v>
      </c>
      <c r="D603" s="75">
        <v>26013</v>
      </c>
      <c r="E603" s="376" t="s">
        <v>878</v>
      </c>
      <c r="F603" s="75">
        <v>2512241134</v>
      </c>
      <c r="G603" s="377" t="s">
        <v>74</v>
      </c>
      <c r="H603" s="377" t="s">
        <v>829</v>
      </c>
      <c r="I603" s="377" t="s">
        <v>49</v>
      </c>
      <c r="J603" s="377" t="s">
        <v>46</v>
      </c>
      <c r="K603" s="377" t="s">
        <v>60</v>
      </c>
      <c r="L603" s="377" t="s">
        <v>47</v>
      </c>
      <c r="M603" s="380" t="e">
        <f t="shared" si="111"/>
        <v>#N/A</v>
      </c>
      <c r="N603" s="77" t="s">
        <v>49</v>
      </c>
      <c r="O603" s="78">
        <v>31260014</v>
      </c>
      <c r="P603" s="42" t="str">
        <f>VLOOKUP(O603,[1]Feuil2!$A:$M,5,FALSE)</f>
        <v>CAFE COTTAGE RUBIS + GENCOD</v>
      </c>
      <c r="Q603" s="75">
        <v>3840</v>
      </c>
      <c r="R603" s="79">
        <v>0.193</v>
      </c>
      <c r="S603" s="80">
        <f t="shared" si="112"/>
        <v>741.12</v>
      </c>
      <c r="T603" s="81">
        <f t="shared" si="118"/>
        <v>212703.09599999996</v>
      </c>
      <c r="U603" s="139"/>
      <c r="V603" s="82">
        <f t="shared" si="113"/>
        <v>212703.09599999996</v>
      </c>
      <c r="W603" s="9">
        <f>VLOOKUP(O603,[1]Feuil2!$A:$M,6,FALSE)</f>
        <v>240</v>
      </c>
      <c r="X603" s="10">
        <f>VLOOKUP(O603,[1]Feuil2!$A:$M,13,FALSE)</f>
        <v>2.1704374999999998E-2</v>
      </c>
      <c r="Y603" s="11">
        <f t="shared" si="117"/>
        <v>0.34726999999999997</v>
      </c>
      <c r="Z603" s="83">
        <f t="shared" si="114"/>
        <v>121.76061962500002</v>
      </c>
      <c r="AA603" s="66" t="s">
        <v>61</v>
      </c>
      <c r="AB603" s="28" t="s">
        <v>61</v>
      </c>
      <c r="AC603" s="75"/>
      <c r="AD603" s="28" t="s">
        <v>61</v>
      </c>
      <c r="AE603" s="14"/>
      <c r="AF603" s="13"/>
      <c r="AG603" s="13"/>
      <c r="AH603" s="84"/>
      <c r="AI603" s="134">
        <v>46142</v>
      </c>
      <c r="AJ603" s="144" t="e">
        <f t="shared" ca="1" si="116"/>
        <v>#NUM!</v>
      </c>
      <c r="AK603" s="85" t="e">
        <f>VLOOKUP(AP603,'[2]CONTENEUR PLEIN'!$F:$L,3,FALSE)</f>
        <v>#N/A</v>
      </c>
      <c r="AL603" s="86" t="e">
        <f>VLOOKUP(AP603,'[2]CONTENEUR PLEIN'!$F:$L,5,FALSE)</f>
        <v>#N/A</v>
      </c>
      <c r="AM603" s="15" t="e">
        <f>VLOOKUP(AP603,'[2]CONTENEUR PLEIN'!$F:$L,7,FALSE)</f>
        <v>#N/A</v>
      </c>
      <c r="AN603" s="284" t="s">
        <v>63</v>
      </c>
      <c r="AO603" s="75"/>
      <c r="AP603" s="75"/>
      <c r="AQ603" s="75"/>
      <c r="AR603" s="75" t="e">
        <f>VLOOKUP(AP603,'[2]CONTENEUR PLEIN'!$F:$L,2,FALSE)</f>
        <v>#N/A</v>
      </c>
      <c r="AS603" s="75"/>
      <c r="AT603" s="84"/>
    </row>
    <row r="604" spans="2:46" s="72" customFormat="1" hidden="1" x14ac:dyDescent="0.25">
      <c r="B604" s="375" t="s">
        <v>45</v>
      </c>
      <c r="C604" s="74">
        <v>46048</v>
      </c>
      <c r="D604" s="75">
        <v>26013</v>
      </c>
      <c r="E604" s="376" t="s">
        <v>878</v>
      </c>
      <c r="F604" s="75">
        <v>2512241134</v>
      </c>
      <c r="G604" s="377" t="s">
        <v>74</v>
      </c>
      <c r="H604" s="377" t="s">
        <v>829</v>
      </c>
      <c r="I604" s="377" t="s">
        <v>49</v>
      </c>
      <c r="J604" s="377" t="s">
        <v>46</v>
      </c>
      <c r="K604" s="377" t="s">
        <v>60</v>
      </c>
      <c r="L604" s="377" t="s">
        <v>47</v>
      </c>
      <c r="M604" s="380" t="e">
        <f t="shared" si="111"/>
        <v>#N/A</v>
      </c>
      <c r="N604" s="77" t="s">
        <v>49</v>
      </c>
      <c r="O604" s="78">
        <v>31930018</v>
      </c>
      <c r="P604" s="42" t="str">
        <f>VLOOKUP(O604,[1]Feuil2!$A:$M,5,FALSE)</f>
        <v>CUILLERE DROP LIGHT WOOD</v>
      </c>
      <c r="Q604" s="75">
        <v>7680</v>
      </c>
      <c r="R604" s="79">
        <v>0.24</v>
      </c>
      <c r="S604" s="80">
        <f t="shared" si="112"/>
        <v>1843.1999999999998</v>
      </c>
      <c r="T604" s="81">
        <f t="shared" si="118"/>
        <v>212703.09599999996</v>
      </c>
      <c r="U604" s="139"/>
      <c r="V604" s="82">
        <f t="shared" si="113"/>
        <v>212703.09599999996</v>
      </c>
      <c r="W604" s="9">
        <f>VLOOKUP(O604,[1]Feuil2!$A:$M,6,FALSE)</f>
        <v>240</v>
      </c>
      <c r="X604" s="10">
        <f>VLOOKUP(O604,[1]Feuil2!$A:$M,13,FALSE)</f>
        <v>3.0800000000000001E-2</v>
      </c>
      <c r="Y604" s="11">
        <f t="shared" si="117"/>
        <v>0.98560000000000003</v>
      </c>
      <c r="Z604" s="83">
        <f t="shared" si="114"/>
        <v>121.76061962500002</v>
      </c>
      <c r="AA604" s="66" t="s">
        <v>61</v>
      </c>
      <c r="AB604" s="28" t="s">
        <v>61</v>
      </c>
      <c r="AC604" s="75"/>
      <c r="AD604" s="28" t="s">
        <v>61</v>
      </c>
      <c r="AE604" s="14"/>
      <c r="AF604" s="13"/>
      <c r="AG604" s="13"/>
      <c r="AH604" s="84"/>
      <c r="AI604" s="134">
        <v>46142</v>
      </c>
      <c r="AJ604" s="144" t="e">
        <f t="shared" ca="1" si="116"/>
        <v>#NUM!</v>
      </c>
      <c r="AK604" s="85" t="e">
        <f>VLOOKUP(AP604,'[2]CONTENEUR PLEIN'!$F:$L,3,FALSE)</f>
        <v>#N/A</v>
      </c>
      <c r="AL604" s="86" t="e">
        <f>VLOOKUP(AP604,'[2]CONTENEUR PLEIN'!$F:$L,5,FALSE)</f>
        <v>#N/A</v>
      </c>
      <c r="AM604" s="15" t="e">
        <f>VLOOKUP(AP604,'[2]CONTENEUR PLEIN'!$F:$L,7,FALSE)</f>
        <v>#N/A</v>
      </c>
      <c r="AN604" s="284" t="s">
        <v>63</v>
      </c>
      <c r="AO604" s="75"/>
      <c r="AP604" s="75"/>
      <c r="AQ604" s="75"/>
      <c r="AR604" s="75" t="e">
        <f>VLOOKUP(AP604,'[2]CONTENEUR PLEIN'!$F:$L,2,FALSE)</f>
        <v>#N/A</v>
      </c>
      <c r="AS604" s="75"/>
      <c r="AT604" s="84"/>
    </row>
    <row r="605" spans="2:46" s="72" customFormat="1" hidden="1" x14ac:dyDescent="0.25">
      <c r="B605" s="375" t="s">
        <v>45</v>
      </c>
      <c r="C605" s="74">
        <v>46048</v>
      </c>
      <c r="D605" s="75">
        <v>26013</v>
      </c>
      <c r="E605" s="376" t="s">
        <v>878</v>
      </c>
      <c r="F605" s="75">
        <v>2512241134</v>
      </c>
      <c r="G605" s="377" t="s">
        <v>74</v>
      </c>
      <c r="H605" s="377" t="s">
        <v>829</v>
      </c>
      <c r="I605" s="377" t="s">
        <v>49</v>
      </c>
      <c r="J605" s="377" t="s">
        <v>46</v>
      </c>
      <c r="K605" s="377" t="s">
        <v>60</v>
      </c>
      <c r="L605" s="377" t="s">
        <v>47</v>
      </c>
      <c r="M605" s="380" t="e">
        <f t="shared" si="111"/>
        <v>#N/A</v>
      </c>
      <c r="N605" s="77" t="s">
        <v>49</v>
      </c>
      <c r="O605" s="78">
        <v>30170026</v>
      </c>
      <c r="P605" s="42" t="str">
        <f>VLOOKUP(O605,[1]Feuil2!$A:$M,5,FALSE)</f>
        <v>CUILLERE LAG DUO NOIR+ GENCOD</v>
      </c>
      <c r="Q605" s="75">
        <v>1920</v>
      </c>
      <c r="R605" s="79">
        <v>0.32200000000000001</v>
      </c>
      <c r="S605" s="80">
        <f t="shared" si="112"/>
        <v>618.24</v>
      </c>
      <c r="T605" s="81">
        <f t="shared" si="118"/>
        <v>212703.09599999996</v>
      </c>
      <c r="U605" s="139"/>
      <c r="V605" s="82">
        <f t="shared" si="113"/>
        <v>212703.09599999996</v>
      </c>
      <c r="W605" s="9">
        <f>VLOOKUP(O605,[1]Feuil2!$A:$M,6,FALSE)</f>
        <v>240</v>
      </c>
      <c r="X605" s="10">
        <f>VLOOKUP(O605,[1]Feuil2!$A:$M,13,FALSE)</f>
        <v>2.9791999999999999E-2</v>
      </c>
      <c r="Y605" s="11">
        <f t="shared" si="117"/>
        <v>0.23833599999999999</v>
      </c>
      <c r="Z605" s="83">
        <f t="shared" si="114"/>
        <v>121.76061962500002</v>
      </c>
      <c r="AA605" s="66" t="s">
        <v>61</v>
      </c>
      <c r="AB605" s="28" t="s">
        <v>61</v>
      </c>
      <c r="AC605" s="75"/>
      <c r="AD605" s="28" t="s">
        <v>61</v>
      </c>
      <c r="AE605" s="14"/>
      <c r="AF605" s="13"/>
      <c r="AG605" s="13"/>
      <c r="AH605" s="84"/>
      <c r="AI605" s="134">
        <v>46142</v>
      </c>
      <c r="AJ605" s="144" t="e">
        <f t="shared" ca="1" si="116"/>
        <v>#NUM!</v>
      </c>
      <c r="AK605" s="85" t="e">
        <f>VLOOKUP(AP605,'[2]CONTENEUR PLEIN'!$F:$L,3,FALSE)</f>
        <v>#N/A</v>
      </c>
      <c r="AL605" s="86" t="e">
        <f>VLOOKUP(AP605,'[2]CONTENEUR PLEIN'!$F:$L,5,FALSE)</f>
        <v>#N/A</v>
      </c>
      <c r="AM605" s="15" t="e">
        <f>VLOOKUP(AP605,'[2]CONTENEUR PLEIN'!$F:$L,7,FALSE)</f>
        <v>#N/A</v>
      </c>
      <c r="AN605" s="284" t="s">
        <v>63</v>
      </c>
      <c r="AO605" s="75"/>
      <c r="AP605" s="75"/>
      <c r="AQ605" s="75"/>
      <c r="AR605" s="75" t="e">
        <f>VLOOKUP(AP605,'[2]CONTENEUR PLEIN'!$F:$L,2,FALSE)</f>
        <v>#N/A</v>
      </c>
      <c r="AS605" s="75"/>
      <c r="AT605" s="84"/>
    </row>
    <row r="606" spans="2:46" s="72" customFormat="1" hidden="1" x14ac:dyDescent="0.25">
      <c r="B606" s="375" t="s">
        <v>45</v>
      </c>
      <c r="C606" s="74">
        <v>46048</v>
      </c>
      <c r="D606" s="75">
        <v>26013</v>
      </c>
      <c r="E606" s="376" t="s">
        <v>878</v>
      </c>
      <c r="F606" s="75">
        <v>2512241134</v>
      </c>
      <c r="G606" s="377" t="s">
        <v>74</v>
      </c>
      <c r="H606" s="377" t="s">
        <v>829</v>
      </c>
      <c r="I606" s="377" t="s">
        <v>49</v>
      </c>
      <c r="J606" s="377" t="s">
        <v>46</v>
      </c>
      <c r="K606" s="377" t="s">
        <v>60</v>
      </c>
      <c r="L606" s="377" t="s">
        <v>47</v>
      </c>
      <c r="M606" s="380" t="e">
        <f t="shared" si="111"/>
        <v>#N/A</v>
      </c>
      <c r="N606" s="77" t="s">
        <v>49</v>
      </c>
      <c r="O606" s="78">
        <v>30170042</v>
      </c>
      <c r="P606" s="42" t="str">
        <f>VLOOKUP(O606,[1]Feuil2!$A:$M,5,FALSE)</f>
        <v>FOURCHETTE LAG DUO VERT FONCE 5615C VRAC + GENCOD</v>
      </c>
      <c r="Q606" s="75">
        <v>6000</v>
      </c>
      <c r="R606" s="79">
        <v>0.318</v>
      </c>
      <c r="S606" s="80">
        <f t="shared" si="112"/>
        <v>1908</v>
      </c>
      <c r="T606" s="81">
        <f t="shared" si="118"/>
        <v>212703.09599999996</v>
      </c>
      <c r="U606" s="139"/>
      <c r="V606" s="82">
        <f t="shared" si="113"/>
        <v>212703.09599999996</v>
      </c>
      <c r="W606" s="9">
        <f>VLOOKUP(O606,[1]Feuil2!$A:$M,6,FALSE)</f>
        <v>240</v>
      </c>
      <c r="X606" s="10">
        <f>VLOOKUP(O606,[1]Feuil2!$A:$M,13,FALSE)</f>
        <v>3.0318749999999998E-2</v>
      </c>
      <c r="Y606" s="11">
        <f t="shared" si="117"/>
        <v>0.75796874999999997</v>
      </c>
      <c r="Z606" s="83">
        <f t="shared" si="114"/>
        <v>121.76061962500002</v>
      </c>
      <c r="AA606" s="66" t="s">
        <v>61</v>
      </c>
      <c r="AB606" s="28" t="s">
        <v>61</v>
      </c>
      <c r="AC606" s="75"/>
      <c r="AD606" s="28" t="s">
        <v>61</v>
      </c>
      <c r="AE606" s="14"/>
      <c r="AF606" s="13"/>
      <c r="AG606" s="13"/>
      <c r="AH606" s="84"/>
      <c r="AI606" s="134">
        <v>46142</v>
      </c>
      <c r="AJ606" s="144" t="e">
        <f t="shared" ca="1" si="116"/>
        <v>#NUM!</v>
      </c>
      <c r="AK606" s="85" t="e">
        <f>VLOOKUP(AP606,'[2]CONTENEUR PLEIN'!$F:$L,3,FALSE)</f>
        <v>#N/A</v>
      </c>
      <c r="AL606" s="86" t="e">
        <f>VLOOKUP(AP606,'[2]CONTENEUR PLEIN'!$F:$L,5,FALSE)</f>
        <v>#N/A</v>
      </c>
      <c r="AM606" s="15" t="e">
        <f>VLOOKUP(AP606,'[2]CONTENEUR PLEIN'!$F:$L,7,FALSE)</f>
        <v>#N/A</v>
      </c>
      <c r="AN606" s="284" t="s">
        <v>63</v>
      </c>
      <c r="AO606" s="75"/>
      <c r="AP606" s="75"/>
      <c r="AQ606" s="75"/>
      <c r="AR606" s="75" t="e">
        <f>VLOOKUP(AP606,'[2]CONTENEUR PLEIN'!$F:$L,2,FALSE)</f>
        <v>#N/A</v>
      </c>
      <c r="AS606" s="75"/>
      <c r="AT606" s="84"/>
    </row>
    <row r="607" spans="2:46" s="72" customFormat="1" hidden="1" x14ac:dyDescent="0.25">
      <c r="B607" s="375" t="s">
        <v>45</v>
      </c>
      <c r="C607" s="74">
        <v>46048</v>
      </c>
      <c r="D607" s="75">
        <v>26013</v>
      </c>
      <c r="E607" s="376" t="s">
        <v>878</v>
      </c>
      <c r="F607" s="75">
        <v>2512241134</v>
      </c>
      <c r="G607" s="377" t="s">
        <v>74</v>
      </c>
      <c r="H607" s="377" t="s">
        <v>829</v>
      </c>
      <c r="I607" s="377" t="s">
        <v>49</v>
      </c>
      <c r="J607" s="377" t="s">
        <v>46</v>
      </c>
      <c r="K607" s="377" t="s">
        <v>60</v>
      </c>
      <c r="L607" s="377" t="s">
        <v>47</v>
      </c>
      <c r="M607" s="380" t="e">
        <f t="shared" si="111"/>
        <v>#N/A</v>
      </c>
      <c r="N607" s="77" t="s">
        <v>49</v>
      </c>
      <c r="O607" s="78">
        <v>30170044</v>
      </c>
      <c r="P607" s="42" t="str">
        <f>VLOOKUP(O607,[1]Feuil2!$A:$M,5,FALSE)</f>
        <v>CAFE LAG DUO VERT FONCE 5615C VRAC + GENCOD</v>
      </c>
      <c r="Q607" s="75">
        <v>5040</v>
      </c>
      <c r="R607" s="79">
        <v>0.248</v>
      </c>
      <c r="S607" s="80">
        <f t="shared" si="112"/>
        <v>1249.92</v>
      </c>
      <c r="T607" s="81">
        <f t="shared" si="118"/>
        <v>212703.09599999996</v>
      </c>
      <c r="U607" s="139"/>
      <c r="V607" s="82">
        <f t="shared" si="113"/>
        <v>212703.09599999996</v>
      </c>
      <c r="W607" s="9">
        <f>VLOOKUP(O607,[1]Feuil2!$A:$M,6,FALSE)</f>
        <v>240</v>
      </c>
      <c r="X607" s="10">
        <f>VLOOKUP(O607,[1]Feuil2!$A:$M,13,FALSE)</f>
        <v>2.1186750000000001E-2</v>
      </c>
      <c r="Y607" s="11">
        <f t="shared" si="117"/>
        <v>0.44492175</v>
      </c>
      <c r="Z607" s="83">
        <f t="shared" si="114"/>
        <v>121.76061962500002</v>
      </c>
      <c r="AA607" s="66" t="s">
        <v>61</v>
      </c>
      <c r="AB607" s="28" t="s">
        <v>61</v>
      </c>
      <c r="AC607" s="75"/>
      <c r="AD607" s="28" t="s">
        <v>61</v>
      </c>
      <c r="AE607" s="14"/>
      <c r="AF607" s="13"/>
      <c r="AG607" s="13"/>
      <c r="AH607" s="84"/>
      <c r="AI607" s="134">
        <v>46142</v>
      </c>
      <c r="AJ607" s="144" t="e">
        <f t="shared" ca="1" si="116"/>
        <v>#NUM!</v>
      </c>
      <c r="AK607" s="85" t="e">
        <f>VLOOKUP(AP607,'[2]CONTENEUR PLEIN'!$F:$L,3,FALSE)</f>
        <v>#N/A</v>
      </c>
      <c r="AL607" s="86" t="e">
        <f>VLOOKUP(AP607,'[2]CONTENEUR PLEIN'!$F:$L,5,FALSE)</f>
        <v>#N/A</v>
      </c>
      <c r="AM607" s="15" t="e">
        <f>VLOOKUP(AP607,'[2]CONTENEUR PLEIN'!$F:$L,7,FALSE)</f>
        <v>#N/A</v>
      </c>
      <c r="AN607" s="284" t="s">
        <v>63</v>
      </c>
      <c r="AO607" s="75"/>
      <c r="AP607" s="75"/>
      <c r="AQ607" s="75"/>
      <c r="AR607" s="75" t="e">
        <f>VLOOKUP(AP607,'[2]CONTENEUR PLEIN'!$F:$L,2,FALSE)</f>
        <v>#N/A</v>
      </c>
      <c r="AS607" s="75"/>
      <c r="AT607" s="84"/>
    </row>
    <row r="608" spans="2:46" s="72" customFormat="1" hidden="1" x14ac:dyDescent="0.25">
      <c r="B608" s="375" t="s">
        <v>45</v>
      </c>
      <c r="C608" s="74">
        <v>46048</v>
      </c>
      <c r="D608" s="75">
        <v>26013</v>
      </c>
      <c r="E608" s="376" t="s">
        <v>878</v>
      </c>
      <c r="F608" s="75">
        <v>2512241134</v>
      </c>
      <c r="G608" s="377" t="s">
        <v>74</v>
      </c>
      <c r="H608" s="377" t="s">
        <v>829</v>
      </c>
      <c r="I608" s="377" t="s">
        <v>49</v>
      </c>
      <c r="J608" s="377" t="s">
        <v>46</v>
      </c>
      <c r="K608" s="377" t="s">
        <v>60</v>
      </c>
      <c r="L608" s="377" t="s">
        <v>47</v>
      </c>
      <c r="M608" s="380" t="e">
        <f t="shared" si="111"/>
        <v>#N/A</v>
      </c>
      <c r="N608" s="77" t="s">
        <v>49</v>
      </c>
      <c r="O608" s="78">
        <v>30170029</v>
      </c>
      <c r="P608" s="42" t="str">
        <f>VLOOKUP(O608,[1]Feuil2!$A:$M,5,FALSE)</f>
        <v>FOURCHETTE LAG DUO ROUGE 200 C+ GENCOD</v>
      </c>
      <c r="Q608" s="75">
        <v>5280</v>
      </c>
      <c r="R608" s="79">
        <v>0.318</v>
      </c>
      <c r="S608" s="80">
        <f t="shared" si="112"/>
        <v>1679.04</v>
      </c>
      <c r="T608" s="81">
        <f t="shared" si="118"/>
        <v>212703.09599999996</v>
      </c>
      <c r="U608" s="139"/>
      <c r="V608" s="82">
        <f t="shared" si="113"/>
        <v>212703.09599999996</v>
      </c>
      <c r="W608" s="9">
        <f>VLOOKUP(O608,[1]Feuil2!$A:$M,6,FALSE)</f>
        <v>240</v>
      </c>
      <c r="X608" s="10">
        <f>VLOOKUP(O608,[1]Feuil2!$A:$M,13,FALSE)</f>
        <v>2.8940625000000001E-2</v>
      </c>
      <c r="Y608" s="11">
        <f t="shared" si="117"/>
        <v>0.63669375000000006</v>
      </c>
      <c r="Z608" s="83">
        <f t="shared" si="114"/>
        <v>121.76061962500002</v>
      </c>
      <c r="AA608" s="66" t="s">
        <v>61</v>
      </c>
      <c r="AB608" s="28" t="s">
        <v>61</v>
      </c>
      <c r="AC608" s="75"/>
      <c r="AD608" s="28" t="s">
        <v>61</v>
      </c>
      <c r="AE608" s="14"/>
      <c r="AF608" s="13"/>
      <c r="AG608" s="13"/>
      <c r="AH608" s="84"/>
      <c r="AI608" s="134">
        <v>46142</v>
      </c>
      <c r="AJ608" s="144" t="e">
        <f t="shared" ca="1" si="116"/>
        <v>#NUM!</v>
      </c>
      <c r="AK608" s="85" t="e">
        <f>VLOOKUP(AP608,'[2]CONTENEUR PLEIN'!$F:$L,3,FALSE)</f>
        <v>#N/A</v>
      </c>
      <c r="AL608" s="86" t="e">
        <f>VLOOKUP(AP608,'[2]CONTENEUR PLEIN'!$F:$L,5,FALSE)</f>
        <v>#N/A</v>
      </c>
      <c r="AM608" s="15" t="e">
        <f>VLOOKUP(AP608,'[2]CONTENEUR PLEIN'!$F:$L,7,FALSE)</f>
        <v>#N/A</v>
      </c>
      <c r="AN608" s="284" t="s">
        <v>63</v>
      </c>
      <c r="AO608" s="75"/>
      <c r="AP608" s="75"/>
      <c r="AQ608" s="75"/>
      <c r="AR608" s="75" t="e">
        <f>VLOOKUP(AP608,'[2]CONTENEUR PLEIN'!$F:$L,2,FALSE)</f>
        <v>#N/A</v>
      </c>
      <c r="AS608" s="75"/>
      <c r="AT608" s="84"/>
    </row>
    <row r="609" spans="1:46" s="72" customFormat="1" hidden="1" x14ac:dyDescent="0.25">
      <c r="B609" s="375" t="s">
        <v>45</v>
      </c>
      <c r="C609" s="74">
        <v>46048</v>
      </c>
      <c r="D609" s="75">
        <v>26013</v>
      </c>
      <c r="E609" s="376" t="s">
        <v>878</v>
      </c>
      <c r="F609" s="75">
        <v>2512241134</v>
      </c>
      <c r="G609" s="377" t="s">
        <v>74</v>
      </c>
      <c r="H609" s="377" t="s">
        <v>829</v>
      </c>
      <c r="I609" s="377" t="s">
        <v>49</v>
      </c>
      <c r="J609" s="377" t="s">
        <v>46</v>
      </c>
      <c r="K609" s="377" t="s">
        <v>60</v>
      </c>
      <c r="L609" s="377" t="s">
        <v>47</v>
      </c>
      <c r="M609" s="380" t="e">
        <f t="shared" si="111"/>
        <v>#N/A</v>
      </c>
      <c r="N609" s="282" t="s">
        <v>62</v>
      </c>
      <c r="O609" s="78">
        <v>21520002</v>
      </c>
      <c r="P609" s="42" t="str">
        <f>VLOOKUP(O609,[1]Feuil2!$A:$M,5,FALSE)</f>
        <v>M16 LAGUIOLE INTUITION SATINE EN BOITE LAGUIOLE</v>
      </c>
      <c r="Q609" s="75">
        <v>4002</v>
      </c>
      <c r="R609" s="79">
        <v>4.9560000000000004</v>
      </c>
      <c r="S609" s="80">
        <f t="shared" si="112"/>
        <v>19833.912</v>
      </c>
      <c r="T609" s="81">
        <f t="shared" si="118"/>
        <v>212703.09599999996</v>
      </c>
      <c r="U609" s="139"/>
      <c r="V609" s="82">
        <f t="shared" si="113"/>
        <v>212703.09599999996</v>
      </c>
      <c r="W609" s="9">
        <f>VLOOKUP(O609,[1]Feuil2!$A:$M,6,FALSE)</f>
        <v>6</v>
      </c>
      <c r="X609" s="10">
        <f>VLOOKUP(O609,[1]Feuil2!$A:$M,13,FALSE)</f>
        <v>2.3249999999999996E-2</v>
      </c>
      <c r="Y609" s="11">
        <f t="shared" si="117"/>
        <v>15.507749999999998</v>
      </c>
      <c r="Z609" s="83">
        <f t="shared" si="114"/>
        <v>121.76061962500002</v>
      </c>
      <c r="AA609" s="66" t="s">
        <v>61</v>
      </c>
      <c r="AB609" s="28" t="s">
        <v>61</v>
      </c>
      <c r="AC609" s="75"/>
      <c r="AD609" s="28" t="s">
        <v>61</v>
      </c>
      <c r="AE609" s="14"/>
      <c r="AF609" s="13"/>
      <c r="AG609" s="13"/>
      <c r="AH609" s="84"/>
      <c r="AI609" s="134">
        <v>46142</v>
      </c>
      <c r="AJ609" s="144" t="e">
        <f t="shared" ca="1" si="116"/>
        <v>#NUM!</v>
      </c>
      <c r="AK609" s="85" t="e">
        <f>VLOOKUP(AP609,'[2]CONTENEUR PLEIN'!$F:$L,3,FALSE)</f>
        <v>#N/A</v>
      </c>
      <c r="AL609" s="86" t="e">
        <f>VLOOKUP(AP609,'[2]CONTENEUR PLEIN'!$F:$L,5,FALSE)</f>
        <v>#N/A</v>
      </c>
      <c r="AM609" s="15" t="e">
        <f>VLOOKUP(AP609,'[2]CONTENEUR PLEIN'!$F:$L,7,FALSE)</f>
        <v>#N/A</v>
      </c>
      <c r="AN609" s="284" t="s">
        <v>63</v>
      </c>
      <c r="AO609" s="75"/>
      <c r="AP609" s="75"/>
      <c r="AQ609" s="75"/>
      <c r="AR609" s="75" t="e">
        <f>VLOOKUP(AP609,'[2]CONTENEUR PLEIN'!$F:$L,2,FALSE)</f>
        <v>#N/A</v>
      </c>
      <c r="AS609" s="75"/>
      <c r="AT609" s="84"/>
    </row>
    <row r="610" spans="1:46" s="72" customFormat="1" hidden="1" x14ac:dyDescent="0.25">
      <c r="B610" s="375" t="s">
        <v>45</v>
      </c>
      <c r="C610" s="74">
        <v>46048</v>
      </c>
      <c r="D610" s="75">
        <v>26013</v>
      </c>
      <c r="E610" s="376" t="s">
        <v>878</v>
      </c>
      <c r="F610" s="75">
        <v>2512241134</v>
      </c>
      <c r="G610" s="377" t="s">
        <v>74</v>
      </c>
      <c r="H610" s="377" t="s">
        <v>829</v>
      </c>
      <c r="I610" s="377" t="s">
        <v>49</v>
      </c>
      <c r="J610" s="377" t="s">
        <v>46</v>
      </c>
      <c r="K610" s="377" t="s">
        <v>60</v>
      </c>
      <c r="L610" s="377" t="s">
        <v>47</v>
      </c>
      <c r="M610" s="380" t="e">
        <f t="shared" si="111"/>
        <v>#N/A</v>
      </c>
      <c r="N610" s="77" t="s">
        <v>49</v>
      </c>
      <c r="O610" s="78">
        <v>21520003</v>
      </c>
      <c r="P610" s="42" t="str">
        <f>VLOOKUP(O610,[1]Feuil2!$A:$M,5,FALSE)</f>
        <v>COUTEAU LAGUIOLE INTUITION BRILLANT + GENCOD</v>
      </c>
      <c r="Q610" s="75">
        <v>12240</v>
      </c>
      <c r="R610" s="79">
        <v>0.42</v>
      </c>
      <c r="S610" s="80">
        <f t="shared" si="112"/>
        <v>5140.8</v>
      </c>
      <c r="T610" s="81">
        <f t="shared" si="118"/>
        <v>212703.09599999996</v>
      </c>
      <c r="U610" s="139"/>
      <c r="V610" s="82">
        <f t="shared" si="113"/>
        <v>212703.09599999996</v>
      </c>
      <c r="W610" s="9">
        <f>VLOOKUP(O610,[1]Feuil2!$A:$M,6,FALSE)</f>
        <v>120</v>
      </c>
      <c r="X610" s="10">
        <f>VLOOKUP(O610,[1]Feuil2!$A:$M,13,FALSE)</f>
        <v>1.3662000000000002E-2</v>
      </c>
      <c r="Y610" s="11">
        <f t="shared" si="117"/>
        <v>1.3935240000000002</v>
      </c>
      <c r="Z610" s="83">
        <f t="shared" si="114"/>
        <v>121.76061962500002</v>
      </c>
      <c r="AA610" s="66" t="s">
        <v>61</v>
      </c>
      <c r="AB610" s="28" t="s">
        <v>61</v>
      </c>
      <c r="AC610" s="75"/>
      <c r="AD610" s="28" t="s">
        <v>61</v>
      </c>
      <c r="AE610" s="14"/>
      <c r="AF610" s="13"/>
      <c r="AG610" s="13"/>
      <c r="AH610" s="84"/>
      <c r="AI610" s="134">
        <v>46142</v>
      </c>
      <c r="AJ610" s="144" t="e">
        <f t="shared" ca="1" si="116"/>
        <v>#NUM!</v>
      </c>
      <c r="AK610" s="85" t="e">
        <f>VLOOKUP(AP610,'[2]CONTENEUR PLEIN'!$F:$L,3,FALSE)</f>
        <v>#N/A</v>
      </c>
      <c r="AL610" s="86" t="e">
        <f>VLOOKUP(AP610,'[2]CONTENEUR PLEIN'!$F:$L,5,FALSE)</f>
        <v>#N/A</v>
      </c>
      <c r="AM610" s="15" t="e">
        <f>VLOOKUP(AP610,'[2]CONTENEUR PLEIN'!$F:$L,7,FALSE)</f>
        <v>#N/A</v>
      </c>
      <c r="AN610" s="284" t="s">
        <v>63</v>
      </c>
      <c r="AO610" s="75"/>
      <c r="AP610" s="75"/>
      <c r="AQ610" s="75"/>
      <c r="AR610" s="75" t="e">
        <f>VLOOKUP(AP610,'[2]CONTENEUR PLEIN'!$F:$L,2,FALSE)</f>
        <v>#N/A</v>
      </c>
      <c r="AS610" s="75"/>
      <c r="AT610" s="84"/>
    </row>
    <row r="611" spans="1:46" s="72" customFormat="1" hidden="1" x14ac:dyDescent="0.25">
      <c r="B611" s="375" t="s">
        <v>45</v>
      </c>
      <c r="C611" s="74">
        <v>46048</v>
      </c>
      <c r="D611" s="75">
        <v>26013</v>
      </c>
      <c r="E611" s="376" t="s">
        <v>878</v>
      </c>
      <c r="F611" s="75">
        <v>2512241134</v>
      </c>
      <c r="G611" s="377" t="s">
        <v>74</v>
      </c>
      <c r="H611" s="377" t="s">
        <v>829</v>
      </c>
      <c r="I611" s="377" t="s">
        <v>49</v>
      </c>
      <c r="J611" s="377" t="s">
        <v>46</v>
      </c>
      <c r="K611" s="377" t="s">
        <v>60</v>
      </c>
      <c r="L611" s="377" t="s">
        <v>47</v>
      </c>
      <c r="M611" s="380" t="e">
        <f t="shared" si="111"/>
        <v>#N/A</v>
      </c>
      <c r="N611" s="77" t="s">
        <v>49</v>
      </c>
      <c r="O611" s="78">
        <v>21520004</v>
      </c>
      <c r="P611" s="42" t="str">
        <f>VLOOKUP(O611,[1]Feuil2!$A:$M,5,FALSE)</f>
        <v>FOURCHETTE LAGUIOLE INTUITION BRILLANT + GENCOD</v>
      </c>
      <c r="Q611" s="75">
        <v>8520</v>
      </c>
      <c r="R611" s="79">
        <v>0.30199999999999999</v>
      </c>
      <c r="S611" s="80">
        <f t="shared" si="112"/>
        <v>2573.04</v>
      </c>
      <c r="T611" s="81">
        <f t="shared" si="118"/>
        <v>212703.09599999996</v>
      </c>
      <c r="U611" s="139"/>
      <c r="V611" s="82">
        <f t="shared" si="113"/>
        <v>212703.09599999996</v>
      </c>
      <c r="W611" s="9">
        <f>VLOOKUP(O611,[1]Feuil2!$A:$M,6,FALSE)</f>
        <v>120</v>
      </c>
      <c r="X611" s="10">
        <f>VLOOKUP(O611,[1]Feuil2!$A:$M,13,FALSE)</f>
        <v>1.6146000000000001E-2</v>
      </c>
      <c r="Y611" s="11">
        <f t="shared" si="117"/>
        <v>1.146366</v>
      </c>
      <c r="Z611" s="83">
        <f t="shared" si="114"/>
        <v>121.76061962500002</v>
      </c>
      <c r="AA611" s="66" t="s">
        <v>61</v>
      </c>
      <c r="AB611" s="28" t="s">
        <v>61</v>
      </c>
      <c r="AC611" s="75"/>
      <c r="AD611" s="28" t="s">
        <v>61</v>
      </c>
      <c r="AE611" s="14"/>
      <c r="AF611" s="13"/>
      <c r="AG611" s="13"/>
      <c r="AH611" s="84"/>
      <c r="AI611" s="134">
        <v>46142</v>
      </c>
      <c r="AJ611" s="144" t="e">
        <f t="shared" ca="1" si="116"/>
        <v>#NUM!</v>
      </c>
      <c r="AK611" s="85" t="e">
        <f>VLOOKUP(AP611,'[2]CONTENEUR PLEIN'!$F:$L,3,FALSE)</f>
        <v>#N/A</v>
      </c>
      <c r="AL611" s="86" t="e">
        <f>VLOOKUP(AP611,'[2]CONTENEUR PLEIN'!$F:$L,5,FALSE)</f>
        <v>#N/A</v>
      </c>
      <c r="AM611" s="15" t="e">
        <f>VLOOKUP(AP611,'[2]CONTENEUR PLEIN'!$F:$L,7,FALSE)</f>
        <v>#N/A</v>
      </c>
      <c r="AN611" s="284" t="s">
        <v>63</v>
      </c>
      <c r="AO611" s="75"/>
      <c r="AP611" s="75"/>
      <c r="AQ611" s="75"/>
      <c r="AR611" s="75" t="e">
        <f>VLOOKUP(AP611,'[2]CONTENEUR PLEIN'!$F:$L,2,FALSE)</f>
        <v>#N/A</v>
      </c>
      <c r="AS611" s="75"/>
      <c r="AT611" s="84"/>
    </row>
    <row r="612" spans="1:46" s="72" customFormat="1" hidden="1" x14ac:dyDescent="0.25">
      <c r="B612" s="375" t="s">
        <v>45</v>
      </c>
      <c r="C612" s="74">
        <v>46048</v>
      </c>
      <c r="D612" s="75">
        <v>26013</v>
      </c>
      <c r="E612" s="376" t="s">
        <v>878</v>
      </c>
      <c r="F612" s="75">
        <v>2512241134</v>
      </c>
      <c r="G612" s="377" t="s">
        <v>74</v>
      </c>
      <c r="H612" s="377" t="s">
        <v>829</v>
      </c>
      <c r="I612" s="377" t="s">
        <v>49</v>
      </c>
      <c r="J612" s="377" t="s">
        <v>46</v>
      </c>
      <c r="K612" s="377" t="s">
        <v>60</v>
      </c>
      <c r="L612" s="377" t="s">
        <v>47</v>
      </c>
      <c r="M612" s="380" t="e">
        <f t="shared" si="111"/>
        <v>#N/A</v>
      </c>
      <c r="N612" s="77" t="s">
        <v>49</v>
      </c>
      <c r="O612" s="78">
        <v>21520005</v>
      </c>
      <c r="P612" s="42" t="str">
        <f>VLOOKUP(O612,[1]Feuil2!$A:$M,5,FALSE)</f>
        <v>CUILLERE LAGUIOLE INTUITION BRILLANT + GENCOD</v>
      </c>
      <c r="Q612" s="75">
        <v>4080</v>
      </c>
      <c r="R612" s="79">
        <v>0.30199999999999999</v>
      </c>
      <c r="S612" s="80">
        <f t="shared" si="112"/>
        <v>1232.1599999999999</v>
      </c>
      <c r="T612" s="81">
        <f t="shared" si="118"/>
        <v>212703.09599999996</v>
      </c>
      <c r="U612" s="139"/>
      <c r="V612" s="82">
        <f t="shared" si="113"/>
        <v>212703.09599999996</v>
      </c>
      <c r="W612" s="9">
        <f>VLOOKUP(O612,[1]Feuil2!$A:$M,6,FALSE)</f>
        <v>120</v>
      </c>
      <c r="X612" s="10">
        <f>VLOOKUP(O612,[1]Feuil2!$A:$M,13,FALSE)</f>
        <v>1.6146000000000001E-2</v>
      </c>
      <c r="Y612" s="11">
        <f t="shared" si="117"/>
        <v>0.54896400000000001</v>
      </c>
      <c r="Z612" s="83">
        <f t="shared" si="114"/>
        <v>121.76061962500002</v>
      </c>
      <c r="AA612" s="66" t="s">
        <v>61</v>
      </c>
      <c r="AB612" s="28" t="s">
        <v>61</v>
      </c>
      <c r="AC612" s="75"/>
      <c r="AD612" s="28" t="s">
        <v>61</v>
      </c>
      <c r="AE612" s="14"/>
      <c r="AF612" s="13"/>
      <c r="AG612" s="13"/>
      <c r="AH612" s="84"/>
      <c r="AI612" s="134">
        <v>46142</v>
      </c>
      <c r="AJ612" s="144" t="e">
        <f t="shared" ca="1" si="116"/>
        <v>#NUM!</v>
      </c>
      <c r="AK612" s="85" t="e">
        <f>VLOOKUP(AP612,'[2]CONTENEUR PLEIN'!$F:$L,3,FALSE)</f>
        <v>#N/A</v>
      </c>
      <c r="AL612" s="86" t="e">
        <f>VLOOKUP(AP612,'[2]CONTENEUR PLEIN'!$F:$L,5,FALSE)</f>
        <v>#N/A</v>
      </c>
      <c r="AM612" s="15" t="e">
        <f>VLOOKUP(AP612,'[2]CONTENEUR PLEIN'!$F:$L,7,FALSE)</f>
        <v>#N/A</v>
      </c>
      <c r="AN612" s="284" t="s">
        <v>63</v>
      </c>
      <c r="AO612" s="75"/>
      <c r="AP612" s="75"/>
      <c r="AQ612" s="75"/>
      <c r="AR612" s="75" t="e">
        <f>VLOOKUP(AP612,'[2]CONTENEUR PLEIN'!$F:$L,2,FALSE)</f>
        <v>#N/A</v>
      </c>
      <c r="AS612" s="75"/>
      <c r="AT612" s="84"/>
    </row>
    <row r="613" spans="1:46" s="72" customFormat="1" hidden="1" x14ac:dyDescent="0.25">
      <c r="B613" s="375" t="s">
        <v>45</v>
      </c>
      <c r="C613" s="74">
        <v>46048</v>
      </c>
      <c r="D613" s="75">
        <v>26013</v>
      </c>
      <c r="E613" s="376" t="s">
        <v>878</v>
      </c>
      <c r="F613" s="75">
        <v>2512241134</v>
      </c>
      <c r="G613" s="377" t="s">
        <v>74</v>
      </c>
      <c r="H613" s="377" t="s">
        <v>829</v>
      </c>
      <c r="I613" s="377" t="s">
        <v>49</v>
      </c>
      <c r="J613" s="377" t="s">
        <v>46</v>
      </c>
      <c r="K613" s="377" t="s">
        <v>60</v>
      </c>
      <c r="L613" s="377" t="s">
        <v>47</v>
      </c>
      <c r="M613" s="380" t="e">
        <f t="shared" si="111"/>
        <v>#N/A</v>
      </c>
      <c r="N613" s="77" t="s">
        <v>49</v>
      </c>
      <c r="O613" s="78">
        <v>21520007</v>
      </c>
      <c r="P613" s="42" t="str">
        <f>VLOOKUP(O613,[1]Feuil2!$A:$M,5,FALSE)</f>
        <v>COUTEAU LAGUIOLE INTUITION SATINE + GENCOD</v>
      </c>
      <c r="Q613" s="75">
        <v>8520</v>
      </c>
      <c r="R613" s="79">
        <v>0.42</v>
      </c>
      <c r="S613" s="80">
        <f t="shared" si="112"/>
        <v>3578.4</v>
      </c>
      <c r="T613" s="81">
        <f t="shared" si="118"/>
        <v>212703.09599999996</v>
      </c>
      <c r="U613" s="139"/>
      <c r="V613" s="82">
        <f t="shared" si="113"/>
        <v>212703.09599999996</v>
      </c>
      <c r="W613" s="9">
        <f>VLOOKUP(O613,[1]Feuil2!$A:$M,6,FALSE)</f>
        <v>120</v>
      </c>
      <c r="X613" s="10">
        <f>VLOOKUP(O613,[1]Feuil2!$A:$M,13,FALSE)</f>
        <v>1.3662000000000002E-2</v>
      </c>
      <c r="Y613" s="11">
        <f t="shared" si="117"/>
        <v>0.97000200000000014</v>
      </c>
      <c r="Z613" s="83">
        <f t="shared" si="114"/>
        <v>121.76061962500002</v>
      </c>
      <c r="AA613" s="66" t="s">
        <v>61</v>
      </c>
      <c r="AB613" s="28" t="s">
        <v>61</v>
      </c>
      <c r="AC613" s="75"/>
      <c r="AD613" s="28" t="s">
        <v>61</v>
      </c>
      <c r="AE613" s="14"/>
      <c r="AF613" s="13"/>
      <c r="AG613" s="13"/>
      <c r="AH613" s="84"/>
      <c r="AI613" s="134">
        <v>46142</v>
      </c>
      <c r="AJ613" s="144" t="e">
        <f t="shared" ca="1" si="116"/>
        <v>#NUM!</v>
      </c>
      <c r="AK613" s="85" t="e">
        <f>VLOOKUP(AP613,'[2]CONTENEUR PLEIN'!$F:$L,3,FALSE)</f>
        <v>#N/A</v>
      </c>
      <c r="AL613" s="86" t="e">
        <f>VLOOKUP(AP613,'[2]CONTENEUR PLEIN'!$F:$L,5,FALSE)</f>
        <v>#N/A</v>
      </c>
      <c r="AM613" s="15" t="e">
        <f>VLOOKUP(AP613,'[2]CONTENEUR PLEIN'!$F:$L,7,FALSE)</f>
        <v>#N/A</v>
      </c>
      <c r="AN613" s="284" t="s">
        <v>63</v>
      </c>
      <c r="AO613" s="75"/>
      <c r="AP613" s="75"/>
      <c r="AQ613" s="75"/>
      <c r="AR613" s="75" t="e">
        <f>VLOOKUP(AP613,'[2]CONTENEUR PLEIN'!$F:$L,2,FALSE)</f>
        <v>#N/A</v>
      </c>
      <c r="AS613" s="75"/>
      <c r="AT613" s="84"/>
    </row>
    <row r="614" spans="1:46" s="72" customFormat="1" hidden="1" x14ac:dyDescent="0.25">
      <c r="B614" s="375" t="s">
        <v>45</v>
      </c>
      <c r="C614" s="74">
        <v>46048</v>
      </c>
      <c r="D614" s="75">
        <v>26013</v>
      </c>
      <c r="E614" s="376" t="s">
        <v>878</v>
      </c>
      <c r="F614" s="75">
        <v>2512241134</v>
      </c>
      <c r="G614" s="377" t="s">
        <v>74</v>
      </c>
      <c r="H614" s="377" t="s">
        <v>829</v>
      </c>
      <c r="I614" s="377" t="s">
        <v>49</v>
      </c>
      <c r="J614" s="377" t="s">
        <v>46</v>
      </c>
      <c r="K614" s="377" t="s">
        <v>60</v>
      </c>
      <c r="L614" s="377" t="s">
        <v>47</v>
      </c>
      <c r="M614" s="380" t="e">
        <f t="shared" si="111"/>
        <v>#N/A</v>
      </c>
      <c r="N614" s="77" t="s">
        <v>49</v>
      </c>
      <c r="O614" s="78">
        <v>20100004</v>
      </c>
      <c r="P614" s="42" t="str">
        <f>VLOOKUP(O614,[1]Feuil2!$A:$M,5,FALSE)</f>
        <v>FOURCHETTE LAGUIOLE METAL VRAC + GENCOD</v>
      </c>
      <c r="Q614" s="75">
        <v>2400</v>
      </c>
      <c r="R614" s="79">
        <v>0.29499999999999998</v>
      </c>
      <c r="S614" s="80">
        <f t="shared" si="112"/>
        <v>708</v>
      </c>
      <c r="T614" s="81">
        <f t="shared" si="118"/>
        <v>212703.09599999996</v>
      </c>
      <c r="U614" s="139"/>
      <c r="V614" s="82">
        <f t="shared" si="113"/>
        <v>212703.09599999996</v>
      </c>
      <c r="W614" s="9">
        <f>VLOOKUP(O614,[1]Feuil2!$A:$M,6,FALSE)</f>
        <v>240</v>
      </c>
      <c r="X614" s="10">
        <f>VLOOKUP(O614,[1]Feuil2!$A:$M,13,FALSE)</f>
        <v>3.0318749999999998E-2</v>
      </c>
      <c r="Y614" s="11">
        <f t="shared" si="117"/>
        <v>0.3031875</v>
      </c>
      <c r="Z614" s="83">
        <f t="shared" si="114"/>
        <v>121.76061962500002</v>
      </c>
      <c r="AA614" s="66" t="s">
        <v>61</v>
      </c>
      <c r="AB614" s="28" t="s">
        <v>61</v>
      </c>
      <c r="AC614" s="75"/>
      <c r="AD614" s="28" t="s">
        <v>61</v>
      </c>
      <c r="AE614" s="14"/>
      <c r="AF614" s="13"/>
      <c r="AG614" s="13"/>
      <c r="AH614" s="84"/>
      <c r="AI614" s="134">
        <v>46142</v>
      </c>
      <c r="AJ614" s="144" t="e">
        <f t="shared" ca="1" si="116"/>
        <v>#NUM!</v>
      </c>
      <c r="AK614" s="85" t="e">
        <f>VLOOKUP(AP614,'[2]CONTENEUR PLEIN'!$F:$L,3,FALSE)</f>
        <v>#N/A</v>
      </c>
      <c r="AL614" s="86" t="e">
        <f>VLOOKUP(AP614,'[2]CONTENEUR PLEIN'!$F:$L,5,FALSE)</f>
        <v>#N/A</v>
      </c>
      <c r="AM614" s="15" t="e">
        <f>VLOOKUP(AP614,'[2]CONTENEUR PLEIN'!$F:$L,7,FALSE)</f>
        <v>#N/A</v>
      </c>
      <c r="AN614" s="284" t="s">
        <v>63</v>
      </c>
      <c r="AO614" s="75"/>
      <c r="AP614" s="75"/>
      <c r="AQ614" s="75"/>
      <c r="AR614" s="75" t="e">
        <f>VLOOKUP(AP614,'[2]CONTENEUR PLEIN'!$F:$L,2,FALSE)</f>
        <v>#N/A</v>
      </c>
      <c r="AS614" s="75"/>
      <c r="AT614" s="84"/>
    </row>
    <row r="615" spans="1:46" s="72" customFormat="1" hidden="1" x14ac:dyDescent="0.25">
      <c r="B615" s="375" t="s">
        <v>45</v>
      </c>
      <c r="C615" s="74">
        <v>46048</v>
      </c>
      <c r="D615" s="75">
        <v>26013</v>
      </c>
      <c r="E615" s="376" t="s">
        <v>878</v>
      </c>
      <c r="F615" s="75">
        <v>2512241134</v>
      </c>
      <c r="G615" s="377" t="s">
        <v>74</v>
      </c>
      <c r="H615" s="377" t="s">
        <v>829</v>
      </c>
      <c r="I615" s="377" t="s">
        <v>49</v>
      </c>
      <c r="J615" s="377" t="s">
        <v>46</v>
      </c>
      <c r="K615" s="377" t="s">
        <v>60</v>
      </c>
      <c r="L615" s="377" t="s">
        <v>47</v>
      </c>
      <c r="M615" s="380" t="e">
        <f t="shared" si="111"/>
        <v>#N/A</v>
      </c>
      <c r="N615" s="77" t="s">
        <v>49</v>
      </c>
      <c r="O615" s="78">
        <v>30101105</v>
      </c>
      <c r="P615" s="42" t="str">
        <f>VLOOKUP(O615,[1]Feuil2!$A:$M,5,FALSE)</f>
        <v>COUTEAU LAGUIOLE ABS GRIS MARBRE VRAC + GENCOD</v>
      </c>
      <c r="Q615" s="75">
        <v>12000</v>
      </c>
      <c r="R615" s="79">
        <v>0.23</v>
      </c>
      <c r="S615" s="80">
        <f t="shared" si="112"/>
        <v>2760</v>
      </c>
      <c r="T615" s="81">
        <f t="shared" si="118"/>
        <v>212703.09599999996</v>
      </c>
      <c r="U615" s="139"/>
      <c r="V615" s="82">
        <f t="shared" si="113"/>
        <v>212703.09599999996</v>
      </c>
      <c r="W615" s="9">
        <f>VLOOKUP(O615,[1]Feuil2!$A:$M,6,FALSE)</f>
        <v>240</v>
      </c>
      <c r="X615" s="10">
        <f>VLOOKUP(O615,[1]Feuil2!$A:$M,13,FALSE)</f>
        <v>1.8980999999999998E-2</v>
      </c>
      <c r="Y615" s="11">
        <f t="shared" si="117"/>
        <v>0.94904999999999995</v>
      </c>
      <c r="Z615" s="83">
        <f t="shared" si="114"/>
        <v>121.76061962500002</v>
      </c>
      <c r="AA615" s="66" t="s">
        <v>61</v>
      </c>
      <c r="AB615" s="28" t="s">
        <v>61</v>
      </c>
      <c r="AC615" s="75"/>
      <c r="AD615" s="28" t="s">
        <v>61</v>
      </c>
      <c r="AE615" s="14"/>
      <c r="AF615" s="13"/>
      <c r="AG615" s="13"/>
      <c r="AH615" s="84"/>
      <c r="AI615" s="134">
        <v>46142</v>
      </c>
      <c r="AJ615" s="144" t="e">
        <f t="shared" ca="1" si="116"/>
        <v>#NUM!</v>
      </c>
      <c r="AK615" s="85" t="e">
        <f>VLOOKUP(AP615,'[2]CONTENEUR PLEIN'!$F:$L,3,FALSE)</f>
        <v>#N/A</v>
      </c>
      <c r="AL615" s="86" t="e">
        <f>VLOOKUP(AP615,'[2]CONTENEUR PLEIN'!$F:$L,5,FALSE)</f>
        <v>#N/A</v>
      </c>
      <c r="AM615" s="15" t="e">
        <f>VLOOKUP(AP615,'[2]CONTENEUR PLEIN'!$F:$L,7,FALSE)</f>
        <v>#N/A</v>
      </c>
      <c r="AN615" s="284" t="s">
        <v>63</v>
      </c>
      <c r="AO615" s="75"/>
      <c r="AP615" s="75"/>
      <c r="AQ615" s="75"/>
      <c r="AR615" s="75" t="e">
        <f>VLOOKUP(AP615,'[2]CONTENEUR PLEIN'!$F:$L,2,FALSE)</f>
        <v>#N/A</v>
      </c>
      <c r="AS615" s="75"/>
      <c r="AT615" s="84"/>
    </row>
    <row r="616" spans="1:46" s="72" customFormat="1" hidden="1" x14ac:dyDescent="0.25">
      <c r="B616" s="375" t="s">
        <v>45</v>
      </c>
      <c r="C616" s="74">
        <v>46048</v>
      </c>
      <c r="D616" s="75">
        <v>26013</v>
      </c>
      <c r="E616" s="376" t="s">
        <v>878</v>
      </c>
      <c r="F616" s="75">
        <v>2512241134</v>
      </c>
      <c r="G616" s="377" t="s">
        <v>74</v>
      </c>
      <c r="H616" s="377" t="s">
        <v>829</v>
      </c>
      <c r="I616" s="377" t="s">
        <v>49</v>
      </c>
      <c r="J616" s="377" t="s">
        <v>46</v>
      </c>
      <c r="K616" s="377" t="s">
        <v>60</v>
      </c>
      <c r="L616" s="377" t="s">
        <v>47</v>
      </c>
      <c r="M616" s="380" t="e">
        <f t="shared" si="111"/>
        <v>#N/A</v>
      </c>
      <c r="N616" s="77" t="s">
        <v>49</v>
      </c>
      <c r="O616" s="78">
        <v>30101112</v>
      </c>
      <c r="P616" s="42" t="str">
        <f>VLOOKUP(O616,[1]Feuil2!$A:$M,5,FALSE)</f>
        <v>CAFE LAGUIOLE ABS IVOIRE NACRE VRAC + GENCOD</v>
      </c>
      <c r="Q616" s="75">
        <v>3360</v>
      </c>
      <c r="R616" s="79">
        <v>0.19600000000000001</v>
      </c>
      <c r="S616" s="80">
        <f t="shared" si="112"/>
        <v>658.56000000000006</v>
      </c>
      <c r="T616" s="81">
        <f t="shared" si="118"/>
        <v>212703.09599999996</v>
      </c>
      <c r="U616" s="139"/>
      <c r="V616" s="82">
        <f t="shared" si="113"/>
        <v>212703.09599999996</v>
      </c>
      <c r="W616" s="9">
        <f>VLOOKUP(O616,[1]Feuil2!$A:$M,6,FALSE)</f>
        <v>240</v>
      </c>
      <c r="X616" s="10">
        <f>VLOOKUP(O616,[1]Feuil2!$A:$M,13,FALSE)</f>
        <v>2.0404999999999996E-2</v>
      </c>
      <c r="Y616" s="11">
        <f t="shared" si="117"/>
        <v>0.28566999999999992</v>
      </c>
      <c r="Z616" s="83">
        <f t="shared" si="114"/>
        <v>121.76061962500002</v>
      </c>
      <c r="AA616" s="66" t="s">
        <v>61</v>
      </c>
      <c r="AB616" s="28" t="s">
        <v>61</v>
      </c>
      <c r="AC616" s="75"/>
      <c r="AD616" s="28" t="s">
        <v>61</v>
      </c>
      <c r="AE616" s="14"/>
      <c r="AF616" s="13"/>
      <c r="AG616" s="13"/>
      <c r="AH616" s="84"/>
      <c r="AI616" s="134">
        <v>46142</v>
      </c>
      <c r="AJ616" s="144" t="e">
        <f t="shared" ca="1" si="116"/>
        <v>#NUM!</v>
      </c>
      <c r="AK616" s="85" t="e">
        <f>VLOOKUP(AP616,'[2]CONTENEUR PLEIN'!$F:$L,3,FALSE)</f>
        <v>#N/A</v>
      </c>
      <c r="AL616" s="86" t="e">
        <f>VLOOKUP(AP616,'[2]CONTENEUR PLEIN'!$F:$L,5,FALSE)</f>
        <v>#N/A</v>
      </c>
      <c r="AM616" s="15" t="e">
        <f>VLOOKUP(AP616,'[2]CONTENEUR PLEIN'!$F:$L,7,FALSE)</f>
        <v>#N/A</v>
      </c>
      <c r="AN616" s="284" t="s">
        <v>63</v>
      </c>
      <c r="AO616" s="75"/>
      <c r="AP616" s="75"/>
      <c r="AQ616" s="75"/>
      <c r="AR616" s="75" t="e">
        <f>VLOOKUP(AP616,'[2]CONTENEUR PLEIN'!$F:$L,2,FALSE)</f>
        <v>#N/A</v>
      </c>
      <c r="AS616" s="75"/>
      <c r="AT616" s="84"/>
    </row>
    <row r="617" spans="1:46" s="72" customFormat="1" hidden="1" x14ac:dyDescent="0.25">
      <c r="B617" s="375" t="s">
        <v>45</v>
      </c>
      <c r="C617" s="74">
        <v>46048</v>
      </c>
      <c r="D617" s="75">
        <v>26013</v>
      </c>
      <c r="E617" s="376" t="s">
        <v>878</v>
      </c>
      <c r="F617" s="75">
        <v>2512241134</v>
      </c>
      <c r="G617" s="377" t="s">
        <v>74</v>
      </c>
      <c r="H617" s="377" t="s">
        <v>829</v>
      </c>
      <c r="I617" s="377" t="s">
        <v>49</v>
      </c>
      <c r="J617" s="377" t="s">
        <v>46</v>
      </c>
      <c r="K617" s="377" t="s">
        <v>60</v>
      </c>
      <c r="L617" s="377" t="s">
        <v>47</v>
      </c>
      <c r="M617" s="380" t="e">
        <f t="shared" si="111"/>
        <v>#N/A</v>
      </c>
      <c r="N617" s="77" t="s">
        <v>49</v>
      </c>
      <c r="O617" s="78">
        <v>427560</v>
      </c>
      <c r="P617" s="42" t="str">
        <f>VLOOKUP(O617,[1]Feuil2!$A:$M,5,FALSE)</f>
        <v>CT LAG TABLE METAL+GENCOD</v>
      </c>
      <c r="Q617" s="75">
        <v>5616</v>
      </c>
      <c r="R617" s="79">
        <v>0.32500000000000001</v>
      </c>
      <c r="S617" s="80">
        <f t="shared" si="112"/>
        <v>1825.2</v>
      </c>
      <c r="T617" s="81">
        <f t="shared" si="118"/>
        <v>212703.09599999996</v>
      </c>
      <c r="U617" s="139"/>
      <c r="V617" s="82">
        <f t="shared" si="113"/>
        <v>212703.09599999996</v>
      </c>
      <c r="W617" s="9">
        <f>VLOOKUP(O617,[1]Feuil2!$A:$M,6,FALSE)</f>
        <v>144</v>
      </c>
      <c r="X617" s="10">
        <f>VLOOKUP(O617,[1]Feuil2!$A:$M,13,FALSE)</f>
        <v>1.4580000000000003E-2</v>
      </c>
      <c r="Y617" s="11">
        <f t="shared" si="117"/>
        <v>0.56862000000000013</v>
      </c>
      <c r="Z617" s="83">
        <f t="shared" si="114"/>
        <v>121.76061962500002</v>
      </c>
      <c r="AA617" s="66" t="s">
        <v>61</v>
      </c>
      <c r="AB617" s="28" t="s">
        <v>61</v>
      </c>
      <c r="AC617" s="75"/>
      <c r="AD617" s="28" t="s">
        <v>61</v>
      </c>
      <c r="AE617" s="14"/>
      <c r="AF617" s="13"/>
      <c r="AG617" s="13"/>
      <c r="AH617" s="84"/>
      <c r="AI617" s="134">
        <v>46142</v>
      </c>
      <c r="AJ617" s="144" t="e">
        <f t="shared" ca="1" si="116"/>
        <v>#NUM!</v>
      </c>
      <c r="AK617" s="85" t="e">
        <f>VLOOKUP(AP617,'[2]CONTENEUR PLEIN'!$F:$L,3,FALSE)</f>
        <v>#N/A</v>
      </c>
      <c r="AL617" s="86" t="e">
        <f>VLOOKUP(AP617,'[2]CONTENEUR PLEIN'!$F:$L,5,FALSE)</f>
        <v>#N/A</v>
      </c>
      <c r="AM617" s="15" t="e">
        <f>VLOOKUP(AP617,'[2]CONTENEUR PLEIN'!$F:$L,7,FALSE)</f>
        <v>#N/A</v>
      </c>
      <c r="AN617" s="284" t="s">
        <v>63</v>
      </c>
      <c r="AO617" s="75"/>
      <c r="AP617" s="75"/>
      <c r="AQ617" s="75"/>
      <c r="AR617" s="75" t="e">
        <f>VLOOKUP(AP617,'[2]CONTENEUR PLEIN'!$F:$L,2,FALSE)</f>
        <v>#N/A</v>
      </c>
      <c r="AS617" s="75"/>
      <c r="AT617" s="84"/>
    </row>
    <row r="618" spans="1:46" s="72" customFormat="1" hidden="1" x14ac:dyDescent="0.25">
      <c r="B618" s="375" t="s">
        <v>45</v>
      </c>
      <c r="C618" s="74">
        <v>46048</v>
      </c>
      <c r="D618" s="75">
        <v>26013</v>
      </c>
      <c r="E618" s="376" t="s">
        <v>878</v>
      </c>
      <c r="F618" s="75">
        <v>2512241134</v>
      </c>
      <c r="G618" s="377" t="s">
        <v>74</v>
      </c>
      <c r="H618" s="377" t="s">
        <v>829</v>
      </c>
      <c r="I618" s="377" t="s">
        <v>49</v>
      </c>
      <c r="J618" s="377" t="s">
        <v>46</v>
      </c>
      <c r="K618" s="377" t="s">
        <v>60</v>
      </c>
      <c r="L618" s="377" t="s">
        <v>47</v>
      </c>
      <c r="M618" s="380" t="e">
        <f t="shared" si="111"/>
        <v>#N/A</v>
      </c>
      <c r="N618" s="282" t="s">
        <v>62</v>
      </c>
      <c r="O618" s="78">
        <v>441350</v>
      </c>
      <c r="P618" s="42" t="str">
        <f>VLOOKUP(O618,[1]Feuil2!$A:$M,5,FALSE)</f>
        <v>6 CX LAG MARBRE MULTICOLOR CLAIR EN BTE LAGUIOLE HERITAGE</v>
      </c>
      <c r="Q618" s="75">
        <v>1452</v>
      </c>
      <c r="R618" s="79">
        <v>2.0510000000000002</v>
      </c>
      <c r="S618" s="80">
        <f t="shared" si="112"/>
        <v>2978.0520000000001</v>
      </c>
      <c r="T618" s="81">
        <f t="shared" si="118"/>
        <v>212703.09599999996</v>
      </c>
      <c r="U618" s="139"/>
      <c r="V618" s="82">
        <f t="shared" si="113"/>
        <v>212703.09599999996</v>
      </c>
      <c r="W618" s="9">
        <f>VLOOKUP(O618,[1]Feuil2!$A:$M,6,FALSE)</f>
        <v>6</v>
      </c>
      <c r="X618" s="10">
        <f>VLOOKUP(O618,[1]Feuil2!$A:$M,13,FALSE)</f>
        <v>9.8000000000000014E-3</v>
      </c>
      <c r="Y618" s="11">
        <f t="shared" si="117"/>
        <v>2.3716000000000004</v>
      </c>
      <c r="Z618" s="83">
        <f t="shared" si="114"/>
        <v>121.76061962500002</v>
      </c>
      <c r="AA618" s="66" t="s">
        <v>61</v>
      </c>
      <c r="AB618" s="28" t="s">
        <v>61</v>
      </c>
      <c r="AC618" s="75"/>
      <c r="AD618" s="28" t="s">
        <v>61</v>
      </c>
      <c r="AE618" s="14"/>
      <c r="AF618" s="13"/>
      <c r="AG618" s="13"/>
      <c r="AH618" s="84"/>
      <c r="AI618" s="134">
        <v>46142</v>
      </c>
      <c r="AJ618" s="144" t="e">
        <f t="shared" ca="1" si="116"/>
        <v>#NUM!</v>
      </c>
      <c r="AK618" s="85" t="e">
        <f>VLOOKUP(AP618,'[2]CONTENEUR PLEIN'!$F:$L,3,FALSE)</f>
        <v>#N/A</v>
      </c>
      <c r="AL618" s="86" t="e">
        <f>VLOOKUP(AP618,'[2]CONTENEUR PLEIN'!$F:$L,5,FALSE)</f>
        <v>#N/A</v>
      </c>
      <c r="AM618" s="15" t="e">
        <f>VLOOKUP(AP618,'[2]CONTENEUR PLEIN'!$F:$L,7,FALSE)</f>
        <v>#N/A</v>
      </c>
      <c r="AN618" s="284" t="s">
        <v>63</v>
      </c>
      <c r="AO618" s="75"/>
      <c r="AP618" s="75"/>
      <c r="AQ618" s="75"/>
      <c r="AR618" s="75" t="e">
        <f>VLOOKUP(AP618,'[2]CONTENEUR PLEIN'!$F:$L,2,FALSE)</f>
        <v>#N/A</v>
      </c>
      <c r="AS618" s="75"/>
      <c r="AT618" s="84"/>
    </row>
    <row r="619" spans="1:46" s="72" customFormat="1" hidden="1" x14ac:dyDescent="0.25">
      <c r="A619" s="71"/>
      <c r="B619" s="375" t="s">
        <v>45</v>
      </c>
      <c r="C619" s="74">
        <v>46048</v>
      </c>
      <c r="D619" s="75">
        <v>26013</v>
      </c>
      <c r="E619" s="376" t="s">
        <v>878</v>
      </c>
      <c r="F619" s="75">
        <v>2512241134</v>
      </c>
      <c r="G619" s="377" t="s">
        <v>74</v>
      </c>
      <c r="H619" s="377" t="s">
        <v>829</v>
      </c>
      <c r="I619" s="377" t="s">
        <v>49</v>
      </c>
      <c r="J619" s="377" t="s">
        <v>46</v>
      </c>
      <c r="K619" s="377" t="s">
        <v>60</v>
      </c>
      <c r="L619" s="377" t="s">
        <v>47</v>
      </c>
      <c r="M619" s="380" t="e">
        <f t="shared" si="111"/>
        <v>#N/A</v>
      </c>
      <c r="N619" s="378" t="s">
        <v>146</v>
      </c>
      <c r="O619" s="78">
        <v>441380</v>
      </c>
      <c r="P619" s="42" t="str">
        <f>VLOOKUP(O619,[1]Feuil2!$A:$M,5,FALSE)</f>
        <v>6 CAFE LAG MARBRE MULTICOLOR EN BTE LAGUIOLE HERITAGE</v>
      </c>
      <c r="Q619" s="75">
        <v>702</v>
      </c>
      <c r="R619" s="79">
        <v>1.974</v>
      </c>
      <c r="S619" s="80">
        <f t="shared" si="112"/>
        <v>1385.748</v>
      </c>
      <c r="T619" s="81">
        <f t="shared" si="118"/>
        <v>212703.09599999996</v>
      </c>
      <c r="U619" s="139"/>
      <c r="V619" s="82">
        <f t="shared" si="113"/>
        <v>212703.09599999996</v>
      </c>
      <c r="W619" s="9">
        <f>VLOOKUP(O619,[1]Feuil2!$A:$M,6,FALSE)</f>
        <v>6</v>
      </c>
      <c r="X619" s="10">
        <f>VLOOKUP(O619,[1]Feuil2!$A:$M,13,FALSE)</f>
        <v>1.0943999999999999E-2</v>
      </c>
      <c r="Y619" s="11">
        <f t="shared" si="117"/>
        <v>1.2804479999999998</v>
      </c>
      <c r="Z619" s="83">
        <f t="shared" si="114"/>
        <v>121.76061962500002</v>
      </c>
      <c r="AA619" s="66" t="s">
        <v>61</v>
      </c>
      <c r="AB619" s="28" t="s">
        <v>61</v>
      </c>
      <c r="AC619" s="75"/>
      <c r="AD619" s="28" t="s">
        <v>61</v>
      </c>
      <c r="AE619" s="14"/>
      <c r="AF619" s="13"/>
      <c r="AG619" s="13"/>
      <c r="AH619" s="84"/>
      <c r="AI619" s="134">
        <v>46142</v>
      </c>
      <c r="AJ619" s="144" t="e">
        <f t="shared" ca="1" si="116"/>
        <v>#NUM!</v>
      </c>
      <c r="AK619" s="85" t="e">
        <f>VLOOKUP(AP619,'[2]CONTENEUR PLEIN'!$F:$L,3,FALSE)</f>
        <v>#N/A</v>
      </c>
      <c r="AL619" s="86" t="e">
        <f>VLOOKUP(AP619,'[2]CONTENEUR PLEIN'!$F:$L,5,FALSE)</f>
        <v>#N/A</v>
      </c>
      <c r="AM619" s="15" t="e">
        <f>VLOOKUP(AP619,'[2]CONTENEUR PLEIN'!$F:$L,7,FALSE)</f>
        <v>#N/A</v>
      </c>
      <c r="AN619" s="284" t="s">
        <v>63</v>
      </c>
      <c r="AO619" s="75"/>
      <c r="AP619" s="75"/>
      <c r="AQ619" s="75"/>
      <c r="AR619" s="75" t="e">
        <f>VLOOKUP(AP619,'[2]CONTENEUR PLEIN'!$F:$L,2,FALSE)</f>
        <v>#N/A</v>
      </c>
      <c r="AS619" s="75"/>
      <c r="AT619" s="84"/>
    </row>
    <row r="620" spans="1:46" s="72" customFormat="1" hidden="1" x14ac:dyDescent="0.25">
      <c r="B620" s="375" t="s">
        <v>45</v>
      </c>
      <c r="C620" s="74">
        <v>46048</v>
      </c>
      <c r="D620" s="75">
        <v>26013</v>
      </c>
      <c r="E620" s="376" t="s">
        <v>878</v>
      </c>
      <c r="F620" s="75">
        <v>2512241134</v>
      </c>
      <c r="G620" s="377" t="s">
        <v>74</v>
      </c>
      <c r="H620" s="377" t="s">
        <v>829</v>
      </c>
      <c r="I620" s="377" t="s">
        <v>49</v>
      </c>
      <c r="J620" s="377" t="s">
        <v>46</v>
      </c>
      <c r="K620" s="377" t="s">
        <v>60</v>
      </c>
      <c r="L620" s="377" t="s">
        <v>47</v>
      </c>
      <c r="M620" s="380" t="e">
        <f t="shared" si="111"/>
        <v>#N/A</v>
      </c>
      <c r="N620" s="77" t="s">
        <v>49</v>
      </c>
      <c r="O620" s="78">
        <v>32070033</v>
      </c>
      <c r="P620" s="42" t="str">
        <f>VLOOKUP(O620,[1]Feuil2!$A:$M,5,FALSE)</f>
        <v>COUTEAU OPEN DECOR POIS ROUGE 3517C TB COLLECTION</v>
      </c>
      <c r="Q620" s="75">
        <v>4800</v>
      </c>
      <c r="R620" s="79">
        <v>0.23899999999999999</v>
      </c>
      <c r="S620" s="80">
        <f t="shared" si="112"/>
        <v>1147.2</v>
      </c>
      <c r="T620" s="81">
        <f t="shared" si="118"/>
        <v>212703.09599999996</v>
      </c>
      <c r="U620" s="139"/>
      <c r="V620" s="82">
        <f t="shared" si="113"/>
        <v>212703.09599999996</v>
      </c>
      <c r="W620" s="9">
        <f>VLOOKUP(O620,[1]Feuil2!$A:$M,6,FALSE)</f>
        <v>240</v>
      </c>
      <c r="X620" s="10">
        <f>VLOOKUP(O620,[1]Feuil2!$A:$M,13,FALSE)</f>
        <v>2.6600000000000002E-2</v>
      </c>
      <c r="Y620" s="11">
        <f t="shared" si="117"/>
        <v>0.53200000000000003</v>
      </c>
      <c r="Z620" s="83">
        <f t="shared" si="114"/>
        <v>121.76061962500002</v>
      </c>
      <c r="AA620" s="66" t="s">
        <v>61</v>
      </c>
      <c r="AB620" s="28" t="s">
        <v>61</v>
      </c>
      <c r="AC620" s="75"/>
      <c r="AD620" s="28" t="s">
        <v>61</v>
      </c>
      <c r="AE620" s="14"/>
      <c r="AF620" s="13"/>
      <c r="AG620" s="13"/>
      <c r="AH620" s="84"/>
      <c r="AI620" s="134">
        <v>46142</v>
      </c>
      <c r="AJ620" s="144" t="e">
        <f t="shared" ca="1" si="116"/>
        <v>#NUM!</v>
      </c>
      <c r="AK620" s="85" t="e">
        <f>VLOOKUP(AP620,'[2]CONTENEUR PLEIN'!$F:$L,3,FALSE)</f>
        <v>#N/A</v>
      </c>
      <c r="AL620" s="86" t="e">
        <f>VLOOKUP(AP620,'[2]CONTENEUR PLEIN'!$F:$L,5,FALSE)</f>
        <v>#N/A</v>
      </c>
      <c r="AM620" s="15" t="e">
        <f>VLOOKUP(AP620,'[2]CONTENEUR PLEIN'!$F:$L,7,FALSE)</f>
        <v>#N/A</v>
      </c>
      <c r="AN620" s="284" t="s">
        <v>63</v>
      </c>
      <c r="AO620" s="75"/>
      <c r="AP620" s="75"/>
      <c r="AQ620" s="75"/>
      <c r="AR620" s="75" t="e">
        <f>VLOOKUP(AP620,'[2]CONTENEUR PLEIN'!$F:$L,2,FALSE)</f>
        <v>#N/A</v>
      </c>
      <c r="AS620" s="75"/>
      <c r="AT620" s="84"/>
    </row>
    <row r="621" spans="1:46" s="72" customFormat="1" hidden="1" x14ac:dyDescent="0.25">
      <c r="B621" s="375" t="s">
        <v>45</v>
      </c>
      <c r="C621" s="74">
        <v>46048</v>
      </c>
      <c r="D621" s="75">
        <v>26013</v>
      </c>
      <c r="E621" s="376" t="s">
        <v>878</v>
      </c>
      <c r="F621" s="75">
        <v>2512241134</v>
      </c>
      <c r="G621" s="377" t="s">
        <v>74</v>
      </c>
      <c r="H621" s="377" t="s">
        <v>829</v>
      </c>
      <c r="I621" s="377" t="s">
        <v>49</v>
      </c>
      <c r="J621" s="377" t="s">
        <v>46</v>
      </c>
      <c r="K621" s="377" t="s">
        <v>60</v>
      </c>
      <c r="L621" s="377" t="s">
        <v>47</v>
      </c>
      <c r="M621" s="380" t="e">
        <f t="shared" si="111"/>
        <v>#N/A</v>
      </c>
      <c r="N621" s="77" t="s">
        <v>49</v>
      </c>
      <c r="O621" s="78">
        <v>32070034</v>
      </c>
      <c r="P621" s="42" t="str">
        <f>VLOOKUP(O621,[1]Feuil2!$A:$M,5,FALSE)</f>
        <v>FOURCHETTE OPEN DECOR POIS ROUGE 3517C TB COLLECTION</v>
      </c>
      <c r="Q621" s="75">
        <v>4800</v>
      </c>
      <c r="R621" s="79">
        <v>0.23699999999999999</v>
      </c>
      <c r="S621" s="80">
        <f t="shared" si="112"/>
        <v>1137.5999999999999</v>
      </c>
      <c r="T621" s="81">
        <f t="shared" si="118"/>
        <v>212703.09599999996</v>
      </c>
      <c r="U621" s="139"/>
      <c r="V621" s="82">
        <f t="shared" si="113"/>
        <v>212703.09599999996</v>
      </c>
      <c r="W621" s="9">
        <f>VLOOKUP(O621,[1]Feuil2!$A:$M,6,FALSE)</f>
        <v>240</v>
      </c>
      <c r="X621" s="10">
        <f>VLOOKUP(O621,[1]Feuil2!$A:$M,13,FALSE)</f>
        <v>2.9303999999999997E-2</v>
      </c>
      <c r="Y621" s="11">
        <f t="shared" si="117"/>
        <v>0.58607999999999993</v>
      </c>
      <c r="Z621" s="83">
        <f t="shared" si="114"/>
        <v>121.76061962500002</v>
      </c>
      <c r="AA621" s="66" t="s">
        <v>61</v>
      </c>
      <c r="AB621" s="28" t="s">
        <v>61</v>
      </c>
      <c r="AC621" s="75"/>
      <c r="AD621" s="28" t="s">
        <v>61</v>
      </c>
      <c r="AE621" s="14"/>
      <c r="AF621" s="13"/>
      <c r="AG621" s="13"/>
      <c r="AH621" s="84"/>
      <c r="AI621" s="134">
        <v>46142</v>
      </c>
      <c r="AJ621" s="144" t="e">
        <f t="shared" ca="1" si="116"/>
        <v>#NUM!</v>
      </c>
      <c r="AK621" s="85" t="e">
        <f>VLOOKUP(AP621,'[2]CONTENEUR PLEIN'!$F:$L,3,FALSE)</f>
        <v>#N/A</v>
      </c>
      <c r="AL621" s="86" t="e">
        <f>VLOOKUP(AP621,'[2]CONTENEUR PLEIN'!$F:$L,5,FALSE)</f>
        <v>#N/A</v>
      </c>
      <c r="AM621" s="15" t="e">
        <f>VLOOKUP(AP621,'[2]CONTENEUR PLEIN'!$F:$L,7,FALSE)</f>
        <v>#N/A</v>
      </c>
      <c r="AN621" s="284" t="s">
        <v>63</v>
      </c>
      <c r="AO621" s="75"/>
      <c r="AP621" s="75"/>
      <c r="AQ621" s="75"/>
      <c r="AR621" s="75" t="e">
        <f>VLOOKUP(AP621,'[2]CONTENEUR PLEIN'!$F:$L,2,FALSE)</f>
        <v>#N/A</v>
      </c>
      <c r="AS621" s="75"/>
      <c r="AT621" s="84"/>
    </row>
    <row r="622" spans="1:46" s="72" customFormat="1" hidden="1" x14ac:dyDescent="0.25">
      <c r="B622" s="375" t="s">
        <v>45</v>
      </c>
      <c r="C622" s="74">
        <v>46048</v>
      </c>
      <c r="D622" s="75">
        <v>26013</v>
      </c>
      <c r="E622" s="376" t="s">
        <v>878</v>
      </c>
      <c r="F622" s="75">
        <v>2512241134</v>
      </c>
      <c r="G622" s="377" t="s">
        <v>74</v>
      </c>
      <c r="H622" s="377" t="s">
        <v>829</v>
      </c>
      <c r="I622" s="377" t="s">
        <v>49</v>
      </c>
      <c r="J622" s="377" t="s">
        <v>46</v>
      </c>
      <c r="K622" s="377" t="s">
        <v>60</v>
      </c>
      <c r="L622" s="377" t="s">
        <v>47</v>
      </c>
      <c r="M622" s="380" t="e">
        <f t="shared" si="111"/>
        <v>#N/A</v>
      </c>
      <c r="N622" s="77" t="s">
        <v>49</v>
      </c>
      <c r="O622" s="78">
        <v>32070035</v>
      </c>
      <c r="P622" s="42" t="str">
        <f>VLOOKUP(O622,[1]Feuil2!$A:$M,5,FALSE)</f>
        <v>CUILLERE OPEN DECOR POIS ROUGE 3517C TB COLLECTION</v>
      </c>
      <c r="Q622" s="75">
        <v>3600</v>
      </c>
      <c r="R622" s="79">
        <v>0.249</v>
      </c>
      <c r="S622" s="80">
        <f t="shared" si="112"/>
        <v>896.4</v>
      </c>
      <c r="T622" s="81">
        <f t="shared" si="118"/>
        <v>212703.09599999996</v>
      </c>
      <c r="U622" s="139"/>
      <c r="V622" s="82">
        <f t="shared" si="113"/>
        <v>212703.09599999996</v>
      </c>
      <c r="W622" s="9">
        <f>VLOOKUP(O622,[1]Feuil2!$A:$M,6,FALSE)</f>
        <v>240</v>
      </c>
      <c r="X622" s="10">
        <f>VLOOKUP(O622,[1]Feuil2!$A:$M,13,FALSE)</f>
        <v>3.0318750000000002E-2</v>
      </c>
      <c r="Y622" s="11">
        <f t="shared" si="117"/>
        <v>0.45478125000000003</v>
      </c>
      <c r="Z622" s="83">
        <f t="shared" si="114"/>
        <v>121.76061962500002</v>
      </c>
      <c r="AA622" s="66" t="s">
        <v>61</v>
      </c>
      <c r="AB622" s="28" t="s">
        <v>61</v>
      </c>
      <c r="AC622" s="75"/>
      <c r="AD622" s="28" t="s">
        <v>61</v>
      </c>
      <c r="AE622" s="14"/>
      <c r="AF622" s="13"/>
      <c r="AG622" s="13"/>
      <c r="AH622" s="84"/>
      <c r="AI622" s="134">
        <v>46142</v>
      </c>
      <c r="AJ622" s="144" t="e">
        <f t="shared" ca="1" si="116"/>
        <v>#NUM!</v>
      </c>
      <c r="AK622" s="85" t="e">
        <f>VLOOKUP(AP622,'[2]CONTENEUR PLEIN'!$F:$L,3,FALSE)</f>
        <v>#N/A</v>
      </c>
      <c r="AL622" s="86" t="e">
        <f>VLOOKUP(AP622,'[2]CONTENEUR PLEIN'!$F:$L,5,FALSE)</f>
        <v>#N/A</v>
      </c>
      <c r="AM622" s="15" t="e">
        <f>VLOOKUP(AP622,'[2]CONTENEUR PLEIN'!$F:$L,7,FALSE)</f>
        <v>#N/A</v>
      </c>
      <c r="AN622" s="284" t="s">
        <v>63</v>
      </c>
      <c r="AO622" s="75"/>
      <c r="AP622" s="75"/>
      <c r="AQ622" s="75"/>
      <c r="AR622" s="75" t="e">
        <f>VLOOKUP(AP622,'[2]CONTENEUR PLEIN'!$F:$L,2,FALSE)</f>
        <v>#N/A</v>
      </c>
      <c r="AS622" s="75"/>
      <c r="AT622" s="84"/>
    </row>
    <row r="623" spans="1:46" s="72" customFormat="1" hidden="1" x14ac:dyDescent="0.25">
      <c r="B623" s="375" t="s">
        <v>45</v>
      </c>
      <c r="C623" s="74">
        <v>46048</v>
      </c>
      <c r="D623" s="75">
        <v>26013</v>
      </c>
      <c r="E623" s="376" t="s">
        <v>878</v>
      </c>
      <c r="F623" s="75">
        <v>2512241134</v>
      </c>
      <c r="G623" s="377" t="s">
        <v>74</v>
      </c>
      <c r="H623" s="377" t="s">
        <v>829</v>
      </c>
      <c r="I623" s="377" t="s">
        <v>49</v>
      </c>
      <c r="J623" s="377" t="s">
        <v>46</v>
      </c>
      <c r="K623" s="377" t="s">
        <v>60</v>
      </c>
      <c r="L623" s="377" t="s">
        <v>47</v>
      </c>
      <c r="M623" s="380" t="e">
        <f t="shared" si="111"/>
        <v>#N/A</v>
      </c>
      <c r="N623" s="77" t="s">
        <v>49</v>
      </c>
      <c r="O623" s="78">
        <v>32070036</v>
      </c>
      <c r="P623" s="42" t="str">
        <f>VLOOKUP(O623,[1]Feuil2!$A:$M,5,FALSE)</f>
        <v>CAFE OPEN DECOR POIS ROUGE 3517C TB COLLECTION</v>
      </c>
      <c r="Q623" s="75">
        <v>3600</v>
      </c>
      <c r="R623" s="79">
        <v>0.21299999999999999</v>
      </c>
      <c r="S623" s="80">
        <f t="shared" si="112"/>
        <v>766.8</v>
      </c>
      <c r="T623" s="81">
        <f t="shared" si="118"/>
        <v>212703.09599999996</v>
      </c>
      <c r="U623" s="139"/>
      <c r="V623" s="82">
        <f t="shared" si="113"/>
        <v>212703.09599999996</v>
      </c>
      <c r="W623" s="9">
        <f>VLOOKUP(O623,[1]Feuil2!$A:$M,6,FALSE)</f>
        <v>240</v>
      </c>
      <c r="X623" s="10">
        <f>VLOOKUP(O623,[1]Feuil2!$A:$M,13,FALSE)</f>
        <v>1.6800000000000002E-2</v>
      </c>
      <c r="Y623" s="11">
        <f t="shared" si="117"/>
        <v>0.25200000000000006</v>
      </c>
      <c r="Z623" s="83">
        <f t="shared" si="114"/>
        <v>121.76061962500002</v>
      </c>
      <c r="AA623" s="66" t="s">
        <v>61</v>
      </c>
      <c r="AB623" s="28" t="s">
        <v>61</v>
      </c>
      <c r="AC623" s="75"/>
      <c r="AD623" s="28" t="s">
        <v>61</v>
      </c>
      <c r="AE623" s="14"/>
      <c r="AF623" s="13"/>
      <c r="AG623" s="13"/>
      <c r="AH623" s="84"/>
      <c r="AI623" s="134">
        <v>46142</v>
      </c>
      <c r="AJ623" s="144" t="e">
        <f t="shared" ref="AJ623:AJ654" ca="1" si="119">DATEDIF(AI623,$AJ$1,"D")</f>
        <v>#NUM!</v>
      </c>
      <c r="AK623" s="85" t="e">
        <f>VLOOKUP(AP623,'[2]CONTENEUR PLEIN'!$F:$L,3,FALSE)</f>
        <v>#N/A</v>
      </c>
      <c r="AL623" s="86" t="e">
        <f>VLOOKUP(AP623,'[2]CONTENEUR PLEIN'!$F:$L,5,FALSE)</f>
        <v>#N/A</v>
      </c>
      <c r="AM623" s="15" t="e">
        <f>VLOOKUP(AP623,'[2]CONTENEUR PLEIN'!$F:$L,7,FALSE)</f>
        <v>#N/A</v>
      </c>
      <c r="AN623" s="284" t="s">
        <v>63</v>
      </c>
      <c r="AO623" s="75"/>
      <c r="AP623" s="75"/>
      <c r="AQ623" s="75"/>
      <c r="AR623" s="75" t="e">
        <f>VLOOKUP(AP623,'[2]CONTENEUR PLEIN'!$F:$L,2,FALSE)</f>
        <v>#N/A</v>
      </c>
      <c r="AS623" s="75"/>
      <c r="AT623" s="84"/>
    </row>
    <row r="624" spans="1:46" s="72" customFormat="1" hidden="1" x14ac:dyDescent="0.25">
      <c r="B624" s="375" t="s">
        <v>45</v>
      </c>
      <c r="C624" s="74">
        <v>46048</v>
      </c>
      <c r="D624" s="75">
        <v>26013</v>
      </c>
      <c r="E624" s="376" t="s">
        <v>878</v>
      </c>
      <c r="F624" s="75">
        <v>2512241134</v>
      </c>
      <c r="G624" s="377" t="s">
        <v>74</v>
      </c>
      <c r="H624" s="377" t="s">
        <v>829</v>
      </c>
      <c r="I624" s="377" t="s">
        <v>49</v>
      </c>
      <c r="J624" s="377" t="s">
        <v>46</v>
      </c>
      <c r="K624" s="377" t="s">
        <v>60</v>
      </c>
      <c r="L624" s="377" t="s">
        <v>47</v>
      </c>
      <c r="M624" s="380" t="e">
        <f t="shared" si="111"/>
        <v>#N/A</v>
      </c>
      <c r="N624" s="77" t="s">
        <v>49</v>
      </c>
      <c r="O624" s="78">
        <v>32070037</v>
      </c>
      <c r="P624" s="42" t="str">
        <f>VLOOKUP(O624,[1]Feuil2!$A:$M,5,FALSE)</f>
        <v>COUTEAU OPEN DECOR POIS NOIR 6C TB COLLECTION</v>
      </c>
      <c r="Q624" s="75">
        <v>4560</v>
      </c>
      <c r="R624" s="79">
        <v>0.23899999999999999</v>
      </c>
      <c r="S624" s="80">
        <f t="shared" si="112"/>
        <v>1089.8399999999999</v>
      </c>
      <c r="T624" s="81">
        <f t="shared" si="118"/>
        <v>212703.09599999996</v>
      </c>
      <c r="U624" s="139"/>
      <c r="V624" s="82">
        <f t="shared" si="113"/>
        <v>212703.09599999996</v>
      </c>
      <c r="W624" s="9">
        <f>VLOOKUP(O624,[1]Feuil2!$A:$M,6,FALSE)</f>
        <v>240</v>
      </c>
      <c r="X624" s="10">
        <f>VLOOKUP(O624,[1]Feuil2!$A:$M,13,FALSE)</f>
        <v>2.5650000000000003E-2</v>
      </c>
      <c r="Y624" s="11">
        <f t="shared" si="117"/>
        <v>0.48735000000000006</v>
      </c>
      <c r="Z624" s="83">
        <f t="shared" si="114"/>
        <v>121.76061962500002</v>
      </c>
      <c r="AA624" s="66" t="s">
        <v>61</v>
      </c>
      <c r="AB624" s="28" t="s">
        <v>61</v>
      </c>
      <c r="AC624" s="75"/>
      <c r="AD624" s="28" t="s">
        <v>61</v>
      </c>
      <c r="AE624" s="14"/>
      <c r="AF624" s="13"/>
      <c r="AG624" s="13"/>
      <c r="AH624" s="84"/>
      <c r="AI624" s="134">
        <v>46142</v>
      </c>
      <c r="AJ624" s="144" t="e">
        <f t="shared" ca="1" si="119"/>
        <v>#NUM!</v>
      </c>
      <c r="AK624" s="85" t="e">
        <f>VLOOKUP(AP624,'[2]CONTENEUR PLEIN'!$F:$L,3,FALSE)</f>
        <v>#N/A</v>
      </c>
      <c r="AL624" s="86" t="e">
        <f>VLOOKUP(AP624,'[2]CONTENEUR PLEIN'!$F:$L,5,FALSE)</f>
        <v>#N/A</v>
      </c>
      <c r="AM624" s="15" t="e">
        <f>VLOOKUP(AP624,'[2]CONTENEUR PLEIN'!$F:$L,7,FALSE)</f>
        <v>#N/A</v>
      </c>
      <c r="AN624" s="284" t="s">
        <v>63</v>
      </c>
      <c r="AO624" s="75"/>
      <c r="AP624" s="75"/>
      <c r="AQ624" s="75"/>
      <c r="AR624" s="75" t="e">
        <f>VLOOKUP(AP624,'[2]CONTENEUR PLEIN'!$F:$L,2,FALSE)</f>
        <v>#N/A</v>
      </c>
      <c r="AS624" s="75"/>
      <c r="AT624" s="84"/>
    </row>
    <row r="625" spans="2:46" s="72" customFormat="1" ht="15" hidden="1" customHeight="1" x14ac:dyDescent="0.25">
      <c r="B625" s="375" t="s">
        <v>45</v>
      </c>
      <c r="C625" s="74">
        <v>46048</v>
      </c>
      <c r="D625" s="75">
        <v>26013</v>
      </c>
      <c r="E625" s="376" t="s">
        <v>878</v>
      </c>
      <c r="F625" s="75">
        <v>2512241134</v>
      </c>
      <c r="G625" s="377" t="s">
        <v>74</v>
      </c>
      <c r="H625" s="377" t="s">
        <v>829</v>
      </c>
      <c r="I625" s="377" t="s">
        <v>49</v>
      </c>
      <c r="J625" s="377" t="s">
        <v>46</v>
      </c>
      <c r="K625" s="377" t="s">
        <v>60</v>
      </c>
      <c r="L625" s="377" t="s">
        <v>47</v>
      </c>
      <c r="M625" s="380" t="e">
        <f t="shared" si="111"/>
        <v>#N/A</v>
      </c>
      <c r="N625" s="77" t="s">
        <v>49</v>
      </c>
      <c r="O625" s="78">
        <v>32070038</v>
      </c>
      <c r="P625" s="42" t="str">
        <f>VLOOKUP(O625,[1]Feuil2!$A:$M,5,FALSE)</f>
        <v>FOURCHETTE OPEN DECOR POIS NOIR 6C TB COLLECTION</v>
      </c>
      <c r="Q625" s="75">
        <v>4560</v>
      </c>
      <c r="R625" s="79">
        <v>0.23699999999999999</v>
      </c>
      <c r="S625" s="80">
        <f t="shared" si="112"/>
        <v>1080.72</v>
      </c>
      <c r="T625" s="81">
        <f t="shared" si="118"/>
        <v>212703.09599999996</v>
      </c>
      <c r="U625" s="139"/>
      <c r="V625" s="82">
        <f t="shared" si="113"/>
        <v>212703.09599999996</v>
      </c>
      <c r="W625" s="9">
        <f>VLOOKUP(O625,[1]Feuil2!$A:$M,6,FALSE)</f>
        <v>240</v>
      </c>
      <c r="X625" s="10">
        <f>VLOOKUP(O625,[1]Feuil2!$A:$M,13,FALSE)</f>
        <v>3.1350000000000003E-2</v>
      </c>
      <c r="Y625" s="11">
        <f t="shared" si="117"/>
        <v>0.59565000000000001</v>
      </c>
      <c r="Z625" s="83">
        <f t="shared" si="114"/>
        <v>121.76061962500002</v>
      </c>
      <c r="AA625" s="66" t="s">
        <v>61</v>
      </c>
      <c r="AB625" s="28" t="s">
        <v>61</v>
      </c>
      <c r="AC625" s="75"/>
      <c r="AD625" s="28" t="s">
        <v>61</v>
      </c>
      <c r="AE625" s="14"/>
      <c r="AF625" s="13"/>
      <c r="AG625" s="13"/>
      <c r="AH625" s="84"/>
      <c r="AI625" s="134">
        <v>46142</v>
      </c>
      <c r="AJ625" s="144" t="e">
        <f t="shared" ca="1" si="119"/>
        <v>#NUM!</v>
      </c>
      <c r="AK625" s="85" t="e">
        <f>VLOOKUP(AP625,'[2]CONTENEUR PLEIN'!$F:$L,3,FALSE)</f>
        <v>#N/A</v>
      </c>
      <c r="AL625" s="86" t="e">
        <f>VLOOKUP(AP625,'[2]CONTENEUR PLEIN'!$F:$L,5,FALSE)</f>
        <v>#N/A</v>
      </c>
      <c r="AM625" s="15" t="e">
        <f>VLOOKUP(AP625,'[2]CONTENEUR PLEIN'!$F:$L,7,FALSE)</f>
        <v>#N/A</v>
      </c>
      <c r="AN625" s="284" t="s">
        <v>63</v>
      </c>
      <c r="AO625" s="75"/>
      <c r="AP625" s="75"/>
      <c r="AQ625" s="75"/>
      <c r="AR625" s="75" t="e">
        <f>VLOOKUP(AP625,'[2]CONTENEUR PLEIN'!$F:$L,2,FALSE)</f>
        <v>#N/A</v>
      </c>
      <c r="AS625" s="75"/>
      <c r="AT625" s="84"/>
    </row>
    <row r="626" spans="2:46" s="72" customFormat="1" hidden="1" x14ac:dyDescent="0.25">
      <c r="B626" s="375" t="s">
        <v>45</v>
      </c>
      <c r="C626" s="74">
        <v>46048</v>
      </c>
      <c r="D626" s="75">
        <v>26013</v>
      </c>
      <c r="E626" s="376" t="s">
        <v>878</v>
      </c>
      <c r="F626" s="75">
        <v>2512241134</v>
      </c>
      <c r="G626" s="377" t="s">
        <v>74</v>
      </c>
      <c r="H626" s="377" t="s">
        <v>829</v>
      </c>
      <c r="I626" s="377" t="s">
        <v>49</v>
      </c>
      <c r="J626" s="377" t="s">
        <v>46</v>
      </c>
      <c r="K626" s="377" t="s">
        <v>60</v>
      </c>
      <c r="L626" s="377" t="s">
        <v>47</v>
      </c>
      <c r="M626" s="380" t="e">
        <f t="shared" si="111"/>
        <v>#N/A</v>
      </c>
      <c r="N626" s="77" t="s">
        <v>49</v>
      </c>
      <c r="O626" s="78">
        <v>32070039</v>
      </c>
      <c r="P626" s="42" t="str">
        <f>VLOOKUP(O626,[1]Feuil2!$A:$M,5,FALSE)</f>
        <v>CUILLERE OPEN DECOR POIS NOIR 6C TB COLLECTION</v>
      </c>
      <c r="Q626" s="75">
        <v>3600</v>
      </c>
      <c r="R626" s="79">
        <v>0.249</v>
      </c>
      <c r="S626" s="80">
        <f t="shared" si="112"/>
        <v>896.4</v>
      </c>
      <c r="T626" s="81">
        <f t="shared" si="118"/>
        <v>212703.09599999996</v>
      </c>
      <c r="U626" s="139"/>
      <c r="V626" s="82">
        <f t="shared" si="113"/>
        <v>212703.09599999996</v>
      </c>
      <c r="W626" s="9">
        <f>VLOOKUP(O626,[1]Feuil2!$A:$M,6,FALSE)</f>
        <v>240</v>
      </c>
      <c r="X626" s="10">
        <f>VLOOKUP(O626,[1]Feuil2!$A:$M,13,FALSE)</f>
        <v>3.0095999999999998E-2</v>
      </c>
      <c r="Y626" s="11">
        <f t="shared" si="117"/>
        <v>0.45143999999999995</v>
      </c>
      <c r="Z626" s="83">
        <f t="shared" si="114"/>
        <v>121.76061962500002</v>
      </c>
      <c r="AA626" s="66" t="s">
        <v>61</v>
      </c>
      <c r="AB626" s="28" t="s">
        <v>61</v>
      </c>
      <c r="AC626" s="75"/>
      <c r="AD626" s="28" t="s">
        <v>61</v>
      </c>
      <c r="AE626" s="14"/>
      <c r="AF626" s="13"/>
      <c r="AG626" s="13"/>
      <c r="AH626" s="84"/>
      <c r="AI626" s="134">
        <v>46142</v>
      </c>
      <c r="AJ626" s="144" t="e">
        <f t="shared" ca="1" si="119"/>
        <v>#NUM!</v>
      </c>
      <c r="AK626" s="85" t="e">
        <f>VLOOKUP(AP626,'[2]CONTENEUR PLEIN'!$F:$L,3,FALSE)</f>
        <v>#N/A</v>
      </c>
      <c r="AL626" s="86" t="e">
        <f>VLOOKUP(AP626,'[2]CONTENEUR PLEIN'!$F:$L,5,FALSE)</f>
        <v>#N/A</v>
      </c>
      <c r="AM626" s="15" t="e">
        <f>VLOOKUP(AP626,'[2]CONTENEUR PLEIN'!$F:$L,7,FALSE)</f>
        <v>#N/A</v>
      </c>
      <c r="AN626" s="284" t="s">
        <v>63</v>
      </c>
      <c r="AO626" s="75"/>
      <c r="AP626" s="75"/>
      <c r="AQ626" s="75"/>
      <c r="AR626" s="75" t="e">
        <f>VLOOKUP(AP626,'[2]CONTENEUR PLEIN'!$F:$L,2,FALSE)</f>
        <v>#N/A</v>
      </c>
      <c r="AS626" s="75"/>
      <c r="AT626" s="84"/>
    </row>
    <row r="627" spans="2:46" s="72" customFormat="1" hidden="1" x14ac:dyDescent="0.25">
      <c r="B627" s="375" t="s">
        <v>45</v>
      </c>
      <c r="C627" s="74">
        <v>46048</v>
      </c>
      <c r="D627" s="75">
        <v>26013</v>
      </c>
      <c r="E627" s="376" t="s">
        <v>878</v>
      </c>
      <c r="F627" s="75">
        <v>2512241134</v>
      </c>
      <c r="G627" s="377" t="s">
        <v>74</v>
      </c>
      <c r="H627" s="377" t="s">
        <v>829</v>
      </c>
      <c r="I627" s="377" t="s">
        <v>49</v>
      </c>
      <c r="J627" s="377" t="s">
        <v>46</v>
      </c>
      <c r="K627" s="377" t="s">
        <v>60</v>
      </c>
      <c r="L627" s="377" t="s">
        <v>47</v>
      </c>
      <c r="M627" s="380" t="e">
        <f t="shared" si="111"/>
        <v>#N/A</v>
      </c>
      <c r="N627" s="77" t="s">
        <v>49</v>
      </c>
      <c r="O627" s="78">
        <v>32070040</v>
      </c>
      <c r="P627" s="42" t="str">
        <f>VLOOKUP(O627,[1]Feuil2!$A:$M,5,FALSE)</f>
        <v>CAFE OPEN DECOR POIS NOIR 6C TB COLLECTION</v>
      </c>
      <c r="Q627" s="75">
        <v>4560</v>
      </c>
      <c r="R627" s="79">
        <v>0.21299999999999999</v>
      </c>
      <c r="S627" s="80">
        <f t="shared" si="112"/>
        <v>971.28</v>
      </c>
      <c r="T627" s="81">
        <f t="shared" si="118"/>
        <v>212703.09599999996</v>
      </c>
      <c r="U627" s="139"/>
      <c r="V627" s="82">
        <f t="shared" si="113"/>
        <v>212703.09599999996</v>
      </c>
      <c r="W627" s="9">
        <f>VLOOKUP(O627,[1]Feuil2!$A:$M,6,FALSE)</f>
        <v>240</v>
      </c>
      <c r="X627" s="10">
        <f>VLOOKUP(O627,[1]Feuil2!$A:$M,13,FALSE)</f>
        <v>2.052E-2</v>
      </c>
      <c r="Y627" s="11">
        <f t="shared" si="117"/>
        <v>0.38988</v>
      </c>
      <c r="Z627" s="83">
        <f t="shared" si="114"/>
        <v>121.76061962500002</v>
      </c>
      <c r="AA627" s="66" t="s">
        <v>61</v>
      </c>
      <c r="AB627" s="28" t="s">
        <v>61</v>
      </c>
      <c r="AC627" s="75"/>
      <c r="AD627" s="28" t="s">
        <v>61</v>
      </c>
      <c r="AE627" s="14"/>
      <c r="AF627" s="13"/>
      <c r="AG627" s="13"/>
      <c r="AH627" s="84"/>
      <c r="AI627" s="134">
        <v>46142</v>
      </c>
      <c r="AJ627" s="144" t="e">
        <f t="shared" ca="1" si="119"/>
        <v>#NUM!</v>
      </c>
      <c r="AK627" s="85" t="e">
        <f>VLOOKUP(AP627,'[2]CONTENEUR PLEIN'!$F:$L,3,FALSE)</f>
        <v>#N/A</v>
      </c>
      <c r="AL627" s="86" t="e">
        <f>VLOOKUP(AP627,'[2]CONTENEUR PLEIN'!$F:$L,5,FALSE)</f>
        <v>#N/A</v>
      </c>
      <c r="AM627" s="15" t="e">
        <f>VLOOKUP(AP627,'[2]CONTENEUR PLEIN'!$F:$L,7,FALSE)</f>
        <v>#N/A</v>
      </c>
      <c r="AN627" s="284" t="s">
        <v>63</v>
      </c>
      <c r="AO627" s="75"/>
      <c r="AP627" s="75"/>
      <c r="AQ627" s="75"/>
      <c r="AR627" s="75" t="e">
        <f>VLOOKUP(AP627,'[2]CONTENEUR PLEIN'!$F:$L,2,FALSE)</f>
        <v>#N/A</v>
      </c>
      <c r="AS627" s="75"/>
      <c r="AT627" s="84"/>
    </row>
    <row r="628" spans="2:46" s="72" customFormat="1" hidden="1" x14ac:dyDescent="0.25">
      <c r="B628" s="375" t="s">
        <v>45</v>
      </c>
      <c r="C628" s="74">
        <v>46048</v>
      </c>
      <c r="D628" s="75">
        <v>26013</v>
      </c>
      <c r="E628" s="376" t="s">
        <v>878</v>
      </c>
      <c r="F628" s="75">
        <v>2512241134</v>
      </c>
      <c r="G628" s="377" t="s">
        <v>74</v>
      </c>
      <c r="H628" s="377" t="s">
        <v>829</v>
      </c>
      <c r="I628" s="377" t="s">
        <v>49</v>
      </c>
      <c r="J628" s="377" t="s">
        <v>46</v>
      </c>
      <c r="K628" s="377" t="s">
        <v>60</v>
      </c>
      <c r="L628" s="377" t="s">
        <v>47</v>
      </c>
      <c r="M628" s="380" t="e">
        <f t="shared" si="111"/>
        <v>#N/A</v>
      </c>
      <c r="N628" s="282" t="s">
        <v>62</v>
      </c>
      <c r="O628" s="78">
        <v>32070049</v>
      </c>
      <c r="P628" s="42" t="str">
        <f>VLOOKUP(O628,[1]Feuil2!$A:$M,5,FALSE)</f>
        <v>M24 OPEN DECOR POIS ROUGE 3517C POT PET TB COLLECTION</v>
      </c>
      <c r="Q628" s="75">
        <v>3960</v>
      </c>
      <c r="R628" s="79">
        <v>5.88</v>
      </c>
      <c r="S628" s="80">
        <f t="shared" si="112"/>
        <v>23284.799999999999</v>
      </c>
      <c r="T628" s="81">
        <f t="shared" si="118"/>
        <v>212703.09599999996</v>
      </c>
      <c r="U628" s="139"/>
      <c r="V628" s="82">
        <f t="shared" si="113"/>
        <v>212703.09599999996</v>
      </c>
      <c r="W628" s="9">
        <f>VLOOKUP(O628,[1]Feuil2!$A:$M,6,FALSE)</f>
        <v>6</v>
      </c>
      <c r="X628" s="10">
        <f>VLOOKUP(O628,[1]Feuil2!$A:$M,13,FALSE)</f>
        <v>1.8528125000000003E-2</v>
      </c>
      <c r="Y628" s="11">
        <f t="shared" si="117"/>
        <v>12.228562500000002</v>
      </c>
      <c r="Z628" s="83">
        <f t="shared" si="114"/>
        <v>121.76061962500002</v>
      </c>
      <c r="AA628" s="66" t="s">
        <v>61</v>
      </c>
      <c r="AB628" s="28" t="s">
        <v>61</v>
      </c>
      <c r="AC628" s="75"/>
      <c r="AD628" s="28" t="s">
        <v>61</v>
      </c>
      <c r="AE628" s="14"/>
      <c r="AF628" s="13"/>
      <c r="AG628" s="13"/>
      <c r="AH628" s="84"/>
      <c r="AI628" s="134">
        <v>46142</v>
      </c>
      <c r="AJ628" s="144" t="e">
        <f t="shared" ca="1" si="119"/>
        <v>#NUM!</v>
      </c>
      <c r="AK628" s="85" t="e">
        <f>VLOOKUP(AP628,'[2]CONTENEUR PLEIN'!$F:$L,3,FALSE)</f>
        <v>#N/A</v>
      </c>
      <c r="AL628" s="86" t="e">
        <f>VLOOKUP(AP628,'[2]CONTENEUR PLEIN'!$F:$L,5,FALSE)</f>
        <v>#N/A</v>
      </c>
      <c r="AM628" s="15" t="e">
        <f>VLOOKUP(AP628,'[2]CONTENEUR PLEIN'!$F:$L,7,FALSE)</f>
        <v>#N/A</v>
      </c>
      <c r="AN628" s="284" t="s">
        <v>63</v>
      </c>
      <c r="AO628" s="75"/>
      <c r="AP628" s="75"/>
      <c r="AQ628" s="75"/>
      <c r="AR628" s="75" t="e">
        <f>VLOOKUP(AP628,'[2]CONTENEUR PLEIN'!$F:$L,2,FALSE)</f>
        <v>#N/A</v>
      </c>
      <c r="AS628" s="75"/>
      <c r="AT628" s="84"/>
    </row>
    <row r="629" spans="2:46" s="72" customFormat="1" hidden="1" x14ac:dyDescent="0.25">
      <c r="B629" s="375" t="s">
        <v>45</v>
      </c>
      <c r="C629" s="74">
        <v>46048</v>
      </c>
      <c r="D629" s="75">
        <v>26013</v>
      </c>
      <c r="E629" s="376" t="s">
        <v>878</v>
      </c>
      <c r="F629" s="75">
        <v>2512241134</v>
      </c>
      <c r="G629" s="377" t="s">
        <v>74</v>
      </c>
      <c r="H629" s="377" t="s">
        <v>829</v>
      </c>
      <c r="I629" s="377" t="s">
        <v>49</v>
      </c>
      <c r="J629" s="377" t="s">
        <v>46</v>
      </c>
      <c r="K629" s="377" t="s">
        <v>60</v>
      </c>
      <c r="L629" s="377" t="s">
        <v>47</v>
      </c>
      <c r="M629" s="380" t="e">
        <f t="shared" si="111"/>
        <v>#N/A</v>
      </c>
      <c r="N629" s="77" t="s">
        <v>49</v>
      </c>
      <c r="O629" s="78">
        <v>32070007</v>
      </c>
      <c r="P629" s="42" t="str">
        <f>VLOOKUP(O629,[1]Feuil2!$A:$M,5,FALSE)</f>
        <v>CUILLERE OPEN DECOR FUROSHIKI CARREFOUR HOME</v>
      </c>
      <c r="Q629" s="75">
        <v>5280</v>
      </c>
      <c r="R629" s="79">
        <v>0.249</v>
      </c>
      <c r="S629" s="80">
        <f t="shared" si="112"/>
        <v>1314.72</v>
      </c>
      <c r="T629" s="81">
        <f t="shared" si="118"/>
        <v>212703.09599999996</v>
      </c>
      <c r="U629" s="139"/>
      <c r="V629" s="82">
        <f t="shared" si="113"/>
        <v>212703.09599999996</v>
      </c>
      <c r="W629" s="9">
        <f>VLOOKUP(O629,[1]Feuil2!$A:$M,6,FALSE)</f>
        <v>240</v>
      </c>
      <c r="X629" s="10">
        <f>VLOOKUP(O629,[1]Feuil2!$A:$M,13,FALSE)</f>
        <v>2.9303999999999997E-2</v>
      </c>
      <c r="Y629" s="11">
        <f t="shared" si="117"/>
        <v>0.64468799999999993</v>
      </c>
      <c r="Z629" s="83">
        <f t="shared" si="114"/>
        <v>121.76061962500002</v>
      </c>
      <c r="AA629" s="66" t="s">
        <v>61</v>
      </c>
      <c r="AB629" s="28" t="s">
        <v>61</v>
      </c>
      <c r="AC629" s="75"/>
      <c r="AD629" s="28" t="s">
        <v>61</v>
      </c>
      <c r="AE629" s="14"/>
      <c r="AF629" s="13"/>
      <c r="AG629" s="13"/>
      <c r="AH629" s="84"/>
      <c r="AI629" s="134">
        <v>46142</v>
      </c>
      <c r="AJ629" s="144" t="e">
        <f t="shared" ca="1" si="119"/>
        <v>#NUM!</v>
      </c>
      <c r="AK629" s="85" t="e">
        <f>VLOOKUP(AP629,'[2]CONTENEUR PLEIN'!$F:$L,3,FALSE)</f>
        <v>#N/A</v>
      </c>
      <c r="AL629" s="86" t="e">
        <f>VLOOKUP(AP629,'[2]CONTENEUR PLEIN'!$F:$L,5,FALSE)</f>
        <v>#N/A</v>
      </c>
      <c r="AM629" s="15" t="e">
        <f>VLOOKUP(AP629,'[2]CONTENEUR PLEIN'!$F:$L,7,FALSE)</f>
        <v>#N/A</v>
      </c>
      <c r="AN629" s="284" t="s">
        <v>63</v>
      </c>
      <c r="AO629" s="75"/>
      <c r="AP629" s="75"/>
      <c r="AQ629" s="75"/>
      <c r="AR629" s="75" t="e">
        <f>VLOOKUP(AP629,'[2]CONTENEUR PLEIN'!$F:$L,2,FALSE)</f>
        <v>#N/A</v>
      </c>
      <c r="AS629" s="75"/>
      <c r="AT629" s="84"/>
    </row>
    <row r="630" spans="2:46" s="72" customFormat="1" hidden="1" x14ac:dyDescent="0.25">
      <c r="B630" s="375" t="s">
        <v>45</v>
      </c>
      <c r="C630" s="74">
        <v>46048</v>
      </c>
      <c r="D630" s="75">
        <v>26013</v>
      </c>
      <c r="E630" s="376" t="s">
        <v>878</v>
      </c>
      <c r="F630" s="75">
        <v>2512241134</v>
      </c>
      <c r="G630" s="377" t="s">
        <v>74</v>
      </c>
      <c r="H630" s="377" t="s">
        <v>829</v>
      </c>
      <c r="I630" s="377" t="s">
        <v>49</v>
      </c>
      <c r="J630" s="377" t="s">
        <v>46</v>
      </c>
      <c r="K630" s="377" t="s">
        <v>60</v>
      </c>
      <c r="L630" s="377" t="s">
        <v>47</v>
      </c>
      <c r="M630" s="380" t="e">
        <f t="shared" si="111"/>
        <v>#N/A</v>
      </c>
      <c r="N630" s="77" t="s">
        <v>49</v>
      </c>
      <c r="O630" s="78">
        <v>32210001</v>
      </c>
      <c r="P630" s="42" t="str">
        <f>VLOOKUP(O630,[1]Feuil2!$A:$M,5,FALSE)</f>
        <v>COUTEAU OPEN UNI COLOR BLEU 2180C CARREFOUR HOME</v>
      </c>
      <c r="Q630" s="75">
        <v>3600</v>
      </c>
      <c r="R630" s="79">
        <v>0.19600000000000001</v>
      </c>
      <c r="S630" s="80">
        <f t="shared" si="112"/>
        <v>705.6</v>
      </c>
      <c r="T630" s="81">
        <f t="shared" si="118"/>
        <v>212703.09599999996</v>
      </c>
      <c r="U630" s="139"/>
      <c r="V630" s="82">
        <f t="shared" si="113"/>
        <v>212703.09599999996</v>
      </c>
      <c r="W630" s="9">
        <f>VLOOKUP(O630,[1]Feuil2!$A:$M,6,FALSE)</f>
        <v>240</v>
      </c>
      <c r="X630" s="10">
        <f>VLOOKUP(O630,[1]Feuil2!$A:$M,13,FALSE)</f>
        <v>2.6125000000000002E-2</v>
      </c>
      <c r="Y630" s="11">
        <f t="shared" si="117"/>
        <v>0.39187500000000003</v>
      </c>
      <c r="Z630" s="83">
        <f t="shared" si="114"/>
        <v>121.76061962500002</v>
      </c>
      <c r="AA630" s="66" t="s">
        <v>61</v>
      </c>
      <c r="AB630" s="28" t="s">
        <v>61</v>
      </c>
      <c r="AC630" s="75"/>
      <c r="AD630" s="28" t="s">
        <v>61</v>
      </c>
      <c r="AE630" s="14"/>
      <c r="AF630" s="13"/>
      <c r="AG630" s="13"/>
      <c r="AH630" s="84"/>
      <c r="AI630" s="134">
        <v>46142</v>
      </c>
      <c r="AJ630" s="144" t="e">
        <f t="shared" ca="1" si="119"/>
        <v>#NUM!</v>
      </c>
      <c r="AK630" s="85" t="e">
        <f>VLOOKUP(AP630,'[2]CONTENEUR PLEIN'!$F:$L,3,FALSE)</f>
        <v>#N/A</v>
      </c>
      <c r="AL630" s="86" t="e">
        <f>VLOOKUP(AP630,'[2]CONTENEUR PLEIN'!$F:$L,5,FALSE)</f>
        <v>#N/A</v>
      </c>
      <c r="AM630" s="15" t="e">
        <f>VLOOKUP(AP630,'[2]CONTENEUR PLEIN'!$F:$L,7,FALSE)</f>
        <v>#N/A</v>
      </c>
      <c r="AN630" s="284" t="s">
        <v>63</v>
      </c>
      <c r="AO630" s="75"/>
      <c r="AP630" s="75"/>
      <c r="AQ630" s="75"/>
      <c r="AR630" s="75" t="e">
        <f>VLOOKUP(AP630,'[2]CONTENEUR PLEIN'!$F:$L,2,FALSE)</f>
        <v>#N/A</v>
      </c>
      <c r="AS630" s="75"/>
      <c r="AT630" s="84"/>
    </row>
    <row r="631" spans="2:46" s="72" customFormat="1" hidden="1" x14ac:dyDescent="0.25">
      <c r="B631" s="375" t="s">
        <v>45</v>
      </c>
      <c r="C631" s="74">
        <v>46048</v>
      </c>
      <c r="D631" s="75">
        <v>26013</v>
      </c>
      <c r="E631" s="376" t="s">
        <v>878</v>
      </c>
      <c r="F631" s="75">
        <v>2512241134</v>
      </c>
      <c r="G631" s="377" t="s">
        <v>74</v>
      </c>
      <c r="H631" s="377" t="s">
        <v>829</v>
      </c>
      <c r="I631" s="377" t="s">
        <v>49</v>
      </c>
      <c r="J631" s="377" t="s">
        <v>46</v>
      </c>
      <c r="K631" s="377" t="s">
        <v>60</v>
      </c>
      <c r="L631" s="377" t="s">
        <v>47</v>
      </c>
      <c r="M631" s="380" t="e">
        <f t="shared" si="111"/>
        <v>#N/A</v>
      </c>
      <c r="N631" s="77" t="s">
        <v>49</v>
      </c>
      <c r="O631" s="78">
        <v>32210004</v>
      </c>
      <c r="P631" s="42" t="str">
        <f>VLOOKUP(O631,[1]Feuil2!$A:$M,5,FALSE)</f>
        <v>CAFE OPEN UNI COLOR BLEU 2180C CARREFOUR HOME</v>
      </c>
      <c r="Q631" s="75">
        <v>7200</v>
      </c>
      <c r="R631" s="79">
        <v>0.17</v>
      </c>
      <c r="S631" s="80">
        <f t="shared" si="112"/>
        <v>1224</v>
      </c>
      <c r="T631" s="81">
        <f t="shared" si="118"/>
        <v>212703.09599999996</v>
      </c>
      <c r="U631" s="139"/>
      <c r="V631" s="82">
        <f t="shared" si="113"/>
        <v>212703.09599999996</v>
      </c>
      <c r="W631" s="9">
        <f>VLOOKUP(O631,[1]Feuil2!$A:$M,6,FALSE)</f>
        <v>240</v>
      </c>
      <c r="X631" s="10">
        <f>VLOOKUP(O631,[1]Feuil2!$A:$M,13,FALSE)</f>
        <v>2.052E-2</v>
      </c>
      <c r="Y631" s="11">
        <f t="shared" si="117"/>
        <v>0.61560000000000004</v>
      </c>
      <c r="Z631" s="83">
        <f t="shared" si="114"/>
        <v>121.76061962500002</v>
      </c>
      <c r="AA631" s="66" t="s">
        <v>61</v>
      </c>
      <c r="AB631" s="28" t="s">
        <v>61</v>
      </c>
      <c r="AC631" s="75"/>
      <c r="AD631" s="28" t="s">
        <v>61</v>
      </c>
      <c r="AE631" s="14"/>
      <c r="AF631" s="13"/>
      <c r="AG631" s="13"/>
      <c r="AH631" s="84"/>
      <c r="AI631" s="134">
        <v>46142</v>
      </c>
      <c r="AJ631" s="144" t="e">
        <f t="shared" ca="1" si="119"/>
        <v>#NUM!</v>
      </c>
      <c r="AK631" s="85" t="e">
        <f>VLOOKUP(AP631,'[2]CONTENEUR PLEIN'!$F:$L,3,FALSE)</f>
        <v>#N/A</v>
      </c>
      <c r="AL631" s="86" t="e">
        <f>VLOOKUP(AP631,'[2]CONTENEUR PLEIN'!$F:$L,5,FALSE)</f>
        <v>#N/A</v>
      </c>
      <c r="AM631" s="15" t="e">
        <f>VLOOKUP(AP631,'[2]CONTENEUR PLEIN'!$F:$L,7,FALSE)</f>
        <v>#N/A</v>
      </c>
      <c r="AN631" s="284" t="s">
        <v>63</v>
      </c>
      <c r="AO631" s="75"/>
      <c r="AP631" s="75"/>
      <c r="AQ631" s="75"/>
      <c r="AR631" s="75" t="e">
        <f>VLOOKUP(AP631,'[2]CONTENEUR PLEIN'!$F:$L,2,FALSE)</f>
        <v>#N/A</v>
      </c>
      <c r="AS631" s="75"/>
      <c r="AT631" s="84"/>
    </row>
    <row r="632" spans="2:46" s="72" customFormat="1" hidden="1" x14ac:dyDescent="0.25">
      <c r="B632" s="375" t="s">
        <v>45</v>
      </c>
      <c r="C632" s="74">
        <v>46048</v>
      </c>
      <c r="D632" s="75">
        <v>26013</v>
      </c>
      <c r="E632" s="376" t="s">
        <v>878</v>
      </c>
      <c r="F632" s="75">
        <v>2512241134</v>
      </c>
      <c r="G632" s="377" t="s">
        <v>74</v>
      </c>
      <c r="H632" s="377" t="s">
        <v>829</v>
      </c>
      <c r="I632" s="377" t="s">
        <v>49</v>
      </c>
      <c r="J632" s="377" t="s">
        <v>46</v>
      </c>
      <c r="K632" s="377" t="s">
        <v>60</v>
      </c>
      <c r="L632" s="377" t="s">
        <v>47</v>
      </c>
      <c r="M632" s="380" t="e">
        <f t="shared" si="111"/>
        <v>#N/A</v>
      </c>
      <c r="N632" s="77" t="s">
        <v>49</v>
      </c>
      <c r="O632" s="78">
        <v>32210006</v>
      </c>
      <c r="P632" s="42" t="str">
        <f>VLOOKUP(O632,[1]Feuil2!$A:$M,5,FALSE)</f>
        <v>FOURCHETTE OPEN UNI COLOR GRIS BLEUTE 432C CARREFOUR HOME</v>
      </c>
      <c r="Q632" s="75">
        <v>9360</v>
      </c>
      <c r="R632" s="79">
        <v>0.192</v>
      </c>
      <c r="S632" s="80">
        <f t="shared" si="112"/>
        <v>1797.1200000000001</v>
      </c>
      <c r="T632" s="81">
        <f t="shared" si="118"/>
        <v>212703.09599999996</v>
      </c>
      <c r="U632" s="139"/>
      <c r="V632" s="82">
        <f t="shared" si="113"/>
        <v>212703.09599999996</v>
      </c>
      <c r="W632" s="9">
        <f>VLOOKUP(O632,[1]Feuil2!$A:$M,6,FALSE)</f>
        <v>240</v>
      </c>
      <c r="X632" s="10">
        <f>VLOOKUP(O632,[1]Feuil2!$A:$M,13,FALSE)</f>
        <v>3.2300000000000002E-2</v>
      </c>
      <c r="Y632" s="11">
        <f t="shared" si="117"/>
        <v>1.2597</v>
      </c>
      <c r="Z632" s="83">
        <f t="shared" si="114"/>
        <v>121.76061962500002</v>
      </c>
      <c r="AA632" s="66" t="s">
        <v>61</v>
      </c>
      <c r="AB632" s="28" t="s">
        <v>61</v>
      </c>
      <c r="AC632" s="75"/>
      <c r="AD632" s="28" t="s">
        <v>61</v>
      </c>
      <c r="AE632" s="14"/>
      <c r="AF632" s="13"/>
      <c r="AG632" s="13"/>
      <c r="AH632" s="84"/>
      <c r="AI632" s="134">
        <v>46142</v>
      </c>
      <c r="AJ632" s="144" t="e">
        <f t="shared" ca="1" si="119"/>
        <v>#NUM!</v>
      </c>
      <c r="AK632" s="85" t="e">
        <f>VLOOKUP(AP632,'[2]CONTENEUR PLEIN'!$F:$L,3,FALSE)</f>
        <v>#N/A</v>
      </c>
      <c r="AL632" s="86" t="e">
        <f>VLOOKUP(AP632,'[2]CONTENEUR PLEIN'!$F:$L,5,FALSE)</f>
        <v>#N/A</v>
      </c>
      <c r="AM632" s="15" t="e">
        <f>VLOOKUP(AP632,'[2]CONTENEUR PLEIN'!$F:$L,7,FALSE)</f>
        <v>#N/A</v>
      </c>
      <c r="AN632" s="284" t="s">
        <v>63</v>
      </c>
      <c r="AO632" s="75"/>
      <c r="AP632" s="75"/>
      <c r="AQ632" s="75"/>
      <c r="AR632" s="75" t="e">
        <f>VLOOKUP(AP632,'[2]CONTENEUR PLEIN'!$F:$L,2,FALSE)</f>
        <v>#N/A</v>
      </c>
      <c r="AS632" s="75"/>
      <c r="AT632" s="84"/>
    </row>
    <row r="633" spans="2:46" s="72" customFormat="1" hidden="1" x14ac:dyDescent="0.25">
      <c r="B633" s="375" t="s">
        <v>45</v>
      </c>
      <c r="C633" s="74">
        <v>46048</v>
      </c>
      <c r="D633" s="75">
        <v>26013</v>
      </c>
      <c r="E633" s="376" t="s">
        <v>878</v>
      </c>
      <c r="F633" s="75">
        <v>2512241134</v>
      </c>
      <c r="G633" s="377" t="s">
        <v>74</v>
      </c>
      <c r="H633" s="377" t="s">
        <v>829</v>
      </c>
      <c r="I633" s="377" t="s">
        <v>49</v>
      </c>
      <c r="J633" s="377" t="s">
        <v>46</v>
      </c>
      <c r="K633" s="377" t="s">
        <v>60</v>
      </c>
      <c r="L633" s="377" t="s">
        <v>47</v>
      </c>
      <c r="M633" s="380" t="e">
        <f t="shared" si="111"/>
        <v>#N/A</v>
      </c>
      <c r="N633" s="77" t="s">
        <v>49</v>
      </c>
      <c r="O633" s="78">
        <v>32210007</v>
      </c>
      <c r="P633" s="42" t="str">
        <f>VLOOKUP(O633,[1]Feuil2!$A:$M,5,FALSE)</f>
        <v>CUILLERE OPEN UNI COLOR GRIS BLEUTE 432C CARREFOUR HOME</v>
      </c>
      <c r="Q633" s="75">
        <v>5280</v>
      </c>
      <c r="R633" s="79">
        <v>0.20599999999999999</v>
      </c>
      <c r="S633" s="80">
        <f t="shared" si="112"/>
        <v>1087.6799999999998</v>
      </c>
      <c r="T633" s="81">
        <f t="shared" si="118"/>
        <v>212703.09599999996</v>
      </c>
      <c r="U633" s="139"/>
      <c r="V633" s="82">
        <f t="shared" si="113"/>
        <v>212703.09599999996</v>
      </c>
      <c r="W633" s="9">
        <f>VLOOKUP(O633,[1]Feuil2!$A:$M,6,FALSE)</f>
        <v>240</v>
      </c>
      <c r="X633" s="10">
        <f>VLOOKUP(O633,[1]Feuil2!$A:$M,13,FALSE)</f>
        <v>2.9007999999999999E-2</v>
      </c>
      <c r="Y633" s="11">
        <f t="shared" si="117"/>
        <v>0.63817599999999997</v>
      </c>
      <c r="Z633" s="83">
        <f t="shared" si="114"/>
        <v>121.76061962500002</v>
      </c>
      <c r="AA633" s="66" t="s">
        <v>61</v>
      </c>
      <c r="AB633" s="28" t="s">
        <v>61</v>
      </c>
      <c r="AC633" s="75"/>
      <c r="AD633" s="28" t="s">
        <v>61</v>
      </c>
      <c r="AE633" s="14"/>
      <c r="AF633" s="13"/>
      <c r="AG633" s="13"/>
      <c r="AH633" s="84"/>
      <c r="AI633" s="134">
        <v>46142</v>
      </c>
      <c r="AJ633" s="144" t="e">
        <f t="shared" ca="1" si="119"/>
        <v>#NUM!</v>
      </c>
      <c r="AK633" s="85" t="e">
        <f>VLOOKUP(AP633,'[2]CONTENEUR PLEIN'!$F:$L,3,FALSE)</f>
        <v>#N/A</v>
      </c>
      <c r="AL633" s="86" t="e">
        <f>VLOOKUP(AP633,'[2]CONTENEUR PLEIN'!$F:$L,5,FALSE)</f>
        <v>#N/A</v>
      </c>
      <c r="AM633" s="15" t="e">
        <f>VLOOKUP(AP633,'[2]CONTENEUR PLEIN'!$F:$L,7,FALSE)</f>
        <v>#N/A</v>
      </c>
      <c r="AN633" s="284" t="s">
        <v>63</v>
      </c>
      <c r="AO633" s="75"/>
      <c r="AP633" s="75"/>
      <c r="AQ633" s="75"/>
      <c r="AR633" s="75" t="e">
        <f>VLOOKUP(AP633,'[2]CONTENEUR PLEIN'!$F:$L,2,FALSE)</f>
        <v>#N/A</v>
      </c>
      <c r="AS633" s="75"/>
      <c r="AT633" s="84"/>
    </row>
    <row r="634" spans="2:46" s="72" customFormat="1" hidden="1" x14ac:dyDescent="0.25">
      <c r="B634" s="375" t="s">
        <v>45</v>
      </c>
      <c r="C634" s="74">
        <v>46048</v>
      </c>
      <c r="D634" s="75">
        <v>26013</v>
      </c>
      <c r="E634" s="376" t="s">
        <v>878</v>
      </c>
      <c r="F634" s="75">
        <v>2512241134</v>
      </c>
      <c r="G634" s="377" t="s">
        <v>74</v>
      </c>
      <c r="H634" s="377" t="s">
        <v>829</v>
      </c>
      <c r="I634" s="377" t="s">
        <v>49</v>
      </c>
      <c r="J634" s="377" t="s">
        <v>46</v>
      </c>
      <c r="K634" s="377" t="s">
        <v>60</v>
      </c>
      <c r="L634" s="377" t="s">
        <v>47</v>
      </c>
      <c r="M634" s="380" t="e">
        <f t="shared" si="111"/>
        <v>#N/A</v>
      </c>
      <c r="N634" s="77" t="s">
        <v>49</v>
      </c>
      <c r="O634" s="78">
        <v>32000022</v>
      </c>
      <c r="P634" s="42" t="str">
        <f>VLOOKUP(O634,[1]Feuil2!$A:$M,5,FALSE)</f>
        <v>COUTEAU LAGUIOLE PASSION ABS NOIR 6C + GENCOD</v>
      </c>
      <c r="Q634" s="75">
        <v>8400</v>
      </c>
      <c r="R634" s="79">
        <v>0.3</v>
      </c>
      <c r="S634" s="80">
        <f t="shared" si="112"/>
        <v>2520</v>
      </c>
      <c r="T634" s="81">
        <f t="shared" si="118"/>
        <v>212703.09599999996</v>
      </c>
      <c r="U634" s="139"/>
      <c r="V634" s="82">
        <f t="shared" si="113"/>
        <v>212703.09599999996</v>
      </c>
      <c r="W634" s="9">
        <f>VLOOKUP(O634,[1]Feuil2!$A:$M,6,FALSE)</f>
        <v>240</v>
      </c>
      <c r="X634" s="10">
        <f>VLOOKUP(O634,[1]Feuil2!$A:$M,13,FALSE)</f>
        <v>2.9376000000000006E-2</v>
      </c>
      <c r="Y634" s="11">
        <f t="shared" si="117"/>
        <v>1.0281600000000002</v>
      </c>
      <c r="Z634" s="83">
        <f t="shared" si="114"/>
        <v>121.76061962500002</v>
      </c>
      <c r="AA634" s="66" t="s">
        <v>61</v>
      </c>
      <c r="AB634" s="28" t="s">
        <v>61</v>
      </c>
      <c r="AC634" s="75"/>
      <c r="AD634" s="28" t="s">
        <v>61</v>
      </c>
      <c r="AE634" s="14"/>
      <c r="AF634" s="13"/>
      <c r="AG634" s="13"/>
      <c r="AH634" s="84"/>
      <c r="AI634" s="134">
        <v>46142</v>
      </c>
      <c r="AJ634" s="144" t="e">
        <f t="shared" ca="1" si="119"/>
        <v>#NUM!</v>
      </c>
      <c r="AK634" s="85" t="e">
        <f>VLOOKUP(AP634,'[2]CONTENEUR PLEIN'!$F:$L,3,FALSE)</f>
        <v>#N/A</v>
      </c>
      <c r="AL634" s="86" t="e">
        <f>VLOOKUP(AP634,'[2]CONTENEUR PLEIN'!$F:$L,5,FALSE)</f>
        <v>#N/A</v>
      </c>
      <c r="AM634" s="15" t="e">
        <f>VLOOKUP(AP634,'[2]CONTENEUR PLEIN'!$F:$L,7,FALSE)</f>
        <v>#N/A</v>
      </c>
      <c r="AN634" s="284" t="s">
        <v>63</v>
      </c>
      <c r="AO634" s="75"/>
      <c r="AP634" s="75"/>
      <c r="AQ634" s="75"/>
      <c r="AR634" s="75" t="e">
        <f>VLOOKUP(AP634,'[2]CONTENEUR PLEIN'!$F:$L,2,FALSE)</f>
        <v>#N/A</v>
      </c>
      <c r="AS634" s="75"/>
      <c r="AT634" s="84"/>
    </row>
    <row r="635" spans="2:46" s="72" customFormat="1" hidden="1" x14ac:dyDescent="0.25">
      <c r="B635" s="375" t="s">
        <v>45</v>
      </c>
      <c r="C635" s="74">
        <v>46048</v>
      </c>
      <c r="D635" s="75">
        <v>26013</v>
      </c>
      <c r="E635" s="376" t="s">
        <v>878</v>
      </c>
      <c r="F635" s="75">
        <v>2512241134</v>
      </c>
      <c r="G635" s="377" t="s">
        <v>74</v>
      </c>
      <c r="H635" s="377" t="s">
        <v>829</v>
      </c>
      <c r="I635" s="377" t="s">
        <v>49</v>
      </c>
      <c r="J635" s="377" t="s">
        <v>46</v>
      </c>
      <c r="K635" s="377" t="s">
        <v>60</v>
      </c>
      <c r="L635" s="377" t="s">
        <v>47</v>
      </c>
      <c r="M635" s="380" t="e">
        <f t="shared" si="111"/>
        <v>#N/A</v>
      </c>
      <c r="N635" s="77" t="s">
        <v>49</v>
      </c>
      <c r="O635" s="78">
        <v>32000024</v>
      </c>
      <c r="P635" s="42" t="str">
        <f>VLOOKUP(O635,[1]Feuil2!$A:$M,5,FALSE)</f>
        <v>CUILLERE LAGUIOLE PASSION ABS NOIR 6C + GENCOD</v>
      </c>
      <c r="Q635" s="75">
        <v>7200</v>
      </c>
      <c r="R635" s="79">
        <v>0.314</v>
      </c>
      <c r="S635" s="80">
        <f t="shared" si="112"/>
        <v>2260.8000000000002</v>
      </c>
      <c r="T635" s="81">
        <f t="shared" si="118"/>
        <v>212703.09599999996</v>
      </c>
      <c r="U635" s="139"/>
      <c r="V635" s="82">
        <f t="shared" si="113"/>
        <v>212703.09599999996</v>
      </c>
      <c r="W635" s="9">
        <f>VLOOKUP(O635,[1]Feuil2!$A:$M,6,FALSE)</f>
        <v>240</v>
      </c>
      <c r="X635" s="10">
        <f>VLOOKUP(O635,[1]Feuil2!$A:$M,13,FALSE)</f>
        <v>2.9791999999999999E-2</v>
      </c>
      <c r="Y635" s="11">
        <f t="shared" si="117"/>
        <v>0.89376</v>
      </c>
      <c r="Z635" s="83">
        <f t="shared" si="114"/>
        <v>121.76061962500002</v>
      </c>
      <c r="AA635" s="66" t="s">
        <v>61</v>
      </c>
      <c r="AB635" s="28" t="s">
        <v>61</v>
      </c>
      <c r="AC635" s="75"/>
      <c r="AD635" s="28" t="s">
        <v>61</v>
      </c>
      <c r="AE635" s="14"/>
      <c r="AF635" s="13"/>
      <c r="AG635" s="13"/>
      <c r="AH635" s="84"/>
      <c r="AI635" s="134">
        <v>46142</v>
      </c>
      <c r="AJ635" s="144" t="e">
        <f t="shared" ca="1" si="119"/>
        <v>#NUM!</v>
      </c>
      <c r="AK635" s="85" t="e">
        <f>VLOOKUP(AP635,'[2]CONTENEUR PLEIN'!$F:$L,3,FALSE)</f>
        <v>#N/A</v>
      </c>
      <c r="AL635" s="86" t="e">
        <f>VLOOKUP(AP635,'[2]CONTENEUR PLEIN'!$F:$L,5,FALSE)</f>
        <v>#N/A</v>
      </c>
      <c r="AM635" s="15" t="e">
        <f>VLOOKUP(AP635,'[2]CONTENEUR PLEIN'!$F:$L,7,FALSE)</f>
        <v>#N/A</v>
      </c>
      <c r="AN635" s="284" t="s">
        <v>63</v>
      </c>
      <c r="AO635" s="75"/>
      <c r="AP635" s="75"/>
      <c r="AQ635" s="75"/>
      <c r="AR635" s="75" t="e">
        <f>VLOOKUP(AP635,'[2]CONTENEUR PLEIN'!$F:$L,2,FALSE)</f>
        <v>#N/A</v>
      </c>
      <c r="AS635" s="75"/>
      <c r="AT635" s="84"/>
    </row>
    <row r="636" spans="2:46" s="72" customFormat="1" hidden="1" x14ac:dyDescent="0.25">
      <c r="B636" s="375" t="s">
        <v>45</v>
      </c>
      <c r="C636" s="74">
        <v>46048</v>
      </c>
      <c r="D636" s="75">
        <v>26013</v>
      </c>
      <c r="E636" s="376" t="s">
        <v>878</v>
      </c>
      <c r="F636" s="75">
        <v>2512241134</v>
      </c>
      <c r="G636" s="377" t="s">
        <v>74</v>
      </c>
      <c r="H636" s="377" t="s">
        <v>829</v>
      </c>
      <c r="I636" s="377" t="s">
        <v>49</v>
      </c>
      <c r="J636" s="377" t="s">
        <v>46</v>
      </c>
      <c r="K636" s="377" t="s">
        <v>60</v>
      </c>
      <c r="L636" s="377" t="s">
        <v>47</v>
      </c>
      <c r="M636" s="380" t="e">
        <f t="shared" si="111"/>
        <v>#N/A</v>
      </c>
      <c r="N636" s="77" t="s">
        <v>49</v>
      </c>
      <c r="O636" s="78">
        <v>32000025</v>
      </c>
      <c r="P636" s="42" t="str">
        <f>VLOOKUP(O636,[1]Feuil2!$A:$M,5,FALSE)</f>
        <v>CAFE LAGUIOLE PASSION ABS NOIR 6C + GENCOD</v>
      </c>
      <c r="Q636" s="75">
        <v>7680</v>
      </c>
      <c r="R636" s="79">
        <v>0.28000000000000003</v>
      </c>
      <c r="S636" s="80">
        <f t="shared" si="112"/>
        <v>2150.4</v>
      </c>
      <c r="T636" s="81">
        <f t="shared" si="118"/>
        <v>212703.09599999996</v>
      </c>
      <c r="U636" s="139"/>
      <c r="V636" s="82">
        <f t="shared" si="113"/>
        <v>212703.09599999996</v>
      </c>
      <c r="W636" s="9">
        <f>VLOOKUP(O636,[1]Feuil2!$A:$M,6,FALSE)</f>
        <v>240</v>
      </c>
      <c r="X636" s="10">
        <f>VLOOKUP(O636,[1]Feuil2!$A:$M,13,FALSE)</f>
        <v>2.052E-2</v>
      </c>
      <c r="Y636" s="11">
        <f t="shared" si="117"/>
        <v>0.65664</v>
      </c>
      <c r="Z636" s="83">
        <f t="shared" si="114"/>
        <v>121.76061962500002</v>
      </c>
      <c r="AA636" s="66" t="s">
        <v>61</v>
      </c>
      <c r="AB636" s="28" t="s">
        <v>61</v>
      </c>
      <c r="AC636" s="75"/>
      <c r="AD636" s="28" t="s">
        <v>61</v>
      </c>
      <c r="AE636" s="14"/>
      <c r="AF636" s="13"/>
      <c r="AG636" s="13"/>
      <c r="AH636" s="84"/>
      <c r="AI636" s="134">
        <v>46142</v>
      </c>
      <c r="AJ636" s="144" t="e">
        <f t="shared" ca="1" si="119"/>
        <v>#NUM!</v>
      </c>
      <c r="AK636" s="85" t="e">
        <f>VLOOKUP(AP636,'[2]CONTENEUR PLEIN'!$F:$L,3,FALSE)</f>
        <v>#N/A</v>
      </c>
      <c r="AL636" s="86" t="e">
        <f>VLOOKUP(AP636,'[2]CONTENEUR PLEIN'!$F:$L,5,FALSE)</f>
        <v>#N/A</v>
      </c>
      <c r="AM636" s="15" t="e">
        <f>VLOOKUP(AP636,'[2]CONTENEUR PLEIN'!$F:$L,7,FALSE)</f>
        <v>#N/A</v>
      </c>
      <c r="AN636" s="284" t="s">
        <v>63</v>
      </c>
      <c r="AO636" s="75"/>
      <c r="AP636" s="75"/>
      <c r="AQ636" s="75"/>
      <c r="AR636" s="75" t="e">
        <f>VLOOKUP(AP636,'[2]CONTENEUR PLEIN'!$F:$L,2,FALSE)</f>
        <v>#N/A</v>
      </c>
      <c r="AS636" s="75"/>
      <c r="AT636" s="84"/>
    </row>
    <row r="637" spans="2:46" s="72" customFormat="1" hidden="1" x14ac:dyDescent="0.25">
      <c r="B637" s="375" t="s">
        <v>45</v>
      </c>
      <c r="C637" s="74">
        <v>46048</v>
      </c>
      <c r="D637" s="75">
        <v>26013</v>
      </c>
      <c r="E637" s="376" t="s">
        <v>878</v>
      </c>
      <c r="F637" s="75">
        <v>2512241134</v>
      </c>
      <c r="G637" s="377" t="s">
        <v>74</v>
      </c>
      <c r="H637" s="377" t="s">
        <v>829</v>
      </c>
      <c r="I637" s="377" t="s">
        <v>49</v>
      </c>
      <c r="J637" s="377" t="s">
        <v>46</v>
      </c>
      <c r="K637" s="377" t="s">
        <v>60</v>
      </c>
      <c r="L637" s="377" t="s">
        <v>47</v>
      </c>
      <c r="M637" s="380" t="e">
        <f t="shared" si="111"/>
        <v>#N/A</v>
      </c>
      <c r="N637" s="77" t="s">
        <v>49</v>
      </c>
      <c r="O637" s="78">
        <v>32000028</v>
      </c>
      <c r="P637" s="42" t="str">
        <f>VLOOKUP(O637,[1]Feuil2!$A:$M,5,FALSE)</f>
        <v>CUILLERE LAGUIOLE PASSION ABS BLANC + GENCOD</v>
      </c>
      <c r="Q637" s="75">
        <v>3600</v>
      </c>
      <c r="R637" s="79">
        <v>0.314</v>
      </c>
      <c r="S637" s="80">
        <f t="shared" si="112"/>
        <v>1130.4000000000001</v>
      </c>
      <c r="T637" s="81">
        <f t="shared" si="118"/>
        <v>212703.09599999996</v>
      </c>
      <c r="U637" s="139"/>
      <c r="V637" s="82">
        <f t="shared" si="113"/>
        <v>212703.09599999996</v>
      </c>
      <c r="W637" s="9">
        <f>VLOOKUP(O637,[1]Feuil2!$A:$M,6,FALSE)</f>
        <v>240</v>
      </c>
      <c r="X637" s="10">
        <f>VLOOKUP(O637,[1]Feuil2!$A:$M,13,FALSE)</f>
        <v>2.9791999999999999E-2</v>
      </c>
      <c r="Y637" s="11">
        <f t="shared" si="117"/>
        <v>0.44688</v>
      </c>
      <c r="Z637" s="83">
        <f t="shared" si="114"/>
        <v>121.76061962500002</v>
      </c>
      <c r="AA637" s="66" t="s">
        <v>61</v>
      </c>
      <c r="AB637" s="28" t="s">
        <v>61</v>
      </c>
      <c r="AC637" s="75"/>
      <c r="AD637" s="28" t="s">
        <v>61</v>
      </c>
      <c r="AE637" s="14"/>
      <c r="AF637" s="13"/>
      <c r="AG637" s="13"/>
      <c r="AH637" s="84"/>
      <c r="AI637" s="134">
        <v>46142</v>
      </c>
      <c r="AJ637" s="144" t="e">
        <f t="shared" ca="1" si="119"/>
        <v>#NUM!</v>
      </c>
      <c r="AK637" s="85" t="e">
        <f>VLOOKUP(AP637,'[2]CONTENEUR PLEIN'!$F:$L,3,FALSE)</f>
        <v>#N/A</v>
      </c>
      <c r="AL637" s="86" t="e">
        <f>VLOOKUP(AP637,'[2]CONTENEUR PLEIN'!$F:$L,5,FALSE)</f>
        <v>#N/A</v>
      </c>
      <c r="AM637" s="15" t="e">
        <f>VLOOKUP(AP637,'[2]CONTENEUR PLEIN'!$F:$L,7,FALSE)</f>
        <v>#N/A</v>
      </c>
      <c r="AN637" s="284" t="s">
        <v>63</v>
      </c>
      <c r="AO637" s="75"/>
      <c r="AP637" s="75"/>
      <c r="AQ637" s="75"/>
      <c r="AR637" s="75" t="e">
        <f>VLOOKUP(AP637,'[2]CONTENEUR PLEIN'!$F:$L,2,FALSE)</f>
        <v>#N/A</v>
      </c>
      <c r="AS637" s="75"/>
      <c r="AT637" s="84"/>
    </row>
    <row r="638" spans="2:46" s="72" customFormat="1" hidden="1" x14ac:dyDescent="0.25">
      <c r="B638" s="375" t="s">
        <v>45</v>
      </c>
      <c r="C638" s="74">
        <v>46048</v>
      </c>
      <c r="D638" s="75">
        <v>26013</v>
      </c>
      <c r="E638" s="376" t="s">
        <v>878</v>
      </c>
      <c r="F638" s="75">
        <v>2512241134</v>
      </c>
      <c r="G638" s="377" t="s">
        <v>74</v>
      </c>
      <c r="H638" s="377" t="s">
        <v>829</v>
      </c>
      <c r="I638" s="377" t="s">
        <v>49</v>
      </c>
      <c r="J638" s="377" t="s">
        <v>46</v>
      </c>
      <c r="K638" s="377" t="s">
        <v>60</v>
      </c>
      <c r="L638" s="377" t="s">
        <v>47</v>
      </c>
      <c r="M638" s="380" t="e">
        <f t="shared" si="111"/>
        <v>#N/A</v>
      </c>
      <c r="N638" s="282" t="s">
        <v>62</v>
      </c>
      <c r="O638" s="78">
        <v>30363723</v>
      </c>
      <c r="P638" s="42" t="str">
        <f>VLOOKUP(O638,[1]Feuil2!$A:$M,5,FALSE)</f>
        <v>M24 TROQUET VERT DE GRIS PANTONE 5595 C POT PET</v>
      </c>
      <c r="Q638" s="75">
        <v>8001</v>
      </c>
      <c r="R638" s="79">
        <v>2.61</v>
      </c>
      <c r="S638" s="80">
        <f t="shared" si="112"/>
        <v>20882.61</v>
      </c>
      <c r="T638" s="81">
        <f t="shared" si="118"/>
        <v>212703.09599999996</v>
      </c>
      <c r="U638" s="139"/>
      <c r="V638" s="82">
        <f t="shared" si="113"/>
        <v>212703.09599999996</v>
      </c>
      <c r="W638" s="9">
        <f>VLOOKUP(O638,[1]Feuil2!$A:$M,6,FALSE)</f>
        <v>9</v>
      </c>
      <c r="X638" s="10">
        <f>VLOOKUP(O638,[1]Feuil2!$A:$M,13,FALSE)</f>
        <v>1.8528125000000003E-2</v>
      </c>
      <c r="Y638" s="11">
        <f t="shared" si="117"/>
        <v>16.471503125000002</v>
      </c>
      <c r="Z638" s="83">
        <f t="shared" si="114"/>
        <v>121.76061962500002</v>
      </c>
      <c r="AA638" s="66" t="s">
        <v>61</v>
      </c>
      <c r="AB638" s="28" t="s">
        <v>61</v>
      </c>
      <c r="AC638" s="75"/>
      <c r="AD638" s="28" t="s">
        <v>61</v>
      </c>
      <c r="AE638" s="14"/>
      <c r="AF638" s="13"/>
      <c r="AG638" s="13"/>
      <c r="AH638" s="84"/>
      <c r="AI638" s="134">
        <v>46142</v>
      </c>
      <c r="AJ638" s="144" t="e">
        <f t="shared" ca="1" si="119"/>
        <v>#NUM!</v>
      </c>
      <c r="AK638" s="85" t="e">
        <f>VLOOKUP(AP638,'[2]CONTENEUR PLEIN'!$F:$L,3,FALSE)</f>
        <v>#N/A</v>
      </c>
      <c r="AL638" s="86" t="e">
        <f>VLOOKUP(AP638,'[2]CONTENEUR PLEIN'!$F:$L,5,FALSE)</f>
        <v>#N/A</v>
      </c>
      <c r="AM638" s="15" t="e">
        <f>VLOOKUP(AP638,'[2]CONTENEUR PLEIN'!$F:$L,7,FALSE)</f>
        <v>#N/A</v>
      </c>
      <c r="AN638" s="284" t="s">
        <v>63</v>
      </c>
      <c r="AO638" s="75"/>
      <c r="AP638" s="75"/>
      <c r="AQ638" s="75"/>
      <c r="AR638" s="75" t="e">
        <f>VLOOKUP(AP638,'[2]CONTENEUR PLEIN'!$F:$L,2,FALSE)</f>
        <v>#N/A</v>
      </c>
      <c r="AS638" s="75"/>
      <c r="AT638" s="84"/>
    </row>
    <row r="639" spans="2:46" s="72" customFormat="1" hidden="1" x14ac:dyDescent="0.25">
      <c r="B639" s="375" t="s">
        <v>45</v>
      </c>
      <c r="C639" s="74">
        <v>46048</v>
      </c>
      <c r="D639" s="75">
        <v>26013</v>
      </c>
      <c r="E639" s="376" t="s">
        <v>878</v>
      </c>
      <c r="F639" s="75">
        <v>2512241134</v>
      </c>
      <c r="G639" s="377" t="s">
        <v>74</v>
      </c>
      <c r="H639" s="377" t="s">
        <v>829</v>
      </c>
      <c r="I639" s="377" t="s">
        <v>49</v>
      </c>
      <c r="J639" s="377" t="s">
        <v>46</v>
      </c>
      <c r="K639" s="377" t="s">
        <v>60</v>
      </c>
      <c r="L639" s="377" t="s">
        <v>47</v>
      </c>
      <c r="M639" s="380" t="e">
        <f t="shared" si="111"/>
        <v>#N/A</v>
      </c>
      <c r="N639" s="282" t="s">
        <v>62</v>
      </c>
      <c r="O639" s="78">
        <v>424340</v>
      </c>
      <c r="P639" s="42" t="str">
        <f>VLOOKUP(O639,[1]Feuil2!$A:$M,5,FALSE)</f>
        <v>M24 TROQUET NOIR POT PET</v>
      </c>
      <c r="Q639" s="75">
        <v>6003</v>
      </c>
      <c r="R639" s="79">
        <v>2.61</v>
      </c>
      <c r="S639" s="80">
        <f t="shared" si="112"/>
        <v>15667.83</v>
      </c>
      <c r="T639" s="81">
        <f t="shared" si="118"/>
        <v>212703.09599999996</v>
      </c>
      <c r="U639" s="139"/>
      <c r="V639" s="82">
        <f t="shared" si="113"/>
        <v>212703.09599999996</v>
      </c>
      <c r="W639" s="9">
        <f>VLOOKUP(O639,[1]Feuil2!$A:$M,6,FALSE)</f>
        <v>9</v>
      </c>
      <c r="X639" s="10">
        <f>VLOOKUP(O639,[1]Feuil2!$A:$M,13,FALSE)</f>
        <v>1.8816000000000003E-2</v>
      </c>
      <c r="Y639" s="11">
        <f t="shared" si="117"/>
        <v>12.550272000000001</v>
      </c>
      <c r="Z639" s="83">
        <f t="shared" si="114"/>
        <v>121.76061962500002</v>
      </c>
      <c r="AA639" s="66" t="s">
        <v>61</v>
      </c>
      <c r="AB639" s="28" t="s">
        <v>61</v>
      </c>
      <c r="AC639" s="75"/>
      <c r="AD639" s="28" t="s">
        <v>61</v>
      </c>
      <c r="AE639" s="14"/>
      <c r="AF639" s="13"/>
      <c r="AG639" s="13"/>
      <c r="AH639" s="84"/>
      <c r="AI639" s="134">
        <v>46142</v>
      </c>
      <c r="AJ639" s="144" t="e">
        <f t="shared" ca="1" si="119"/>
        <v>#NUM!</v>
      </c>
      <c r="AK639" s="85" t="e">
        <f>VLOOKUP(AP639,'[2]CONTENEUR PLEIN'!$F:$L,3,FALSE)</f>
        <v>#N/A</v>
      </c>
      <c r="AL639" s="86" t="e">
        <f>VLOOKUP(AP639,'[2]CONTENEUR PLEIN'!$F:$L,5,FALSE)</f>
        <v>#N/A</v>
      </c>
      <c r="AM639" s="15" t="e">
        <f>VLOOKUP(AP639,'[2]CONTENEUR PLEIN'!$F:$L,7,FALSE)</f>
        <v>#N/A</v>
      </c>
      <c r="AN639" s="284" t="s">
        <v>63</v>
      </c>
      <c r="AO639" s="75"/>
      <c r="AP639" s="75"/>
      <c r="AQ639" s="75"/>
      <c r="AR639" s="75" t="e">
        <f>VLOOKUP(AP639,'[2]CONTENEUR PLEIN'!$F:$L,2,FALSE)</f>
        <v>#N/A</v>
      </c>
      <c r="AS639" s="75"/>
      <c r="AT639" s="84"/>
    </row>
    <row r="640" spans="2:46" s="72" customFormat="1" hidden="1" x14ac:dyDescent="0.25">
      <c r="B640" s="375" t="s">
        <v>45</v>
      </c>
      <c r="C640" s="74">
        <v>46048</v>
      </c>
      <c r="D640" s="75">
        <v>26013</v>
      </c>
      <c r="E640" s="376" t="s">
        <v>878</v>
      </c>
      <c r="F640" s="75">
        <v>2512241134</v>
      </c>
      <c r="G640" s="377" t="s">
        <v>74</v>
      </c>
      <c r="H640" s="377" t="s">
        <v>829</v>
      </c>
      <c r="I640" s="377" t="s">
        <v>49</v>
      </c>
      <c r="J640" s="377" t="s">
        <v>46</v>
      </c>
      <c r="K640" s="377" t="s">
        <v>60</v>
      </c>
      <c r="L640" s="377" t="s">
        <v>47</v>
      </c>
      <c r="M640" s="380" t="e">
        <f t="shared" si="111"/>
        <v>#N/A</v>
      </c>
      <c r="N640" s="282" t="s">
        <v>62</v>
      </c>
      <c r="O640" s="78">
        <v>32000002</v>
      </c>
      <c r="P640" s="42" t="str">
        <f>VLOOKUP(O640,[1]Feuil2!$A:$M,5,FALSE)</f>
        <v>M24 PASSION BLANC BOITE LAGUIOLE HERITAGE</v>
      </c>
      <c r="Q640" s="75">
        <v>4800</v>
      </c>
      <c r="R640" s="79">
        <v>7.23</v>
      </c>
      <c r="S640" s="80">
        <f t="shared" si="112"/>
        <v>34704</v>
      </c>
      <c r="T640" s="81">
        <f t="shared" si="118"/>
        <v>212703.09599999996</v>
      </c>
      <c r="U640" s="139"/>
      <c r="V640" s="82">
        <f t="shared" si="113"/>
        <v>212703.09599999996</v>
      </c>
      <c r="W640" s="9">
        <f>VLOOKUP(O640,[1]Feuil2!$A:$M,6,FALSE)</f>
        <v>6</v>
      </c>
      <c r="X640" s="10">
        <f>VLOOKUP(O640,[1]Feuil2!$A:$M,13,FALSE)</f>
        <v>2.3789999999999999E-2</v>
      </c>
      <c r="Y640" s="11">
        <f t="shared" si="117"/>
        <v>19.032</v>
      </c>
      <c r="Z640" s="83">
        <f t="shared" si="114"/>
        <v>121.76061962500002</v>
      </c>
      <c r="AA640" s="66" t="s">
        <v>61</v>
      </c>
      <c r="AB640" s="28" t="s">
        <v>61</v>
      </c>
      <c r="AC640" s="75"/>
      <c r="AD640" s="28" t="s">
        <v>61</v>
      </c>
      <c r="AE640" s="14"/>
      <c r="AF640" s="13"/>
      <c r="AG640" s="13"/>
      <c r="AH640" s="84"/>
      <c r="AI640" s="134">
        <v>46142</v>
      </c>
      <c r="AJ640" s="144" t="e">
        <f t="shared" ca="1" si="119"/>
        <v>#NUM!</v>
      </c>
      <c r="AK640" s="85" t="e">
        <f>VLOOKUP(AP640,'[2]CONTENEUR PLEIN'!$F:$L,3,FALSE)</f>
        <v>#N/A</v>
      </c>
      <c r="AL640" s="86" t="e">
        <f>VLOOKUP(AP640,'[2]CONTENEUR PLEIN'!$F:$L,5,FALSE)</f>
        <v>#N/A</v>
      </c>
      <c r="AM640" s="15" t="e">
        <f>VLOOKUP(AP640,'[2]CONTENEUR PLEIN'!$F:$L,7,FALSE)</f>
        <v>#N/A</v>
      </c>
      <c r="AN640" s="284" t="s">
        <v>63</v>
      </c>
      <c r="AO640" s="75"/>
      <c r="AP640" s="75"/>
      <c r="AQ640" s="75"/>
      <c r="AR640" s="75" t="e">
        <f>VLOOKUP(AP640,'[2]CONTENEUR PLEIN'!$F:$L,2,FALSE)</f>
        <v>#N/A</v>
      </c>
      <c r="AS640" s="75"/>
      <c r="AT640" s="84"/>
    </row>
    <row r="641" spans="1:46" s="72" customFormat="1" hidden="1" x14ac:dyDescent="0.25">
      <c r="B641" s="375" t="s">
        <v>45</v>
      </c>
      <c r="C641" s="74">
        <v>46048</v>
      </c>
      <c r="D641" s="75">
        <v>26013</v>
      </c>
      <c r="E641" s="376" t="s">
        <v>878</v>
      </c>
      <c r="F641" s="75">
        <v>2512241134</v>
      </c>
      <c r="G641" s="377" t="s">
        <v>74</v>
      </c>
      <c r="H641" s="377" t="s">
        <v>829</v>
      </c>
      <c r="I641" s="377" t="s">
        <v>49</v>
      </c>
      <c r="J641" s="377" t="s">
        <v>46</v>
      </c>
      <c r="K641" s="377" t="s">
        <v>60</v>
      </c>
      <c r="L641" s="377" t="s">
        <v>47</v>
      </c>
      <c r="M641" s="380" t="e">
        <f t="shared" si="111"/>
        <v>#N/A</v>
      </c>
      <c r="N641" s="282" t="s">
        <v>62</v>
      </c>
      <c r="O641" s="78">
        <v>32000001</v>
      </c>
      <c r="P641" s="42" t="str">
        <f>VLOOKUP(O641,[1]Feuil2!$A:$M,5,FALSE)</f>
        <v>M24 PASSION NOIR 6C BOITE LAGUIOLE HERITAGE</v>
      </c>
      <c r="Q641" s="75">
        <v>4800</v>
      </c>
      <c r="R641" s="79">
        <v>7.23</v>
      </c>
      <c r="S641" s="80">
        <f t="shared" si="112"/>
        <v>34704</v>
      </c>
      <c r="T641" s="81">
        <f t="shared" si="118"/>
        <v>212703.09599999996</v>
      </c>
      <c r="U641" s="139"/>
      <c r="V641" s="82">
        <f t="shared" si="113"/>
        <v>212703.09599999996</v>
      </c>
      <c r="W641" s="9">
        <f>VLOOKUP(O641,[1]Feuil2!$A:$M,6,FALSE)</f>
        <v>6</v>
      </c>
      <c r="X641" s="10">
        <f>VLOOKUP(O641,[1]Feuil2!$A:$M,13,FALSE)</f>
        <v>2.3789999999999999E-2</v>
      </c>
      <c r="Y641" s="11">
        <f t="shared" si="117"/>
        <v>19.032</v>
      </c>
      <c r="Z641" s="83">
        <f t="shared" si="114"/>
        <v>121.76061962500002</v>
      </c>
      <c r="AA641" s="66" t="s">
        <v>61</v>
      </c>
      <c r="AB641" s="28" t="s">
        <v>61</v>
      </c>
      <c r="AC641" s="75"/>
      <c r="AD641" s="28" t="s">
        <v>61</v>
      </c>
      <c r="AE641" s="14"/>
      <c r="AF641" s="13"/>
      <c r="AG641" s="13"/>
      <c r="AH641" s="84"/>
      <c r="AI641" s="134">
        <v>46142</v>
      </c>
      <c r="AJ641" s="144" t="e">
        <f t="shared" ca="1" si="119"/>
        <v>#NUM!</v>
      </c>
      <c r="AK641" s="85" t="e">
        <f>VLOOKUP(AP641,'[2]CONTENEUR PLEIN'!$F:$L,3,FALSE)</f>
        <v>#N/A</v>
      </c>
      <c r="AL641" s="86" t="e">
        <f>VLOOKUP(AP641,'[2]CONTENEUR PLEIN'!$F:$L,5,FALSE)</f>
        <v>#N/A</v>
      </c>
      <c r="AM641" s="15" t="e">
        <f>VLOOKUP(AP641,'[2]CONTENEUR PLEIN'!$F:$L,7,FALSE)</f>
        <v>#N/A</v>
      </c>
      <c r="AN641" s="284" t="s">
        <v>63</v>
      </c>
      <c r="AO641" s="75"/>
      <c r="AP641" s="75"/>
      <c r="AQ641" s="75"/>
      <c r="AR641" s="75" t="e">
        <f>VLOOKUP(AP641,'[2]CONTENEUR PLEIN'!$F:$L,2,FALSE)</f>
        <v>#N/A</v>
      </c>
      <c r="AS641" s="75"/>
      <c r="AT641" s="84"/>
    </row>
    <row r="642" spans="1:46" s="72" customFormat="1" hidden="1" x14ac:dyDescent="0.25">
      <c r="B642" s="375" t="s">
        <v>45</v>
      </c>
      <c r="C642" s="74">
        <v>46048</v>
      </c>
      <c r="D642" s="75">
        <v>26013</v>
      </c>
      <c r="E642" s="376" t="s">
        <v>878</v>
      </c>
      <c r="F642" s="75">
        <v>2512241134</v>
      </c>
      <c r="G642" s="377" t="s">
        <v>74</v>
      </c>
      <c r="H642" s="377" t="s">
        <v>829</v>
      </c>
      <c r="I642" s="377" t="s">
        <v>49</v>
      </c>
      <c r="J642" s="377" t="s">
        <v>46</v>
      </c>
      <c r="K642" s="377" t="s">
        <v>60</v>
      </c>
      <c r="L642" s="377" t="s">
        <v>47</v>
      </c>
      <c r="M642" s="380" t="e">
        <f t="shared" si="111"/>
        <v>#N/A</v>
      </c>
      <c r="N642" s="77" t="s">
        <v>49</v>
      </c>
      <c r="O642" s="78">
        <v>21160005</v>
      </c>
      <c r="P642" s="42" t="str">
        <f>VLOOKUP(O642,[1]Feuil2!$A:$M,5,FALSE)</f>
        <v>CAFE IMPERIAL + GENCOD</v>
      </c>
      <c r="Q642" s="75">
        <v>7680</v>
      </c>
      <c r="R642" s="79">
        <v>0.13500000000000001</v>
      </c>
      <c r="S642" s="80">
        <f t="shared" si="112"/>
        <v>1036.8000000000002</v>
      </c>
      <c r="T642" s="81">
        <f t="shared" si="118"/>
        <v>212703.09599999996</v>
      </c>
      <c r="U642" s="139"/>
      <c r="V642" s="82">
        <f t="shared" si="113"/>
        <v>212703.09599999996</v>
      </c>
      <c r="W642" s="9">
        <f>VLOOKUP(O642,[1]Feuil2!$A:$M,6,FALSE)</f>
        <v>240</v>
      </c>
      <c r="X642" s="10">
        <f>VLOOKUP(O642,[1]Feuil2!$A:$M,13,FALSE)</f>
        <v>1.8810000000000004E-2</v>
      </c>
      <c r="Y642" s="11">
        <f t="shared" si="117"/>
        <v>0.60192000000000012</v>
      </c>
      <c r="Z642" s="83">
        <f t="shared" si="114"/>
        <v>121.76061962500002</v>
      </c>
      <c r="AA642" s="66" t="s">
        <v>61</v>
      </c>
      <c r="AB642" s="28" t="s">
        <v>61</v>
      </c>
      <c r="AC642" s="75"/>
      <c r="AD642" s="28" t="s">
        <v>61</v>
      </c>
      <c r="AE642" s="14"/>
      <c r="AF642" s="13"/>
      <c r="AG642" s="13"/>
      <c r="AH642" s="84"/>
      <c r="AI642" s="134">
        <v>46142</v>
      </c>
      <c r="AJ642" s="144" t="e">
        <f t="shared" ca="1" si="119"/>
        <v>#NUM!</v>
      </c>
      <c r="AK642" s="85" t="e">
        <f>VLOOKUP(AP642,'[2]CONTENEUR PLEIN'!$F:$L,3,FALSE)</f>
        <v>#N/A</v>
      </c>
      <c r="AL642" s="86" t="e">
        <f>VLOOKUP(AP642,'[2]CONTENEUR PLEIN'!$F:$L,5,FALSE)</f>
        <v>#N/A</v>
      </c>
      <c r="AM642" s="15" t="e">
        <f>VLOOKUP(AP642,'[2]CONTENEUR PLEIN'!$F:$L,7,FALSE)</f>
        <v>#N/A</v>
      </c>
      <c r="AN642" s="284" t="s">
        <v>63</v>
      </c>
      <c r="AO642" s="75"/>
      <c r="AP642" s="75"/>
      <c r="AQ642" s="75"/>
      <c r="AR642" s="75" t="e">
        <f>VLOOKUP(AP642,'[2]CONTENEUR PLEIN'!$F:$L,2,FALSE)</f>
        <v>#N/A</v>
      </c>
      <c r="AS642" s="75"/>
      <c r="AT642" s="84"/>
    </row>
    <row r="643" spans="1:46" s="72" customFormat="1" hidden="1" x14ac:dyDescent="0.25">
      <c r="B643" s="344" t="s">
        <v>45</v>
      </c>
      <c r="C643" s="74">
        <v>46036</v>
      </c>
      <c r="D643" s="75">
        <v>26005</v>
      </c>
      <c r="E643" s="343" t="s">
        <v>832</v>
      </c>
      <c r="F643" s="75">
        <v>2512241221</v>
      </c>
      <c r="G643" s="341" t="s">
        <v>831</v>
      </c>
      <c r="H643" s="341" t="s">
        <v>829</v>
      </c>
      <c r="I643" s="341" t="s">
        <v>49</v>
      </c>
      <c r="J643" s="341" t="s">
        <v>46</v>
      </c>
      <c r="K643" s="364" t="s">
        <v>60</v>
      </c>
      <c r="L643" s="341" t="s">
        <v>47</v>
      </c>
      <c r="M643" s="380" t="e">
        <f t="shared" si="111"/>
        <v>#N/A</v>
      </c>
      <c r="N643" s="282" t="s">
        <v>62</v>
      </c>
      <c r="O643" s="78">
        <v>10600008</v>
      </c>
      <c r="P643" s="42" t="str">
        <f>VLOOKUP(O643,[1]Feuil2!$A:$M,5,FALSE)</f>
        <v>BLOC NOIR MAT 8PCE 1/2 SOIE</v>
      </c>
      <c r="Q643" s="75">
        <v>5004</v>
      </c>
      <c r="R643" s="79">
        <v>5.4</v>
      </c>
      <c r="S643" s="80">
        <f t="shared" si="112"/>
        <v>27021.600000000002</v>
      </c>
      <c r="T643" s="81">
        <f t="shared" si="118"/>
        <v>27021.600000000002</v>
      </c>
      <c r="U643" s="139"/>
      <c r="V643" s="82">
        <f t="shared" si="113"/>
        <v>27021.600000000002</v>
      </c>
      <c r="W643" s="9">
        <f>VLOOKUP(O643,[1]Feuil2!$A:$M,6,FALSE)</f>
        <v>6</v>
      </c>
      <c r="X643" s="10">
        <f>VLOOKUP(O643,[1]Feuil2!$A:$M,13,FALSE)</f>
        <v>2.7779399999999996E-2</v>
      </c>
      <c r="Y643" s="11">
        <f t="shared" si="117"/>
        <v>23.168019599999997</v>
      </c>
      <c r="Z643" s="83">
        <f t="shared" si="114"/>
        <v>23.168019599999997</v>
      </c>
      <c r="AA643" s="66" t="s">
        <v>61</v>
      </c>
      <c r="AB643" s="28" t="s">
        <v>61</v>
      </c>
      <c r="AC643" s="75"/>
      <c r="AD643" s="28" t="s">
        <v>61</v>
      </c>
      <c r="AE643" s="14"/>
      <c r="AF643" s="13"/>
      <c r="AG643" s="13"/>
      <c r="AH643" s="84"/>
      <c r="AI643" s="134">
        <v>46137</v>
      </c>
      <c r="AJ643" s="144" t="e">
        <f t="shared" ca="1" si="119"/>
        <v>#NUM!</v>
      </c>
      <c r="AK643" s="85" t="e">
        <f>VLOOKUP(AP643,'[2]CONTENEUR PLEIN'!$F:$L,3,FALSE)</f>
        <v>#N/A</v>
      </c>
      <c r="AL643" s="86" t="e">
        <f>VLOOKUP(AP643,'[2]CONTENEUR PLEIN'!$F:$L,5,FALSE)</f>
        <v>#N/A</v>
      </c>
      <c r="AM643" s="15" t="e">
        <f>VLOOKUP(AP643,'[2]CONTENEUR PLEIN'!$F:$L,7,FALSE)</f>
        <v>#N/A</v>
      </c>
      <c r="AN643" s="284" t="s">
        <v>63</v>
      </c>
      <c r="AO643" s="75"/>
      <c r="AP643" s="75"/>
      <c r="AQ643" s="75"/>
      <c r="AR643" s="75" t="e">
        <f>VLOOKUP(AP643,'[2]CONTENEUR PLEIN'!$F:$L,2,FALSE)</f>
        <v>#N/A</v>
      </c>
      <c r="AS643" s="75"/>
      <c r="AT643" s="84"/>
    </row>
    <row r="644" spans="1:46" s="72" customFormat="1" hidden="1" x14ac:dyDescent="0.25">
      <c r="B644" s="344" t="s">
        <v>45</v>
      </c>
      <c r="C644" s="74">
        <v>46036</v>
      </c>
      <c r="D644" s="75">
        <v>26006</v>
      </c>
      <c r="E644" s="343" t="s">
        <v>833</v>
      </c>
      <c r="F644" s="75">
        <v>2512241225</v>
      </c>
      <c r="G644" s="341" t="s">
        <v>834</v>
      </c>
      <c r="H644" s="341" t="s">
        <v>829</v>
      </c>
      <c r="I644" s="341" t="s">
        <v>49</v>
      </c>
      <c r="J644" s="341" t="s">
        <v>46</v>
      </c>
      <c r="K644" s="364" t="s">
        <v>60</v>
      </c>
      <c r="L644" s="341" t="s">
        <v>47</v>
      </c>
      <c r="M644" s="380" t="e">
        <f t="shared" si="111"/>
        <v>#N/A</v>
      </c>
      <c r="N644" s="282" t="s">
        <v>62</v>
      </c>
      <c r="O644" s="78">
        <v>10590004</v>
      </c>
      <c r="P644" s="42" t="str">
        <f>VLOOKUP(O644,[1]Feuil2!$A:$M,5,FALSE)</f>
        <v>CISEAU UNIVERSEL 20.3CM BI M COUTEAU DU CHEF</v>
      </c>
      <c r="Q644" s="75">
        <v>6720</v>
      </c>
      <c r="R644" s="79">
        <v>0.86799999999999999</v>
      </c>
      <c r="S644" s="80">
        <f t="shared" si="112"/>
        <v>5832.96</v>
      </c>
      <c r="T644" s="81">
        <f t="shared" si="118"/>
        <v>12295.68</v>
      </c>
      <c r="U644" s="139"/>
      <c r="V644" s="82">
        <f t="shared" si="113"/>
        <v>12295.68</v>
      </c>
      <c r="W644" s="9">
        <f>VLOOKUP(O644,[1]Feuil2!$A:$M,6,FALSE)</f>
        <v>96</v>
      </c>
      <c r="X644" s="10">
        <f>VLOOKUP(O644,[1]Feuil2!$A:$M,13,FALSE)</f>
        <v>2.9342250000000004E-2</v>
      </c>
      <c r="Y644" s="11">
        <f t="shared" si="117"/>
        <v>2.0539575000000001</v>
      </c>
      <c r="Z644" s="83">
        <f t="shared" si="114"/>
        <v>3.0648795</v>
      </c>
      <c r="AA644" s="66" t="s">
        <v>61</v>
      </c>
      <c r="AB644" s="28" t="s">
        <v>61</v>
      </c>
      <c r="AC644" s="75"/>
      <c r="AD644" s="28" t="s">
        <v>61</v>
      </c>
      <c r="AE644" s="14"/>
      <c r="AF644" s="13"/>
      <c r="AG644" s="13"/>
      <c r="AH644" s="84"/>
      <c r="AI644" s="134">
        <v>46137</v>
      </c>
      <c r="AJ644" s="144" t="e">
        <f t="shared" ca="1" si="119"/>
        <v>#NUM!</v>
      </c>
      <c r="AK644" s="85" t="e">
        <f>VLOOKUP(AP644,'[2]CONTENEUR PLEIN'!$F:$L,3,FALSE)</f>
        <v>#N/A</v>
      </c>
      <c r="AL644" s="86" t="e">
        <f>VLOOKUP(AP644,'[2]CONTENEUR PLEIN'!$F:$L,5,FALSE)</f>
        <v>#N/A</v>
      </c>
      <c r="AM644" s="15" t="e">
        <f>VLOOKUP(AP644,'[2]CONTENEUR PLEIN'!$F:$L,7,FALSE)</f>
        <v>#N/A</v>
      </c>
      <c r="AN644" s="284" t="s">
        <v>63</v>
      </c>
      <c r="AO644" s="75"/>
      <c r="AP644" s="75"/>
      <c r="AQ644" s="75"/>
      <c r="AR644" s="75" t="e">
        <f>VLOOKUP(AP644,'[2]CONTENEUR PLEIN'!$F:$L,2,FALSE)</f>
        <v>#N/A</v>
      </c>
      <c r="AS644" s="75"/>
      <c r="AT644" s="84"/>
    </row>
    <row r="645" spans="1:46" s="72" customFormat="1" hidden="1" x14ac:dyDescent="0.25">
      <c r="B645" s="344" t="s">
        <v>45</v>
      </c>
      <c r="C645" s="74">
        <v>46036</v>
      </c>
      <c r="D645" s="75">
        <v>26006</v>
      </c>
      <c r="E645" s="343" t="s">
        <v>833</v>
      </c>
      <c r="F645" s="75">
        <v>2512241225</v>
      </c>
      <c r="G645" s="341" t="s">
        <v>834</v>
      </c>
      <c r="H645" s="341" t="s">
        <v>829</v>
      </c>
      <c r="I645" s="341" t="s">
        <v>49</v>
      </c>
      <c r="J645" s="341" t="s">
        <v>46</v>
      </c>
      <c r="K645" s="364" t="s">
        <v>60</v>
      </c>
      <c r="L645" s="341" t="s">
        <v>47</v>
      </c>
      <c r="M645" s="380" t="e">
        <f t="shared" si="111"/>
        <v>#N/A</v>
      </c>
      <c r="N645" s="282" t="s">
        <v>62</v>
      </c>
      <c r="O645" s="78">
        <v>10340037</v>
      </c>
      <c r="P645" s="42" t="str">
        <f>VLOOKUP(O645,[1]Feuil2!$A:$M,5,FALSE)</f>
        <v>TARTINEUR BOIS CLAIR CRF VRAC + GENCOD</v>
      </c>
      <c r="Q645" s="75">
        <v>18360</v>
      </c>
      <c r="R645" s="79">
        <v>0.35199999999999998</v>
      </c>
      <c r="S645" s="80">
        <f t="shared" si="112"/>
        <v>6462.7199999999993</v>
      </c>
      <c r="T645" s="81">
        <f t="shared" si="118"/>
        <v>12295.68</v>
      </c>
      <c r="U645" s="139"/>
      <c r="V645" s="82">
        <f t="shared" si="113"/>
        <v>12295.68</v>
      </c>
      <c r="W645" s="9">
        <f>VLOOKUP(O645,[1]Feuil2!$A:$M,6,FALSE)</f>
        <v>360</v>
      </c>
      <c r="X645" s="10">
        <f>VLOOKUP(O645,[1]Feuil2!$A:$M,13,FALSE)</f>
        <v>1.9822000000000003E-2</v>
      </c>
      <c r="Y645" s="11">
        <f t="shared" si="117"/>
        <v>1.0109220000000001</v>
      </c>
      <c r="Z645" s="83">
        <f t="shared" ref="Z645:Z672" si="120">SUMIF($E:$E,E645,$Y:$Y)</f>
        <v>3.0648795</v>
      </c>
      <c r="AA645" s="66" t="s">
        <v>61</v>
      </c>
      <c r="AB645" s="28" t="s">
        <v>61</v>
      </c>
      <c r="AC645" s="75"/>
      <c r="AD645" s="28" t="s">
        <v>61</v>
      </c>
      <c r="AE645" s="14"/>
      <c r="AF645" s="13"/>
      <c r="AG645" s="13"/>
      <c r="AH645" s="84"/>
      <c r="AI645" s="134">
        <v>46137</v>
      </c>
      <c r="AJ645" s="144" t="e">
        <f t="shared" ca="1" si="119"/>
        <v>#NUM!</v>
      </c>
      <c r="AK645" s="85" t="e">
        <f>VLOOKUP(AP645,'[2]CONTENEUR PLEIN'!$F:$L,3,FALSE)</f>
        <v>#N/A</v>
      </c>
      <c r="AL645" s="86" t="e">
        <f>VLOOKUP(AP645,'[2]CONTENEUR PLEIN'!$F:$L,5,FALSE)</f>
        <v>#N/A</v>
      </c>
      <c r="AM645" s="15" t="e">
        <f>VLOOKUP(AP645,'[2]CONTENEUR PLEIN'!$F:$L,7,FALSE)</f>
        <v>#N/A</v>
      </c>
      <c r="AN645" s="284" t="s">
        <v>63</v>
      </c>
      <c r="AO645" s="75"/>
      <c r="AP645" s="75"/>
      <c r="AQ645" s="75"/>
      <c r="AR645" s="75" t="e">
        <f>VLOOKUP(AP645,'[2]CONTENEUR PLEIN'!$F:$L,2,FALSE)</f>
        <v>#N/A</v>
      </c>
      <c r="AS645" s="75"/>
      <c r="AT645" s="84"/>
    </row>
    <row r="646" spans="1:46" s="72" customFormat="1" hidden="1" x14ac:dyDescent="0.25">
      <c r="B646" s="374" t="s">
        <v>45</v>
      </c>
      <c r="C646" s="74">
        <v>46048</v>
      </c>
      <c r="D646" s="75">
        <v>26011</v>
      </c>
      <c r="E646" s="373" t="s">
        <v>873</v>
      </c>
      <c r="F646" s="368" t="s">
        <v>874</v>
      </c>
      <c r="G646" s="368" t="s">
        <v>834</v>
      </c>
      <c r="H646" s="368" t="s">
        <v>829</v>
      </c>
      <c r="I646" s="368" t="s">
        <v>49</v>
      </c>
      <c r="J646" s="368" t="s">
        <v>46</v>
      </c>
      <c r="K646" s="368" t="s">
        <v>60</v>
      </c>
      <c r="L646" s="368" t="s">
        <v>47</v>
      </c>
      <c r="M646" s="380" t="e">
        <f t="shared" si="111"/>
        <v>#N/A</v>
      </c>
      <c r="N646" s="77" t="s">
        <v>49</v>
      </c>
      <c r="O646" s="78">
        <v>10340031</v>
      </c>
      <c r="P646" s="42" t="str">
        <f>VLOOKUP(O646,[1]Feuil2!$A:$M,5,FALSE)</f>
        <v>OFFICE BOIS COULEUR PANACHE HOMESIDE SIPLEC</v>
      </c>
      <c r="Q646" s="75">
        <v>22320</v>
      </c>
      <c r="R646" s="79">
        <v>0.23599999999999999</v>
      </c>
      <c r="S646" s="80">
        <f t="shared" si="112"/>
        <v>5267.5199999999995</v>
      </c>
      <c r="T646" s="81">
        <f t="shared" si="118"/>
        <v>8168.4</v>
      </c>
      <c r="U646" s="139"/>
      <c r="V646" s="82">
        <f t="shared" si="113"/>
        <v>8168.4</v>
      </c>
      <c r="W646" s="9">
        <f>VLOOKUP(O646,[1]Feuil2!$A:$M,6,FALSE)</f>
        <v>360</v>
      </c>
      <c r="X646" s="10">
        <f>VLOOKUP(O646,[1]Feuil2!$A:$M,13,FALSE)</f>
        <v>2.3462999999999998E-2</v>
      </c>
      <c r="Y646" s="11">
        <f t="shared" si="117"/>
        <v>1.4547059999999998</v>
      </c>
      <c r="Z646" s="83">
        <f t="shared" si="120"/>
        <v>2.1396869999999999</v>
      </c>
      <c r="AA646" s="66" t="s">
        <v>61</v>
      </c>
      <c r="AB646" s="28" t="s">
        <v>61</v>
      </c>
      <c r="AC646" s="75"/>
      <c r="AD646" s="28" t="s">
        <v>61</v>
      </c>
      <c r="AE646" s="14"/>
      <c r="AF646" s="13"/>
      <c r="AG646" s="13"/>
      <c r="AH646" s="84"/>
      <c r="AI646" s="134">
        <v>46142</v>
      </c>
      <c r="AJ646" s="144" t="e">
        <f t="shared" ca="1" si="119"/>
        <v>#NUM!</v>
      </c>
      <c r="AK646" s="85" t="e">
        <f>VLOOKUP(AP646,'[2]CONTENEUR PLEIN'!$F:$L,3,FALSE)</f>
        <v>#N/A</v>
      </c>
      <c r="AL646" s="86" t="e">
        <f>VLOOKUP(AP646,'[2]CONTENEUR PLEIN'!$F:$L,5,FALSE)</f>
        <v>#N/A</v>
      </c>
      <c r="AM646" s="15" t="e">
        <f>VLOOKUP(AP646,'[2]CONTENEUR PLEIN'!$F:$L,7,FALSE)</f>
        <v>#N/A</v>
      </c>
      <c r="AN646" s="284" t="s">
        <v>63</v>
      </c>
      <c r="AO646" s="75"/>
      <c r="AP646" s="75"/>
      <c r="AQ646" s="75"/>
      <c r="AR646" s="75" t="e">
        <f>VLOOKUP(AP646,'[2]CONTENEUR PLEIN'!$F:$L,2,FALSE)</f>
        <v>#N/A</v>
      </c>
      <c r="AS646" s="75"/>
      <c r="AT646" s="84"/>
    </row>
    <row r="647" spans="1:46" s="72" customFormat="1" hidden="1" x14ac:dyDescent="0.25">
      <c r="B647" s="374" t="s">
        <v>45</v>
      </c>
      <c r="C647" s="74">
        <v>46048</v>
      </c>
      <c r="D647" s="75">
        <v>26011</v>
      </c>
      <c r="E647" s="373" t="s">
        <v>873</v>
      </c>
      <c r="F647" s="368" t="s">
        <v>874</v>
      </c>
      <c r="G647" s="368" t="s">
        <v>834</v>
      </c>
      <c r="H647" s="368" t="s">
        <v>829</v>
      </c>
      <c r="I647" s="368" t="s">
        <v>49</v>
      </c>
      <c r="J647" s="368" t="s">
        <v>46</v>
      </c>
      <c r="K647" s="368" t="s">
        <v>60</v>
      </c>
      <c r="L647" s="368" t="s">
        <v>47</v>
      </c>
      <c r="M647" s="380" t="e">
        <f t="shared" si="111"/>
        <v>#N/A</v>
      </c>
      <c r="N647" s="77" t="s">
        <v>49</v>
      </c>
      <c r="O647" s="78">
        <v>10340032</v>
      </c>
      <c r="P647" s="42" t="str">
        <f>VLOOKUP(O647,[1]Feuil2!$A:$M,5,FALSE)</f>
        <v>EPLUCHEUR BOIS COULEUR PANACHE HOMESIDE SIPLEC</v>
      </c>
      <c r="Q647" s="75">
        <v>12240</v>
      </c>
      <c r="R647" s="79">
        <v>0.23699999999999999</v>
      </c>
      <c r="S647" s="80">
        <f t="shared" ref="S647:S672" si="121">Q647*R647</f>
        <v>2900.8799999999997</v>
      </c>
      <c r="T647" s="81">
        <f t="shared" si="118"/>
        <v>8168.4</v>
      </c>
      <c r="U647" s="139"/>
      <c r="V647" s="82">
        <f t="shared" ref="V647:V672" si="122">U647+T647</f>
        <v>8168.4</v>
      </c>
      <c r="W647" s="9">
        <f>VLOOKUP(O647,[1]Feuil2!$A:$M,6,FALSE)</f>
        <v>360</v>
      </c>
      <c r="X647" s="10">
        <f>VLOOKUP(O647,[1]Feuil2!$A:$M,13,FALSE)</f>
        <v>2.0146500000000001E-2</v>
      </c>
      <c r="Y647" s="11">
        <f t="shared" si="117"/>
        <v>0.68498100000000006</v>
      </c>
      <c r="Z647" s="83">
        <f t="shared" si="120"/>
        <v>2.1396869999999999</v>
      </c>
      <c r="AA647" s="66" t="s">
        <v>61</v>
      </c>
      <c r="AB647" s="28" t="s">
        <v>61</v>
      </c>
      <c r="AC647" s="75"/>
      <c r="AD647" s="28" t="s">
        <v>61</v>
      </c>
      <c r="AE647" s="14"/>
      <c r="AF647" s="13"/>
      <c r="AG647" s="13"/>
      <c r="AH647" s="84"/>
      <c r="AI647" s="134">
        <v>46142</v>
      </c>
      <c r="AJ647" s="144" t="e">
        <f t="shared" ca="1" si="119"/>
        <v>#NUM!</v>
      </c>
      <c r="AK647" s="85" t="e">
        <f>VLOOKUP(AP647,'[2]CONTENEUR PLEIN'!$F:$L,3,FALSE)</f>
        <v>#N/A</v>
      </c>
      <c r="AL647" s="86" t="e">
        <f>VLOOKUP(AP647,'[2]CONTENEUR PLEIN'!$F:$L,5,FALSE)</f>
        <v>#N/A</v>
      </c>
      <c r="AM647" s="15" t="e">
        <f>VLOOKUP(AP647,'[2]CONTENEUR PLEIN'!$F:$L,7,FALSE)</f>
        <v>#N/A</v>
      </c>
      <c r="AN647" s="284" t="s">
        <v>63</v>
      </c>
      <c r="AO647" s="75"/>
      <c r="AP647" s="75"/>
      <c r="AQ647" s="75"/>
      <c r="AR647" s="75" t="e">
        <f>VLOOKUP(AP647,'[2]CONTENEUR PLEIN'!$F:$L,2,FALSE)</f>
        <v>#N/A</v>
      </c>
      <c r="AS647" s="75"/>
      <c r="AT647" s="84"/>
    </row>
    <row r="648" spans="1:46" s="72" customFormat="1" hidden="1" x14ac:dyDescent="0.25">
      <c r="B648" s="339" t="s">
        <v>45</v>
      </c>
      <c r="C648" s="74">
        <v>46035</v>
      </c>
      <c r="D648" s="75">
        <v>26001</v>
      </c>
      <c r="E648" s="340" t="s">
        <v>825</v>
      </c>
      <c r="F648" s="75">
        <v>2601130850</v>
      </c>
      <c r="G648" s="335" t="s">
        <v>74</v>
      </c>
      <c r="H648" s="335" t="s">
        <v>67</v>
      </c>
      <c r="I648" s="335" t="s">
        <v>49</v>
      </c>
      <c r="J648" s="296" t="s">
        <v>66</v>
      </c>
      <c r="K648" s="364" t="s">
        <v>60</v>
      </c>
      <c r="L648" s="335" t="s">
        <v>47</v>
      </c>
      <c r="M648" s="380" t="e">
        <f t="shared" si="111"/>
        <v>#N/A</v>
      </c>
      <c r="N648" s="282" t="s">
        <v>62</v>
      </c>
      <c r="O648" s="78">
        <v>30363724</v>
      </c>
      <c r="P648" s="42" t="str">
        <f>VLOOKUP(O648,[1]Feuil2!$A:$M,5,FALSE)</f>
        <v>M24 CLASSIC BLEU PANTONE 655C CARREFOUR</v>
      </c>
      <c r="Q648" s="75">
        <v>4626</v>
      </c>
      <c r="R648" s="79">
        <v>2.61</v>
      </c>
      <c r="S648" s="80">
        <f t="shared" si="121"/>
        <v>12073.859999999999</v>
      </c>
      <c r="T648" s="81">
        <f t="shared" si="118"/>
        <v>12073.859999999999</v>
      </c>
      <c r="U648" s="139"/>
      <c r="V648" s="82">
        <f t="shared" si="122"/>
        <v>12073.859999999999</v>
      </c>
      <c r="W648" s="9">
        <f>VLOOKUP(O648,[1]Feuil2!$A:$M,6,FALSE)</f>
        <v>6</v>
      </c>
      <c r="X648" s="10">
        <f>VLOOKUP(O648,[1]Feuil2!$A:$M,13,FALSE)</f>
        <v>1.43E-2</v>
      </c>
      <c r="Y648" s="11">
        <f t="shared" si="117"/>
        <v>11.0253</v>
      </c>
      <c r="Z648" s="83">
        <f t="shared" si="120"/>
        <v>11.0253</v>
      </c>
      <c r="AA648" s="66" t="s">
        <v>61</v>
      </c>
      <c r="AB648" s="28" t="s">
        <v>61</v>
      </c>
      <c r="AC648" s="75"/>
      <c r="AD648" s="28" t="s">
        <v>61</v>
      </c>
      <c r="AE648" s="14"/>
      <c r="AF648" s="13"/>
      <c r="AG648" s="22" t="s">
        <v>48</v>
      </c>
      <c r="AH648" s="84" t="s">
        <v>48</v>
      </c>
      <c r="AI648" s="134">
        <v>46111</v>
      </c>
      <c r="AJ648" s="144" t="e">
        <f t="shared" ca="1" si="119"/>
        <v>#NUM!</v>
      </c>
      <c r="AK648" s="85" t="e">
        <f>VLOOKUP(AP648,'[2]CONTENEUR PLEIN'!$F:$L,3,FALSE)</f>
        <v>#N/A</v>
      </c>
      <c r="AL648" s="86" t="e">
        <f>VLOOKUP(AP648,'[2]CONTENEUR PLEIN'!$F:$L,5,FALSE)</f>
        <v>#N/A</v>
      </c>
      <c r="AM648" s="15" t="e">
        <f>VLOOKUP(AP648,'[2]CONTENEUR PLEIN'!$F:$L,7,FALSE)</f>
        <v>#N/A</v>
      </c>
      <c r="AN648" s="284" t="s">
        <v>63</v>
      </c>
      <c r="AO648" s="75"/>
      <c r="AP648" s="75"/>
      <c r="AQ648" s="75"/>
      <c r="AR648" s="75" t="e">
        <f>VLOOKUP(AP648,'[2]CONTENEUR PLEIN'!$F:$L,2,FALSE)</f>
        <v>#N/A</v>
      </c>
      <c r="AS648" s="75"/>
      <c r="AT648" s="84"/>
    </row>
    <row r="649" spans="1:46" s="72" customFormat="1" hidden="1" x14ac:dyDescent="0.25">
      <c r="B649" s="374" t="s">
        <v>45</v>
      </c>
      <c r="C649" s="74">
        <v>46045</v>
      </c>
      <c r="D649" s="75">
        <v>26010</v>
      </c>
      <c r="E649" s="373" t="s">
        <v>871</v>
      </c>
      <c r="F649" s="75">
        <v>2601190837</v>
      </c>
      <c r="G649" s="368" t="s">
        <v>74</v>
      </c>
      <c r="H649" s="368" t="s">
        <v>82</v>
      </c>
      <c r="I649" s="368" t="s">
        <v>49</v>
      </c>
      <c r="J649" s="368" t="s">
        <v>46</v>
      </c>
      <c r="K649" s="368" t="s">
        <v>60</v>
      </c>
      <c r="L649" s="368" t="s">
        <v>47</v>
      </c>
      <c r="M649" s="380" t="e">
        <f t="shared" si="111"/>
        <v>#N/A</v>
      </c>
      <c r="N649" s="282" t="s">
        <v>62</v>
      </c>
      <c r="O649" s="78">
        <v>20110042</v>
      </c>
      <c r="P649" s="42" t="str">
        <f>VLOOKUP(O649,[1]Feuil2!$A:$M,5,FALSE)</f>
        <v>LAG HERITAGE MÉNAGÈRE STYLE 16PCS POLYFLAME</v>
      </c>
      <c r="Q649" s="75">
        <v>1002</v>
      </c>
      <c r="R649" s="79">
        <v>5.1429999999999998</v>
      </c>
      <c r="S649" s="80">
        <f t="shared" si="121"/>
        <v>5153.2860000000001</v>
      </c>
      <c r="T649" s="81">
        <f t="shared" si="118"/>
        <v>7457.8860000000004</v>
      </c>
      <c r="U649" s="139"/>
      <c r="V649" s="82">
        <f t="shared" si="122"/>
        <v>7457.8860000000004</v>
      </c>
      <c r="W649" s="9">
        <f>VLOOKUP(O649,[1]Feuil2!$A:$M,6,FALSE)</f>
        <v>6</v>
      </c>
      <c r="X649" s="10">
        <f>VLOOKUP(O649,[1]Feuil2!$A:$M,13,FALSE)</f>
        <v>1.9382750000000001E-2</v>
      </c>
      <c r="Y649" s="11">
        <f t="shared" si="117"/>
        <v>3.2369192500000001</v>
      </c>
      <c r="Z649" s="83">
        <f t="shared" si="120"/>
        <v>3.2369192500000001</v>
      </c>
      <c r="AA649" s="66" t="s">
        <v>61</v>
      </c>
      <c r="AB649" s="28" t="s">
        <v>61</v>
      </c>
      <c r="AC649" s="75"/>
      <c r="AD649" s="28" t="s">
        <v>61</v>
      </c>
      <c r="AE649" s="14"/>
      <c r="AF649" s="13"/>
      <c r="AG649" s="22" t="s">
        <v>48</v>
      </c>
      <c r="AH649" s="579" t="s">
        <v>48</v>
      </c>
      <c r="AI649" s="134">
        <v>46157</v>
      </c>
      <c r="AJ649" s="144" t="e">
        <f t="shared" ca="1" si="119"/>
        <v>#NUM!</v>
      </c>
      <c r="AK649" s="85" t="e">
        <f>VLOOKUP(AP649,'[2]CONTENEUR PLEIN'!$F:$L,3,FALSE)</f>
        <v>#N/A</v>
      </c>
      <c r="AL649" s="86" t="e">
        <f>VLOOKUP(AP649,'[2]CONTENEUR PLEIN'!$F:$L,5,FALSE)</f>
        <v>#N/A</v>
      </c>
      <c r="AM649" s="15" t="e">
        <f>VLOOKUP(AP649,'[2]CONTENEUR PLEIN'!$F:$L,7,FALSE)</f>
        <v>#N/A</v>
      </c>
      <c r="AN649" s="368" t="s">
        <v>82</v>
      </c>
      <c r="AO649" s="75"/>
      <c r="AP649" s="75"/>
      <c r="AQ649" s="75"/>
      <c r="AR649" s="75" t="e">
        <f>VLOOKUP(AP649,'[2]CONTENEUR PLEIN'!$F:$L,2,FALSE)</f>
        <v>#N/A</v>
      </c>
      <c r="AS649" s="75"/>
      <c r="AT649" s="84"/>
    </row>
    <row r="650" spans="1:46" s="72" customFormat="1" ht="15" hidden="1" customHeight="1" x14ac:dyDescent="0.25">
      <c r="A650" s="71"/>
      <c r="B650" s="374" t="s">
        <v>45</v>
      </c>
      <c r="C650" s="74">
        <v>46045</v>
      </c>
      <c r="D650" s="75">
        <v>26010</v>
      </c>
      <c r="E650" s="373" t="s">
        <v>871</v>
      </c>
      <c r="F650" s="75">
        <v>2601190837</v>
      </c>
      <c r="G650" s="368" t="s">
        <v>74</v>
      </c>
      <c r="H650" s="368" t="s">
        <v>82</v>
      </c>
      <c r="I650" s="368" t="s">
        <v>49</v>
      </c>
      <c r="J650" s="368" t="s">
        <v>46</v>
      </c>
      <c r="K650" s="368" t="s">
        <v>60</v>
      </c>
      <c r="L650" s="368" t="s">
        <v>47</v>
      </c>
      <c r="M650" s="380" t="e">
        <f t="shared" ref="M650:M672" si="123">DATEDIF(C650,AM650,"M")</f>
        <v>#N/A</v>
      </c>
      <c r="N650" s="282" t="s">
        <v>62</v>
      </c>
      <c r="O650" s="78">
        <v>10110031</v>
      </c>
      <c r="P650" s="42" t="str">
        <f>VLOOKUP(O650,[1]Feuil2!$A:$M,5,FALSE)</f>
        <v>LAG HERITAGE COFFRET 6PCS ABS POLYFLAME</v>
      </c>
      <c r="Q650" s="75">
        <v>1002</v>
      </c>
      <c r="R650" s="79">
        <v>2.2999999999999998</v>
      </c>
      <c r="S650" s="80">
        <f t="shared" si="121"/>
        <v>2304.6</v>
      </c>
      <c r="T650" s="81">
        <f t="shared" si="118"/>
        <v>7457.8860000000004</v>
      </c>
      <c r="U650" s="139"/>
      <c r="V650" s="82">
        <f t="shared" si="122"/>
        <v>7457.8860000000004</v>
      </c>
      <c r="W650" s="9">
        <f>VLOOKUP(O650,[1]Feuil2!$A:$M,6,FALSE)</f>
        <v>6</v>
      </c>
      <c r="X650" s="10">
        <f>VLOOKUP(O650,[1]Feuil2!$A:$M,13,FALSE)</f>
        <v>0</v>
      </c>
      <c r="Y650" s="11">
        <f t="shared" si="117"/>
        <v>0</v>
      </c>
      <c r="Z650" s="83">
        <f t="shared" si="120"/>
        <v>3.2369192500000001</v>
      </c>
      <c r="AA650" s="66" t="s">
        <v>61</v>
      </c>
      <c r="AB650" s="28" t="s">
        <v>61</v>
      </c>
      <c r="AC650" s="75"/>
      <c r="AD650" s="28" t="s">
        <v>61</v>
      </c>
      <c r="AE650" s="22"/>
      <c r="AF650" s="22"/>
      <c r="AG650" s="22" t="s">
        <v>48</v>
      </c>
      <c r="AH650" s="579" t="s">
        <v>48</v>
      </c>
      <c r="AI650" s="134">
        <v>46157</v>
      </c>
      <c r="AJ650" s="144" t="e">
        <f t="shared" ca="1" si="119"/>
        <v>#NUM!</v>
      </c>
      <c r="AK650" s="85" t="e">
        <f>VLOOKUP(AP650,'[2]CONTENEUR PLEIN'!$F:$L,3,FALSE)</f>
        <v>#N/A</v>
      </c>
      <c r="AL650" s="86" t="e">
        <f>VLOOKUP(AP650,'[2]CONTENEUR PLEIN'!$F:$L,5,FALSE)</f>
        <v>#N/A</v>
      </c>
      <c r="AM650" s="15" t="e">
        <f>VLOOKUP(AP650,'[2]CONTENEUR PLEIN'!$F:$L,7,FALSE)</f>
        <v>#N/A</v>
      </c>
      <c r="AN650" s="368" t="s">
        <v>82</v>
      </c>
      <c r="AO650" s="75"/>
      <c r="AP650" s="75"/>
      <c r="AQ650" s="75"/>
      <c r="AR650" s="75" t="e">
        <f>VLOOKUP(AP650,'[2]CONTENEUR PLEIN'!$F:$L,2,FALSE)</f>
        <v>#N/A</v>
      </c>
      <c r="AS650" s="75"/>
      <c r="AT650" s="84"/>
    </row>
    <row r="651" spans="1:46" s="72" customFormat="1" hidden="1" x14ac:dyDescent="0.25">
      <c r="B651" s="374" t="s">
        <v>45</v>
      </c>
      <c r="C651" s="74">
        <v>46045</v>
      </c>
      <c r="D651" s="75">
        <v>26008</v>
      </c>
      <c r="E651" s="373" t="s">
        <v>870</v>
      </c>
      <c r="F651" s="75">
        <v>2601190843</v>
      </c>
      <c r="G651" s="368" t="s">
        <v>83</v>
      </c>
      <c r="H651" s="368" t="s">
        <v>82</v>
      </c>
      <c r="I651" s="502">
        <v>1086</v>
      </c>
      <c r="J651" s="368" t="s">
        <v>46</v>
      </c>
      <c r="K651" s="368" t="s">
        <v>60</v>
      </c>
      <c r="L651" s="368" t="s">
        <v>47</v>
      </c>
      <c r="M651" s="380" t="e">
        <f t="shared" si="123"/>
        <v>#N/A</v>
      </c>
      <c r="N651" s="282" t="s">
        <v>62</v>
      </c>
      <c r="O651" s="78">
        <v>10110026</v>
      </c>
      <c r="P651" s="42" t="str">
        <f>VLOOKUP(O651,[1]Feuil2!$A:$M,5,FALSE)</f>
        <v>LAG HERITAGE COUTEAU PLIANT EN BOIS ZEBRA POLYFLAME</v>
      </c>
      <c r="Q651" s="75">
        <v>1000</v>
      </c>
      <c r="R651" s="79">
        <v>3.62</v>
      </c>
      <c r="S651" s="80">
        <f t="shared" si="121"/>
        <v>3620</v>
      </c>
      <c r="T651" s="81">
        <f t="shared" si="118"/>
        <v>3620</v>
      </c>
      <c r="U651" s="139"/>
      <c r="V651" s="82">
        <f t="shared" si="122"/>
        <v>3620</v>
      </c>
      <c r="W651" s="9">
        <f>VLOOKUP(O651,[1]Feuil2!$A:$M,6,FALSE)</f>
        <v>100</v>
      </c>
      <c r="X651" s="10">
        <f>VLOOKUP(O651,[1]Feuil2!$A:$M,13,FALSE)</f>
        <v>3.5862749999999999E-2</v>
      </c>
      <c r="Y651" s="11">
        <f t="shared" si="117"/>
        <v>0.35862749999999999</v>
      </c>
      <c r="Z651" s="83">
        <f t="shared" si="120"/>
        <v>0.35862749999999999</v>
      </c>
      <c r="AA651" s="66" t="s">
        <v>61</v>
      </c>
      <c r="AB651" s="28" t="s">
        <v>61</v>
      </c>
      <c r="AC651" s="75"/>
      <c r="AD651" s="28" t="s">
        <v>61</v>
      </c>
      <c r="AE651" s="14"/>
      <c r="AF651" s="13"/>
      <c r="AG651" s="22" t="s">
        <v>48</v>
      </c>
      <c r="AH651" s="579" t="s">
        <v>48</v>
      </c>
      <c r="AI651" s="134">
        <v>46144</v>
      </c>
      <c r="AJ651" s="144" t="e">
        <f t="shared" ca="1" si="119"/>
        <v>#NUM!</v>
      </c>
      <c r="AK651" s="85" t="e">
        <f>VLOOKUP(AP651,'[2]CONTENEUR PLEIN'!$F:$L,3,FALSE)</f>
        <v>#N/A</v>
      </c>
      <c r="AL651" s="86" t="e">
        <f>VLOOKUP(AP651,'[2]CONTENEUR PLEIN'!$F:$L,5,FALSE)</f>
        <v>#N/A</v>
      </c>
      <c r="AM651" s="15" t="e">
        <f>VLOOKUP(AP651,'[2]CONTENEUR PLEIN'!$F:$L,7,FALSE)</f>
        <v>#N/A</v>
      </c>
      <c r="AN651" s="368" t="s">
        <v>82</v>
      </c>
      <c r="AO651" s="75"/>
      <c r="AP651" s="75"/>
      <c r="AQ651" s="75"/>
      <c r="AR651" s="75" t="e">
        <f>VLOOKUP(AP651,'[2]CONTENEUR PLEIN'!$F:$L,2,FALSE)</f>
        <v>#N/A</v>
      </c>
      <c r="AS651" s="75"/>
      <c r="AT651" s="84"/>
    </row>
    <row r="652" spans="1:46" s="72" customFormat="1" hidden="1" x14ac:dyDescent="0.25">
      <c r="B652" s="374" t="s">
        <v>45</v>
      </c>
      <c r="C652" s="74">
        <v>46045</v>
      </c>
      <c r="D652" s="75">
        <v>26009</v>
      </c>
      <c r="E652" s="373" t="s">
        <v>872</v>
      </c>
      <c r="F652" s="75">
        <v>2601190845</v>
      </c>
      <c r="G652" s="368" t="s">
        <v>867</v>
      </c>
      <c r="H652" s="368" t="s">
        <v>82</v>
      </c>
      <c r="I652" s="368" t="s">
        <v>49</v>
      </c>
      <c r="J652" s="368" t="s">
        <v>46</v>
      </c>
      <c r="K652" s="368" t="s">
        <v>60</v>
      </c>
      <c r="L652" s="368" t="s">
        <v>47</v>
      </c>
      <c r="M652" s="380" t="e">
        <f t="shared" si="123"/>
        <v>#N/A</v>
      </c>
      <c r="N652" s="282" t="s">
        <v>62</v>
      </c>
      <c r="O652" s="78">
        <v>10110025</v>
      </c>
      <c r="P652" s="42" t="str">
        <f>VLOOKUP(O652,[1]Feuil2!$A:$M,5,FALSE)</f>
        <v>LAG HERITAGE COUTEAUX STEAK NOYER 6PCS POLYFLAME</v>
      </c>
      <c r="Q652" s="75">
        <v>1200</v>
      </c>
      <c r="R652" s="79">
        <v>6.21</v>
      </c>
      <c r="S652" s="80">
        <f t="shared" si="121"/>
        <v>7452</v>
      </c>
      <c r="T652" s="81">
        <f t="shared" si="118"/>
        <v>7452</v>
      </c>
      <c r="U652" s="139"/>
      <c r="V652" s="82">
        <f t="shared" si="122"/>
        <v>7452</v>
      </c>
      <c r="W652" s="9">
        <f>VLOOKUP(O652,[1]Feuil2!$A:$M,6,FALSE)</f>
        <v>12</v>
      </c>
      <c r="X652" s="10">
        <f>VLOOKUP(O652,[1]Feuil2!$A:$M,13,FALSE)</f>
        <v>1.7894124999999997E-2</v>
      </c>
      <c r="Y652" s="11">
        <f t="shared" si="117"/>
        <v>1.7894124999999996</v>
      </c>
      <c r="Z652" s="83">
        <f t="shared" si="120"/>
        <v>1.7894124999999996</v>
      </c>
      <c r="AA652" s="66" t="s">
        <v>61</v>
      </c>
      <c r="AB652" s="28" t="s">
        <v>61</v>
      </c>
      <c r="AC652" s="75"/>
      <c r="AD652" s="28" t="s">
        <v>61</v>
      </c>
      <c r="AE652" s="14"/>
      <c r="AF652" s="13"/>
      <c r="AG652" s="22" t="s">
        <v>48</v>
      </c>
      <c r="AH652" s="579" t="s">
        <v>48</v>
      </c>
      <c r="AI652" s="134">
        <v>46142</v>
      </c>
      <c r="AJ652" s="144" t="e">
        <f t="shared" ca="1" si="119"/>
        <v>#NUM!</v>
      </c>
      <c r="AK652" s="85" t="e">
        <f>VLOOKUP(AP652,'[2]CONTENEUR PLEIN'!$F:$L,3,FALSE)</f>
        <v>#N/A</v>
      </c>
      <c r="AL652" s="86" t="e">
        <f>VLOOKUP(AP652,'[2]CONTENEUR PLEIN'!$F:$L,5,FALSE)</f>
        <v>#N/A</v>
      </c>
      <c r="AM652" s="15" t="e">
        <f>VLOOKUP(AP652,'[2]CONTENEUR PLEIN'!$F:$L,7,FALSE)</f>
        <v>#N/A</v>
      </c>
      <c r="AN652" s="368" t="s">
        <v>82</v>
      </c>
      <c r="AO652" s="75"/>
      <c r="AP652" s="75"/>
      <c r="AQ652" s="75"/>
      <c r="AR652" s="75" t="e">
        <f>VLOOKUP(AP652,'[2]CONTENEUR PLEIN'!$F:$L,2,FALSE)</f>
        <v>#N/A</v>
      </c>
      <c r="AS652" s="75"/>
      <c r="AT652" s="84"/>
    </row>
    <row r="653" spans="1:46" s="72" customFormat="1" hidden="1" x14ac:dyDescent="0.25">
      <c r="B653" s="374" t="s">
        <v>45</v>
      </c>
      <c r="C653" s="74">
        <v>46048</v>
      </c>
      <c r="D653" s="75">
        <v>26012</v>
      </c>
      <c r="E653" s="373" t="s">
        <v>875</v>
      </c>
      <c r="F653" s="75">
        <v>2601201635</v>
      </c>
      <c r="G653" s="368" t="s">
        <v>74</v>
      </c>
      <c r="H653" s="368" t="s">
        <v>876</v>
      </c>
      <c r="I653" s="368" t="s">
        <v>49</v>
      </c>
      <c r="J653" s="368" t="s">
        <v>46</v>
      </c>
      <c r="K653" s="368" t="s">
        <v>60</v>
      </c>
      <c r="L653" s="368" t="s">
        <v>47</v>
      </c>
      <c r="M653" s="380" t="e">
        <f t="shared" si="123"/>
        <v>#N/A</v>
      </c>
      <c r="N653" s="423" t="s">
        <v>877</v>
      </c>
      <c r="O653" s="78">
        <v>407400</v>
      </c>
      <c r="P653" s="42" t="str">
        <f>VLOOKUP(O653,[1]Feuil2!$A:$M,5,FALSE)</f>
        <v>M24 ROMANE BOITE TB COLLECTION</v>
      </c>
      <c r="Q653" s="75">
        <v>4800</v>
      </c>
      <c r="R653" s="79">
        <v>3.9420000000000002</v>
      </c>
      <c r="S653" s="80">
        <f t="shared" si="121"/>
        <v>18921.600000000002</v>
      </c>
      <c r="T653" s="81">
        <f t="shared" si="118"/>
        <v>27465.600000000002</v>
      </c>
      <c r="U653" s="139"/>
      <c r="V653" s="82">
        <f t="shared" si="122"/>
        <v>27465.600000000002</v>
      </c>
      <c r="W653" s="9">
        <f>VLOOKUP(O653,[1]Feuil2!$A:$M,6,FALSE)</f>
        <v>6</v>
      </c>
      <c r="X653" s="10">
        <f>VLOOKUP(O653,[1]Feuil2!$A:$M,13,FALSE)</f>
        <v>2.511E-2</v>
      </c>
      <c r="Y653" s="11">
        <f t="shared" si="117"/>
        <v>20.088000000000001</v>
      </c>
      <c r="Z653" s="83">
        <f t="shared" si="120"/>
        <v>30.456000000000003</v>
      </c>
      <c r="AA653" s="66" t="s">
        <v>61</v>
      </c>
      <c r="AB653" s="28" t="s">
        <v>61</v>
      </c>
      <c r="AC653" s="75"/>
      <c r="AD653" s="28" t="s">
        <v>61</v>
      </c>
      <c r="AE653" s="14"/>
      <c r="AF653" s="13"/>
      <c r="AG653" s="13"/>
      <c r="AH653" s="84"/>
      <c r="AI653" s="134">
        <v>46142</v>
      </c>
      <c r="AJ653" s="144" t="e">
        <f t="shared" ca="1" si="119"/>
        <v>#NUM!</v>
      </c>
      <c r="AK653" s="85" t="e">
        <f>VLOOKUP(AP653,'[2]CONTENEUR PLEIN'!$F:$L,3,FALSE)</f>
        <v>#N/A</v>
      </c>
      <c r="AL653" s="86" t="e">
        <f>VLOOKUP(AP653,'[2]CONTENEUR PLEIN'!$F:$L,5,FALSE)</f>
        <v>#N/A</v>
      </c>
      <c r="AM653" s="15" t="e">
        <f>VLOOKUP(AP653,'[2]CONTENEUR PLEIN'!$F:$L,7,FALSE)</f>
        <v>#N/A</v>
      </c>
      <c r="AN653" s="284" t="s">
        <v>63</v>
      </c>
      <c r="AO653" s="75"/>
      <c r="AP653" s="75"/>
      <c r="AQ653" s="75"/>
      <c r="AR653" s="75" t="e">
        <f>VLOOKUP(AP653,'[2]CONTENEUR PLEIN'!$F:$L,2,FALSE)</f>
        <v>#N/A</v>
      </c>
      <c r="AS653" s="75"/>
      <c r="AT653" s="84"/>
    </row>
    <row r="654" spans="1:46" s="72" customFormat="1" hidden="1" x14ac:dyDescent="0.25">
      <c r="B654" s="374" t="s">
        <v>45</v>
      </c>
      <c r="C654" s="74">
        <v>46048</v>
      </c>
      <c r="D654" s="75">
        <v>26012</v>
      </c>
      <c r="E654" s="373" t="s">
        <v>875</v>
      </c>
      <c r="F654" s="75">
        <v>2601201635</v>
      </c>
      <c r="G654" s="368" t="s">
        <v>74</v>
      </c>
      <c r="H654" s="368" t="s">
        <v>876</v>
      </c>
      <c r="I654" s="368" t="s">
        <v>49</v>
      </c>
      <c r="J654" s="368" t="s">
        <v>46</v>
      </c>
      <c r="K654" s="368" t="s">
        <v>60</v>
      </c>
      <c r="L654" s="368" t="s">
        <v>47</v>
      </c>
      <c r="M654" s="380" t="e">
        <f t="shared" si="123"/>
        <v>#N/A</v>
      </c>
      <c r="N654" s="423" t="s">
        <v>877</v>
      </c>
      <c r="O654" s="78">
        <v>31260023</v>
      </c>
      <c r="P654" s="42" t="str">
        <f>VLOOKUP(O654,[1]Feuil2!$A:$M,5,FALSE)</f>
        <v>M16 COTTAGE IVOIRE P1013 BOITE TB COLLECTION</v>
      </c>
      <c r="Q654" s="75">
        <v>2400</v>
      </c>
      <c r="R654" s="79">
        <v>3.56</v>
      </c>
      <c r="S654" s="80">
        <f t="shared" si="121"/>
        <v>8544</v>
      </c>
      <c r="T654" s="81">
        <f t="shared" si="118"/>
        <v>27465.600000000002</v>
      </c>
      <c r="U654" s="139"/>
      <c r="V654" s="82">
        <f t="shared" si="122"/>
        <v>27465.600000000002</v>
      </c>
      <c r="W654" s="9">
        <f>VLOOKUP(O654,[1]Feuil2!$A:$M,6,FALSE)</f>
        <v>6</v>
      </c>
      <c r="X654" s="10">
        <f>VLOOKUP(O654,[1]Feuil2!$A:$M,13,FALSE)</f>
        <v>2.5920000000000002E-2</v>
      </c>
      <c r="Y654" s="11">
        <f t="shared" si="117"/>
        <v>10.368</v>
      </c>
      <c r="Z654" s="83">
        <f t="shared" si="120"/>
        <v>30.456000000000003</v>
      </c>
      <c r="AA654" s="66" t="s">
        <v>61</v>
      </c>
      <c r="AB654" s="28" t="s">
        <v>61</v>
      </c>
      <c r="AC654" s="75"/>
      <c r="AD654" s="28" t="s">
        <v>61</v>
      </c>
      <c r="AE654" s="14"/>
      <c r="AF654" s="13"/>
      <c r="AG654" s="13"/>
      <c r="AH654" s="84"/>
      <c r="AI654" s="134">
        <v>46142</v>
      </c>
      <c r="AJ654" s="144" t="e">
        <f t="shared" ca="1" si="119"/>
        <v>#NUM!</v>
      </c>
      <c r="AK654" s="85" t="e">
        <f>VLOOKUP(AP654,'[2]CONTENEUR PLEIN'!$F:$L,3,FALSE)</f>
        <v>#N/A</v>
      </c>
      <c r="AL654" s="86" t="e">
        <f>VLOOKUP(AP654,'[2]CONTENEUR PLEIN'!$F:$L,5,FALSE)</f>
        <v>#N/A</v>
      </c>
      <c r="AM654" s="15" t="e">
        <f>VLOOKUP(AP654,'[2]CONTENEUR PLEIN'!$F:$L,7,FALSE)</f>
        <v>#N/A</v>
      </c>
      <c r="AN654" s="284" t="s">
        <v>63</v>
      </c>
      <c r="AO654" s="75"/>
      <c r="AP654" s="75"/>
      <c r="AQ654" s="75"/>
      <c r="AR654" s="75" t="e">
        <f>VLOOKUP(AP654,'[2]CONTENEUR PLEIN'!$F:$L,2,FALSE)</f>
        <v>#N/A</v>
      </c>
      <c r="AS654" s="75"/>
      <c r="AT654" s="84"/>
    </row>
    <row r="655" spans="1:46" s="72" customFormat="1" hidden="1" x14ac:dyDescent="0.25">
      <c r="B655" s="365" t="s">
        <v>45</v>
      </c>
      <c r="C655" s="74">
        <v>46058</v>
      </c>
      <c r="D655" s="75">
        <v>26015</v>
      </c>
      <c r="E655" s="366" t="s">
        <v>866</v>
      </c>
      <c r="F655" s="75">
        <v>2601221418</v>
      </c>
      <c r="G655" s="367" t="s">
        <v>867</v>
      </c>
      <c r="H655" s="367" t="s">
        <v>829</v>
      </c>
      <c r="I655" s="335" t="s">
        <v>49</v>
      </c>
      <c r="J655" s="367" t="s">
        <v>50</v>
      </c>
      <c r="K655" s="364" t="s">
        <v>60</v>
      </c>
      <c r="L655" s="335" t="s">
        <v>47</v>
      </c>
      <c r="M655" s="380" t="e">
        <f t="shared" si="123"/>
        <v>#N/A</v>
      </c>
      <c r="N655" s="282" t="s">
        <v>62</v>
      </c>
      <c r="O655" s="78">
        <v>430570</v>
      </c>
      <c r="P655" s="42" t="str">
        <f>VLOOKUP(O655,[1]Feuil2!$A:$M,5,FALSE)</f>
        <v>LAG FERMANT LAME 10CM BOIS COUL ASSORTIES</v>
      </c>
      <c r="Q655" s="75">
        <v>5364</v>
      </c>
      <c r="R655" s="79">
        <v>4.5839999999999996</v>
      </c>
      <c r="S655" s="80">
        <f t="shared" si="121"/>
        <v>24588.575999999997</v>
      </c>
      <c r="T655" s="81">
        <f t="shared" si="118"/>
        <v>28470.815999999999</v>
      </c>
      <c r="U655" s="139"/>
      <c r="V655" s="82">
        <f t="shared" si="122"/>
        <v>28470.815999999999</v>
      </c>
      <c r="W655" s="9">
        <f>VLOOKUP(O655,[1]Feuil2!$A:$M,6,FALSE)</f>
        <v>36</v>
      </c>
      <c r="X655" s="10">
        <f>VLOOKUP(O655,[1]Feuil2!$A:$M,13,FALSE)</f>
        <v>3.1536000000000002E-2</v>
      </c>
      <c r="Y655" s="11">
        <f t="shared" si="117"/>
        <v>4.6988640000000004</v>
      </c>
      <c r="Z655" s="83">
        <f t="shared" si="120"/>
        <v>5.859864</v>
      </c>
      <c r="AA655" s="66" t="s">
        <v>61</v>
      </c>
      <c r="AB655" s="28" t="s">
        <v>61</v>
      </c>
      <c r="AC655" s="75"/>
      <c r="AD655" s="28" t="s">
        <v>61</v>
      </c>
      <c r="AE655" s="14"/>
      <c r="AF655" s="13"/>
      <c r="AG655" s="13"/>
      <c r="AH655" s="84"/>
      <c r="AI655" s="134">
        <v>46157</v>
      </c>
      <c r="AJ655" s="144" t="e">
        <f t="shared" ref="AJ655:AJ748" ca="1" si="124">DATEDIF(AI655,$AJ$1,"D")</f>
        <v>#NUM!</v>
      </c>
      <c r="AK655" s="85" t="e">
        <f>VLOOKUP(AP655,'[2]CONTENEUR PLEIN'!$F:$L,3,FALSE)</f>
        <v>#N/A</v>
      </c>
      <c r="AL655" s="86" t="e">
        <f>VLOOKUP(AP655,'[2]CONTENEUR PLEIN'!$F:$L,5,FALSE)</f>
        <v>#N/A</v>
      </c>
      <c r="AM655" s="15" t="e">
        <f>VLOOKUP(AP655,'[2]CONTENEUR PLEIN'!$F:$L,7,FALSE)</f>
        <v>#N/A</v>
      </c>
      <c r="AN655" s="284" t="s">
        <v>63</v>
      </c>
      <c r="AO655" s="75"/>
      <c r="AP655" s="75"/>
      <c r="AQ655" s="75"/>
      <c r="AR655" s="75" t="e">
        <f>VLOOKUP(AP655,'[2]CONTENEUR PLEIN'!$F:$L,2,FALSE)</f>
        <v>#N/A</v>
      </c>
      <c r="AS655" s="75"/>
      <c r="AT655" s="84"/>
    </row>
    <row r="656" spans="1:46" s="72" customFormat="1" hidden="1" x14ac:dyDescent="0.25">
      <c r="B656" s="365" t="s">
        <v>45</v>
      </c>
      <c r="C656" s="74">
        <v>46058</v>
      </c>
      <c r="D656" s="75">
        <v>26015</v>
      </c>
      <c r="E656" s="366" t="s">
        <v>866</v>
      </c>
      <c r="F656" s="75">
        <v>2601221418</v>
      </c>
      <c r="G656" s="367" t="s">
        <v>867</v>
      </c>
      <c r="H656" s="367" t="s">
        <v>829</v>
      </c>
      <c r="I656" s="335" t="s">
        <v>49</v>
      </c>
      <c r="J656" s="367" t="s">
        <v>50</v>
      </c>
      <c r="K656" s="364" t="s">
        <v>60</v>
      </c>
      <c r="L656" s="335" t="s">
        <v>47</v>
      </c>
      <c r="M656" s="380" t="e">
        <f t="shared" si="123"/>
        <v>#N/A</v>
      </c>
      <c r="N656" s="77" t="s">
        <v>49</v>
      </c>
      <c r="O656" s="78">
        <v>10050013</v>
      </c>
      <c r="P656" s="42" t="str">
        <f>VLOOKUP(O656,[1]Feuil2!$A:$M,5,FALSE)</f>
        <v>HUITRE HERITAGE SENS LASURE COULEUR PANACHE +GENCOD</v>
      </c>
      <c r="Q656" s="75">
        <v>5760</v>
      </c>
      <c r="R656" s="79">
        <v>0.67400000000000004</v>
      </c>
      <c r="S656" s="80">
        <f t="shared" si="121"/>
        <v>3882.2400000000002</v>
      </c>
      <c r="T656" s="81">
        <f t="shared" si="118"/>
        <v>28470.815999999999</v>
      </c>
      <c r="U656" s="139"/>
      <c r="V656" s="82">
        <f t="shared" si="122"/>
        <v>28470.815999999999</v>
      </c>
      <c r="W656" s="9">
        <f>VLOOKUP(O656,[1]Feuil2!$A:$M,6,FALSE)</f>
        <v>144</v>
      </c>
      <c r="X656" s="10">
        <f>VLOOKUP(O656,[1]Feuil2!$A:$M,13,FALSE)</f>
        <v>2.9024999999999999E-2</v>
      </c>
      <c r="Y656" s="11">
        <f t="shared" si="117"/>
        <v>1.161</v>
      </c>
      <c r="Z656" s="83">
        <f t="shared" si="120"/>
        <v>5.859864</v>
      </c>
      <c r="AA656" s="66" t="s">
        <v>61</v>
      </c>
      <c r="AB656" s="28" t="s">
        <v>61</v>
      </c>
      <c r="AC656" s="75"/>
      <c r="AD656" s="28" t="s">
        <v>61</v>
      </c>
      <c r="AE656" s="14"/>
      <c r="AF656" s="13"/>
      <c r="AG656" s="13"/>
      <c r="AH656" s="84"/>
      <c r="AI656" s="134">
        <v>46157</v>
      </c>
      <c r="AJ656" s="144" t="e">
        <f t="shared" ca="1" si="124"/>
        <v>#NUM!</v>
      </c>
      <c r="AK656" s="85" t="e">
        <f>VLOOKUP(AP656,'[2]CONTENEUR PLEIN'!$F:$L,3,FALSE)</f>
        <v>#N/A</v>
      </c>
      <c r="AL656" s="86" t="e">
        <f>VLOOKUP(AP656,'[2]CONTENEUR PLEIN'!$F:$L,5,FALSE)</f>
        <v>#N/A</v>
      </c>
      <c r="AM656" s="15" t="e">
        <f>VLOOKUP(AP656,'[2]CONTENEUR PLEIN'!$F:$L,7,FALSE)</f>
        <v>#N/A</v>
      </c>
      <c r="AN656" s="284" t="s">
        <v>63</v>
      </c>
      <c r="AO656" s="75"/>
      <c r="AP656" s="75"/>
      <c r="AQ656" s="75"/>
      <c r="AR656" s="75" t="e">
        <f>VLOOKUP(AP656,'[2]CONTENEUR PLEIN'!$F:$L,2,FALSE)</f>
        <v>#N/A</v>
      </c>
      <c r="AS656" s="75"/>
      <c r="AT656" s="84"/>
    </row>
    <row r="657" spans="1:46" s="72" customFormat="1" hidden="1" x14ac:dyDescent="0.25">
      <c r="A657" s="71"/>
      <c r="B657" s="420" t="s">
        <v>45</v>
      </c>
      <c r="C657" s="74">
        <v>46050</v>
      </c>
      <c r="D657" s="75">
        <v>26014</v>
      </c>
      <c r="E657" s="422" t="s">
        <v>894</v>
      </c>
      <c r="F657" s="127">
        <v>2601261204</v>
      </c>
      <c r="G657" s="421" t="s">
        <v>867</v>
      </c>
      <c r="H657" s="421" t="s">
        <v>895</v>
      </c>
      <c r="I657" s="421" t="s">
        <v>49</v>
      </c>
      <c r="J657" s="296" t="s">
        <v>896</v>
      </c>
      <c r="K657" s="421" t="s">
        <v>60</v>
      </c>
      <c r="L657" s="335" t="s">
        <v>47</v>
      </c>
      <c r="M657" s="380" t="e">
        <f t="shared" si="123"/>
        <v>#N/A</v>
      </c>
      <c r="N657" s="282" t="s">
        <v>62</v>
      </c>
      <c r="O657" s="78">
        <v>40020037</v>
      </c>
      <c r="P657" s="42" t="str">
        <f>VLOOKUP(O657,[1]Feuil2!$A:$M,5,FALSE)</f>
        <v>COFFRET LAGUIOLE HERITAGE FOIE GRAS 2P ACIDULE ROUGE</v>
      </c>
      <c r="Q657" s="75">
        <v>2400</v>
      </c>
      <c r="R657" s="79">
        <v>1.79</v>
      </c>
      <c r="S657" s="80">
        <f t="shared" si="121"/>
        <v>4296</v>
      </c>
      <c r="T657" s="81">
        <f t="shared" si="118"/>
        <v>15574.8</v>
      </c>
      <c r="U657" s="139"/>
      <c r="V657" s="82">
        <f t="shared" si="122"/>
        <v>15574.8</v>
      </c>
      <c r="W657" s="9">
        <f>VLOOKUP(O657,[1]Feuil2!$A:$M,6,FALSE)</f>
        <v>6</v>
      </c>
      <c r="X657" s="10">
        <f>VLOOKUP(O657,[1]Feuil2!$A:$M,13,FALSE)</f>
        <v>9.0720000000000002E-3</v>
      </c>
      <c r="Y657" s="11">
        <f t="shared" si="117"/>
        <v>3.6288</v>
      </c>
      <c r="Z657" s="83">
        <f t="shared" si="120"/>
        <v>10.695078000000001</v>
      </c>
      <c r="AA657" s="66" t="s">
        <v>61</v>
      </c>
      <c r="AB657" s="28" t="s">
        <v>61</v>
      </c>
      <c r="AC657" s="75"/>
      <c r="AD657" s="28" t="s">
        <v>61</v>
      </c>
      <c r="AE657" s="22"/>
      <c r="AF657" s="22"/>
      <c r="AG657" s="22"/>
      <c r="AH657" s="70"/>
      <c r="AI657" s="134">
        <v>46157</v>
      </c>
      <c r="AJ657" s="144" t="e">
        <f t="shared" ca="1" si="124"/>
        <v>#NUM!</v>
      </c>
      <c r="AK657" s="85" t="e">
        <f>VLOOKUP(AP657,'[2]CONTENEUR PLEIN'!$F:$L,3,FALSE)</f>
        <v>#N/A</v>
      </c>
      <c r="AL657" s="86" t="e">
        <f>VLOOKUP(AP657,'[2]CONTENEUR PLEIN'!$F:$L,5,FALSE)</f>
        <v>#N/A</v>
      </c>
      <c r="AM657" s="15" t="e">
        <f>VLOOKUP(AP657,'[2]CONTENEUR PLEIN'!$F:$L,7,FALSE)</f>
        <v>#N/A</v>
      </c>
      <c r="AN657" s="284" t="s">
        <v>63</v>
      </c>
      <c r="AO657" s="75"/>
      <c r="AP657" s="75"/>
      <c r="AQ657" s="75"/>
      <c r="AR657" s="75" t="e">
        <f>VLOOKUP(AP657,'[2]CONTENEUR PLEIN'!$F:$L,2,FALSE)</f>
        <v>#N/A</v>
      </c>
      <c r="AS657" s="75"/>
      <c r="AT657" s="84"/>
    </row>
    <row r="658" spans="1:46" s="72" customFormat="1" hidden="1" x14ac:dyDescent="0.25">
      <c r="B658" s="420" t="s">
        <v>45</v>
      </c>
      <c r="C658" s="74">
        <v>46050</v>
      </c>
      <c r="D658" s="75">
        <v>26014</v>
      </c>
      <c r="E658" s="422" t="s">
        <v>894</v>
      </c>
      <c r="F658" s="127">
        <v>2601261204</v>
      </c>
      <c r="G658" s="421" t="s">
        <v>867</v>
      </c>
      <c r="H658" s="421" t="s">
        <v>895</v>
      </c>
      <c r="I658" s="421" t="s">
        <v>49</v>
      </c>
      <c r="J658" s="296" t="s">
        <v>896</v>
      </c>
      <c r="K658" s="421" t="s">
        <v>60</v>
      </c>
      <c r="L658" s="335" t="s">
        <v>47</v>
      </c>
      <c r="M658" s="380" t="e">
        <f t="shared" si="123"/>
        <v>#N/A</v>
      </c>
      <c r="N658" s="282" t="s">
        <v>62</v>
      </c>
      <c r="O658" s="78">
        <v>10050033</v>
      </c>
      <c r="P658" s="42" t="str">
        <f>VLOOKUP(O658,[1]Feuil2!$A:$M,5,FALSE)</f>
        <v>COFFRET LAGUIOLE HERITAGE FROMAGE 3P SENS BOIS D'OLIVIER</v>
      </c>
      <c r="Q658" s="75">
        <v>1602</v>
      </c>
      <c r="R658" s="79">
        <v>3</v>
      </c>
      <c r="S658" s="80">
        <f t="shared" si="121"/>
        <v>4806</v>
      </c>
      <c r="T658" s="81">
        <f t="shared" si="118"/>
        <v>15574.8</v>
      </c>
      <c r="U658" s="139"/>
      <c r="V658" s="82">
        <f t="shared" si="122"/>
        <v>15574.8</v>
      </c>
      <c r="W658" s="9">
        <f>VLOOKUP(O658,[1]Feuil2!$A:$M,6,FALSE)</f>
        <v>6</v>
      </c>
      <c r="X658" s="10">
        <f>VLOOKUP(O658,[1]Feuil2!$A:$M,13,FALSE)</f>
        <v>9.2340000000000009E-3</v>
      </c>
      <c r="Y658" s="11">
        <f t="shared" si="117"/>
        <v>2.4654780000000001</v>
      </c>
      <c r="Z658" s="83">
        <f t="shared" si="120"/>
        <v>10.695078000000001</v>
      </c>
      <c r="AA658" s="66" t="s">
        <v>61</v>
      </c>
      <c r="AB658" s="28" t="s">
        <v>61</v>
      </c>
      <c r="AC658" s="75"/>
      <c r="AD658" s="28" t="s">
        <v>61</v>
      </c>
      <c r="AE658" s="14"/>
      <c r="AF658" s="13"/>
      <c r="AG658" s="13"/>
      <c r="AH658" s="84"/>
      <c r="AI658" s="134">
        <v>46157</v>
      </c>
      <c r="AJ658" s="144" t="e">
        <f t="shared" ca="1" si="124"/>
        <v>#NUM!</v>
      </c>
      <c r="AK658" s="85" t="e">
        <f>VLOOKUP(AP658,'[2]CONTENEUR PLEIN'!$F:$L,3,FALSE)</f>
        <v>#N/A</v>
      </c>
      <c r="AL658" s="86" t="e">
        <f>VLOOKUP(AP658,'[2]CONTENEUR PLEIN'!$F:$L,5,FALSE)</f>
        <v>#N/A</v>
      </c>
      <c r="AM658" s="15" t="e">
        <f>VLOOKUP(AP658,'[2]CONTENEUR PLEIN'!$F:$L,7,FALSE)</f>
        <v>#N/A</v>
      </c>
      <c r="AN658" s="284" t="s">
        <v>63</v>
      </c>
      <c r="AO658" s="75"/>
      <c r="AP658" s="75"/>
      <c r="AQ658" s="75"/>
      <c r="AR658" s="75" t="e">
        <f>VLOOKUP(AP658,'[2]CONTENEUR PLEIN'!$F:$L,2,FALSE)</f>
        <v>#N/A</v>
      </c>
      <c r="AS658" s="75"/>
      <c r="AT658" s="84"/>
    </row>
    <row r="659" spans="1:46" s="72" customFormat="1" hidden="1" x14ac:dyDescent="0.25">
      <c r="B659" s="420" t="s">
        <v>45</v>
      </c>
      <c r="C659" s="74">
        <v>46050</v>
      </c>
      <c r="D659" s="75">
        <v>26014</v>
      </c>
      <c r="E659" s="422" t="s">
        <v>894</v>
      </c>
      <c r="F659" s="127">
        <v>2601261204</v>
      </c>
      <c r="G659" s="421" t="s">
        <v>867</v>
      </c>
      <c r="H659" s="421" t="s">
        <v>895</v>
      </c>
      <c r="I659" s="421" t="s">
        <v>49</v>
      </c>
      <c r="J659" s="296" t="s">
        <v>896</v>
      </c>
      <c r="K659" s="421" t="s">
        <v>60</v>
      </c>
      <c r="L659" s="335" t="s">
        <v>47</v>
      </c>
      <c r="M659" s="380" t="e">
        <f t="shared" si="123"/>
        <v>#N/A</v>
      </c>
      <c r="N659" s="282" t="s">
        <v>62</v>
      </c>
      <c r="O659" s="78">
        <v>10020127</v>
      </c>
      <c r="P659" s="42" t="str">
        <f>VLOOKUP(O659,[1]Feuil2!$A:$M,5,FALSE)</f>
        <v>COFFRET LAGUIOLE HERITAGE FROMAGE 3P ACIDULE ROUGE</v>
      </c>
      <c r="Q659" s="75">
        <v>2400</v>
      </c>
      <c r="R659" s="79">
        <v>2.0870000000000002</v>
      </c>
      <c r="S659" s="80">
        <f t="shared" si="121"/>
        <v>5008.8</v>
      </c>
      <c r="T659" s="81">
        <f t="shared" si="118"/>
        <v>15574.8</v>
      </c>
      <c r="U659" s="139"/>
      <c r="V659" s="82">
        <f t="shared" si="122"/>
        <v>15574.8</v>
      </c>
      <c r="W659" s="9">
        <f>VLOOKUP(O659,[1]Feuil2!$A:$M,6,FALSE)</f>
        <v>6</v>
      </c>
      <c r="X659" s="10">
        <f>VLOOKUP(O659,[1]Feuil2!$A:$M,13,FALSE)</f>
        <v>9.2340000000000009E-3</v>
      </c>
      <c r="Y659" s="11">
        <f t="shared" si="117"/>
        <v>3.6936000000000004</v>
      </c>
      <c r="Z659" s="83">
        <f t="shared" si="120"/>
        <v>10.695078000000001</v>
      </c>
      <c r="AA659" s="66" t="s">
        <v>61</v>
      </c>
      <c r="AB659" s="66" t="s">
        <v>61</v>
      </c>
      <c r="AC659" s="75"/>
      <c r="AD659" s="28" t="s">
        <v>61</v>
      </c>
      <c r="AE659" s="14"/>
      <c r="AF659" s="13"/>
      <c r="AG659" s="13"/>
      <c r="AH659" s="84"/>
      <c r="AI659" s="134">
        <v>46157</v>
      </c>
      <c r="AJ659" s="144" t="e">
        <f t="shared" ca="1" si="124"/>
        <v>#NUM!</v>
      </c>
      <c r="AK659" s="85" t="e">
        <f>VLOOKUP(AP659,'[2]CONTENEUR PLEIN'!$F:$L,3,FALSE)</f>
        <v>#N/A</v>
      </c>
      <c r="AL659" s="86" t="e">
        <f>VLOOKUP(AP659,'[2]CONTENEUR PLEIN'!$F:$L,5,FALSE)</f>
        <v>#N/A</v>
      </c>
      <c r="AM659" s="15" t="e">
        <f>VLOOKUP(AP659,'[2]CONTENEUR PLEIN'!$F:$L,7,FALSE)</f>
        <v>#N/A</v>
      </c>
      <c r="AN659" s="284" t="s">
        <v>63</v>
      </c>
      <c r="AO659" s="75"/>
      <c r="AP659" s="75"/>
      <c r="AQ659" s="75"/>
      <c r="AR659" s="75" t="e">
        <f>VLOOKUP(AP659,'[2]CONTENEUR PLEIN'!$F:$L,2,FALSE)</f>
        <v>#N/A</v>
      </c>
      <c r="AS659" s="75"/>
      <c r="AT659" s="84"/>
    </row>
    <row r="660" spans="1:46" s="72" customFormat="1" hidden="1" x14ac:dyDescent="0.25">
      <c r="B660" s="420" t="s">
        <v>45</v>
      </c>
      <c r="C660" s="74">
        <v>46050</v>
      </c>
      <c r="D660" s="75">
        <v>26014</v>
      </c>
      <c r="E660" s="422" t="s">
        <v>894</v>
      </c>
      <c r="F660" s="127">
        <v>2601261204</v>
      </c>
      <c r="G660" s="421" t="s">
        <v>867</v>
      </c>
      <c r="H660" s="421" t="s">
        <v>895</v>
      </c>
      <c r="I660" s="421" t="s">
        <v>49</v>
      </c>
      <c r="J660" s="296" t="s">
        <v>896</v>
      </c>
      <c r="K660" s="421" t="s">
        <v>60</v>
      </c>
      <c r="L660" s="335" t="s">
        <v>47</v>
      </c>
      <c r="M660" s="380" t="e">
        <f t="shared" si="123"/>
        <v>#N/A</v>
      </c>
      <c r="N660" s="282" t="s">
        <v>62</v>
      </c>
      <c r="O660" s="78">
        <v>40050010</v>
      </c>
      <c r="P660" s="42" t="str">
        <f>VLOOKUP(O660,[1]Feuil2!$A:$M,5,FALSE)</f>
        <v>COFFRET LAGUIOLE HERITAGE FOIE GRAS 2P SENS BOIS D'OLIVIER</v>
      </c>
      <c r="Q660" s="75">
        <v>600</v>
      </c>
      <c r="R660" s="79">
        <v>2.44</v>
      </c>
      <c r="S660" s="80">
        <f t="shared" si="121"/>
        <v>1464</v>
      </c>
      <c r="T660" s="81">
        <f t="shared" si="118"/>
        <v>15574.8</v>
      </c>
      <c r="U660" s="139"/>
      <c r="V660" s="82">
        <f t="shared" si="122"/>
        <v>15574.8</v>
      </c>
      <c r="W660" s="9">
        <f>VLOOKUP(O660,[1]Feuil2!$A:$M,6,FALSE)</f>
        <v>6</v>
      </c>
      <c r="X660" s="10">
        <f>VLOOKUP(O660,[1]Feuil2!$A:$M,13,FALSE)</f>
        <v>9.0720000000000002E-3</v>
      </c>
      <c r="Y660" s="11">
        <f t="shared" ref="Y660:Y672" si="125">(Q660/W660)*X660</f>
        <v>0.90720000000000001</v>
      </c>
      <c r="Z660" s="83">
        <f t="shared" si="120"/>
        <v>10.695078000000001</v>
      </c>
      <c r="AA660" s="66" t="s">
        <v>61</v>
      </c>
      <c r="AB660" s="66" t="s">
        <v>61</v>
      </c>
      <c r="AC660" s="75"/>
      <c r="AD660" s="28" t="s">
        <v>61</v>
      </c>
      <c r="AE660" s="14"/>
      <c r="AF660" s="13"/>
      <c r="AG660" s="13"/>
      <c r="AH660" s="84"/>
      <c r="AI660" s="134">
        <v>46157</v>
      </c>
      <c r="AJ660" s="144" t="e">
        <f t="shared" ca="1" si="124"/>
        <v>#NUM!</v>
      </c>
      <c r="AK660" s="85" t="e">
        <f>VLOOKUP(AP660,'[2]CONTENEUR PLEIN'!$F:$L,3,FALSE)</f>
        <v>#N/A</v>
      </c>
      <c r="AL660" s="86" t="e">
        <f>VLOOKUP(AP660,'[2]CONTENEUR PLEIN'!$F:$L,5,FALSE)</f>
        <v>#N/A</v>
      </c>
      <c r="AM660" s="15" t="e">
        <f>VLOOKUP(AP660,'[2]CONTENEUR PLEIN'!$F:$L,7,FALSE)</f>
        <v>#N/A</v>
      </c>
      <c r="AN660" s="284" t="s">
        <v>63</v>
      </c>
      <c r="AO660" s="75"/>
      <c r="AP660" s="75"/>
      <c r="AQ660" s="75"/>
      <c r="AR660" s="75" t="e">
        <f>VLOOKUP(AP660,'[2]CONTENEUR PLEIN'!$F:$L,2,FALSE)</f>
        <v>#N/A</v>
      </c>
      <c r="AS660" s="75"/>
      <c r="AT660" s="84"/>
    </row>
    <row r="661" spans="1:46" s="72" customFormat="1" hidden="1" x14ac:dyDescent="0.25">
      <c r="B661" s="522" t="s">
        <v>45</v>
      </c>
      <c r="C661" s="74">
        <v>46080</v>
      </c>
      <c r="D661" s="75">
        <v>26021</v>
      </c>
      <c r="E661" s="523" t="s">
        <v>1003</v>
      </c>
      <c r="F661" s="75">
        <v>2602160916</v>
      </c>
      <c r="G661" s="520" t="s">
        <v>303</v>
      </c>
      <c r="H661" s="520" t="s">
        <v>1004</v>
      </c>
      <c r="I661" s="520" t="s">
        <v>49</v>
      </c>
      <c r="J661" s="520" t="s">
        <v>46</v>
      </c>
      <c r="K661" s="520" t="s">
        <v>60</v>
      </c>
      <c r="L661" s="520" t="s">
        <v>47</v>
      </c>
      <c r="M661" s="380" t="e">
        <f t="shared" si="123"/>
        <v>#N/A</v>
      </c>
      <c r="N661" s="77" t="s">
        <v>49</v>
      </c>
      <c r="O661" s="78">
        <v>21300002</v>
      </c>
      <c r="P661" s="42" t="str">
        <f>VLOOKUP(O661,[1]Feuil2!$A:$M,5,FALSE)</f>
        <v>COUTEAU EMPREINTE + GENCOD</v>
      </c>
      <c r="Q661" s="75">
        <v>4200</v>
      </c>
      <c r="R661" s="79">
        <v>0.38900000000000001</v>
      </c>
      <c r="S661" s="80">
        <f t="shared" si="121"/>
        <v>1633.8</v>
      </c>
      <c r="T661" s="81">
        <f t="shared" si="118"/>
        <v>26255.939999999995</v>
      </c>
      <c r="U661" s="139"/>
      <c r="V661" s="82">
        <f t="shared" si="122"/>
        <v>26255.939999999995</v>
      </c>
      <c r="W661" s="9">
        <f>VLOOKUP(O661,[1]Feuil2!$A:$M,6,FALSE)</f>
        <v>120</v>
      </c>
      <c r="X661" s="10">
        <f>VLOOKUP(O661,[1]Feuil2!$A:$M,13,FALSE)</f>
        <v>1.4726250000000001E-2</v>
      </c>
      <c r="Y661" s="11">
        <f t="shared" si="125"/>
        <v>0.51541875000000004</v>
      </c>
      <c r="Z661" s="83">
        <f t="shared" si="120"/>
        <v>6.7198263749999994</v>
      </c>
      <c r="AA661" s="66" t="s">
        <v>61</v>
      </c>
      <c r="AB661" s="66" t="s">
        <v>61</v>
      </c>
      <c r="AC661" s="75"/>
      <c r="AD661" s="28" t="s">
        <v>61</v>
      </c>
      <c r="AE661" s="14"/>
      <c r="AF661" s="13"/>
      <c r="AG661" s="13"/>
      <c r="AH661" s="84"/>
      <c r="AI661" s="134">
        <v>46219</v>
      </c>
      <c r="AJ661" s="144" t="e">
        <f t="shared" ca="1" si="124"/>
        <v>#NUM!</v>
      </c>
      <c r="AK661" s="85" t="e">
        <f>VLOOKUP(AP661,'[2]CONTENEUR PLEIN'!$F:$L,3,FALSE)</f>
        <v>#N/A</v>
      </c>
      <c r="AL661" s="86" t="e">
        <f>VLOOKUP(AP661,'[2]CONTENEUR PLEIN'!$F:$L,5,FALSE)</f>
        <v>#N/A</v>
      </c>
      <c r="AM661" s="15" t="e">
        <f>VLOOKUP(AP661,'[2]CONTENEUR PLEIN'!$F:$L,7,FALSE)</f>
        <v>#N/A</v>
      </c>
      <c r="AN661" s="284" t="s">
        <v>63</v>
      </c>
      <c r="AO661" s="75"/>
      <c r="AP661" s="75"/>
      <c r="AQ661" s="75"/>
      <c r="AR661" s="75" t="e">
        <f>VLOOKUP(AP661,'[2]CONTENEUR PLEIN'!$F:$L,2,FALSE)</f>
        <v>#N/A</v>
      </c>
      <c r="AS661" s="75"/>
      <c r="AT661" s="84"/>
    </row>
    <row r="662" spans="1:46" s="72" customFormat="1" hidden="1" x14ac:dyDescent="0.25">
      <c r="B662" s="522" t="s">
        <v>45</v>
      </c>
      <c r="C662" s="74">
        <v>46080</v>
      </c>
      <c r="D662" s="75">
        <v>26021</v>
      </c>
      <c r="E662" s="523" t="s">
        <v>1003</v>
      </c>
      <c r="F662" s="75">
        <v>2602160916</v>
      </c>
      <c r="G662" s="520" t="s">
        <v>303</v>
      </c>
      <c r="H662" s="520" t="s">
        <v>1004</v>
      </c>
      <c r="I662" s="520" t="s">
        <v>49</v>
      </c>
      <c r="J662" s="520" t="s">
        <v>46</v>
      </c>
      <c r="K662" s="520" t="s">
        <v>60</v>
      </c>
      <c r="L662" s="520" t="s">
        <v>47</v>
      </c>
      <c r="M662" s="380" t="e">
        <f t="shared" si="123"/>
        <v>#N/A</v>
      </c>
      <c r="N662" s="77" t="s">
        <v>49</v>
      </c>
      <c r="O662" s="78">
        <v>21300004</v>
      </c>
      <c r="P662" s="42" t="str">
        <f>VLOOKUP(O662,[1]Feuil2!$A:$M,5,FALSE)</f>
        <v>CUILLERE EMPREINTE + GENCOD</v>
      </c>
      <c r="Q662" s="75">
        <v>3600</v>
      </c>
      <c r="R662" s="79">
        <v>0.246</v>
      </c>
      <c r="S662" s="80">
        <f t="shared" si="121"/>
        <v>885.6</v>
      </c>
      <c r="T662" s="81">
        <f t="shared" si="118"/>
        <v>26255.939999999995</v>
      </c>
      <c r="U662" s="139"/>
      <c r="V662" s="82">
        <f t="shared" si="122"/>
        <v>26255.939999999995</v>
      </c>
      <c r="W662" s="9">
        <f>VLOOKUP(O662,[1]Feuil2!$A:$M,6,FALSE)</f>
        <v>120</v>
      </c>
      <c r="X662" s="10">
        <f>VLOOKUP(O662,[1]Feuil2!$A:$M,13,FALSE)</f>
        <v>1.4726250000000001E-2</v>
      </c>
      <c r="Y662" s="11">
        <f t="shared" si="125"/>
        <v>0.44178750000000006</v>
      </c>
      <c r="Z662" s="83">
        <f t="shared" si="120"/>
        <v>6.7198263749999994</v>
      </c>
      <c r="AA662" s="66" t="s">
        <v>61</v>
      </c>
      <c r="AB662" s="66" t="s">
        <v>61</v>
      </c>
      <c r="AC662" s="75"/>
      <c r="AD662" s="28" t="s">
        <v>61</v>
      </c>
      <c r="AE662" s="14"/>
      <c r="AF662" s="13"/>
      <c r="AG662" s="13"/>
      <c r="AH662" s="84"/>
      <c r="AI662" s="134">
        <v>46219</v>
      </c>
      <c r="AJ662" s="144" t="e">
        <f t="shared" ca="1" si="124"/>
        <v>#NUM!</v>
      </c>
      <c r="AK662" s="85" t="e">
        <f>VLOOKUP(AP662,'[2]CONTENEUR PLEIN'!$F:$L,3,FALSE)</f>
        <v>#N/A</v>
      </c>
      <c r="AL662" s="86" t="e">
        <f>VLOOKUP(AP662,'[2]CONTENEUR PLEIN'!$F:$L,5,FALSE)</f>
        <v>#N/A</v>
      </c>
      <c r="AM662" s="15" t="e">
        <f>VLOOKUP(AP662,'[2]CONTENEUR PLEIN'!$F:$L,7,FALSE)</f>
        <v>#N/A</v>
      </c>
      <c r="AN662" s="284" t="s">
        <v>63</v>
      </c>
      <c r="AO662" s="75"/>
      <c r="AP662" s="75"/>
      <c r="AQ662" s="75"/>
      <c r="AR662" s="75" t="e">
        <f>VLOOKUP(AP662,'[2]CONTENEUR PLEIN'!$F:$L,2,FALSE)</f>
        <v>#N/A</v>
      </c>
      <c r="AS662" s="75"/>
      <c r="AT662" s="84"/>
    </row>
    <row r="663" spans="1:46" s="72" customFormat="1" hidden="1" x14ac:dyDescent="0.25">
      <c r="B663" s="522" t="s">
        <v>45</v>
      </c>
      <c r="C663" s="74">
        <v>46080</v>
      </c>
      <c r="D663" s="75">
        <v>26021</v>
      </c>
      <c r="E663" s="523" t="s">
        <v>1003</v>
      </c>
      <c r="F663" s="75">
        <v>2602160916</v>
      </c>
      <c r="G663" s="520" t="s">
        <v>303</v>
      </c>
      <c r="H663" s="520" t="s">
        <v>1004</v>
      </c>
      <c r="I663" s="520" t="s">
        <v>49</v>
      </c>
      <c r="J663" s="520" t="s">
        <v>46</v>
      </c>
      <c r="K663" s="520" t="s">
        <v>60</v>
      </c>
      <c r="L663" s="520" t="s">
        <v>47</v>
      </c>
      <c r="M663" s="380" t="e">
        <f t="shared" si="123"/>
        <v>#N/A</v>
      </c>
      <c r="N663" s="77" t="s">
        <v>49</v>
      </c>
      <c r="O663" s="78">
        <v>21810005</v>
      </c>
      <c r="P663" s="42" t="str">
        <f>VLOOKUP(O663,[1]Feuil2!$A:$M,5,FALSE)</f>
        <v>CAFE FACETTE VRAC + GENCOD</v>
      </c>
      <c r="Q663" s="75">
        <v>8160</v>
      </c>
      <c r="R663" s="79">
        <v>0.17199999999999999</v>
      </c>
      <c r="S663" s="80">
        <f t="shared" si="121"/>
        <v>1403.52</v>
      </c>
      <c r="T663" s="81">
        <f t="shared" si="118"/>
        <v>26255.939999999995</v>
      </c>
      <c r="U663" s="139"/>
      <c r="V663" s="82">
        <f t="shared" si="122"/>
        <v>26255.939999999995</v>
      </c>
      <c r="W663" s="9">
        <f>VLOOKUP(O663,[1]Feuil2!$A:$M,6,FALSE)</f>
        <v>240</v>
      </c>
      <c r="X663" s="10">
        <f>VLOOKUP(O663,[1]Feuil2!$A:$M,13,FALSE)</f>
        <v>2.0400000000000001E-2</v>
      </c>
      <c r="Y663" s="11">
        <f t="shared" si="125"/>
        <v>0.69359999999999999</v>
      </c>
      <c r="Z663" s="83">
        <f t="shared" si="120"/>
        <v>6.7198263749999994</v>
      </c>
      <c r="AA663" s="66" t="s">
        <v>61</v>
      </c>
      <c r="AB663" s="66" t="s">
        <v>61</v>
      </c>
      <c r="AC663" s="75"/>
      <c r="AD663" s="28" t="s">
        <v>61</v>
      </c>
      <c r="AE663" s="14"/>
      <c r="AF663" s="13"/>
      <c r="AG663" s="13"/>
      <c r="AH663" s="84"/>
      <c r="AI663" s="134">
        <v>46219</v>
      </c>
      <c r="AJ663" s="144" t="e">
        <f t="shared" ca="1" si="124"/>
        <v>#NUM!</v>
      </c>
      <c r="AK663" s="85" t="e">
        <f>VLOOKUP(AP663,'[2]CONTENEUR PLEIN'!$F:$L,3,FALSE)</f>
        <v>#N/A</v>
      </c>
      <c r="AL663" s="86" t="e">
        <f>VLOOKUP(AP663,'[2]CONTENEUR PLEIN'!$F:$L,5,FALSE)</f>
        <v>#N/A</v>
      </c>
      <c r="AM663" s="15" t="e">
        <f>VLOOKUP(AP663,'[2]CONTENEUR PLEIN'!$F:$L,7,FALSE)</f>
        <v>#N/A</v>
      </c>
      <c r="AN663" s="284" t="s">
        <v>63</v>
      </c>
      <c r="AO663" s="75"/>
      <c r="AP663" s="75"/>
      <c r="AQ663" s="75"/>
      <c r="AR663" s="75" t="e">
        <f>VLOOKUP(AP663,'[2]CONTENEUR PLEIN'!$F:$L,2,FALSE)</f>
        <v>#N/A</v>
      </c>
      <c r="AS663" s="75"/>
      <c r="AT663" s="84"/>
    </row>
    <row r="664" spans="1:46" s="72" customFormat="1" hidden="1" x14ac:dyDescent="0.25">
      <c r="B664" s="522" t="s">
        <v>45</v>
      </c>
      <c r="C664" s="74">
        <v>46080</v>
      </c>
      <c r="D664" s="75">
        <v>26021</v>
      </c>
      <c r="E664" s="523" t="s">
        <v>1003</v>
      </c>
      <c r="F664" s="75">
        <v>2602160916</v>
      </c>
      <c r="G664" s="520" t="s">
        <v>303</v>
      </c>
      <c r="H664" s="520" t="s">
        <v>1004</v>
      </c>
      <c r="I664" s="520" t="s">
        <v>49</v>
      </c>
      <c r="J664" s="520" t="s">
        <v>46</v>
      </c>
      <c r="K664" s="520" t="s">
        <v>60</v>
      </c>
      <c r="L664" s="520" t="s">
        <v>47</v>
      </c>
      <c r="M664" s="380" t="e">
        <f t="shared" si="123"/>
        <v>#N/A</v>
      </c>
      <c r="N664" s="77" t="s">
        <v>49</v>
      </c>
      <c r="O664" s="78">
        <v>439811</v>
      </c>
      <c r="P664" s="42" t="str">
        <f>VLOOKUP(O664,[1]Feuil2!$A:$M,5,FALSE)</f>
        <v>COUTEAU LAGUIOLE HERITAGE+GENCOD</v>
      </c>
      <c r="Q664" s="75">
        <v>7200</v>
      </c>
      <c r="R664" s="79">
        <v>0.72</v>
      </c>
      <c r="S664" s="80">
        <f t="shared" si="121"/>
        <v>5184</v>
      </c>
      <c r="T664" s="81">
        <f t="shared" si="118"/>
        <v>26255.939999999995</v>
      </c>
      <c r="U664" s="139"/>
      <c r="V664" s="82">
        <f t="shared" si="122"/>
        <v>26255.939999999995</v>
      </c>
      <c r="W664" s="9">
        <f>VLOOKUP(O664,[1]Feuil2!$A:$M,6,FALSE)</f>
        <v>120</v>
      </c>
      <c r="X664" s="10">
        <f>VLOOKUP(O664,[1]Feuil2!$A:$M,13,FALSE)</f>
        <v>1.4924000000000003E-2</v>
      </c>
      <c r="Y664" s="11">
        <f t="shared" si="125"/>
        <v>0.89544000000000024</v>
      </c>
      <c r="Z664" s="83">
        <f t="shared" si="120"/>
        <v>6.7198263749999994</v>
      </c>
      <c r="AA664" s="66" t="s">
        <v>61</v>
      </c>
      <c r="AB664" s="66" t="s">
        <v>61</v>
      </c>
      <c r="AC664" s="75"/>
      <c r="AD664" s="28" t="s">
        <v>61</v>
      </c>
      <c r="AE664" s="14"/>
      <c r="AF664" s="13"/>
      <c r="AG664" s="13"/>
      <c r="AH664" s="84"/>
      <c r="AI664" s="134">
        <v>46219</v>
      </c>
      <c r="AJ664" s="144" t="e">
        <f t="shared" ca="1" si="124"/>
        <v>#NUM!</v>
      </c>
      <c r="AK664" s="85" t="e">
        <f>VLOOKUP(AP664,'[2]CONTENEUR PLEIN'!$F:$L,3,FALSE)</f>
        <v>#N/A</v>
      </c>
      <c r="AL664" s="86" t="e">
        <f>VLOOKUP(AP664,'[2]CONTENEUR PLEIN'!$F:$L,5,FALSE)</f>
        <v>#N/A</v>
      </c>
      <c r="AM664" s="15" t="e">
        <f>VLOOKUP(AP664,'[2]CONTENEUR PLEIN'!$F:$L,7,FALSE)</f>
        <v>#N/A</v>
      </c>
      <c r="AN664" s="284" t="s">
        <v>63</v>
      </c>
      <c r="AO664" s="75"/>
      <c r="AP664" s="75"/>
      <c r="AQ664" s="75"/>
      <c r="AR664" s="75" t="e">
        <f>VLOOKUP(AP664,'[2]CONTENEUR PLEIN'!$F:$L,2,FALSE)</f>
        <v>#N/A</v>
      </c>
      <c r="AS664" s="75"/>
      <c r="AT664" s="84"/>
    </row>
    <row r="665" spans="1:46" s="72" customFormat="1" hidden="1" x14ac:dyDescent="0.25">
      <c r="B665" s="522" t="s">
        <v>45</v>
      </c>
      <c r="C665" s="74">
        <v>46080</v>
      </c>
      <c r="D665" s="75">
        <v>26021</v>
      </c>
      <c r="E665" s="523" t="s">
        <v>1003</v>
      </c>
      <c r="F665" s="75">
        <v>2602160916</v>
      </c>
      <c r="G665" s="520" t="s">
        <v>303</v>
      </c>
      <c r="H665" s="520" t="s">
        <v>1004</v>
      </c>
      <c r="I665" s="520" t="s">
        <v>49</v>
      </c>
      <c r="J665" s="520" t="s">
        <v>46</v>
      </c>
      <c r="K665" s="520" t="s">
        <v>60</v>
      </c>
      <c r="L665" s="520" t="s">
        <v>47</v>
      </c>
      <c r="M665" s="380" t="e">
        <f t="shared" si="123"/>
        <v>#N/A</v>
      </c>
      <c r="N665" s="77" t="s">
        <v>49</v>
      </c>
      <c r="O665" s="78">
        <v>20110036</v>
      </c>
      <c r="P665" s="42" t="str">
        <f>VLOOKUP(O665,[1]Feuil2!$A:$M,5,FALSE)</f>
        <v>CAFE LAGUIOLE HERITAGE EMOTION 18/10 VRAC + GENCOD</v>
      </c>
      <c r="Q665" s="75">
        <v>2880</v>
      </c>
      <c r="R665" s="79">
        <v>0.58299999999999996</v>
      </c>
      <c r="S665" s="80">
        <f t="shared" si="121"/>
        <v>1679.04</v>
      </c>
      <c r="T665" s="81">
        <f t="shared" si="118"/>
        <v>26255.939999999995</v>
      </c>
      <c r="U665" s="139"/>
      <c r="V665" s="82">
        <f t="shared" si="122"/>
        <v>26255.939999999995</v>
      </c>
      <c r="W665" s="9">
        <f>VLOOKUP(O665,[1]Feuil2!$A:$M,6,FALSE)</f>
        <v>240</v>
      </c>
      <c r="X665" s="10">
        <f>VLOOKUP(O665,[1]Feuil2!$A:$M,13,FALSE)</f>
        <v>1.8630000000000001E-2</v>
      </c>
      <c r="Y665" s="11">
        <f t="shared" si="125"/>
        <v>0.22356000000000001</v>
      </c>
      <c r="Z665" s="83">
        <f t="shared" si="120"/>
        <v>6.7198263749999994</v>
      </c>
      <c r="AA665" s="66" t="s">
        <v>61</v>
      </c>
      <c r="AB665" s="66" t="s">
        <v>61</v>
      </c>
      <c r="AC665" s="75"/>
      <c r="AD665" s="28" t="s">
        <v>61</v>
      </c>
      <c r="AE665" s="14"/>
      <c r="AF665" s="13"/>
      <c r="AG665" s="13"/>
      <c r="AH665" s="84"/>
      <c r="AI665" s="134">
        <v>46219</v>
      </c>
      <c r="AJ665" s="144" t="e">
        <f t="shared" ca="1" si="124"/>
        <v>#NUM!</v>
      </c>
      <c r="AK665" s="85" t="e">
        <f>VLOOKUP(AP665,'[2]CONTENEUR PLEIN'!$F:$L,3,FALSE)</f>
        <v>#N/A</v>
      </c>
      <c r="AL665" s="86" t="e">
        <f>VLOOKUP(AP665,'[2]CONTENEUR PLEIN'!$F:$L,5,FALSE)</f>
        <v>#N/A</v>
      </c>
      <c r="AM665" s="15" t="e">
        <f>VLOOKUP(AP665,'[2]CONTENEUR PLEIN'!$F:$L,7,FALSE)</f>
        <v>#N/A</v>
      </c>
      <c r="AN665" s="284" t="s">
        <v>63</v>
      </c>
      <c r="AO665" s="75"/>
      <c r="AP665" s="75"/>
      <c r="AQ665" s="75"/>
      <c r="AR665" s="75" t="e">
        <f>VLOOKUP(AP665,'[2]CONTENEUR PLEIN'!$F:$L,2,FALSE)</f>
        <v>#N/A</v>
      </c>
      <c r="AS665" s="75"/>
      <c r="AT665" s="84"/>
    </row>
    <row r="666" spans="1:46" s="72" customFormat="1" hidden="1" x14ac:dyDescent="0.25">
      <c r="B666" s="522" t="s">
        <v>45</v>
      </c>
      <c r="C666" s="74">
        <v>46080</v>
      </c>
      <c r="D666" s="75">
        <v>26021</v>
      </c>
      <c r="E666" s="523" t="s">
        <v>1003</v>
      </c>
      <c r="F666" s="75">
        <v>2602160916</v>
      </c>
      <c r="G666" s="520" t="s">
        <v>303</v>
      </c>
      <c r="H666" s="520" t="s">
        <v>1004</v>
      </c>
      <c r="I666" s="520" t="s">
        <v>49</v>
      </c>
      <c r="J666" s="520" t="s">
        <v>46</v>
      </c>
      <c r="K666" s="520" t="s">
        <v>60</v>
      </c>
      <c r="L666" s="520" t="s">
        <v>47</v>
      </c>
      <c r="M666" s="380" t="e">
        <f t="shared" si="123"/>
        <v>#N/A</v>
      </c>
      <c r="N666" s="77" t="s">
        <v>49</v>
      </c>
      <c r="O666" s="78">
        <v>20110033</v>
      </c>
      <c r="P666" s="42" t="str">
        <f>VLOOKUP(O666,[1]Feuil2!$A:$M,5,FALSE)</f>
        <v>COUTEAU LAGUIOLE HERITAGE EMOTION 18/10 VRAC + GENCOD</v>
      </c>
      <c r="Q666" s="75">
        <v>2160</v>
      </c>
      <c r="R666" s="79">
        <v>0.48099999999999998</v>
      </c>
      <c r="S666" s="80">
        <f t="shared" si="121"/>
        <v>1038.96</v>
      </c>
      <c r="T666" s="81">
        <f t="shared" ref="T666:T672" si="126">SUMIF($E$5:$E$9257,E666,$S$5:$S$9257)</f>
        <v>26255.939999999995</v>
      </c>
      <c r="U666" s="139"/>
      <c r="V666" s="82">
        <f t="shared" si="122"/>
        <v>26255.939999999995</v>
      </c>
      <c r="W666" s="9">
        <f>VLOOKUP(O666,[1]Feuil2!$A:$M,6,FALSE)</f>
        <v>120</v>
      </c>
      <c r="X666" s="10">
        <f>VLOOKUP(O666,[1]Feuil2!$A:$M,13,FALSE)</f>
        <v>1.7226000000000002E-2</v>
      </c>
      <c r="Y666" s="11">
        <f t="shared" si="125"/>
        <v>0.31006800000000001</v>
      </c>
      <c r="Z666" s="83">
        <f t="shared" si="120"/>
        <v>6.7198263749999994</v>
      </c>
      <c r="AA666" s="66" t="s">
        <v>61</v>
      </c>
      <c r="AB666" s="66" t="s">
        <v>61</v>
      </c>
      <c r="AC666" s="75"/>
      <c r="AD666" s="28" t="s">
        <v>61</v>
      </c>
      <c r="AE666" s="14"/>
      <c r="AF666" s="13"/>
      <c r="AG666" s="13"/>
      <c r="AH666" s="84"/>
      <c r="AI666" s="134">
        <v>46219</v>
      </c>
      <c r="AJ666" s="144" t="e">
        <f t="shared" ca="1" si="124"/>
        <v>#NUM!</v>
      </c>
      <c r="AK666" s="85" t="e">
        <f>VLOOKUP(AP666,'[2]CONTENEUR PLEIN'!$F:$L,3,FALSE)</f>
        <v>#N/A</v>
      </c>
      <c r="AL666" s="86" t="e">
        <f>VLOOKUP(AP666,'[2]CONTENEUR PLEIN'!$F:$L,5,FALSE)</f>
        <v>#N/A</v>
      </c>
      <c r="AM666" s="15" t="e">
        <f>VLOOKUP(AP666,'[2]CONTENEUR PLEIN'!$F:$L,7,FALSE)</f>
        <v>#N/A</v>
      </c>
      <c r="AN666" s="284" t="s">
        <v>63</v>
      </c>
      <c r="AO666" s="75"/>
      <c r="AP666" s="75"/>
      <c r="AQ666" s="75"/>
      <c r="AR666" s="75" t="e">
        <f>VLOOKUP(AP666,'[2]CONTENEUR PLEIN'!$F:$L,2,FALSE)</f>
        <v>#N/A</v>
      </c>
      <c r="AS666" s="75"/>
      <c r="AT666" s="84"/>
    </row>
    <row r="667" spans="1:46" s="72" customFormat="1" hidden="1" x14ac:dyDescent="0.25">
      <c r="B667" s="522" t="s">
        <v>45</v>
      </c>
      <c r="C667" s="74">
        <v>46080</v>
      </c>
      <c r="D667" s="75">
        <v>26021</v>
      </c>
      <c r="E667" s="523" t="s">
        <v>1003</v>
      </c>
      <c r="F667" s="75">
        <v>2602160916</v>
      </c>
      <c r="G667" s="520" t="s">
        <v>303</v>
      </c>
      <c r="H667" s="520" t="s">
        <v>1004</v>
      </c>
      <c r="I667" s="520" t="s">
        <v>49</v>
      </c>
      <c r="J667" s="520" t="s">
        <v>46</v>
      </c>
      <c r="K667" s="520" t="s">
        <v>60</v>
      </c>
      <c r="L667" s="520" t="s">
        <v>47</v>
      </c>
      <c r="M667" s="380" t="e">
        <f t="shared" si="123"/>
        <v>#N/A</v>
      </c>
      <c r="N667" s="77" t="s">
        <v>49</v>
      </c>
      <c r="O667" s="78">
        <v>20110035</v>
      </c>
      <c r="P667" s="42" t="str">
        <f>VLOOKUP(O667,[1]Feuil2!$A:$M,5,FALSE)</f>
        <v>CUILLERE LAGUIOLE HERITAGE EMOTION 18/10 VRAC + GENCOD</v>
      </c>
      <c r="Q667" s="75">
        <v>2640</v>
      </c>
      <c r="R667" s="79">
        <v>0.66500000000000004</v>
      </c>
      <c r="S667" s="80">
        <f t="shared" si="121"/>
        <v>1755.6000000000001</v>
      </c>
      <c r="T667" s="81">
        <f t="shared" si="126"/>
        <v>26255.939999999995</v>
      </c>
      <c r="U667" s="139"/>
      <c r="V667" s="82">
        <f t="shared" si="122"/>
        <v>26255.939999999995</v>
      </c>
      <c r="W667" s="9">
        <f>VLOOKUP(O667,[1]Feuil2!$A:$M,6,FALSE)</f>
        <v>240</v>
      </c>
      <c r="X667" s="10">
        <f>VLOOKUP(O667,[1]Feuil2!$A:$M,13,FALSE)</f>
        <v>2.8346500000000004E-2</v>
      </c>
      <c r="Y667" s="11">
        <f t="shared" si="125"/>
        <v>0.31181150000000002</v>
      </c>
      <c r="Z667" s="83">
        <f t="shared" si="120"/>
        <v>6.7198263749999994</v>
      </c>
      <c r="AA667" s="66" t="s">
        <v>61</v>
      </c>
      <c r="AB667" s="66" t="s">
        <v>61</v>
      </c>
      <c r="AC667" s="75"/>
      <c r="AD667" s="28" t="s">
        <v>61</v>
      </c>
      <c r="AE667" s="14"/>
      <c r="AF667" s="13"/>
      <c r="AG667" s="13"/>
      <c r="AH667" s="84"/>
      <c r="AI667" s="134">
        <v>46219</v>
      </c>
      <c r="AJ667" s="144" t="e">
        <f t="shared" ca="1" si="124"/>
        <v>#NUM!</v>
      </c>
      <c r="AK667" s="85" t="e">
        <f>VLOOKUP(AP667,'[2]CONTENEUR PLEIN'!$F:$L,3,FALSE)</f>
        <v>#N/A</v>
      </c>
      <c r="AL667" s="86" t="e">
        <f>VLOOKUP(AP667,'[2]CONTENEUR PLEIN'!$F:$L,5,FALSE)</f>
        <v>#N/A</v>
      </c>
      <c r="AM667" s="15" t="e">
        <f>VLOOKUP(AP667,'[2]CONTENEUR PLEIN'!$F:$L,7,FALSE)</f>
        <v>#N/A</v>
      </c>
      <c r="AN667" s="284" t="s">
        <v>63</v>
      </c>
      <c r="AO667" s="75"/>
      <c r="AP667" s="75"/>
      <c r="AQ667" s="75"/>
      <c r="AR667" s="75" t="e">
        <f>VLOOKUP(AP667,'[2]CONTENEUR PLEIN'!$F:$L,2,FALSE)</f>
        <v>#N/A</v>
      </c>
      <c r="AS667" s="75"/>
      <c r="AT667" s="84"/>
    </row>
    <row r="668" spans="1:46" s="72" customFormat="1" hidden="1" x14ac:dyDescent="0.25">
      <c r="B668" s="522" t="s">
        <v>45</v>
      </c>
      <c r="C668" s="74">
        <v>46080</v>
      </c>
      <c r="D668" s="75">
        <v>26021</v>
      </c>
      <c r="E668" s="523" t="s">
        <v>1003</v>
      </c>
      <c r="F668" s="75">
        <v>2602160916</v>
      </c>
      <c r="G668" s="520" t="s">
        <v>303</v>
      </c>
      <c r="H668" s="520" t="s">
        <v>1004</v>
      </c>
      <c r="I668" s="520" t="s">
        <v>49</v>
      </c>
      <c r="J668" s="520" t="s">
        <v>46</v>
      </c>
      <c r="K668" s="520" t="s">
        <v>60</v>
      </c>
      <c r="L668" s="520" t="s">
        <v>47</v>
      </c>
      <c r="M668" s="380" t="e">
        <f t="shared" si="123"/>
        <v>#N/A</v>
      </c>
      <c r="N668" s="77" t="s">
        <v>49</v>
      </c>
      <c r="O668" s="78">
        <v>21670004</v>
      </c>
      <c r="P668" s="42" t="str">
        <f>VLOOKUP(O668,[1]Feuil2!$A:$M,5,FALSE)</f>
        <v>CAFE ONDE VRAC + GENCOD</v>
      </c>
      <c r="Q668" s="75">
        <v>18480</v>
      </c>
      <c r="R668" s="79">
        <v>0.26600000000000001</v>
      </c>
      <c r="S668" s="80">
        <f t="shared" si="121"/>
        <v>4915.68</v>
      </c>
      <c r="T668" s="81">
        <f t="shared" si="126"/>
        <v>26255.939999999995</v>
      </c>
      <c r="U668" s="139"/>
      <c r="V668" s="82">
        <f t="shared" si="122"/>
        <v>26255.939999999995</v>
      </c>
      <c r="W668" s="9">
        <f>VLOOKUP(O668,[1]Feuil2!$A:$M,6,FALSE)</f>
        <v>240</v>
      </c>
      <c r="X668" s="10">
        <f>VLOOKUP(O668,[1]Feuil2!$A:$M,13,FALSE)</f>
        <v>1.8749999999999999E-2</v>
      </c>
      <c r="Y668" s="11">
        <f t="shared" si="125"/>
        <v>1.4437499999999999</v>
      </c>
      <c r="Z668" s="83">
        <f t="shared" si="120"/>
        <v>6.7198263749999994</v>
      </c>
      <c r="AA668" s="66" t="s">
        <v>61</v>
      </c>
      <c r="AB668" s="66" t="s">
        <v>61</v>
      </c>
      <c r="AC668" s="75"/>
      <c r="AD668" s="28" t="s">
        <v>61</v>
      </c>
      <c r="AE668" s="14"/>
      <c r="AF668" s="13"/>
      <c r="AG668" s="13"/>
      <c r="AH668" s="84"/>
      <c r="AI668" s="134">
        <v>46219</v>
      </c>
      <c r="AJ668" s="144" t="e">
        <f t="shared" ca="1" si="124"/>
        <v>#NUM!</v>
      </c>
      <c r="AK668" s="85" t="e">
        <f>VLOOKUP(AP668,'[2]CONTENEUR PLEIN'!$F:$L,3,FALSE)</f>
        <v>#N/A</v>
      </c>
      <c r="AL668" s="86" t="e">
        <f>VLOOKUP(AP668,'[2]CONTENEUR PLEIN'!$F:$L,5,FALSE)</f>
        <v>#N/A</v>
      </c>
      <c r="AM668" s="15" t="e">
        <f>VLOOKUP(AP668,'[2]CONTENEUR PLEIN'!$F:$L,7,FALSE)</f>
        <v>#N/A</v>
      </c>
      <c r="AN668" s="284" t="s">
        <v>63</v>
      </c>
      <c r="AO668" s="75"/>
      <c r="AP668" s="75"/>
      <c r="AQ668" s="75"/>
      <c r="AR668" s="75" t="e">
        <f>VLOOKUP(AP668,'[2]CONTENEUR PLEIN'!$F:$L,2,FALSE)</f>
        <v>#N/A</v>
      </c>
      <c r="AS668" s="75"/>
      <c r="AT668" s="84"/>
    </row>
    <row r="669" spans="1:46" s="72" customFormat="1" hidden="1" x14ac:dyDescent="0.25">
      <c r="B669" s="522" t="s">
        <v>45</v>
      </c>
      <c r="C669" s="74">
        <v>46080</v>
      </c>
      <c r="D669" s="75">
        <v>26021</v>
      </c>
      <c r="E669" s="523" t="s">
        <v>1003</v>
      </c>
      <c r="F669" s="75">
        <v>2602160916</v>
      </c>
      <c r="G669" s="520" t="s">
        <v>303</v>
      </c>
      <c r="H669" s="520" t="s">
        <v>1004</v>
      </c>
      <c r="I669" s="520" t="s">
        <v>49</v>
      </c>
      <c r="J669" s="520" t="s">
        <v>46</v>
      </c>
      <c r="K669" s="520" t="s">
        <v>60</v>
      </c>
      <c r="L669" s="520" t="s">
        <v>47</v>
      </c>
      <c r="M669" s="380" t="e">
        <f t="shared" si="123"/>
        <v>#N/A</v>
      </c>
      <c r="N669" s="77" t="s">
        <v>49</v>
      </c>
      <c r="O669" s="78">
        <v>21670002</v>
      </c>
      <c r="P669" s="42" t="str">
        <f>VLOOKUP(O669,[1]Feuil2!$A:$M,5,FALSE)</f>
        <v>FOURCHETTE ONDE VRAC + GENCOD</v>
      </c>
      <c r="Q669" s="75">
        <v>11280</v>
      </c>
      <c r="R669" s="79">
        <v>0.312</v>
      </c>
      <c r="S669" s="80">
        <f t="shared" si="121"/>
        <v>3519.36</v>
      </c>
      <c r="T669" s="81">
        <f t="shared" si="126"/>
        <v>26255.939999999995</v>
      </c>
      <c r="U669" s="139"/>
      <c r="V669" s="82">
        <f t="shared" si="122"/>
        <v>26255.939999999995</v>
      </c>
      <c r="W669" s="9">
        <f>VLOOKUP(O669,[1]Feuil2!$A:$M,6,FALSE)</f>
        <v>240</v>
      </c>
      <c r="X669" s="10">
        <f>VLOOKUP(O669,[1]Feuil2!$A:$M,13,FALSE)</f>
        <v>1.8749999999999999E-2</v>
      </c>
      <c r="Y669" s="11">
        <f t="shared" si="125"/>
        <v>0.88124999999999998</v>
      </c>
      <c r="Z669" s="83">
        <f t="shared" si="120"/>
        <v>6.7198263749999994</v>
      </c>
      <c r="AA669" s="66" t="s">
        <v>61</v>
      </c>
      <c r="AB669" s="66" t="s">
        <v>61</v>
      </c>
      <c r="AC669" s="75"/>
      <c r="AD669" s="28" t="s">
        <v>61</v>
      </c>
      <c r="AE669" s="14"/>
      <c r="AF669" s="13"/>
      <c r="AG669" s="13"/>
      <c r="AH669" s="84"/>
      <c r="AI669" s="134">
        <v>46219</v>
      </c>
      <c r="AJ669" s="144" t="e">
        <f t="shared" ca="1" si="124"/>
        <v>#NUM!</v>
      </c>
      <c r="AK669" s="85" t="e">
        <f>VLOOKUP(AP669,'[2]CONTENEUR PLEIN'!$F:$L,3,FALSE)</f>
        <v>#N/A</v>
      </c>
      <c r="AL669" s="86" t="e">
        <f>VLOOKUP(AP669,'[2]CONTENEUR PLEIN'!$F:$L,5,FALSE)</f>
        <v>#N/A</v>
      </c>
      <c r="AM669" s="15" t="e">
        <f>VLOOKUP(AP669,'[2]CONTENEUR PLEIN'!$F:$L,7,FALSE)</f>
        <v>#N/A</v>
      </c>
      <c r="AN669" s="284" t="s">
        <v>63</v>
      </c>
      <c r="AO669" s="75"/>
      <c r="AP669" s="75"/>
      <c r="AQ669" s="75"/>
      <c r="AR669" s="75" t="e">
        <f>VLOOKUP(AP669,'[2]CONTENEUR PLEIN'!$F:$L,2,FALSE)</f>
        <v>#N/A</v>
      </c>
      <c r="AS669" s="75"/>
      <c r="AT669" s="84"/>
    </row>
    <row r="670" spans="1:46" s="72" customFormat="1" hidden="1" x14ac:dyDescent="0.25">
      <c r="B670" s="522" t="s">
        <v>45</v>
      </c>
      <c r="C670" s="74">
        <v>46080</v>
      </c>
      <c r="D670" s="75">
        <v>26021</v>
      </c>
      <c r="E670" s="523" t="s">
        <v>1003</v>
      </c>
      <c r="F670" s="75">
        <v>2602160916</v>
      </c>
      <c r="G670" s="520" t="s">
        <v>303</v>
      </c>
      <c r="H670" s="520" t="s">
        <v>1004</v>
      </c>
      <c r="I670" s="520" t="s">
        <v>49</v>
      </c>
      <c r="J670" s="520" t="s">
        <v>46</v>
      </c>
      <c r="K670" s="520" t="s">
        <v>60</v>
      </c>
      <c r="L670" s="520" t="s">
        <v>47</v>
      </c>
      <c r="M670" s="380" t="e">
        <f t="shared" si="123"/>
        <v>#N/A</v>
      </c>
      <c r="N670" s="77" t="s">
        <v>49</v>
      </c>
      <c r="O670" s="78">
        <v>21670003</v>
      </c>
      <c r="P670" s="42" t="str">
        <f>VLOOKUP(O670,[1]Feuil2!$A:$M,5,FALSE)</f>
        <v>CUILLERE ONDE VRAC + GENCOD</v>
      </c>
      <c r="Q670" s="75">
        <v>6480</v>
      </c>
      <c r="R670" s="79">
        <v>0.32</v>
      </c>
      <c r="S670" s="80">
        <f t="shared" si="121"/>
        <v>2073.6</v>
      </c>
      <c r="T670" s="81">
        <f t="shared" si="126"/>
        <v>26255.939999999995</v>
      </c>
      <c r="U670" s="139"/>
      <c r="V670" s="82">
        <f t="shared" si="122"/>
        <v>26255.939999999995</v>
      </c>
      <c r="W670" s="9">
        <f>VLOOKUP(O670,[1]Feuil2!$A:$M,6,FALSE)</f>
        <v>240</v>
      </c>
      <c r="X670" s="10">
        <f>VLOOKUP(O670,[1]Feuil2!$A:$M,13,FALSE)</f>
        <v>1.8749999999999999E-2</v>
      </c>
      <c r="Y670" s="11">
        <f t="shared" si="125"/>
        <v>0.50624999999999998</v>
      </c>
      <c r="Z670" s="83">
        <f t="shared" si="120"/>
        <v>6.7198263749999994</v>
      </c>
      <c r="AA670" s="66" t="s">
        <v>61</v>
      </c>
      <c r="AB670" s="66" t="s">
        <v>61</v>
      </c>
      <c r="AC670" s="75"/>
      <c r="AD670" s="28" t="s">
        <v>61</v>
      </c>
      <c r="AE670" s="14"/>
      <c r="AF670" s="13"/>
      <c r="AG670" s="13"/>
      <c r="AH670" s="84"/>
      <c r="AI670" s="134">
        <v>46219</v>
      </c>
      <c r="AJ670" s="144" t="e">
        <f t="shared" ca="1" si="124"/>
        <v>#NUM!</v>
      </c>
      <c r="AK670" s="85" t="e">
        <f>VLOOKUP(AP670,'[2]CONTENEUR PLEIN'!$F:$L,3,FALSE)</f>
        <v>#N/A</v>
      </c>
      <c r="AL670" s="86" t="e">
        <f>VLOOKUP(AP670,'[2]CONTENEUR PLEIN'!$F:$L,5,FALSE)</f>
        <v>#N/A</v>
      </c>
      <c r="AM670" s="15" t="e">
        <f>VLOOKUP(AP670,'[2]CONTENEUR PLEIN'!$F:$L,7,FALSE)</f>
        <v>#N/A</v>
      </c>
      <c r="AN670" s="284" t="s">
        <v>63</v>
      </c>
      <c r="AO670" s="75"/>
      <c r="AP670" s="75"/>
      <c r="AQ670" s="75"/>
      <c r="AR670" s="75" t="e">
        <f>VLOOKUP(AP670,'[2]CONTENEUR PLEIN'!$F:$L,2,FALSE)</f>
        <v>#N/A</v>
      </c>
      <c r="AS670" s="75"/>
      <c r="AT670" s="84"/>
    </row>
    <row r="671" spans="1:46" s="72" customFormat="1" hidden="1" x14ac:dyDescent="0.25">
      <c r="B671" s="522" t="s">
        <v>45</v>
      </c>
      <c r="C671" s="74">
        <v>46080</v>
      </c>
      <c r="D671" s="75">
        <v>26021</v>
      </c>
      <c r="E671" s="523" t="s">
        <v>1003</v>
      </c>
      <c r="F671" s="75">
        <v>2602160916</v>
      </c>
      <c r="G671" s="520" t="s">
        <v>303</v>
      </c>
      <c r="H671" s="520" t="s">
        <v>1004</v>
      </c>
      <c r="I671" s="520" t="s">
        <v>49</v>
      </c>
      <c r="J671" s="520" t="s">
        <v>46</v>
      </c>
      <c r="K671" s="520" t="s">
        <v>60</v>
      </c>
      <c r="L671" s="520" t="s">
        <v>47</v>
      </c>
      <c r="M671" s="380" t="e">
        <f t="shared" si="123"/>
        <v>#N/A</v>
      </c>
      <c r="N671" s="77" t="s">
        <v>49</v>
      </c>
      <c r="O671" s="78">
        <v>21670001</v>
      </c>
      <c r="P671" s="42" t="str">
        <f>VLOOKUP(O671,[1]Feuil2!$A:$M,5,FALSE)</f>
        <v>COUTEAU ONDE VRAC + GENCOD</v>
      </c>
      <c r="Q671" s="75">
        <v>5880</v>
      </c>
      <c r="R671" s="79">
        <v>0.36849999999999999</v>
      </c>
      <c r="S671" s="80">
        <f t="shared" si="121"/>
        <v>2166.7799999999997</v>
      </c>
      <c r="T671" s="81">
        <f t="shared" si="126"/>
        <v>26255.939999999995</v>
      </c>
      <c r="U671" s="139"/>
      <c r="V671" s="82">
        <f t="shared" si="122"/>
        <v>26255.939999999995</v>
      </c>
      <c r="W671" s="9">
        <f>VLOOKUP(O671,[1]Feuil2!$A:$M,6,FALSE)</f>
        <v>120</v>
      </c>
      <c r="X671" s="10">
        <f>VLOOKUP(O671,[1]Feuil2!$A:$M,13,FALSE)</f>
        <v>1.0140624999999999E-2</v>
      </c>
      <c r="Y671" s="11">
        <f t="shared" si="125"/>
        <v>0.49689062499999992</v>
      </c>
      <c r="Z671" s="83">
        <f t="shared" si="120"/>
        <v>6.7198263749999994</v>
      </c>
      <c r="AA671" s="66" t="s">
        <v>61</v>
      </c>
      <c r="AB671" s="66" t="s">
        <v>61</v>
      </c>
      <c r="AC671" s="75"/>
      <c r="AD671" s="28" t="s">
        <v>61</v>
      </c>
      <c r="AE671" s="14"/>
      <c r="AF671" s="13"/>
      <c r="AG671" s="13"/>
      <c r="AH671" s="84"/>
      <c r="AI671" s="134">
        <v>46219</v>
      </c>
      <c r="AJ671" s="144" t="e">
        <f t="shared" ca="1" si="124"/>
        <v>#NUM!</v>
      </c>
      <c r="AK671" s="85" t="e">
        <f>VLOOKUP(AP671,'[2]CONTENEUR PLEIN'!$F:$L,3,FALSE)</f>
        <v>#N/A</v>
      </c>
      <c r="AL671" s="86" t="e">
        <f>VLOOKUP(AP671,'[2]CONTENEUR PLEIN'!$F:$L,5,FALSE)</f>
        <v>#N/A</v>
      </c>
      <c r="AM671" s="15" t="e">
        <f>VLOOKUP(AP671,'[2]CONTENEUR PLEIN'!$F:$L,7,FALSE)</f>
        <v>#N/A</v>
      </c>
      <c r="AN671" s="284" t="s">
        <v>63</v>
      </c>
      <c r="AO671" s="75"/>
      <c r="AP671" s="75"/>
      <c r="AQ671" s="75"/>
      <c r="AR671" s="75" t="e">
        <f>VLOOKUP(AP671,'[2]CONTENEUR PLEIN'!$F:$L,2,FALSE)</f>
        <v>#N/A</v>
      </c>
      <c r="AS671" s="75"/>
      <c r="AT671" s="84"/>
    </row>
    <row r="672" spans="1:46" s="72" customFormat="1" hidden="1" x14ac:dyDescent="0.25">
      <c r="B672" s="522" t="s">
        <v>45</v>
      </c>
      <c r="C672" s="74">
        <v>46080</v>
      </c>
      <c r="D672" s="75">
        <v>26022</v>
      </c>
      <c r="E672" s="524" t="s">
        <v>1005</v>
      </c>
      <c r="F672" s="75">
        <v>2602171041</v>
      </c>
      <c r="G672" s="525" t="s">
        <v>1006</v>
      </c>
      <c r="H672" s="525" t="s">
        <v>1004</v>
      </c>
      <c r="I672" s="520" t="s">
        <v>49</v>
      </c>
      <c r="J672" s="520" t="s">
        <v>46</v>
      </c>
      <c r="K672" s="520" t="s">
        <v>60</v>
      </c>
      <c r="L672" s="520" t="s">
        <v>47</v>
      </c>
      <c r="M672" s="380" t="e">
        <f t="shared" si="123"/>
        <v>#N/A</v>
      </c>
      <c r="N672" s="589" t="s">
        <v>62</v>
      </c>
      <c r="O672" s="78">
        <v>443920</v>
      </c>
      <c r="P672" s="42" t="str">
        <f>VLOOKUP(O672,[1]Feuil2!$A:$M,5,FALSE)</f>
        <v>AIGUISEUR DOUBLE DIAMANT 198*52*66MM  TB C SOUS BLISTER</v>
      </c>
      <c r="Q672" s="75">
        <v>10044</v>
      </c>
      <c r="R672" s="79">
        <v>2.4260000000000002</v>
      </c>
      <c r="S672" s="80">
        <f t="shared" si="121"/>
        <v>24366.744000000002</v>
      </c>
      <c r="T672" s="81">
        <f t="shared" si="126"/>
        <v>24366.744000000002</v>
      </c>
      <c r="U672" s="139"/>
      <c r="V672" s="82">
        <f t="shared" si="122"/>
        <v>24366.744000000002</v>
      </c>
      <c r="W672" s="9">
        <f>VLOOKUP(O672,[1]Feuil2!$A:$M,6,FALSE)</f>
        <v>36</v>
      </c>
      <c r="X672" s="10">
        <f>VLOOKUP(O672,[1]Feuil2!$A:$M,13,FALSE)</f>
        <v>6.2480000000000008E-2</v>
      </c>
      <c r="Y672" s="11">
        <f t="shared" si="125"/>
        <v>17.431920000000002</v>
      </c>
      <c r="Z672" s="83">
        <f t="shared" si="120"/>
        <v>17.431920000000002</v>
      </c>
      <c r="AA672" s="66" t="s">
        <v>61</v>
      </c>
      <c r="AB672" s="66" t="s">
        <v>61</v>
      </c>
      <c r="AC672" s="75"/>
      <c r="AD672" s="28" t="s">
        <v>61</v>
      </c>
      <c r="AE672" s="14"/>
      <c r="AF672" s="13"/>
      <c r="AG672" s="13"/>
      <c r="AH672" s="84"/>
      <c r="AI672" s="134"/>
      <c r="AJ672" s="144">
        <f t="shared" ca="1" si="124"/>
        <v>46098</v>
      </c>
      <c r="AK672" s="85" t="e">
        <f>VLOOKUP(AP672,'[2]CONTENEUR PLEIN'!$F:$L,3,FALSE)</f>
        <v>#N/A</v>
      </c>
      <c r="AL672" s="86" t="e">
        <f>VLOOKUP(AP672,'[2]CONTENEUR PLEIN'!$F:$L,5,FALSE)</f>
        <v>#N/A</v>
      </c>
      <c r="AM672" s="15" t="e">
        <f>VLOOKUP(AP672,'[2]CONTENEUR PLEIN'!$F:$L,7,FALSE)</f>
        <v>#N/A</v>
      </c>
      <c r="AN672" s="75"/>
      <c r="AO672" s="75"/>
      <c r="AP672" s="75"/>
      <c r="AQ672" s="75"/>
      <c r="AR672" s="75" t="e">
        <f>VLOOKUP(AP672,'[2]CONTENEUR PLEIN'!$F:$L,2,FALSE)</f>
        <v>#N/A</v>
      </c>
      <c r="AS672" s="75"/>
      <c r="AT672" s="84"/>
    </row>
    <row r="673" spans="1:46" s="72" customFormat="1" hidden="1" x14ac:dyDescent="0.25">
      <c r="B673" s="73" t="s">
        <v>45</v>
      </c>
      <c r="C673" s="74">
        <v>46080</v>
      </c>
      <c r="D673" s="75">
        <v>26023</v>
      </c>
      <c r="E673" s="76" t="s">
        <v>1007</v>
      </c>
      <c r="F673" s="75">
        <v>2602171552</v>
      </c>
      <c r="G673" s="75" t="s">
        <v>834</v>
      </c>
      <c r="H673" s="75" t="s">
        <v>1004</v>
      </c>
      <c r="I673" s="75" t="s">
        <v>49</v>
      </c>
      <c r="J673" s="75" t="s">
        <v>46</v>
      </c>
      <c r="K673" s="75" t="s">
        <v>60</v>
      </c>
      <c r="L673" s="75" t="s">
        <v>47</v>
      </c>
      <c r="M673" s="380" t="e">
        <v>#N/A</v>
      </c>
      <c r="N673" s="543" t="s">
        <v>49</v>
      </c>
      <c r="O673" s="78">
        <v>404600</v>
      </c>
      <c r="P673" s="42" t="s">
        <v>1008</v>
      </c>
      <c r="Q673" s="75">
        <v>36000</v>
      </c>
      <c r="R673" s="79" t="s">
        <v>1009</v>
      </c>
      <c r="S673" s="80" t="s">
        <v>1010</v>
      </c>
      <c r="T673" s="81" t="s">
        <v>1011</v>
      </c>
      <c r="U673" s="139"/>
      <c r="V673" s="82" t="s">
        <v>1011</v>
      </c>
      <c r="W673" s="9">
        <v>360</v>
      </c>
      <c r="X673" s="10">
        <v>2.2499999999999999E-2</v>
      </c>
      <c r="Y673" s="11">
        <v>2.25</v>
      </c>
      <c r="Z673" s="83">
        <v>17.28</v>
      </c>
      <c r="AA673" s="66" t="s">
        <v>61</v>
      </c>
      <c r="AB673" s="66" t="s">
        <v>61</v>
      </c>
      <c r="AC673" s="75"/>
      <c r="AD673" s="28" t="s">
        <v>61</v>
      </c>
      <c r="AE673" s="14"/>
      <c r="AF673" s="13"/>
      <c r="AG673" s="13"/>
      <c r="AH673" s="84"/>
      <c r="AI673" s="134"/>
      <c r="AJ673" s="144">
        <f t="shared" ca="1" si="124"/>
        <v>46098</v>
      </c>
      <c r="AK673" s="85" t="e">
        <f>VLOOKUP(AP673,'[2]CONTENEUR PLEIN'!$F:$L,3,FALSE)</f>
        <v>#N/A</v>
      </c>
      <c r="AL673" s="86" t="e">
        <f>VLOOKUP(AP673,'[2]CONTENEUR PLEIN'!$F:$L,5,FALSE)</f>
        <v>#N/A</v>
      </c>
      <c r="AM673" s="15" t="e">
        <f>VLOOKUP(AP673,'[2]CONTENEUR PLEIN'!$F:$L,7,FALSE)</f>
        <v>#N/A</v>
      </c>
      <c r="AN673" s="75"/>
      <c r="AO673" s="75"/>
      <c r="AP673" s="75"/>
      <c r="AQ673" s="75"/>
      <c r="AR673" s="75" t="e">
        <f>VLOOKUP(AP673,'[2]CONTENEUR PLEIN'!$F:$L,2,FALSE)</f>
        <v>#N/A</v>
      </c>
      <c r="AS673" s="75"/>
      <c r="AT673" s="84"/>
    </row>
    <row r="674" spans="1:46" s="72" customFormat="1" hidden="1" x14ac:dyDescent="0.25">
      <c r="B674" s="73" t="s">
        <v>45</v>
      </c>
      <c r="C674" s="74">
        <v>46080</v>
      </c>
      <c r="D674" s="75">
        <v>26023</v>
      </c>
      <c r="E674" s="76" t="s">
        <v>1007</v>
      </c>
      <c r="F674" s="75">
        <v>2602171552</v>
      </c>
      <c r="G674" s="75" t="s">
        <v>834</v>
      </c>
      <c r="H674" s="75" t="s">
        <v>1004</v>
      </c>
      <c r="I674" s="75" t="s">
        <v>49</v>
      </c>
      <c r="J674" s="75" t="s">
        <v>46</v>
      </c>
      <c r="K674" s="75" t="s">
        <v>60</v>
      </c>
      <c r="L674" s="75" t="s">
        <v>47</v>
      </c>
      <c r="M674" s="380" t="e">
        <v>#N/A</v>
      </c>
      <c r="N674" s="543" t="s">
        <v>49</v>
      </c>
      <c r="O674" s="78">
        <v>404610</v>
      </c>
      <c r="P674" s="42" t="s">
        <v>1012</v>
      </c>
      <c r="Q674" s="75">
        <v>16920</v>
      </c>
      <c r="R674" s="79" t="s">
        <v>1013</v>
      </c>
      <c r="S674" s="80" t="s">
        <v>1014</v>
      </c>
      <c r="T674" s="81" t="s">
        <v>1011</v>
      </c>
      <c r="U674" s="139"/>
      <c r="V674" s="82" t="s">
        <v>1011</v>
      </c>
      <c r="W674" s="9">
        <v>360</v>
      </c>
      <c r="X674" s="10">
        <v>7.1999999999999998E-3</v>
      </c>
      <c r="Y674" s="11">
        <v>0.34</v>
      </c>
      <c r="Z674" s="83">
        <v>17.28</v>
      </c>
      <c r="AA674" s="66" t="s">
        <v>61</v>
      </c>
      <c r="AB674" s="66" t="s">
        <v>61</v>
      </c>
      <c r="AC674" s="75"/>
      <c r="AD674" s="28" t="s">
        <v>61</v>
      </c>
      <c r="AE674" s="14"/>
      <c r="AF674" s="13"/>
      <c r="AG674" s="13"/>
      <c r="AH674" s="84"/>
      <c r="AI674" s="134"/>
      <c r="AJ674" s="144">
        <f t="shared" ca="1" si="124"/>
        <v>46098</v>
      </c>
      <c r="AK674" s="85" t="e">
        <f>VLOOKUP(AP674,'[2]CONTENEUR PLEIN'!$F:$L,3,FALSE)</f>
        <v>#N/A</v>
      </c>
      <c r="AL674" s="86" t="e">
        <f>VLOOKUP(AP674,'[2]CONTENEUR PLEIN'!$F:$L,5,FALSE)</f>
        <v>#N/A</v>
      </c>
      <c r="AM674" s="15" t="e">
        <f>VLOOKUP(AP674,'[2]CONTENEUR PLEIN'!$F:$L,7,FALSE)</f>
        <v>#N/A</v>
      </c>
      <c r="AN674" s="75"/>
      <c r="AO674" s="75"/>
      <c r="AP674" s="75"/>
      <c r="AQ674" s="75"/>
      <c r="AR674" s="75" t="e">
        <f>VLOOKUP(AP674,'[2]CONTENEUR PLEIN'!$F:$L,2,FALSE)</f>
        <v>#N/A</v>
      </c>
      <c r="AS674" s="75"/>
      <c r="AT674" s="84"/>
    </row>
    <row r="675" spans="1:46" s="72" customFormat="1" ht="15" hidden="1" customHeight="1" x14ac:dyDescent="0.25">
      <c r="B675" s="73" t="s">
        <v>45</v>
      </c>
      <c r="C675" s="74">
        <v>46080</v>
      </c>
      <c r="D675" s="75">
        <v>26023</v>
      </c>
      <c r="E675" s="76" t="s">
        <v>1007</v>
      </c>
      <c r="F675" s="75">
        <v>2602171552</v>
      </c>
      <c r="G675" s="75" t="s">
        <v>834</v>
      </c>
      <c r="H675" s="75" t="s">
        <v>1004</v>
      </c>
      <c r="I675" s="75" t="s">
        <v>49</v>
      </c>
      <c r="J675" s="75" t="s">
        <v>46</v>
      </c>
      <c r="K675" s="75" t="s">
        <v>60</v>
      </c>
      <c r="L675" s="75" t="s">
        <v>47</v>
      </c>
      <c r="M675" s="380" t="e">
        <v>#N/A</v>
      </c>
      <c r="N675" s="543" t="s">
        <v>49</v>
      </c>
      <c r="O675" s="78">
        <v>406840</v>
      </c>
      <c r="P675" s="42" t="s">
        <v>1015</v>
      </c>
      <c r="Q675" s="75">
        <v>45072</v>
      </c>
      <c r="R675" s="79" t="s">
        <v>1016</v>
      </c>
      <c r="S675" s="80" t="s">
        <v>1017</v>
      </c>
      <c r="T675" s="81" t="s">
        <v>1011</v>
      </c>
      <c r="U675" s="139"/>
      <c r="V675" s="82" t="s">
        <v>1011</v>
      </c>
      <c r="W675" s="9">
        <v>72</v>
      </c>
      <c r="X675" s="10">
        <v>2.2599999999999999E-2</v>
      </c>
      <c r="Y675" s="11">
        <v>14.16</v>
      </c>
      <c r="Z675" s="83">
        <v>17.28</v>
      </c>
      <c r="AA675" s="66" t="s">
        <v>61</v>
      </c>
      <c r="AB675" s="66" t="s">
        <v>61</v>
      </c>
      <c r="AC675" s="75"/>
      <c r="AD675" s="28" t="s">
        <v>61</v>
      </c>
      <c r="AE675" s="14"/>
      <c r="AF675" s="13"/>
      <c r="AG675" s="13"/>
      <c r="AH675" s="84"/>
      <c r="AI675" s="134"/>
      <c r="AJ675" s="144">
        <f t="shared" ca="1" si="124"/>
        <v>46098</v>
      </c>
      <c r="AK675" s="85" t="e">
        <f>VLOOKUP(AP675,'[2]CONTENEUR PLEIN'!$F:$L,3,FALSE)</f>
        <v>#N/A</v>
      </c>
      <c r="AL675" s="86" t="e">
        <f>VLOOKUP(AP675,'[2]CONTENEUR PLEIN'!$F:$L,5,FALSE)</f>
        <v>#N/A</v>
      </c>
      <c r="AM675" s="15" t="e">
        <f>VLOOKUP(AP675,'[2]CONTENEUR PLEIN'!$F:$L,7,FALSE)</f>
        <v>#N/A</v>
      </c>
      <c r="AN675" s="75"/>
      <c r="AO675" s="75"/>
      <c r="AP675" s="75"/>
      <c r="AQ675" s="75"/>
      <c r="AR675" s="75" t="e">
        <f>VLOOKUP(AP675,'[2]CONTENEUR PLEIN'!$F:$L,2,FALSE)</f>
        <v>#N/A</v>
      </c>
      <c r="AS675" s="75"/>
      <c r="AT675" s="84"/>
    </row>
    <row r="676" spans="1:46" s="72" customFormat="1" hidden="1" x14ac:dyDescent="0.25">
      <c r="A676" s="71"/>
      <c r="B676" s="132" t="s">
        <v>45</v>
      </c>
      <c r="C676" s="74">
        <v>46080</v>
      </c>
      <c r="D676" s="75">
        <v>26023</v>
      </c>
      <c r="E676" s="131" t="s">
        <v>1007</v>
      </c>
      <c r="F676" s="127">
        <v>2602171552</v>
      </c>
      <c r="G676" s="127" t="s">
        <v>834</v>
      </c>
      <c r="H676" s="127" t="s">
        <v>1004</v>
      </c>
      <c r="I676" s="127" t="s">
        <v>49</v>
      </c>
      <c r="J676" s="127" t="s">
        <v>46</v>
      </c>
      <c r="K676" s="127" t="s">
        <v>60</v>
      </c>
      <c r="L676" s="162" t="s">
        <v>47</v>
      </c>
      <c r="M676" s="380" t="e">
        <v>#N/A</v>
      </c>
      <c r="N676" s="543" t="s">
        <v>49</v>
      </c>
      <c r="O676" s="78">
        <v>304109</v>
      </c>
      <c r="P676" s="42" t="s">
        <v>1018</v>
      </c>
      <c r="Q676" s="75">
        <v>13680</v>
      </c>
      <c r="R676" s="79" t="s">
        <v>1019</v>
      </c>
      <c r="S676" s="80" t="s">
        <v>1020</v>
      </c>
      <c r="T676" s="81" t="s">
        <v>1011</v>
      </c>
      <c r="U676" s="139"/>
      <c r="V676" s="82" t="s">
        <v>1011</v>
      </c>
      <c r="W676" s="9">
        <v>360</v>
      </c>
      <c r="X676" s="10">
        <v>1.41E-2</v>
      </c>
      <c r="Y676" s="11">
        <v>0.54</v>
      </c>
      <c r="Z676" s="83">
        <v>17.28</v>
      </c>
      <c r="AA676" s="66" t="s">
        <v>61</v>
      </c>
      <c r="AB676" s="66" t="s">
        <v>61</v>
      </c>
      <c r="AC676" s="75"/>
      <c r="AD676" s="28" t="s">
        <v>61</v>
      </c>
      <c r="AE676" s="22"/>
      <c r="AF676" s="22"/>
      <c r="AG676" s="22"/>
      <c r="AH676" s="70"/>
      <c r="AI676" s="134"/>
      <c r="AJ676" s="144">
        <f t="shared" ca="1" si="124"/>
        <v>46098</v>
      </c>
      <c r="AK676" s="85" t="e">
        <f>VLOOKUP(AP676,'[2]CONTENEUR PLEIN'!$F:$L,3,FALSE)</f>
        <v>#N/A</v>
      </c>
      <c r="AL676" s="86" t="e">
        <f>VLOOKUP(AP676,'[2]CONTENEUR PLEIN'!$F:$L,5,FALSE)</f>
        <v>#N/A</v>
      </c>
      <c r="AM676" s="15" t="e">
        <f>VLOOKUP(AP676,'[2]CONTENEUR PLEIN'!$F:$L,7,FALSE)</f>
        <v>#N/A</v>
      </c>
      <c r="AN676" s="127"/>
      <c r="AO676" s="75"/>
      <c r="AP676" s="75"/>
      <c r="AQ676" s="75"/>
      <c r="AR676" s="75" t="e">
        <f>VLOOKUP(AP676,'[2]CONTENEUR PLEIN'!$F:$L,2,FALSE)</f>
        <v>#N/A</v>
      </c>
      <c r="AS676" s="75"/>
      <c r="AT676" s="84"/>
    </row>
    <row r="677" spans="1:46" s="72" customFormat="1" hidden="1" x14ac:dyDescent="0.25">
      <c r="B677" s="575" t="s">
        <v>45</v>
      </c>
      <c r="C677" s="576">
        <v>46080</v>
      </c>
      <c r="D677" s="75">
        <v>26025</v>
      </c>
      <c r="E677" s="577" t="s">
        <v>1023</v>
      </c>
      <c r="F677" s="75">
        <v>2602241647</v>
      </c>
      <c r="G677" s="578" t="s">
        <v>74</v>
      </c>
      <c r="H677" s="578" t="s">
        <v>82</v>
      </c>
      <c r="I677" s="578" t="s">
        <v>49</v>
      </c>
      <c r="J677" s="578" t="s">
        <v>46</v>
      </c>
      <c r="K677" s="578" t="s">
        <v>60</v>
      </c>
      <c r="L677" s="578" t="s">
        <v>47</v>
      </c>
      <c r="M677" s="380" t="e">
        <f t="shared" ref="M677:M708" si="127">DATEDIF(C677,AM677,"M")</f>
        <v>#N/A</v>
      </c>
      <c r="N677" s="590" t="s">
        <v>62</v>
      </c>
      <c r="O677" s="78">
        <v>10110031</v>
      </c>
      <c r="P677" s="42" t="str">
        <f>VLOOKUP(O677,[1]Feuil2!$A:$M,5,FALSE)</f>
        <v>LAG HERITAGE COFFRET 6PCS ABS POLYFLAME</v>
      </c>
      <c r="Q677" s="75">
        <v>600</v>
      </c>
      <c r="R677" s="79">
        <v>2.2999999999999998</v>
      </c>
      <c r="S677" s="80">
        <f t="shared" ref="S677:S708" si="128">Q677*R677</f>
        <v>1380</v>
      </c>
      <c r="T677" s="81">
        <f t="shared" ref="T677:T708" si="129">SUMIF($E$5:$E$9257,E677,$S$5:$S$9257)</f>
        <v>1380</v>
      </c>
      <c r="U677" s="139"/>
      <c r="V677" s="82">
        <f t="shared" ref="V677:V708" si="130">U677+T677</f>
        <v>1380</v>
      </c>
      <c r="W677" s="9">
        <f>VLOOKUP(O677,[1]Feuil2!$A:$M,6,FALSE)</f>
        <v>6</v>
      </c>
      <c r="X677" s="10">
        <f>VLOOKUP(O677,[1]Feuil2!$A:$M,13,FALSE)</f>
        <v>0</v>
      </c>
      <c r="Y677" s="11">
        <f t="shared" ref="Y677:Y708" si="131">(Q677/W677)*X677</f>
        <v>0</v>
      </c>
      <c r="Z677" s="83">
        <f t="shared" ref="Z677:Z708" si="132">SUMIF($E:$E,E677,$Y:$Y)</f>
        <v>0</v>
      </c>
      <c r="AA677" s="66" t="s">
        <v>61</v>
      </c>
      <c r="AB677" s="66" t="s">
        <v>61</v>
      </c>
      <c r="AC677" s="75"/>
      <c r="AD677" s="28" t="s">
        <v>61</v>
      </c>
      <c r="AE677" s="14"/>
      <c r="AF677" s="13"/>
      <c r="AG677" s="22" t="s">
        <v>48</v>
      </c>
      <c r="AH677" s="579" t="s">
        <v>48</v>
      </c>
      <c r="AI677" s="134">
        <v>46157</v>
      </c>
      <c r="AJ677" s="144" t="e">
        <f t="shared" ca="1" si="124"/>
        <v>#NUM!</v>
      </c>
      <c r="AK677" s="85" t="e">
        <f>VLOOKUP(AP677,'[2]CONTENEUR PLEIN'!$F:$L,3,FALSE)</f>
        <v>#N/A</v>
      </c>
      <c r="AL677" s="86" t="e">
        <f>VLOOKUP(AP677,'[2]CONTENEUR PLEIN'!$F:$L,5,FALSE)</f>
        <v>#N/A</v>
      </c>
      <c r="AM677" s="15" t="e">
        <f>VLOOKUP(AP677,'[2]CONTENEUR PLEIN'!$F:$L,7,FALSE)</f>
        <v>#N/A</v>
      </c>
      <c r="AN677" s="578" t="s">
        <v>82</v>
      </c>
      <c r="AO677" s="75"/>
      <c r="AP677" s="75"/>
      <c r="AQ677" s="75"/>
      <c r="AR677" s="75" t="e">
        <f>VLOOKUP(AP677,'[2]CONTENEUR PLEIN'!$F:$L,2,FALSE)</f>
        <v>#N/A</v>
      </c>
      <c r="AS677" s="75"/>
      <c r="AT677" s="84"/>
    </row>
    <row r="678" spans="1:46" s="72" customFormat="1" hidden="1" x14ac:dyDescent="0.25">
      <c r="B678" s="575" t="s">
        <v>45</v>
      </c>
      <c r="C678" s="74">
        <v>46080</v>
      </c>
      <c r="D678" s="75">
        <v>26024</v>
      </c>
      <c r="E678" s="577" t="s">
        <v>1024</v>
      </c>
      <c r="F678" s="75">
        <v>2602241650</v>
      </c>
      <c r="G678" s="578" t="s">
        <v>867</v>
      </c>
      <c r="H678" s="578" t="s">
        <v>82</v>
      </c>
      <c r="I678" s="578" t="s">
        <v>49</v>
      </c>
      <c r="J678" s="578" t="s">
        <v>46</v>
      </c>
      <c r="K678" s="578" t="s">
        <v>60</v>
      </c>
      <c r="L678" s="578" t="s">
        <v>47</v>
      </c>
      <c r="M678" s="380" t="e">
        <f t="shared" si="127"/>
        <v>#N/A</v>
      </c>
      <c r="N678" s="590" t="s">
        <v>62</v>
      </c>
      <c r="O678" s="78">
        <v>10110025</v>
      </c>
      <c r="P678" s="42" t="str">
        <f>VLOOKUP(O678,[1]Feuil2!$A:$M,5,FALSE)</f>
        <v>LAG HERITAGE COUTEAUX STEAK NOYER 6PCS POLYFLAME</v>
      </c>
      <c r="Q678" s="75">
        <v>1008</v>
      </c>
      <c r="R678" s="79">
        <v>6.21</v>
      </c>
      <c r="S678" s="80">
        <f t="shared" si="128"/>
        <v>6259.68</v>
      </c>
      <c r="T678" s="81">
        <f t="shared" si="129"/>
        <v>16810.739999999998</v>
      </c>
      <c r="U678" s="139"/>
      <c r="V678" s="82">
        <f t="shared" si="130"/>
        <v>16810.739999999998</v>
      </c>
      <c r="W678" s="9">
        <f>VLOOKUP(O678,[1]Feuil2!$A:$M,6,FALSE)</f>
        <v>12</v>
      </c>
      <c r="X678" s="10">
        <f>VLOOKUP(O678,[1]Feuil2!$A:$M,13,FALSE)</f>
        <v>1.7894124999999997E-2</v>
      </c>
      <c r="Y678" s="11">
        <f t="shared" si="131"/>
        <v>1.5031064999999997</v>
      </c>
      <c r="Z678" s="83">
        <f t="shared" si="132"/>
        <v>4.5941512499999995</v>
      </c>
      <c r="AA678" s="66" t="s">
        <v>61</v>
      </c>
      <c r="AB678" s="66" t="s">
        <v>61</v>
      </c>
      <c r="AC678" s="75"/>
      <c r="AD678" s="28" t="s">
        <v>61</v>
      </c>
      <c r="AE678" s="14"/>
      <c r="AF678" s="13"/>
      <c r="AG678" s="22" t="s">
        <v>48</v>
      </c>
      <c r="AH678" s="579" t="s">
        <v>48</v>
      </c>
      <c r="AI678" s="134">
        <v>46219</v>
      </c>
      <c r="AJ678" s="144" t="e">
        <f t="shared" ca="1" si="124"/>
        <v>#NUM!</v>
      </c>
      <c r="AK678" s="85" t="e">
        <f>VLOOKUP(AP678,'[2]CONTENEUR PLEIN'!$F:$L,3,FALSE)</f>
        <v>#N/A</v>
      </c>
      <c r="AL678" s="86" t="e">
        <f>VLOOKUP(AP678,'[2]CONTENEUR PLEIN'!$F:$L,5,FALSE)</f>
        <v>#N/A</v>
      </c>
      <c r="AM678" s="15" t="e">
        <f>VLOOKUP(AP678,'[2]CONTENEUR PLEIN'!$F:$L,7,FALSE)</f>
        <v>#N/A</v>
      </c>
      <c r="AN678" s="578" t="s">
        <v>82</v>
      </c>
      <c r="AO678" s="75"/>
      <c r="AP678" s="75"/>
      <c r="AQ678" s="75"/>
      <c r="AR678" s="75" t="e">
        <f>VLOOKUP(AP678,'[2]CONTENEUR PLEIN'!$F:$L,2,FALSE)</f>
        <v>#N/A</v>
      </c>
      <c r="AS678" s="75"/>
      <c r="AT678" s="84"/>
    </row>
    <row r="679" spans="1:46" s="72" customFormat="1" hidden="1" x14ac:dyDescent="0.25">
      <c r="B679" s="575" t="s">
        <v>45</v>
      </c>
      <c r="C679" s="74">
        <v>46080</v>
      </c>
      <c r="D679" s="75">
        <v>26024</v>
      </c>
      <c r="E679" s="577" t="s">
        <v>1024</v>
      </c>
      <c r="F679" s="75">
        <v>2602241650</v>
      </c>
      <c r="G679" s="578" t="s">
        <v>867</v>
      </c>
      <c r="H679" s="578" t="s">
        <v>82</v>
      </c>
      <c r="I679" s="578" t="s">
        <v>49</v>
      </c>
      <c r="J679" s="578" t="s">
        <v>46</v>
      </c>
      <c r="K679" s="578" t="s">
        <v>60</v>
      </c>
      <c r="L679" s="585" t="s">
        <v>47</v>
      </c>
      <c r="M679" s="380" t="e">
        <f t="shared" si="127"/>
        <v>#N/A</v>
      </c>
      <c r="N679" s="590" t="s">
        <v>62</v>
      </c>
      <c r="O679" s="78">
        <v>10110033</v>
      </c>
      <c r="P679" s="42" t="str">
        <f>VLOOKUP(O679,[1]Feuil2!$A:$M,5,FALSE)</f>
        <v>LAG HERITAGE COUTEAUX DE CHEF 3PCS PAKKAWOOD POLYFLAME</v>
      </c>
      <c r="Q679" s="75">
        <v>1002</v>
      </c>
      <c r="R679" s="79">
        <v>10.53</v>
      </c>
      <c r="S679" s="80">
        <f t="shared" si="128"/>
        <v>10551.06</v>
      </c>
      <c r="T679" s="81">
        <f t="shared" si="129"/>
        <v>16810.739999999998</v>
      </c>
      <c r="U679" s="139"/>
      <c r="V679" s="82">
        <f t="shared" si="130"/>
        <v>16810.739999999998</v>
      </c>
      <c r="W679" s="9">
        <f>VLOOKUP(O679,[1]Feuil2!$A:$M,6,FALSE)</f>
        <v>6</v>
      </c>
      <c r="X679" s="10">
        <f>VLOOKUP(O679,[1]Feuil2!$A:$M,13,FALSE)</f>
        <v>1.8509249999999998E-2</v>
      </c>
      <c r="Y679" s="11">
        <f t="shared" si="131"/>
        <v>3.0910447499999996</v>
      </c>
      <c r="Z679" s="83">
        <f t="shared" si="132"/>
        <v>4.5941512499999995</v>
      </c>
      <c r="AA679" s="66" t="s">
        <v>61</v>
      </c>
      <c r="AB679" s="66" t="s">
        <v>61</v>
      </c>
      <c r="AC679" s="75"/>
      <c r="AD679" s="28" t="s">
        <v>61</v>
      </c>
      <c r="AE679" s="14"/>
      <c r="AF679" s="13"/>
      <c r="AG679" s="22" t="s">
        <v>48</v>
      </c>
      <c r="AH679" s="579" t="s">
        <v>48</v>
      </c>
      <c r="AI679" s="134">
        <v>46219</v>
      </c>
      <c r="AJ679" s="144" t="e">
        <f t="shared" ca="1" si="124"/>
        <v>#NUM!</v>
      </c>
      <c r="AK679" s="85" t="e">
        <f>VLOOKUP(AP679,'[2]CONTENEUR PLEIN'!$F:$L,3,FALSE)</f>
        <v>#N/A</v>
      </c>
      <c r="AL679" s="86" t="e">
        <f>VLOOKUP(AP679,'[2]CONTENEUR PLEIN'!$F:$L,5,FALSE)</f>
        <v>#N/A</v>
      </c>
      <c r="AM679" s="15" t="e">
        <f>VLOOKUP(AP679,'[2]CONTENEUR PLEIN'!$F:$L,7,FALSE)</f>
        <v>#N/A</v>
      </c>
      <c r="AN679" s="578" t="s">
        <v>82</v>
      </c>
      <c r="AO679" s="75"/>
      <c r="AP679" s="75"/>
      <c r="AQ679" s="75"/>
      <c r="AR679" s="75" t="e">
        <f>VLOOKUP(AP679,'[2]CONTENEUR PLEIN'!$F:$L,2,FALSE)</f>
        <v>#N/A</v>
      </c>
      <c r="AS679" s="75"/>
      <c r="AT679" s="84"/>
    </row>
    <row r="680" spans="1:46" s="72" customFormat="1" ht="15" hidden="1" customHeight="1" x14ac:dyDescent="0.25">
      <c r="B680" s="584" t="s">
        <v>45</v>
      </c>
      <c r="C680" s="74">
        <v>46091</v>
      </c>
      <c r="D680" s="234"/>
      <c r="E680" s="582" t="s">
        <v>1033</v>
      </c>
      <c r="F680" s="75">
        <v>2512241224</v>
      </c>
      <c r="G680" s="583" t="s">
        <v>112</v>
      </c>
      <c r="H680" s="581" t="s">
        <v>829</v>
      </c>
      <c r="I680" s="658">
        <v>0.3</v>
      </c>
      <c r="J680" s="581" t="s">
        <v>46</v>
      </c>
      <c r="K680" s="581" t="s">
        <v>60</v>
      </c>
      <c r="L680" s="585">
        <v>46098</v>
      </c>
      <c r="M680" s="380" t="e">
        <f t="shared" si="127"/>
        <v>#N/A</v>
      </c>
      <c r="N680" s="590" t="s">
        <v>62</v>
      </c>
      <c r="O680" s="78">
        <v>10020043</v>
      </c>
      <c r="P680" s="42" t="str">
        <f>VLOOKUP(O680,[1]Feuil2!$A:$M,5,FALSE)</f>
        <v>CISEAU 22.5CM ACIDULE SUR CARTE COULEUR ASSORTIE</v>
      </c>
      <c r="Q680" s="75">
        <v>12000</v>
      </c>
      <c r="R680" s="79">
        <v>1.8</v>
      </c>
      <c r="S680" s="80">
        <f t="shared" si="128"/>
        <v>21600</v>
      </c>
      <c r="T680" s="81">
        <f t="shared" si="129"/>
        <v>21600</v>
      </c>
      <c r="U680" s="139"/>
      <c r="V680" s="82">
        <f t="shared" si="130"/>
        <v>21600</v>
      </c>
      <c r="W680" s="9">
        <f>VLOOKUP(O680,[1]Feuil2!$A:$M,6,FALSE)</f>
        <v>48</v>
      </c>
      <c r="X680" s="10">
        <f>VLOOKUP(O680,[1]Feuil2!$A:$M,13,FALSE)</f>
        <v>3.2143999999999999E-2</v>
      </c>
      <c r="Y680" s="11">
        <f t="shared" si="131"/>
        <v>8.0359999999999996</v>
      </c>
      <c r="Z680" s="83">
        <f t="shared" si="132"/>
        <v>8.0359999999999996</v>
      </c>
      <c r="AA680" s="66" t="s">
        <v>61</v>
      </c>
      <c r="AB680" s="66" t="s">
        <v>61</v>
      </c>
      <c r="AC680" s="75"/>
      <c r="AD680" s="28" t="s">
        <v>61</v>
      </c>
      <c r="AE680" s="14"/>
      <c r="AF680" s="13"/>
      <c r="AG680" s="13"/>
      <c r="AH680" s="84"/>
      <c r="AI680" s="134">
        <v>46219</v>
      </c>
      <c r="AJ680" s="144" t="e">
        <f t="shared" ca="1" si="124"/>
        <v>#NUM!</v>
      </c>
      <c r="AK680" s="85" t="e">
        <f>VLOOKUP(AP680,'[2]CONTENEUR PLEIN'!$F:$L,3,FALSE)</f>
        <v>#N/A</v>
      </c>
      <c r="AL680" s="86" t="e">
        <f>VLOOKUP(AP680,'[2]CONTENEUR PLEIN'!$F:$L,5,FALSE)</f>
        <v>#N/A</v>
      </c>
      <c r="AM680" s="15" t="e">
        <f>VLOOKUP(AP680,'[2]CONTENEUR PLEIN'!$F:$L,7,FALSE)</f>
        <v>#N/A</v>
      </c>
      <c r="AN680" s="581" t="s">
        <v>63</v>
      </c>
      <c r="AO680" s="75"/>
      <c r="AP680" s="75"/>
      <c r="AQ680" s="75"/>
      <c r="AR680" s="75" t="e">
        <f>VLOOKUP(AP680,'[2]CONTENEUR PLEIN'!$F:$L,2,FALSE)</f>
        <v>#N/A</v>
      </c>
      <c r="AS680" s="75"/>
      <c r="AT680" s="84"/>
    </row>
    <row r="681" spans="1:46" s="72" customFormat="1" hidden="1" x14ac:dyDescent="0.25">
      <c r="B681" s="584" t="s">
        <v>45</v>
      </c>
      <c r="C681" s="74">
        <v>46091</v>
      </c>
      <c r="D681" s="75"/>
      <c r="E681" s="582" t="s">
        <v>1034</v>
      </c>
      <c r="F681" s="75">
        <v>2603100953</v>
      </c>
      <c r="G681" s="581" t="s">
        <v>303</v>
      </c>
      <c r="H681" s="581" t="s">
        <v>65</v>
      </c>
      <c r="I681" s="581" t="s">
        <v>49</v>
      </c>
      <c r="J681" s="581" t="s">
        <v>46</v>
      </c>
      <c r="K681" s="581" t="s">
        <v>60</v>
      </c>
      <c r="L681" s="581" t="s">
        <v>47</v>
      </c>
      <c r="M681" s="380" t="e">
        <f t="shared" si="127"/>
        <v>#N/A</v>
      </c>
      <c r="N681" s="378" t="s">
        <v>146</v>
      </c>
      <c r="O681" s="78">
        <v>20110061</v>
      </c>
      <c r="P681" s="42" t="str">
        <f>VLOOKUP(O681,[1]Feuil2!$A:$M,5,FALSE)</f>
        <v>M16 LAGUIOLE HERITAGE PVD NOIR EN BOITE LAGUIOLE</v>
      </c>
      <c r="Q681" s="75">
        <v>1200</v>
      </c>
      <c r="R681" s="79">
        <v>13.212</v>
      </c>
      <c r="S681" s="80">
        <f t="shared" si="128"/>
        <v>15854.4</v>
      </c>
      <c r="T681" s="81">
        <f t="shared" si="129"/>
        <v>15854.4</v>
      </c>
      <c r="U681" s="139"/>
      <c r="V681" s="82">
        <f t="shared" si="130"/>
        <v>15854.4</v>
      </c>
      <c r="W681" s="9">
        <f>VLOOKUP(O681,[1]Feuil2!$A:$M,6,FALSE)</f>
        <v>6</v>
      </c>
      <c r="X681" s="10">
        <f>VLOOKUP(O681,[1]Feuil2!$A:$M,13,FALSE)</f>
        <v>2.5162500000000004E-2</v>
      </c>
      <c r="Y681" s="11">
        <f t="shared" si="131"/>
        <v>5.0325000000000006</v>
      </c>
      <c r="Z681" s="83">
        <f t="shared" si="132"/>
        <v>5.0325000000000006</v>
      </c>
      <c r="AA681" s="66" t="s">
        <v>61</v>
      </c>
      <c r="AB681" s="66" t="s">
        <v>61</v>
      </c>
      <c r="AC681" s="75"/>
      <c r="AD681" s="28" t="s">
        <v>61</v>
      </c>
      <c r="AE681" s="14"/>
      <c r="AF681" s="13"/>
      <c r="AG681" s="13"/>
      <c r="AH681" s="84"/>
      <c r="AI681" s="134">
        <v>46219</v>
      </c>
      <c r="AJ681" s="144" t="e">
        <f t="shared" ca="1" si="124"/>
        <v>#NUM!</v>
      </c>
      <c r="AK681" s="85" t="e">
        <f>VLOOKUP(AP681,'[2]CONTENEUR PLEIN'!$F:$L,3,FALSE)</f>
        <v>#N/A</v>
      </c>
      <c r="AL681" s="86" t="e">
        <f>VLOOKUP(AP681,'[2]CONTENEUR PLEIN'!$F:$L,5,FALSE)</f>
        <v>#N/A</v>
      </c>
      <c r="AM681" s="15" t="e">
        <f>VLOOKUP(AP681,'[2]CONTENEUR PLEIN'!$F:$L,7,FALSE)</f>
        <v>#N/A</v>
      </c>
      <c r="AN681" s="581" t="s">
        <v>63</v>
      </c>
      <c r="AO681" s="75"/>
      <c r="AP681" s="75"/>
      <c r="AQ681" s="75"/>
      <c r="AR681" s="75" t="e">
        <f>VLOOKUP(AP681,'[2]CONTENEUR PLEIN'!$F:$L,2,FALSE)</f>
        <v>#N/A</v>
      </c>
      <c r="AS681" s="75"/>
      <c r="AT681" s="84"/>
    </row>
    <row r="682" spans="1:46" s="72" customFormat="1" hidden="1" x14ac:dyDescent="0.25">
      <c r="B682" s="584" t="s">
        <v>45</v>
      </c>
      <c r="C682" s="74">
        <v>46091</v>
      </c>
      <c r="D682" s="75"/>
      <c r="E682" s="582" t="s">
        <v>1035</v>
      </c>
      <c r="F682" s="75">
        <v>2602160934</v>
      </c>
      <c r="G682" s="581" t="s">
        <v>74</v>
      </c>
      <c r="H682" s="581" t="s">
        <v>1004</v>
      </c>
      <c r="I682" s="581" t="s">
        <v>49</v>
      </c>
      <c r="J682" s="581" t="s">
        <v>46</v>
      </c>
      <c r="K682" s="581" t="s">
        <v>60</v>
      </c>
      <c r="L682" s="581" t="s">
        <v>47</v>
      </c>
      <c r="M682" s="380" t="e">
        <f t="shared" si="127"/>
        <v>#N/A</v>
      </c>
      <c r="N682" s="543" t="s">
        <v>49</v>
      </c>
      <c r="O682" s="78">
        <v>10020112</v>
      </c>
      <c r="P682" s="42" t="str">
        <f>VLOOKUP(O682,[1]Feuil2!$A:$M,5,FALSE)</f>
        <v>OFFICE ACIDULE COLLECTION COULEUR 2.9</v>
      </c>
      <c r="Q682" s="75">
        <v>13248</v>
      </c>
      <c r="R682" s="79">
        <v>0.27800000000000002</v>
      </c>
      <c r="S682" s="80">
        <f t="shared" si="128"/>
        <v>3682.9440000000004</v>
      </c>
      <c r="T682" s="81">
        <f t="shared" si="129"/>
        <v>199425.85799999998</v>
      </c>
      <c r="U682" s="139"/>
      <c r="V682" s="82">
        <f t="shared" si="130"/>
        <v>199425.85799999998</v>
      </c>
      <c r="W682" s="9">
        <f>VLOOKUP(O682,[1]Feuil2!$A:$M,6,FALSE)</f>
        <v>144</v>
      </c>
      <c r="X682" s="10">
        <f>VLOOKUP(O682,[1]Feuil2!$A:$M,13,FALSE)</f>
        <v>2.0310749999999999E-2</v>
      </c>
      <c r="Y682" s="11">
        <f t="shared" si="131"/>
        <v>1.8685889999999998</v>
      </c>
      <c r="Z682" s="83">
        <f t="shared" si="132"/>
        <v>111.822822625</v>
      </c>
      <c r="AA682" s="66" t="s">
        <v>61</v>
      </c>
      <c r="AB682" s="66" t="s">
        <v>61</v>
      </c>
      <c r="AC682" s="75"/>
      <c r="AD682" s="28" t="s">
        <v>61</v>
      </c>
      <c r="AE682" s="14"/>
      <c r="AF682" s="13"/>
      <c r="AG682" s="13"/>
      <c r="AH682" s="84"/>
      <c r="AI682" s="134">
        <v>46219</v>
      </c>
      <c r="AJ682" s="144" t="e">
        <f t="shared" ca="1" si="124"/>
        <v>#NUM!</v>
      </c>
      <c r="AK682" s="85" t="e">
        <f>VLOOKUP(AP682,'[2]CONTENEUR PLEIN'!$F:$L,3,FALSE)</f>
        <v>#N/A</v>
      </c>
      <c r="AL682" s="86" t="e">
        <f>VLOOKUP(AP682,'[2]CONTENEUR PLEIN'!$F:$L,5,FALSE)</f>
        <v>#N/A</v>
      </c>
      <c r="AM682" s="15" t="e">
        <f>VLOOKUP(AP682,'[2]CONTENEUR PLEIN'!$F:$L,7,FALSE)</f>
        <v>#N/A</v>
      </c>
      <c r="AN682" s="581" t="s">
        <v>63</v>
      </c>
      <c r="AO682" s="75"/>
      <c r="AP682" s="75"/>
      <c r="AQ682" s="75"/>
      <c r="AR682" s="75" t="e">
        <f>VLOOKUP(AP682,'[2]CONTENEUR PLEIN'!$F:$L,2,FALSE)</f>
        <v>#N/A</v>
      </c>
      <c r="AS682" s="75"/>
      <c r="AT682" s="84"/>
    </row>
    <row r="683" spans="1:46" s="72" customFormat="1" hidden="1" x14ac:dyDescent="0.25">
      <c r="B683" s="584" t="s">
        <v>45</v>
      </c>
      <c r="C683" s="74">
        <v>46091</v>
      </c>
      <c r="D683" s="75"/>
      <c r="E683" s="582" t="s">
        <v>1035</v>
      </c>
      <c r="F683" s="75">
        <v>2602160934</v>
      </c>
      <c r="G683" s="581" t="s">
        <v>74</v>
      </c>
      <c r="H683" s="581" t="s">
        <v>1004</v>
      </c>
      <c r="I683" s="581" t="s">
        <v>49</v>
      </c>
      <c r="J683" s="581" t="s">
        <v>46</v>
      </c>
      <c r="K683" s="581" t="s">
        <v>60</v>
      </c>
      <c r="L683" s="581" t="s">
        <v>47</v>
      </c>
      <c r="M683" s="380" t="e">
        <f t="shared" si="127"/>
        <v>#N/A</v>
      </c>
      <c r="N683" s="543" t="s">
        <v>49</v>
      </c>
      <c r="O683" s="78">
        <v>10020113</v>
      </c>
      <c r="P683" s="42" t="str">
        <f>VLOOKUP(O683,[1]Feuil2!$A:$M,5,FALSE)</f>
        <v>EPLUCHEUR ACIDULE COLLECTION COULEUR 2.9</v>
      </c>
      <c r="Q683" s="75">
        <v>9648</v>
      </c>
      <c r="R683" s="79">
        <v>0.29699999999999999</v>
      </c>
      <c r="S683" s="80">
        <f t="shared" si="128"/>
        <v>2865.4559999999997</v>
      </c>
      <c r="T683" s="81">
        <f t="shared" si="129"/>
        <v>199425.85799999998</v>
      </c>
      <c r="U683" s="139"/>
      <c r="V683" s="82">
        <f t="shared" si="130"/>
        <v>199425.85799999998</v>
      </c>
      <c r="W683" s="9">
        <f>VLOOKUP(O683,[1]Feuil2!$A:$M,6,FALSE)</f>
        <v>144</v>
      </c>
      <c r="X683" s="10">
        <f>VLOOKUP(O683,[1]Feuil2!$A:$M,13,FALSE)</f>
        <v>1.3650000000000001E-2</v>
      </c>
      <c r="Y683" s="11">
        <f t="shared" si="131"/>
        <v>0.91455000000000009</v>
      </c>
      <c r="Z683" s="83">
        <f t="shared" si="132"/>
        <v>111.822822625</v>
      </c>
      <c r="AA683" s="66" t="s">
        <v>61</v>
      </c>
      <c r="AB683" s="66" t="s">
        <v>61</v>
      </c>
      <c r="AC683" s="75"/>
      <c r="AD683" s="28" t="s">
        <v>61</v>
      </c>
      <c r="AE683" s="14"/>
      <c r="AF683" s="13"/>
      <c r="AG683" s="13"/>
      <c r="AH683" s="84"/>
      <c r="AI683" s="134">
        <v>46219</v>
      </c>
      <c r="AJ683" s="144" t="e">
        <f t="shared" ca="1" si="124"/>
        <v>#NUM!</v>
      </c>
      <c r="AK683" s="85" t="e">
        <f>VLOOKUP(AP683,'[2]CONTENEUR PLEIN'!$F:$L,3,FALSE)</f>
        <v>#N/A</v>
      </c>
      <c r="AL683" s="86" t="e">
        <f>VLOOKUP(AP683,'[2]CONTENEUR PLEIN'!$F:$L,5,FALSE)</f>
        <v>#N/A</v>
      </c>
      <c r="AM683" s="15" t="e">
        <f>VLOOKUP(AP683,'[2]CONTENEUR PLEIN'!$F:$L,7,FALSE)</f>
        <v>#N/A</v>
      </c>
      <c r="AN683" s="581" t="s">
        <v>63</v>
      </c>
      <c r="AO683" s="75"/>
      <c r="AP683" s="75"/>
      <c r="AQ683" s="75"/>
      <c r="AR683" s="75" t="e">
        <f>VLOOKUP(AP683,'[2]CONTENEUR PLEIN'!$F:$L,2,FALSE)</f>
        <v>#N/A</v>
      </c>
      <c r="AS683" s="75"/>
      <c r="AT683" s="84"/>
    </row>
    <row r="684" spans="1:46" s="72" customFormat="1" ht="15" hidden="1" customHeight="1" x14ac:dyDescent="0.25">
      <c r="B684" s="584" t="s">
        <v>45</v>
      </c>
      <c r="C684" s="74">
        <v>46091</v>
      </c>
      <c r="D684" s="75"/>
      <c r="E684" s="582" t="s">
        <v>1035</v>
      </c>
      <c r="F684" s="75">
        <v>2602160934</v>
      </c>
      <c r="G684" s="581" t="s">
        <v>74</v>
      </c>
      <c r="H684" s="581" t="s">
        <v>1004</v>
      </c>
      <c r="I684" s="581" t="s">
        <v>49</v>
      </c>
      <c r="J684" s="581" t="s">
        <v>46</v>
      </c>
      <c r="K684" s="581" t="s">
        <v>60</v>
      </c>
      <c r="L684" s="581" t="s">
        <v>47</v>
      </c>
      <c r="M684" s="380" t="e">
        <f t="shared" si="127"/>
        <v>#N/A</v>
      </c>
      <c r="N684" s="543" t="s">
        <v>49</v>
      </c>
      <c r="O684" s="78">
        <v>20480009</v>
      </c>
      <c r="P684" s="42" t="str">
        <f>VLOOKUP(O684,[1]Feuil2!$A:$M,5,FALSE)</f>
        <v>LOT 2 TARTINEURS CLEO</v>
      </c>
      <c r="Q684" s="75">
        <v>3888</v>
      </c>
      <c r="R684" s="79">
        <v>0.40400000000000003</v>
      </c>
      <c r="S684" s="80">
        <f t="shared" si="128"/>
        <v>1570.7520000000002</v>
      </c>
      <c r="T684" s="81">
        <f t="shared" si="129"/>
        <v>199425.85799999998</v>
      </c>
      <c r="U684" s="139"/>
      <c r="V684" s="82">
        <f t="shared" si="130"/>
        <v>199425.85799999998</v>
      </c>
      <c r="W684" s="9">
        <f>VLOOKUP(O684,[1]Feuil2!$A:$M,6,FALSE)</f>
        <v>216</v>
      </c>
      <c r="X684" s="10">
        <f>VLOOKUP(O684,[1]Feuil2!$A:$M,13,FALSE)</f>
        <v>8.9759999999999996E-3</v>
      </c>
      <c r="Y684" s="11">
        <f t="shared" si="131"/>
        <v>0.16156799999999999</v>
      </c>
      <c r="Z684" s="83">
        <f t="shared" si="132"/>
        <v>111.822822625</v>
      </c>
      <c r="AA684" s="66" t="s">
        <v>61</v>
      </c>
      <c r="AB684" s="66" t="s">
        <v>61</v>
      </c>
      <c r="AC684" s="75"/>
      <c r="AD684" s="28" t="s">
        <v>61</v>
      </c>
      <c r="AE684" s="14"/>
      <c r="AF684" s="13"/>
      <c r="AG684" s="13"/>
      <c r="AH684" s="84"/>
      <c r="AI684" s="134">
        <v>46219</v>
      </c>
      <c r="AJ684" s="144" t="e">
        <f t="shared" ca="1" si="124"/>
        <v>#NUM!</v>
      </c>
      <c r="AK684" s="85" t="e">
        <f>VLOOKUP(AP684,'[2]CONTENEUR PLEIN'!$F:$L,3,FALSE)</f>
        <v>#N/A</v>
      </c>
      <c r="AL684" s="86" t="e">
        <f>VLOOKUP(AP684,'[2]CONTENEUR PLEIN'!$F:$L,5,FALSE)</f>
        <v>#N/A</v>
      </c>
      <c r="AM684" s="15" t="e">
        <f>VLOOKUP(AP684,'[2]CONTENEUR PLEIN'!$F:$L,7,FALSE)</f>
        <v>#N/A</v>
      </c>
      <c r="AN684" s="581" t="s">
        <v>63</v>
      </c>
      <c r="AO684" s="75"/>
      <c r="AP684" s="75"/>
      <c r="AQ684" s="75"/>
      <c r="AR684" s="75" t="e">
        <f>VLOOKUP(AP684,'[2]CONTENEUR PLEIN'!$F:$L,2,FALSE)</f>
        <v>#N/A</v>
      </c>
      <c r="AS684" s="75"/>
      <c r="AT684" s="84"/>
    </row>
    <row r="685" spans="1:46" s="72" customFormat="1" hidden="1" x14ac:dyDescent="0.25">
      <c r="B685" s="584" t="s">
        <v>45</v>
      </c>
      <c r="C685" s="74">
        <v>46091</v>
      </c>
      <c r="D685" s="75"/>
      <c r="E685" s="582" t="s">
        <v>1035</v>
      </c>
      <c r="F685" s="75">
        <v>2602160934</v>
      </c>
      <c r="G685" s="581" t="s">
        <v>74</v>
      </c>
      <c r="H685" s="581" t="s">
        <v>1004</v>
      </c>
      <c r="I685" s="581" t="s">
        <v>49</v>
      </c>
      <c r="J685" s="581" t="s">
        <v>46</v>
      </c>
      <c r="K685" s="581" t="s">
        <v>60</v>
      </c>
      <c r="L685" s="581" t="s">
        <v>47</v>
      </c>
      <c r="M685" s="380" t="e">
        <f t="shared" si="127"/>
        <v>#N/A</v>
      </c>
      <c r="N685" s="543" t="s">
        <v>49</v>
      </c>
      <c r="O685" s="78">
        <v>21140005</v>
      </c>
      <c r="P685" s="42" t="str">
        <f>VLOOKUP(O685,[1]Feuil2!$A:$M,5,FALSE)</f>
        <v>CAFE PALMA + GENCOD</v>
      </c>
      <c r="Q685" s="75">
        <v>8400</v>
      </c>
      <c r="R685" s="79">
        <v>0.14699999999999999</v>
      </c>
      <c r="S685" s="80">
        <f t="shared" si="128"/>
        <v>1234.8</v>
      </c>
      <c r="T685" s="81">
        <f t="shared" si="129"/>
        <v>199425.85799999998</v>
      </c>
      <c r="U685" s="139"/>
      <c r="V685" s="82">
        <f t="shared" si="130"/>
        <v>199425.85799999998</v>
      </c>
      <c r="W685" s="9">
        <f>VLOOKUP(O685,[1]Feuil2!$A:$M,6,FALSE)</f>
        <v>240</v>
      </c>
      <c r="X685" s="10">
        <f>VLOOKUP(O685,[1]Feuil2!$A:$M,13,FALSE)</f>
        <v>1.4911000000000001E-2</v>
      </c>
      <c r="Y685" s="11">
        <f t="shared" si="131"/>
        <v>0.52188500000000004</v>
      </c>
      <c r="Z685" s="83">
        <f t="shared" si="132"/>
        <v>111.822822625</v>
      </c>
      <c r="AA685" s="66" t="s">
        <v>61</v>
      </c>
      <c r="AB685" s="66" t="s">
        <v>61</v>
      </c>
      <c r="AC685" s="75"/>
      <c r="AD685" s="28" t="s">
        <v>61</v>
      </c>
      <c r="AE685" s="14"/>
      <c r="AF685" s="13"/>
      <c r="AG685" s="13"/>
      <c r="AH685" s="84"/>
      <c r="AI685" s="134">
        <v>46219</v>
      </c>
      <c r="AJ685" s="144" t="e">
        <f t="shared" ca="1" si="124"/>
        <v>#NUM!</v>
      </c>
      <c r="AK685" s="85" t="e">
        <f>VLOOKUP(AP685,'[2]CONTENEUR PLEIN'!$F:$L,3,FALSE)</f>
        <v>#N/A</v>
      </c>
      <c r="AL685" s="86" t="e">
        <f>VLOOKUP(AP685,'[2]CONTENEUR PLEIN'!$F:$L,5,FALSE)</f>
        <v>#N/A</v>
      </c>
      <c r="AM685" s="15" t="e">
        <f>VLOOKUP(AP685,'[2]CONTENEUR PLEIN'!$F:$L,7,FALSE)</f>
        <v>#N/A</v>
      </c>
      <c r="AN685" s="581" t="s">
        <v>63</v>
      </c>
      <c r="AO685" s="75"/>
      <c r="AP685" s="75"/>
      <c r="AQ685" s="75"/>
      <c r="AR685" s="75" t="e">
        <f>VLOOKUP(AP685,'[2]CONTENEUR PLEIN'!$F:$L,2,FALSE)</f>
        <v>#N/A</v>
      </c>
      <c r="AS685" s="75"/>
      <c r="AT685" s="84"/>
    </row>
    <row r="686" spans="1:46" s="72" customFormat="1" hidden="1" x14ac:dyDescent="0.25">
      <c r="B686" s="584" t="s">
        <v>45</v>
      </c>
      <c r="C686" s="74">
        <v>46091</v>
      </c>
      <c r="D686" s="75"/>
      <c r="E686" s="582" t="s">
        <v>1035</v>
      </c>
      <c r="F686" s="75">
        <v>2602160934</v>
      </c>
      <c r="G686" s="581" t="s">
        <v>74</v>
      </c>
      <c r="H686" s="581" t="s">
        <v>1004</v>
      </c>
      <c r="I686" s="581" t="s">
        <v>49</v>
      </c>
      <c r="J686" s="581" t="s">
        <v>46</v>
      </c>
      <c r="K686" s="581" t="s">
        <v>60</v>
      </c>
      <c r="L686" s="581" t="s">
        <v>47</v>
      </c>
      <c r="M686" s="380" t="e">
        <f t="shared" si="127"/>
        <v>#N/A</v>
      </c>
      <c r="N686" s="543" t="s">
        <v>49</v>
      </c>
      <c r="O686" s="78">
        <v>21970003</v>
      </c>
      <c r="P686" s="42" t="str">
        <f>VLOOKUP(O686,[1]Feuil2!$A:$M,5,FALSE)</f>
        <v>FOURCHETTE GRAPHITE SATINE VRAC+ GENCOD</v>
      </c>
      <c r="Q686" s="75">
        <v>13680</v>
      </c>
      <c r="R686" s="79">
        <v>0.183</v>
      </c>
      <c r="S686" s="80">
        <f t="shared" si="128"/>
        <v>2503.44</v>
      </c>
      <c r="T686" s="81">
        <f t="shared" si="129"/>
        <v>199425.85799999998</v>
      </c>
      <c r="U686" s="139"/>
      <c r="V686" s="82">
        <f t="shared" si="130"/>
        <v>199425.85799999998</v>
      </c>
      <c r="W686" s="9">
        <f>VLOOKUP(O686,[1]Feuil2!$A:$M,6,FALSE)</f>
        <v>120</v>
      </c>
      <c r="X686" s="10">
        <f>VLOOKUP(O686,[1]Feuil2!$A:$M,13,FALSE)</f>
        <v>1.6875000000000001E-2</v>
      </c>
      <c r="Y686" s="11">
        <f t="shared" si="131"/>
        <v>1.9237500000000001</v>
      </c>
      <c r="Z686" s="83">
        <f t="shared" si="132"/>
        <v>111.822822625</v>
      </c>
      <c r="AA686" s="66" t="s">
        <v>61</v>
      </c>
      <c r="AB686" s="66" t="s">
        <v>61</v>
      </c>
      <c r="AC686" s="75"/>
      <c r="AD686" s="28" t="s">
        <v>61</v>
      </c>
      <c r="AE686" s="14"/>
      <c r="AF686" s="13"/>
      <c r="AG686" s="13"/>
      <c r="AH686" s="84"/>
      <c r="AI686" s="134">
        <v>46219</v>
      </c>
      <c r="AJ686" s="144" t="e">
        <f t="shared" ca="1" si="124"/>
        <v>#NUM!</v>
      </c>
      <c r="AK686" s="85" t="e">
        <f>VLOOKUP(AP686,'[2]CONTENEUR PLEIN'!$F:$L,3,FALSE)</f>
        <v>#N/A</v>
      </c>
      <c r="AL686" s="86" t="e">
        <f>VLOOKUP(AP686,'[2]CONTENEUR PLEIN'!$F:$L,5,FALSE)</f>
        <v>#N/A</v>
      </c>
      <c r="AM686" s="15" t="e">
        <f>VLOOKUP(AP686,'[2]CONTENEUR PLEIN'!$F:$L,7,FALSE)</f>
        <v>#N/A</v>
      </c>
      <c r="AN686" s="581" t="s">
        <v>63</v>
      </c>
      <c r="AO686" s="75"/>
      <c r="AP686" s="75"/>
      <c r="AQ686" s="75"/>
      <c r="AR686" s="75" t="e">
        <f>VLOOKUP(AP686,'[2]CONTENEUR PLEIN'!$F:$L,2,FALSE)</f>
        <v>#N/A</v>
      </c>
      <c r="AS686" s="75"/>
      <c r="AT686" s="84"/>
    </row>
    <row r="687" spans="1:46" s="72" customFormat="1" hidden="1" x14ac:dyDescent="0.25">
      <c r="B687" s="584" t="s">
        <v>45</v>
      </c>
      <c r="C687" s="74">
        <v>46091</v>
      </c>
      <c r="D687" s="75"/>
      <c r="E687" s="582" t="s">
        <v>1035</v>
      </c>
      <c r="F687" s="75">
        <v>2602160934</v>
      </c>
      <c r="G687" s="581" t="s">
        <v>74</v>
      </c>
      <c r="H687" s="581" t="s">
        <v>1004</v>
      </c>
      <c r="I687" s="581" t="s">
        <v>49</v>
      </c>
      <c r="J687" s="581" t="s">
        <v>46</v>
      </c>
      <c r="K687" s="581" t="s">
        <v>60</v>
      </c>
      <c r="L687" s="581" t="s">
        <v>47</v>
      </c>
      <c r="M687" s="380" t="e">
        <f t="shared" si="127"/>
        <v>#N/A</v>
      </c>
      <c r="N687" s="543" t="s">
        <v>49</v>
      </c>
      <c r="O687" s="78">
        <v>21970005</v>
      </c>
      <c r="P687" s="42" t="str">
        <f>VLOOKUP(O687,[1]Feuil2!$A:$M,5,FALSE)</f>
        <v>CAFE GRAPHITE SATINE VRAC+ GENCOD</v>
      </c>
      <c r="Q687" s="75">
        <v>18240</v>
      </c>
      <c r="R687" s="79">
        <v>0.161</v>
      </c>
      <c r="S687" s="80">
        <f t="shared" si="128"/>
        <v>2936.64</v>
      </c>
      <c r="T687" s="81">
        <f t="shared" si="129"/>
        <v>199425.85799999998</v>
      </c>
      <c r="U687" s="139"/>
      <c r="V687" s="82">
        <f t="shared" si="130"/>
        <v>199425.85799999998</v>
      </c>
      <c r="W687" s="9">
        <f>VLOOKUP(O687,[1]Feuil2!$A:$M,6,FALSE)</f>
        <v>240</v>
      </c>
      <c r="X687" s="10">
        <f>VLOOKUP(O687,[1]Feuil2!$A:$M,13,FALSE)</f>
        <v>1.7010000000000001E-2</v>
      </c>
      <c r="Y687" s="11">
        <f t="shared" si="131"/>
        <v>1.2927600000000001</v>
      </c>
      <c r="Z687" s="83">
        <f t="shared" si="132"/>
        <v>111.822822625</v>
      </c>
      <c r="AA687" s="66" t="s">
        <v>61</v>
      </c>
      <c r="AB687" s="66" t="s">
        <v>61</v>
      </c>
      <c r="AC687" s="75"/>
      <c r="AD687" s="28" t="s">
        <v>61</v>
      </c>
      <c r="AE687" s="14"/>
      <c r="AF687" s="13"/>
      <c r="AG687" s="13"/>
      <c r="AH687" s="84"/>
      <c r="AI687" s="134">
        <v>46219</v>
      </c>
      <c r="AJ687" s="144" t="e">
        <f t="shared" ca="1" si="124"/>
        <v>#NUM!</v>
      </c>
      <c r="AK687" s="85" t="e">
        <f>VLOOKUP(AP687,'[2]CONTENEUR PLEIN'!$F:$L,3,FALSE)</f>
        <v>#N/A</v>
      </c>
      <c r="AL687" s="86" t="e">
        <f>VLOOKUP(AP687,'[2]CONTENEUR PLEIN'!$F:$L,5,FALSE)</f>
        <v>#N/A</v>
      </c>
      <c r="AM687" s="15" t="e">
        <f>VLOOKUP(AP687,'[2]CONTENEUR PLEIN'!$F:$L,7,FALSE)</f>
        <v>#N/A</v>
      </c>
      <c r="AN687" s="581" t="s">
        <v>63</v>
      </c>
      <c r="AO687" s="75"/>
      <c r="AP687" s="75"/>
      <c r="AQ687" s="75"/>
      <c r="AR687" s="75" t="e">
        <f>VLOOKUP(AP687,'[2]CONTENEUR PLEIN'!$F:$L,2,FALSE)</f>
        <v>#N/A</v>
      </c>
      <c r="AS687" s="75"/>
      <c r="AT687" s="84"/>
    </row>
    <row r="688" spans="1:46" s="72" customFormat="1" ht="15" hidden="1" customHeight="1" x14ac:dyDescent="0.25">
      <c r="B688" s="584" t="s">
        <v>45</v>
      </c>
      <c r="C688" s="74">
        <v>46091</v>
      </c>
      <c r="D688" s="75"/>
      <c r="E688" s="582" t="s">
        <v>1035</v>
      </c>
      <c r="F688" s="75">
        <v>2602160934</v>
      </c>
      <c r="G688" s="581" t="s">
        <v>74</v>
      </c>
      <c r="H688" s="581" t="s">
        <v>1004</v>
      </c>
      <c r="I688" s="581" t="s">
        <v>49</v>
      </c>
      <c r="J688" s="581" t="s">
        <v>46</v>
      </c>
      <c r="K688" s="581" t="s">
        <v>60</v>
      </c>
      <c r="L688" s="581" t="s">
        <v>47</v>
      </c>
      <c r="M688" s="380" t="e">
        <f t="shared" si="127"/>
        <v>#N/A</v>
      </c>
      <c r="N688" s="590" t="s">
        <v>62</v>
      </c>
      <c r="O688" s="78">
        <v>30020296</v>
      </c>
      <c r="P688" s="42" t="str">
        <f>VLOOKUP(O688,[1]Feuil2!$A:$M,5,FALSE)</f>
        <v>M16 ACIDULE BEE GRIS 430C BOITE LAGUIOLE BLEUE</v>
      </c>
      <c r="Q688" s="75">
        <v>4041</v>
      </c>
      <c r="R688" s="79">
        <v>4.6760000000000002</v>
      </c>
      <c r="S688" s="80">
        <f t="shared" si="128"/>
        <v>18895.716</v>
      </c>
      <c r="T688" s="81">
        <f t="shared" si="129"/>
        <v>199425.85799999998</v>
      </c>
      <c r="U688" s="139"/>
      <c r="V688" s="82">
        <f t="shared" si="130"/>
        <v>199425.85799999998</v>
      </c>
      <c r="W688" s="9">
        <f>VLOOKUP(O688,[1]Feuil2!$A:$M,6,FALSE)</f>
        <v>3</v>
      </c>
      <c r="X688" s="10">
        <f>VLOOKUP(O688,[1]Feuil2!$A:$M,13,FALSE)</f>
        <v>1.0671999999999999E-2</v>
      </c>
      <c r="Y688" s="11">
        <f t="shared" si="131"/>
        <v>14.375183999999999</v>
      </c>
      <c r="Z688" s="83">
        <f t="shared" si="132"/>
        <v>111.822822625</v>
      </c>
      <c r="AA688" s="66" t="s">
        <v>61</v>
      </c>
      <c r="AB688" s="66" t="s">
        <v>61</v>
      </c>
      <c r="AC688" s="75"/>
      <c r="AD688" s="28" t="s">
        <v>61</v>
      </c>
      <c r="AE688" s="14"/>
      <c r="AF688" s="13"/>
      <c r="AG688" s="13"/>
      <c r="AH688" s="84"/>
      <c r="AI688" s="134">
        <v>46219</v>
      </c>
      <c r="AJ688" s="144" t="e">
        <f t="shared" ca="1" si="124"/>
        <v>#NUM!</v>
      </c>
      <c r="AK688" s="85" t="e">
        <f>VLOOKUP(AP688,'[2]CONTENEUR PLEIN'!$F:$L,3,FALSE)</f>
        <v>#N/A</v>
      </c>
      <c r="AL688" s="86" t="e">
        <f>VLOOKUP(AP688,'[2]CONTENEUR PLEIN'!$F:$L,5,FALSE)</f>
        <v>#N/A</v>
      </c>
      <c r="AM688" s="15" t="e">
        <f>VLOOKUP(AP688,'[2]CONTENEUR PLEIN'!$F:$L,7,FALSE)</f>
        <v>#N/A</v>
      </c>
      <c r="AN688" s="581" t="s">
        <v>63</v>
      </c>
      <c r="AO688" s="75"/>
      <c r="AP688" s="75"/>
      <c r="AQ688" s="75"/>
      <c r="AR688" s="75" t="e">
        <f>VLOOKUP(AP688,'[2]CONTENEUR PLEIN'!$F:$L,2,FALSE)</f>
        <v>#N/A</v>
      </c>
      <c r="AS688" s="75"/>
      <c r="AT688" s="84"/>
    </row>
    <row r="689" spans="2:46" s="72" customFormat="1" hidden="1" x14ac:dyDescent="0.25">
      <c r="B689" s="584" t="s">
        <v>45</v>
      </c>
      <c r="C689" s="74">
        <v>46091</v>
      </c>
      <c r="D689" s="75"/>
      <c r="E689" s="582" t="s">
        <v>1035</v>
      </c>
      <c r="F689" s="75">
        <v>2602160934</v>
      </c>
      <c r="G689" s="581" t="s">
        <v>74</v>
      </c>
      <c r="H689" s="581" t="s">
        <v>1004</v>
      </c>
      <c r="I689" s="581" t="s">
        <v>49</v>
      </c>
      <c r="J689" s="581" t="s">
        <v>46</v>
      </c>
      <c r="K689" s="581" t="s">
        <v>60</v>
      </c>
      <c r="L689" s="581" t="s">
        <v>47</v>
      </c>
      <c r="M689" s="380" t="e">
        <f t="shared" si="127"/>
        <v>#N/A</v>
      </c>
      <c r="N689" s="543" t="s">
        <v>49</v>
      </c>
      <c r="O689" s="78">
        <v>30170008</v>
      </c>
      <c r="P689" s="42" t="str">
        <f>VLOOKUP(O689,[1]Feuil2!$A:$M,5,FALSE)</f>
        <v>COUTEAU LAG DUO GRIS COOL GREY 7C+ GENCOD</v>
      </c>
      <c r="Q689" s="75">
        <v>12960</v>
      </c>
      <c r="R689" s="79">
        <v>0.33100000000000002</v>
      </c>
      <c r="S689" s="80">
        <f t="shared" si="128"/>
        <v>4289.76</v>
      </c>
      <c r="T689" s="81">
        <f t="shared" si="129"/>
        <v>199425.85799999998</v>
      </c>
      <c r="U689" s="139"/>
      <c r="V689" s="82">
        <f t="shared" si="130"/>
        <v>199425.85799999998</v>
      </c>
      <c r="W689" s="9">
        <f>VLOOKUP(O689,[1]Feuil2!$A:$M,6,FALSE)</f>
        <v>240</v>
      </c>
      <c r="X689" s="10">
        <f>VLOOKUP(O689,[1]Feuil2!$A:$M,13,FALSE)</f>
        <v>3.1849999999999996E-2</v>
      </c>
      <c r="Y689" s="11">
        <f t="shared" si="131"/>
        <v>1.7198999999999998</v>
      </c>
      <c r="Z689" s="83">
        <f t="shared" si="132"/>
        <v>111.822822625</v>
      </c>
      <c r="AA689" s="66" t="s">
        <v>61</v>
      </c>
      <c r="AB689" s="66" t="s">
        <v>61</v>
      </c>
      <c r="AC689" s="75"/>
      <c r="AD689" s="28" t="s">
        <v>61</v>
      </c>
      <c r="AE689" s="14"/>
      <c r="AF689" s="13"/>
      <c r="AG689" s="13"/>
      <c r="AH689" s="84"/>
      <c r="AI689" s="134">
        <v>46219</v>
      </c>
      <c r="AJ689" s="144" t="e">
        <f t="shared" ca="1" si="124"/>
        <v>#NUM!</v>
      </c>
      <c r="AK689" s="85" t="e">
        <f>VLOOKUP(AP689,'[2]CONTENEUR PLEIN'!$F:$L,3,FALSE)</f>
        <v>#N/A</v>
      </c>
      <c r="AL689" s="86" t="e">
        <f>VLOOKUP(AP689,'[2]CONTENEUR PLEIN'!$F:$L,5,FALSE)</f>
        <v>#N/A</v>
      </c>
      <c r="AM689" s="15" t="e">
        <f>VLOOKUP(AP689,'[2]CONTENEUR PLEIN'!$F:$L,7,FALSE)</f>
        <v>#N/A</v>
      </c>
      <c r="AN689" s="581" t="s">
        <v>63</v>
      </c>
      <c r="AO689" s="75"/>
      <c r="AP689" s="75"/>
      <c r="AQ689" s="75"/>
      <c r="AR689" s="75" t="e">
        <f>VLOOKUP(AP689,'[2]CONTENEUR PLEIN'!$F:$L,2,FALSE)</f>
        <v>#N/A</v>
      </c>
      <c r="AS689" s="75"/>
      <c r="AT689" s="84"/>
    </row>
    <row r="690" spans="2:46" s="72" customFormat="1" hidden="1" x14ac:dyDescent="0.25">
      <c r="B690" s="584" t="s">
        <v>45</v>
      </c>
      <c r="C690" s="74">
        <v>46091</v>
      </c>
      <c r="D690" s="75"/>
      <c r="E690" s="582" t="s">
        <v>1035</v>
      </c>
      <c r="F690" s="75">
        <v>2602160934</v>
      </c>
      <c r="G690" s="581" t="s">
        <v>74</v>
      </c>
      <c r="H690" s="581" t="s">
        <v>1004</v>
      </c>
      <c r="I690" s="581" t="s">
        <v>49</v>
      </c>
      <c r="J690" s="581" t="s">
        <v>46</v>
      </c>
      <c r="K690" s="581" t="s">
        <v>60</v>
      </c>
      <c r="L690" s="581" t="s">
        <v>47</v>
      </c>
      <c r="M690" s="380" t="e">
        <f t="shared" si="127"/>
        <v>#N/A</v>
      </c>
      <c r="N690" s="543" t="s">
        <v>49</v>
      </c>
      <c r="O690" s="78">
        <v>30170025</v>
      </c>
      <c r="P690" s="42" t="str">
        <f>VLOOKUP(O690,[1]Feuil2!$A:$M,5,FALSE)</f>
        <v>FOURCHETTE LAG DUO NOIR+ GENCOD</v>
      </c>
      <c r="Q690" s="75">
        <v>7440</v>
      </c>
      <c r="R690" s="79">
        <v>0.318</v>
      </c>
      <c r="S690" s="80">
        <f t="shared" si="128"/>
        <v>2365.92</v>
      </c>
      <c r="T690" s="81">
        <f t="shared" si="129"/>
        <v>199425.85799999998</v>
      </c>
      <c r="U690" s="139"/>
      <c r="V690" s="82">
        <f t="shared" si="130"/>
        <v>199425.85799999998</v>
      </c>
      <c r="W690" s="9">
        <f>VLOOKUP(O690,[1]Feuil2!$A:$M,6,FALSE)</f>
        <v>240</v>
      </c>
      <c r="X690" s="10">
        <f>VLOOKUP(O690,[1]Feuil2!$A:$M,13,FALSE)</f>
        <v>2.8940625000000001E-2</v>
      </c>
      <c r="Y690" s="11">
        <f t="shared" si="131"/>
        <v>0.89715937499999998</v>
      </c>
      <c r="Z690" s="83">
        <f t="shared" si="132"/>
        <v>111.822822625</v>
      </c>
      <c r="AA690" s="66" t="s">
        <v>61</v>
      </c>
      <c r="AB690" s="66" t="s">
        <v>61</v>
      </c>
      <c r="AC690" s="75"/>
      <c r="AD690" s="28" t="s">
        <v>61</v>
      </c>
      <c r="AE690" s="14"/>
      <c r="AF690" s="13"/>
      <c r="AG690" s="13"/>
      <c r="AH690" s="84"/>
      <c r="AI690" s="134">
        <v>46219</v>
      </c>
      <c r="AJ690" s="144" t="e">
        <f t="shared" ca="1" si="124"/>
        <v>#NUM!</v>
      </c>
      <c r="AK690" s="85" t="e">
        <f>VLOOKUP(AP690,'[2]CONTENEUR PLEIN'!$F:$L,3,FALSE)</f>
        <v>#N/A</v>
      </c>
      <c r="AL690" s="86" t="e">
        <f>VLOOKUP(AP690,'[2]CONTENEUR PLEIN'!$F:$L,5,FALSE)</f>
        <v>#N/A</v>
      </c>
      <c r="AM690" s="15" t="e">
        <f>VLOOKUP(AP690,'[2]CONTENEUR PLEIN'!$F:$L,7,FALSE)</f>
        <v>#N/A</v>
      </c>
      <c r="AN690" s="581" t="s">
        <v>63</v>
      </c>
      <c r="AO690" s="75"/>
      <c r="AP690" s="75"/>
      <c r="AQ690" s="75"/>
      <c r="AR690" s="75" t="e">
        <f>VLOOKUP(AP690,'[2]CONTENEUR PLEIN'!$F:$L,2,FALSE)</f>
        <v>#N/A</v>
      </c>
      <c r="AS690" s="75"/>
      <c r="AT690" s="84"/>
    </row>
    <row r="691" spans="2:46" s="72" customFormat="1" hidden="1" x14ac:dyDescent="0.25">
      <c r="B691" s="584" t="s">
        <v>45</v>
      </c>
      <c r="C691" s="74">
        <v>46091</v>
      </c>
      <c r="D691" s="75"/>
      <c r="E691" s="582" t="s">
        <v>1035</v>
      </c>
      <c r="F691" s="75">
        <v>2602160934</v>
      </c>
      <c r="G691" s="581" t="s">
        <v>74</v>
      </c>
      <c r="H691" s="581" t="s">
        <v>1004</v>
      </c>
      <c r="I691" s="581" t="s">
        <v>49</v>
      </c>
      <c r="J691" s="581" t="s">
        <v>46</v>
      </c>
      <c r="K691" s="581" t="s">
        <v>60</v>
      </c>
      <c r="L691" s="581" t="s">
        <v>47</v>
      </c>
      <c r="M691" s="380" t="e">
        <f t="shared" si="127"/>
        <v>#N/A</v>
      </c>
      <c r="N691" s="543" t="s">
        <v>49</v>
      </c>
      <c r="O691" s="78">
        <v>30170026</v>
      </c>
      <c r="P691" s="42" t="str">
        <f>VLOOKUP(O691,[1]Feuil2!$A:$M,5,FALSE)</f>
        <v>CUILLERE LAG DUO NOIR+ GENCOD</v>
      </c>
      <c r="Q691" s="75">
        <v>2880</v>
      </c>
      <c r="R691" s="79">
        <v>0.32200000000000001</v>
      </c>
      <c r="S691" s="80">
        <f t="shared" si="128"/>
        <v>927.36</v>
      </c>
      <c r="T691" s="81">
        <f t="shared" si="129"/>
        <v>199425.85799999998</v>
      </c>
      <c r="U691" s="139"/>
      <c r="V691" s="82">
        <f t="shared" si="130"/>
        <v>199425.85799999998</v>
      </c>
      <c r="W691" s="9">
        <f>VLOOKUP(O691,[1]Feuil2!$A:$M,6,FALSE)</f>
        <v>240</v>
      </c>
      <c r="X691" s="10">
        <f>VLOOKUP(O691,[1]Feuil2!$A:$M,13,FALSE)</f>
        <v>2.9791999999999999E-2</v>
      </c>
      <c r="Y691" s="11">
        <f t="shared" si="131"/>
        <v>0.35750399999999999</v>
      </c>
      <c r="Z691" s="83">
        <f t="shared" si="132"/>
        <v>111.822822625</v>
      </c>
      <c r="AA691" s="66" t="s">
        <v>61</v>
      </c>
      <c r="AB691" s="66" t="s">
        <v>61</v>
      </c>
      <c r="AC691" s="75"/>
      <c r="AD691" s="28" t="s">
        <v>61</v>
      </c>
      <c r="AE691" s="14"/>
      <c r="AF691" s="13"/>
      <c r="AG691" s="13"/>
      <c r="AH691" s="84"/>
      <c r="AI691" s="134">
        <v>46219</v>
      </c>
      <c r="AJ691" s="144" t="e">
        <f t="shared" ca="1" si="124"/>
        <v>#NUM!</v>
      </c>
      <c r="AK691" s="85" t="e">
        <f>VLOOKUP(AP691,'[2]CONTENEUR PLEIN'!$F:$L,3,FALSE)</f>
        <v>#N/A</v>
      </c>
      <c r="AL691" s="86" t="e">
        <f>VLOOKUP(AP691,'[2]CONTENEUR PLEIN'!$F:$L,5,FALSE)</f>
        <v>#N/A</v>
      </c>
      <c r="AM691" s="15" t="e">
        <f>VLOOKUP(AP691,'[2]CONTENEUR PLEIN'!$F:$L,7,FALSE)</f>
        <v>#N/A</v>
      </c>
      <c r="AN691" s="581" t="s">
        <v>63</v>
      </c>
      <c r="AO691" s="75"/>
      <c r="AP691" s="75"/>
      <c r="AQ691" s="75"/>
      <c r="AR691" s="75" t="e">
        <f>VLOOKUP(AP691,'[2]CONTENEUR PLEIN'!$F:$L,2,FALSE)</f>
        <v>#N/A</v>
      </c>
      <c r="AS691" s="75"/>
      <c r="AT691" s="84"/>
    </row>
    <row r="692" spans="2:46" s="72" customFormat="1" ht="15" hidden="1" customHeight="1" x14ac:dyDescent="0.25">
      <c r="B692" s="584" t="s">
        <v>45</v>
      </c>
      <c r="C692" s="74">
        <v>46091</v>
      </c>
      <c r="D692" s="75"/>
      <c r="E692" s="582" t="s">
        <v>1035</v>
      </c>
      <c r="F692" s="75">
        <v>2602160934</v>
      </c>
      <c r="G692" s="581" t="s">
        <v>74</v>
      </c>
      <c r="H692" s="581" t="s">
        <v>1004</v>
      </c>
      <c r="I692" s="581" t="s">
        <v>49</v>
      </c>
      <c r="J692" s="581" t="s">
        <v>46</v>
      </c>
      <c r="K692" s="581" t="s">
        <v>60</v>
      </c>
      <c r="L692" s="581" t="s">
        <v>47</v>
      </c>
      <c r="M692" s="380" t="e">
        <f t="shared" si="127"/>
        <v>#N/A</v>
      </c>
      <c r="N692" s="543" t="s">
        <v>49</v>
      </c>
      <c r="O692" s="78">
        <v>30170027</v>
      </c>
      <c r="P692" s="42" t="str">
        <f>VLOOKUP(O692,[1]Feuil2!$A:$M,5,FALSE)</f>
        <v>CAFE LAG DUO NOIR+ GENCOD</v>
      </c>
      <c r="Q692" s="75">
        <v>8400</v>
      </c>
      <c r="R692" s="79">
        <v>0.23599999999999999</v>
      </c>
      <c r="S692" s="80">
        <f t="shared" si="128"/>
        <v>1982.3999999999999</v>
      </c>
      <c r="T692" s="81">
        <f t="shared" si="129"/>
        <v>199425.85799999998</v>
      </c>
      <c r="U692" s="139"/>
      <c r="V692" s="82">
        <f t="shared" si="130"/>
        <v>199425.85799999998</v>
      </c>
      <c r="W692" s="9">
        <f>VLOOKUP(O692,[1]Feuil2!$A:$M,6,FALSE)</f>
        <v>240</v>
      </c>
      <c r="X692" s="10">
        <f>VLOOKUP(O692,[1]Feuil2!$A:$M,13,FALSE)</f>
        <v>2.0645625000000001E-2</v>
      </c>
      <c r="Y692" s="11">
        <f t="shared" si="131"/>
        <v>0.72259687500000003</v>
      </c>
      <c r="Z692" s="83">
        <f t="shared" si="132"/>
        <v>111.822822625</v>
      </c>
      <c r="AA692" s="66" t="s">
        <v>61</v>
      </c>
      <c r="AB692" s="66" t="s">
        <v>61</v>
      </c>
      <c r="AC692" s="75"/>
      <c r="AD692" s="28" t="s">
        <v>61</v>
      </c>
      <c r="AE692" s="14"/>
      <c r="AF692" s="13"/>
      <c r="AG692" s="13"/>
      <c r="AH692" s="84"/>
      <c r="AI692" s="134">
        <v>46219</v>
      </c>
      <c r="AJ692" s="144" t="e">
        <f t="shared" ca="1" si="124"/>
        <v>#NUM!</v>
      </c>
      <c r="AK692" s="85" t="e">
        <f>VLOOKUP(AP692,'[2]CONTENEUR PLEIN'!$F:$L,3,FALSE)</f>
        <v>#N/A</v>
      </c>
      <c r="AL692" s="86" t="e">
        <f>VLOOKUP(AP692,'[2]CONTENEUR PLEIN'!$F:$L,5,FALSE)</f>
        <v>#N/A</v>
      </c>
      <c r="AM692" s="15" t="e">
        <f>VLOOKUP(AP692,'[2]CONTENEUR PLEIN'!$F:$L,7,FALSE)</f>
        <v>#N/A</v>
      </c>
      <c r="AN692" s="581" t="s">
        <v>63</v>
      </c>
      <c r="AO692" s="75"/>
      <c r="AP692" s="75"/>
      <c r="AQ692" s="75"/>
      <c r="AR692" s="75" t="e">
        <f>VLOOKUP(AP692,'[2]CONTENEUR PLEIN'!$F:$L,2,FALSE)</f>
        <v>#N/A</v>
      </c>
      <c r="AS692" s="75"/>
      <c r="AT692" s="84"/>
    </row>
    <row r="693" spans="2:46" s="72" customFormat="1" hidden="1" x14ac:dyDescent="0.25">
      <c r="B693" s="584" t="s">
        <v>45</v>
      </c>
      <c r="C693" s="74">
        <v>46091</v>
      </c>
      <c r="D693" s="75"/>
      <c r="E693" s="582" t="s">
        <v>1035</v>
      </c>
      <c r="F693" s="75">
        <v>2602160934</v>
      </c>
      <c r="G693" s="581" t="s">
        <v>74</v>
      </c>
      <c r="H693" s="581" t="s">
        <v>1004</v>
      </c>
      <c r="I693" s="581" t="s">
        <v>49</v>
      </c>
      <c r="J693" s="581" t="s">
        <v>46</v>
      </c>
      <c r="K693" s="581" t="s">
        <v>60</v>
      </c>
      <c r="L693" s="581" t="s">
        <v>47</v>
      </c>
      <c r="M693" s="380" t="e">
        <f t="shared" si="127"/>
        <v>#N/A</v>
      </c>
      <c r="N693" s="543" t="s">
        <v>49</v>
      </c>
      <c r="O693" s="78">
        <v>30170028</v>
      </c>
      <c r="P693" s="42" t="str">
        <f>VLOOKUP(O693,[1]Feuil2!$A:$M,5,FALSE)</f>
        <v>COUTEAU LAG DUO ROUGE 200 C+ GENCOD</v>
      </c>
      <c r="Q693" s="75">
        <v>8640</v>
      </c>
      <c r="R693" s="79">
        <v>0.33100000000000002</v>
      </c>
      <c r="S693" s="80">
        <f t="shared" si="128"/>
        <v>2859.84</v>
      </c>
      <c r="T693" s="81">
        <f t="shared" si="129"/>
        <v>199425.85799999998</v>
      </c>
      <c r="U693" s="139"/>
      <c r="V693" s="82">
        <f t="shared" si="130"/>
        <v>199425.85799999998</v>
      </c>
      <c r="W693" s="9">
        <f>VLOOKUP(O693,[1]Feuil2!$A:$M,6,FALSE)</f>
        <v>240</v>
      </c>
      <c r="X693" s="10">
        <f>VLOOKUP(O693,[1]Feuil2!$A:$M,13,FALSE)</f>
        <v>2.9940625000000002E-2</v>
      </c>
      <c r="Y693" s="11">
        <f t="shared" si="131"/>
        <v>1.0778625000000002</v>
      </c>
      <c r="Z693" s="83">
        <f t="shared" si="132"/>
        <v>111.822822625</v>
      </c>
      <c r="AA693" s="66" t="s">
        <v>61</v>
      </c>
      <c r="AB693" s="66" t="s">
        <v>61</v>
      </c>
      <c r="AC693" s="75"/>
      <c r="AD693" s="28" t="s">
        <v>61</v>
      </c>
      <c r="AE693" s="14"/>
      <c r="AF693" s="13"/>
      <c r="AG693" s="13"/>
      <c r="AH693" s="84"/>
      <c r="AI693" s="134">
        <v>46219</v>
      </c>
      <c r="AJ693" s="144" t="e">
        <f t="shared" ca="1" si="124"/>
        <v>#NUM!</v>
      </c>
      <c r="AK693" s="85" t="e">
        <f>VLOOKUP(AP693,'[2]CONTENEUR PLEIN'!$F:$L,3,FALSE)</f>
        <v>#N/A</v>
      </c>
      <c r="AL693" s="86" t="e">
        <f>VLOOKUP(AP693,'[2]CONTENEUR PLEIN'!$F:$L,5,FALSE)</f>
        <v>#N/A</v>
      </c>
      <c r="AM693" s="15" t="e">
        <f>VLOOKUP(AP693,'[2]CONTENEUR PLEIN'!$F:$L,7,FALSE)</f>
        <v>#N/A</v>
      </c>
      <c r="AN693" s="581" t="s">
        <v>63</v>
      </c>
      <c r="AO693" s="75"/>
      <c r="AP693" s="75"/>
      <c r="AQ693" s="75"/>
      <c r="AR693" s="75" t="e">
        <f>VLOOKUP(AP693,'[2]CONTENEUR PLEIN'!$F:$L,2,FALSE)</f>
        <v>#N/A</v>
      </c>
      <c r="AS693" s="75"/>
      <c r="AT693" s="84"/>
    </row>
    <row r="694" spans="2:46" s="72" customFormat="1" hidden="1" x14ac:dyDescent="0.25">
      <c r="B694" s="584" t="s">
        <v>45</v>
      </c>
      <c r="C694" s="74">
        <v>46091</v>
      </c>
      <c r="D694" s="75"/>
      <c r="E694" s="582" t="s">
        <v>1035</v>
      </c>
      <c r="F694" s="75">
        <v>2602160934</v>
      </c>
      <c r="G694" s="581" t="s">
        <v>74</v>
      </c>
      <c r="H694" s="581" t="s">
        <v>1004</v>
      </c>
      <c r="I694" s="581" t="s">
        <v>49</v>
      </c>
      <c r="J694" s="581" t="s">
        <v>46</v>
      </c>
      <c r="K694" s="581" t="s">
        <v>60</v>
      </c>
      <c r="L694" s="581" t="s">
        <v>47</v>
      </c>
      <c r="M694" s="380" t="e">
        <f t="shared" si="127"/>
        <v>#N/A</v>
      </c>
      <c r="N694" s="543" t="s">
        <v>49</v>
      </c>
      <c r="O694" s="78">
        <v>30170031</v>
      </c>
      <c r="P694" s="42" t="str">
        <f>VLOOKUP(O694,[1]Feuil2!$A:$M,5,FALSE)</f>
        <v>CAFE LAG DUO ROUGE 200 C+ GENCOD</v>
      </c>
      <c r="Q694" s="75">
        <v>8400</v>
      </c>
      <c r="R694" s="79">
        <v>0.23599999999999999</v>
      </c>
      <c r="S694" s="80">
        <f t="shared" si="128"/>
        <v>1982.3999999999999</v>
      </c>
      <c r="T694" s="81">
        <f t="shared" si="129"/>
        <v>199425.85799999998</v>
      </c>
      <c r="U694" s="139"/>
      <c r="V694" s="82">
        <f t="shared" si="130"/>
        <v>199425.85799999998</v>
      </c>
      <c r="W694" s="9">
        <f>VLOOKUP(O694,[1]Feuil2!$A:$M,6,FALSE)</f>
        <v>240</v>
      </c>
      <c r="X694" s="10">
        <f>VLOOKUP(O694,[1]Feuil2!$A:$M,13,FALSE)</f>
        <v>2.0645625000000001E-2</v>
      </c>
      <c r="Y694" s="11">
        <f t="shared" si="131"/>
        <v>0.72259687500000003</v>
      </c>
      <c r="Z694" s="83">
        <f t="shared" si="132"/>
        <v>111.822822625</v>
      </c>
      <c r="AA694" s="66" t="s">
        <v>61</v>
      </c>
      <c r="AB694" s="66" t="s">
        <v>61</v>
      </c>
      <c r="AC694" s="75"/>
      <c r="AD694" s="28" t="s">
        <v>61</v>
      </c>
      <c r="AE694" s="14"/>
      <c r="AF694" s="13"/>
      <c r="AG694" s="13"/>
      <c r="AH694" s="84"/>
      <c r="AI694" s="134">
        <v>46219</v>
      </c>
      <c r="AJ694" s="144" t="e">
        <f t="shared" ca="1" si="124"/>
        <v>#NUM!</v>
      </c>
      <c r="AK694" s="85" t="e">
        <f>VLOOKUP(AP694,'[2]CONTENEUR PLEIN'!$F:$L,3,FALSE)</f>
        <v>#N/A</v>
      </c>
      <c r="AL694" s="86" t="e">
        <f>VLOOKUP(AP694,'[2]CONTENEUR PLEIN'!$F:$L,5,FALSE)</f>
        <v>#N/A</v>
      </c>
      <c r="AM694" s="15" t="e">
        <f>VLOOKUP(AP694,'[2]CONTENEUR PLEIN'!$F:$L,7,FALSE)</f>
        <v>#N/A</v>
      </c>
      <c r="AN694" s="581" t="s">
        <v>63</v>
      </c>
      <c r="AO694" s="75"/>
      <c r="AP694" s="75"/>
      <c r="AQ694" s="75"/>
      <c r="AR694" s="75" t="e">
        <f>VLOOKUP(AP694,'[2]CONTENEUR PLEIN'!$F:$L,2,FALSE)</f>
        <v>#N/A</v>
      </c>
      <c r="AS694" s="75"/>
      <c r="AT694" s="84"/>
    </row>
    <row r="695" spans="2:46" s="72" customFormat="1" hidden="1" x14ac:dyDescent="0.25">
      <c r="B695" s="584" t="s">
        <v>45</v>
      </c>
      <c r="C695" s="74">
        <v>46091</v>
      </c>
      <c r="D695" s="75"/>
      <c r="E695" s="582" t="s">
        <v>1035</v>
      </c>
      <c r="F695" s="75">
        <v>2602160934</v>
      </c>
      <c r="G695" s="581" t="s">
        <v>74</v>
      </c>
      <c r="H695" s="581" t="s">
        <v>1004</v>
      </c>
      <c r="I695" s="581" t="s">
        <v>49</v>
      </c>
      <c r="J695" s="581" t="s">
        <v>46</v>
      </c>
      <c r="K695" s="581" t="s">
        <v>60</v>
      </c>
      <c r="L695" s="581" t="s">
        <v>47</v>
      </c>
      <c r="M695" s="380" t="e">
        <f t="shared" si="127"/>
        <v>#N/A</v>
      </c>
      <c r="N695" s="543" t="s">
        <v>49</v>
      </c>
      <c r="O695" s="78">
        <v>30170037</v>
      </c>
      <c r="P695" s="42" t="str">
        <f>VLOOKUP(O695,[1]Feuil2!$A:$M,5,FALSE)</f>
        <v>COUTEAU LAG DUO BLANC + GENCOD</v>
      </c>
      <c r="Q695" s="75">
        <v>7680</v>
      </c>
      <c r="R695" s="79">
        <v>0.33100000000000002</v>
      </c>
      <c r="S695" s="80">
        <f t="shared" si="128"/>
        <v>2542.08</v>
      </c>
      <c r="T695" s="81">
        <f t="shared" si="129"/>
        <v>199425.85799999998</v>
      </c>
      <c r="U695" s="139"/>
      <c r="V695" s="82">
        <f t="shared" si="130"/>
        <v>199425.85799999998</v>
      </c>
      <c r="W695" s="9">
        <f>VLOOKUP(O695,[1]Feuil2!$A:$M,6,FALSE)</f>
        <v>240</v>
      </c>
      <c r="X695" s="10">
        <f>VLOOKUP(O695,[1]Feuil2!$A:$M,13,FALSE)</f>
        <v>3.0485000000000002E-2</v>
      </c>
      <c r="Y695" s="11">
        <f t="shared" si="131"/>
        <v>0.97552000000000005</v>
      </c>
      <c r="Z695" s="83">
        <f t="shared" si="132"/>
        <v>111.822822625</v>
      </c>
      <c r="AA695" s="66" t="s">
        <v>61</v>
      </c>
      <c r="AB695" s="66" t="s">
        <v>61</v>
      </c>
      <c r="AC695" s="75"/>
      <c r="AD695" s="28" t="s">
        <v>61</v>
      </c>
      <c r="AE695" s="14"/>
      <c r="AF695" s="13"/>
      <c r="AG695" s="13"/>
      <c r="AH695" s="84"/>
      <c r="AI695" s="134">
        <v>46219</v>
      </c>
      <c r="AJ695" s="144" t="e">
        <f t="shared" ca="1" si="124"/>
        <v>#NUM!</v>
      </c>
      <c r="AK695" s="85" t="e">
        <f>VLOOKUP(AP695,'[2]CONTENEUR PLEIN'!$F:$L,3,FALSE)</f>
        <v>#N/A</v>
      </c>
      <c r="AL695" s="86" t="e">
        <f>VLOOKUP(AP695,'[2]CONTENEUR PLEIN'!$F:$L,5,FALSE)</f>
        <v>#N/A</v>
      </c>
      <c r="AM695" s="15" t="e">
        <f>VLOOKUP(AP695,'[2]CONTENEUR PLEIN'!$F:$L,7,FALSE)</f>
        <v>#N/A</v>
      </c>
      <c r="AN695" s="581" t="s">
        <v>63</v>
      </c>
      <c r="AO695" s="75"/>
      <c r="AP695" s="75"/>
      <c r="AQ695" s="75"/>
      <c r="AR695" s="75" t="e">
        <f>VLOOKUP(AP695,'[2]CONTENEUR PLEIN'!$F:$L,2,FALSE)</f>
        <v>#N/A</v>
      </c>
      <c r="AS695" s="75"/>
      <c r="AT695" s="84"/>
    </row>
    <row r="696" spans="2:46" s="72" customFormat="1" ht="15" hidden="1" customHeight="1" x14ac:dyDescent="0.25">
      <c r="B696" s="584" t="s">
        <v>45</v>
      </c>
      <c r="C696" s="74">
        <v>46091</v>
      </c>
      <c r="D696" s="75"/>
      <c r="E696" s="582" t="s">
        <v>1035</v>
      </c>
      <c r="F696" s="75">
        <v>2602160934</v>
      </c>
      <c r="G696" s="581" t="s">
        <v>74</v>
      </c>
      <c r="H696" s="581" t="s">
        <v>1004</v>
      </c>
      <c r="I696" s="581" t="s">
        <v>49</v>
      </c>
      <c r="J696" s="581" t="s">
        <v>46</v>
      </c>
      <c r="K696" s="581" t="s">
        <v>60</v>
      </c>
      <c r="L696" s="581" t="s">
        <v>47</v>
      </c>
      <c r="M696" s="380" t="e">
        <f t="shared" si="127"/>
        <v>#N/A</v>
      </c>
      <c r="N696" s="543" t="s">
        <v>49</v>
      </c>
      <c r="O696" s="78">
        <v>30170040</v>
      </c>
      <c r="P696" s="42" t="str">
        <f>VLOOKUP(O696,[1]Feuil2!$A:$M,5,FALSE)</f>
        <v>CAFE LAG DUO BLANC + GENCOD</v>
      </c>
      <c r="Q696" s="75">
        <v>6480</v>
      </c>
      <c r="R696" s="79">
        <v>0.23599999999999999</v>
      </c>
      <c r="S696" s="80">
        <f t="shared" si="128"/>
        <v>1529.28</v>
      </c>
      <c r="T696" s="81">
        <f t="shared" si="129"/>
        <v>199425.85799999998</v>
      </c>
      <c r="U696" s="139"/>
      <c r="V696" s="82">
        <f t="shared" si="130"/>
        <v>199425.85799999998</v>
      </c>
      <c r="W696" s="9">
        <f>VLOOKUP(O696,[1]Feuil2!$A:$M,6,FALSE)</f>
        <v>240</v>
      </c>
      <c r="X696" s="10">
        <f>VLOOKUP(O696,[1]Feuil2!$A:$M,13,FALSE)</f>
        <v>2.0645625000000001E-2</v>
      </c>
      <c r="Y696" s="11">
        <f t="shared" si="131"/>
        <v>0.55743187500000002</v>
      </c>
      <c r="Z696" s="83">
        <f t="shared" si="132"/>
        <v>111.822822625</v>
      </c>
      <c r="AA696" s="66" t="s">
        <v>61</v>
      </c>
      <c r="AB696" s="66" t="s">
        <v>61</v>
      </c>
      <c r="AC696" s="75"/>
      <c r="AD696" s="28" t="s">
        <v>61</v>
      </c>
      <c r="AE696" s="14"/>
      <c r="AF696" s="13"/>
      <c r="AG696" s="13"/>
      <c r="AH696" s="84"/>
      <c r="AI696" s="134">
        <v>46219</v>
      </c>
      <c r="AJ696" s="144" t="e">
        <f t="shared" ca="1" si="124"/>
        <v>#NUM!</v>
      </c>
      <c r="AK696" s="85" t="e">
        <f>VLOOKUP(AP696,'[2]CONTENEUR PLEIN'!$F:$L,3,FALSE)</f>
        <v>#N/A</v>
      </c>
      <c r="AL696" s="86" t="e">
        <f>VLOOKUP(AP696,'[2]CONTENEUR PLEIN'!$F:$L,5,FALSE)</f>
        <v>#N/A</v>
      </c>
      <c r="AM696" s="15" t="e">
        <f>VLOOKUP(AP696,'[2]CONTENEUR PLEIN'!$F:$L,7,FALSE)</f>
        <v>#N/A</v>
      </c>
      <c r="AN696" s="581" t="s">
        <v>63</v>
      </c>
      <c r="AO696" s="75"/>
      <c r="AP696" s="75"/>
      <c r="AQ696" s="75"/>
      <c r="AR696" s="75" t="e">
        <f>VLOOKUP(AP696,'[2]CONTENEUR PLEIN'!$F:$L,2,FALSE)</f>
        <v>#N/A</v>
      </c>
      <c r="AS696" s="75"/>
      <c r="AT696" s="84"/>
    </row>
    <row r="697" spans="2:46" s="72" customFormat="1" hidden="1" x14ac:dyDescent="0.25">
      <c r="B697" s="584" t="s">
        <v>45</v>
      </c>
      <c r="C697" s="74">
        <v>46091</v>
      </c>
      <c r="D697" s="75"/>
      <c r="E697" s="582" t="s">
        <v>1035</v>
      </c>
      <c r="F697" s="75">
        <v>2602160934</v>
      </c>
      <c r="G697" s="581" t="s">
        <v>74</v>
      </c>
      <c r="H697" s="581" t="s">
        <v>1004</v>
      </c>
      <c r="I697" s="581" t="s">
        <v>49</v>
      </c>
      <c r="J697" s="581" t="s">
        <v>46</v>
      </c>
      <c r="K697" s="581" t="s">
        <v>60</v>
      </c>
      <c r="L697" s="581" t="s">
        <v>47</v>
      </c>
      <c r="M697" s="380" t="e">
        <f t="shared" si="127"/>
        <v>#N/A</v>
      </c>
      <c r="N697" s="543" t="s">
        <v>49</v>
      </c>
      <c r="O697" s="78">
        <v>30190002</v>
      </c>
      <c r="P697" s="42" t="str">
        <f>VLOOKUP(O697,[1]Feuil2!$A:$M,5,FALSE)</f>
        <v>FOURCHETTE INEDIT USA+GENCOD</v>
      </c>
      <c r="Q697" s="75">
        <v>4320</v>
      </c>
      <c r="R697" s="79">
        <v>0.32900000000000001</v>
      </c>
      <c r="S697" s="80">
        <f t="shared" si="128"/>
        <v>1421.28</v>
      </c>
      <c r="T697" s="81">
        <f t="shared" si="129"/>
        <v>199425.85799999998</v>
      </c>
      <c r="U697" s="139"/>
      <c r="V697" s="82">
        <f t="shared" si="130"/>
        <v>199425.85799999998</v>
      </c>
      <c r="W697" s="9">
        <f>VLOOKUP(O697,[1]Feuil2!$A:$M,6,FALSE)</f>
        <v>240</v>
      </c>
      <c r="X697" s="10">
        <f>VLOOKUP(O697,[1]Feuil2!$A:$M,13,FALSE)</f>
        <v>2.9218750000000002E-2</v>
      </c>
      <c r="Y697" s="11">
        <f t="shared" si="131"/>
        <v>0.52593750000000006</v>
      </c>
      <c r="Z697" s="83">
        <f t="shared" si="132"/>
        <v>111.822822625</v>
      </c>
      <c r="AA697" s="66" t="s">
        <v>61</v>
      </c>
      <c r="AB697" s="66" t="s">
        <v>61</v>
      </c>
      <c r="AC697" s="75"/>
      <c r="AD697" s="28" t="s">
        <v>61</v>
      </c>
      <c r="AE697" s="14"/>
      <c r="AF697" s="13"/>
      <c r="AG697" s="13"/>
      <c r="AH697" s="84"/>
      <c r="AI697" s="134">
        <v>46219</v>
      </c>
      <c r="AJ697" s="144" t="e">
        <f t="shared" ca="1" si="124"/>
        <v>#NUM!</v>
      </c>
      <c r="AK697" s="85" t="e">
        <f>VLOOKUP(AP697,'[2]CONTENEUR PLEIN'!$F:$L,3,FALSE)</f>
        <v>#N/A</v>
      </c>
      <c r="AL697" s="86" t="e">
        <f>VLOOKUP(AP697,'[2]CONTENEUR PLEIN'!$F:$L,5,FALSE)</f>
        <v>#N/A</v>
      </c>
      <c r="AM697" s="15" t="e">
        <f>VLOOKUP(AP697,'[2]CONTENEUR PLEIN'!$F:$L,7,FALSE)</f>
        <v>#N/A</v>
      </c>
      <c r="AN697" s="581" t="s">
        <v>63</v>
      </c>
      <c r="AO697" s="75"/>
      <c r="AP697" s="75"/>
      <c r="AQ697" s="75"/>
      <c r="AR697" s="75" t="e">
        <f>VLOOKUP(AP697,'[2]CONTENEUR PLEIN'!$F:$L,2,FALSE)</f>
        <v>#N/A</v>
      </c>
      <c r="AS697" s="75"/>
      <c r="AT697" s="84"/>
    </row>
    <row r="698" spans="2:46" s="72" customFormat="1" hidden="1" x14ac:dyDescent="0.25">
      <c r="B698" s="584" t="s">
        <v>45</v>
      </c>
      <c r="C698" s="74">
        <v>46091</v>
      </c>
      <c r="D698" s="75"/>
      <c r="E698" s="582" t="s">
        <v>1035</v>
      </c>
      <c r="F698" s="75">
        <v>2602160934</v>
      </c>
      <c r="G698" s="581" t="s">
        <v>74</v>
      </c>
      <c r="H698" s="581" t="s">
        <v>1004</v>
      </c>
      <c r="I698" s="581" t="s">
        <v>49</v>
      </c>
      <c r="J698" s="581" t="s">
        <v>46</v>
      </c>
      <c r="K698" s="581" t="s">
        <v>60</v>
      </c>
      <c r="L698" s="581" t="s">
        <v>47</v>
      </c>
      <c r="M698" s="380" t="e">
        <f t="shared" si="127"/>
        <v>#N/A</v>
      </c>
      <c r="N698" s="590" t="s">
        <v>62</v>
      </c>
      <c r="O698" s="78">
        <v>30363708</v>
      </c>
      <c r="P698" s="42" t="str">
        <f>VLOOKUP(O698,[1]Feuil2!$A:$M,5,FALSE)</f>
        <v>M24 BISTROT CLASSIC ROUGE POT PET CARREFOUR</v>
      </c>
      <c r="Q698" s="75">
        <v>10008</v>
      </c>
      <c r="R698" s="79">
        <v>2.61</v>
      </c>
      <c r="S698" s="80">
        <f t="shared" si="128"/>
        <v>26120.879999999997</v>
      </c>
      <c r="T698" s="81">
        <f t="shared" si="129"/>
        <v>199425.85799999998</v>
      </c>
      <c r="U698" s="139"/>
      <c r="V698" s="82">
        <f t="shared" si="130"/>
        <v>199425.85799999998</v>
      </c>
      <c r="W698" s="9">
        <f>VLOOKUP(O698,[1]Feuil2!$A:$M,6,FALSE)</f>
        <v>6</v>
      </c>
      <c r="X698" s="10">
        <f>VLOOKUP(O698,[1]Feuil2!$A:$M,13,FALSE)</f>
        <v>1.43E-2</v>
      </c>
      <c r="Y698" s="11">
        <f t="shared" si="131"/>
        <v>23.852399999999999</v>
      </c>
      <c r="Z698" s="83">
        <f t="shared" si="132"/>
        <v>111.822822625</v>
      </c>
      <c r="AA698" s="66" t="s">
        <v>61</v>
      </c>
      <c r="AB698" s="66" t="s">
        <v>61</v>
      </c>
      <c r="AC698" s="75"/>
      <c r="AD698" s="28" t="s">
        <v>61</v>
      </c>
      <c r="AE698" s="14"/>
      <c r="AF698" s="13"/>
      <c r="AG698" s="13"/>
      <c r="AH698" s="84"/>
      <c r="AI698" s="134">
        <v>46219</v>
      </c>
      <c r="AJ698" s="144" t="e">
        <f t="shared" ca="1" si="124"/>
        <v>#NUM!</v>
      </c>
      <c r="AK698" s="85" t="e">
        <f>VLOOKUP(AP698,'[2]CONTENEUR PLEIN'!$F:$L,3,FALSE)</f>
        <v>#N/A</v>
      </c>
      <c r="AL698" s="86" t="e">
        <f>VLOOKUP(AP698,'[2]CONTENEUR PLEIN'!$F:$L,5,FALSE)</f>
        <v>#N/A</v>
      </c>
      <c r="AM698" s="15" t="e">
        <f>VLOOKUP(AP698,'[2]CONTENEUR PLEIN'!$F:$L,7,FALSE)</f>
        <v>#N/A</v>
      </c>
      <c r="AN698" s="581" t="s">
        <v>63</v>
      </c>
      <c r="AO698" s="75"/>
      <c r="AP698" s="75"/>
      <c r="AQ698" s="75"/>
      <c r="AR698" s="75" t="e">
        <f>VLOOKUP(AP698,'[2]CONTENEUR PLEIN'!$F:$L,2,FALSE)</f>
        <v>#N/A</v>
      </c>
      <c r="AS698" s="75"/>
      <c r="AT698" s="84"/>
    </row>
    <row r="699" spans="2:46" s="72" customFormat="1" hidden="1" x14ac:dyDescent="0.25">
      <c r="B699" s="584" t="s">
        <v>45</v>
      </c>
      <c r="C699" s="74">
        <v>46091</v>
      </c>
      <c r="D699" s="75"/>
      <c r="E699" s="582" t="s">
        <v>1035</v>
      </c>
      <c r="F699" s="75">
        <v>2602160934</v>
      </c>
      <c r="G699" s="581" t="s">
        <v>74</v>
      </c>
      <c r="H699" s="581" t="s">
        <v>1004</v>
      </c>
      <c r="I699" s="581" t="s">
        <v>49</v>
      </c>
      <c r="J699" s="581" t="s">
        <v>46</v>
      </c>
      <c r="K699" s="581" t="s">
        <v>60</v>
      </c>
      <c r="L699" s="581" t="s">
        <v>47</v>
      </c>
      <c r="M699" s="380" t="e">
        <f t="shared" si="127"/>
        <v>#N/A</v>
      </c>
      <c r="N699" s="543" t="s">
        <v>49</v>
      </c>
      <c r="O699" s="78">
        <v>31050010</v>
      </c>
      <c r="P699" s="42" t="str">
        <f>VLOOKUP(O699,[1]Feuil2!$A:$M,5,FALSE)</f>
        <v>COUTEAU FURTIF BLANC VRAC GENCOD</v>
      </c>
      <c r="Q699" s="75">
        <v>4080</v>
      </c>
      <c r="R699" s="79">
        <v>0.28399999999999997</v>
      </c>
      <c r="S699" s="80">
        <f t="shared" si="128"/>
        <v>1158.7199999999998</v>
      </c>
      <c r="T699" s="81">
        <f t="shared" si="129"/>
        <v>199425.85799999998</v>
      </c>
      <c r="U699" s="139"/>
      <c r="V699" s="82">
        <f t="shared" si="130"/>
        <v>199425.85799999998</v>
      </c>
      <c r="W699" s="9">
        <f>VLOOKUP(O699,[1]Feuil2!$A:$M,6,FALSE)</f>
        <v>240</v>
      </c>
      <c r="X699" s="10">
        <f>VLOOKUP(O699,[1]Feuil2!$A:$M,13,FALSE)</f>
        <v>2.8917000000000005E-2</v>
      </c>
      <c r="Y699" s="11">
        <f t="shared" si="131"/>
        <v>0.49158900000000011</v>
      </c>
      <c r="Z699" s="83">
        <f t="shared" si="132"/>
        <v>111.822822625</v>
      </c>
      <c r="AA699" s="66" t="s">
        <v>61</v>
      </c>
      <c r="AB699" s="66" t="s">
        <v>61</v>
      </c>
      <c r="AC699" s="75"/>
      <c r="AD699" s="28" t="s">
        <v>61</v>
      </c>
      <c r="AE699" s="14"/>
      <c r="AF699" s="13"/>
      <c r="AG699" s="13"/>
      <c r="AH699" s="84"/>
      <c r="AI699" s="134">
        <v>46219</v>
      </c>
      <c r="AJ699" s="144" t="e">
        <f t="shared" ca="1" si="124"/>
        <v>#NUM!</v>
      </c>
      <c r="AK699" s="85" t="e">
        <f>VLOOKUP(AP699,'[2]CONTENEUR PLEIN'!$F:$L,3,FALSE)</f>
        <v>#N/A</v>
      </c>
      <c r="AL699" s="86" t="e">
        <f>VLOOKUP(AP699,'[2]CONTENEUR PLEIN'!$F:$L,5,FALSE)</f>
        <v>#N/A</v>
      </c>
      <c r="AM699" s="15" t="e">
        <f>VLOOKUP(AP699,'[2]CONTENEUR PLEIN'!$F:$L,7,FALSE)</f>
        <v>#N/A</v>
      </c>
      <c r="AN699" s="581" t="s">
        <v>63</v>
      </c>
      <c r="AO699" s="75"/>
      <c r="AP699" s="75"/>
      <c r="AQ699" s="75"/>
      <c r="AR699" s="75" t="e">
        <f>VLOOKUP(AP699,'[2]CONTENEUR PLEIN'!$F:$L,2,FALSE)</f>
        <v>#N/A</v>
      </c>
      <c r="AS699" s="75"/>
      <c r="AT699" s="84"/>
    </row>
    <row r="700" spans="2:46" s="72" customFormat="1" ht="15" hidden="1" customHeight="1" x14ac:dyDescent="0.25">
      <c r="B700" s="584" t="s">
        <v>45</v>
      </c>
      <c r="C700" s="74">
        <v>46091</v>
      </c>
      <c r="D700" s="75"/>
      <c r="E700" s="582" t="s">
        <v>1035</v>
      </c>
      <c r="F700" s="75">
        <v>2602160934</v>
      </c>
      <c r="G700" s="581" t="s">
        <v>74</v>
      </c>
      <c r="H700" s="581" t="s">
        <v>1004</v>
      </c>
      <c r="I700" s="581" t="s">
        <v>49</v>
      </c>
      <c r="J700" s="581" t="s">
        <v>46</v>
      </c>
      <c r="K700" s="581" t="s">
        <v>60</v>
      </c>
      <c r="L700" s="581" t="s">
        <v>47</v>
      </c>
      <c r="M700" s="380" t="e">
        <f t="shared" si="127"/>
        <v>#N/A</v>
      </c>
      <c r="N700" s="590" t="s">
        <v>62</v>
      </c>
      <c r="O700" s="78">
        <v>31750002</v>
      </c>
      <c r="P700" s="42" t="str">
        <f>VLOOKUP(O700,[1]Feuil2!$A:$M,5,FALSE)</f>
        <v>M24 STUDIO TERRACOTTA PANTONE 1807C</v>
      </c>
      <c r="Q700" s="75">
        <v>840</v>
      </c>
      <c r="R700" s="79">
        <v>2.5350000000000001</v>
      </c>
      <c r="S700" s="80">
        <f t="shared" si="128"/>
        <v>2129.4</v>
      </c>
      <c r="T700" s="81">
        <f t="shared" si="129"/>
        <v>199425.85799999998</v>
      </c>
      <c r="U700" s="139"/>
      <c r="V700" s="82">
        <f t="shared" si="130"/>
        <v>199425.85799999998</v>
      </c>
      <c r="W700" s="9">
        <f>VLOOKUP(O700,[1]Feuil2!$A:$M,6,FALSE)</f>
        <v>6</v>
      </c>
      <c r="X700" s="10">
        <f>VLOOKUP(O700,[1]Feuil2!$A:$M,13,FALSE)</f>
        <v>1.3500000000000002E-2</v>
      </c>
      <c r="Y700" s="11">
        <f t="shared" si="131"/>
        <v>1.8900000000000001</v>
      </c>
      <c r="Z700" s="83">
        <f t="shared" si="132"/>
        <v>111.822822625</v>
      </c>
      <c r="AA700" s="66" t="s">
        <v>61</v>
      </c>
      <c r="AB700" s="66" t="s">
        <v>61</v>
      </c>
      <c r="AC700" s="75"/>
      <c r="AD700" s="28" t="s">
        <v>61</v>
      </c>
      <c r="AE700" s="14"/>
      <c r="AF700" s="13"/>
      <c r="AG700" s="13"/>
      <c r="AH700" s="84"/>
      <c r="AI700" s="134">
        <v>46219</v>
      </c>
      <c r="AJ700" s="144" t="e">
        <f t="shared" ca="1" si="124"/>
        <v>#NUM!</v>
      </c>
      <c r="AK700" s="85" t="e">
        <f>VLOOKUP(AP700,'[2]CONTENEUR PLEIN'!$F:$L,3,FALSE)</f>
        <v>#N/A</v>
      </c>
      <c r="AL700" s="86" t="e">
        <f>VLOOKUP(AP700,'[2]CONTENEUR PLEIN'!$F:$L,5,FALSE)</f>
        <v>#N/A</v>
      </c>
      <c r="AM700" s="15" t="e">
        <f>VLOOKUP(AP700,'[2]CONTENEUR PLEIN'!$F:$L,7,FALSE)</f>
        <v>#N/A</v>
      </c>
      <c r="AN700" s="581" t="s">
        <v>63</v>
      </c>
      <c r="AO700" s="75"/>
      <c r="AP700" s="75"/>
      <c r="AQ700" s="75"/>
      <c r="AR700" s="75" t="e">
        <f>VLOOKUP(AP700,'[2]CONTENEUR PLEIN'!$F:$L,2,FALSE)</f>
        <v>#N/A</v>
      </c>
      <c r="AS700" s="75"/>
      <c r="AT700" s="84"/>
    </row>
    <row r="701" spans="2:46" s="72" customFormat="1" hidden="1" x14ac:dyDescent="0.25">
      <c r="B701" s="584" t="s">
        <v>45</v>
      </c>
      <c r="C701" s="74">
        <v>46091</v>
      </c>
      <c r="D701" s="75"/>
      <c r="E701" s="582" t="s">
        <v>1035</v>
      </c>
      <c r="F701" s="75">
        <v>2602160934</v>
      </c>
      <c r="G701" s="581" t="s">
        <v>74</v>
      </c>
      <c r="H701" s="581" t="s">
        <v>1004</v>
      </c>
      <c r="I701" s="581" t="s">
        <v>49</v>
      </c>
      <c r="J701" s="581" t="s">
        <v>46</v>
      </c>
      <c r="K701" s="581" t="s">
        <v>60</v>
      </c>
      <c r="L701" s="581" t="s">
        <v>47</v>
      </c>
      <c r="M701" s="380" t="e">
        <f t="shared" si="127"/>
        <v>#N/A</v>
      </c>
      <c r="N701" s="590" t="s">
        <v>62</v>
      </c>
      <c r="O701" s="78">
        <v>31930001</v>
      </c>
      <c r="P701" s="42" t="str">
        <f>VLOOKUP(O701,[1]Feuil2!$A:$M,5,FALSE)</f>
        <v>M24 LIGHT WOOD EN BOITE CARREFOUR HOME</v>
      </c>
      <c r="Q701" s="75">
        <v>4005</v>
      </c>
      <c r="R701" s="79">
        <v>5.6139999999999999</v>
      </c>
      <c r="S701" s="80">
        <f t="shared" si="128"/>
        <v>22484.07</v>
      </c>
      <c r="T701" s="81">
        <f t="shared" si="129"/>
        <v>199425.85799999998</v>
      </c>
      <c r="U701" s="139"/>
      <c r="V701" s="82">
        <f t="shared" si="130"/>
        <v>199425.85799999998</v>
      </c>
      <c r="W701" s="9">
        <f>VLOOKUP(O701,[1]Feuil2!$A:$M,6,FALSE)</f>
        <v>3</v>
      </c>
      <c r="X701" s="10">
        <f>VLOOKUP(O701,[1]Feuil2!$A:$M,13,FALSE)</f>
        <v>1.2036E-2</v>
      </c>
      <c r="Y701" s="11">
        <f t="shared" si="131"/>
        <v>16.068059999999999</v>
      </c>
      <c r="Z701" s="83">
        <f t="shared" si="132"/>
        <v>111.822822625</v>
      </c>
      <c r="AA701" s="66" t="s">
        <v>61</v>
      </c>
      <c r="AB701" s="66" t="s">
        <v>61</v>
      </c>
      <c r="AC701" s="75"/>
      <c r="AD701" s="28" t="s">
        <v>61</v>
      </c>
      <c r="AE701" s="14"/>
      <c r="AF701" s="13"/>
      <c r="AG701" s="13"/>
      <c r="AH701" s="84"/>
      <c r="AI701" s="134">
        <v>46219</v>
      </c>
      <c r="AJ701" s="144" t="e">
        <f t="shared" ca="1" si="124"/>
        <v>#NUM!</v>
      </c>
      <c r="AK701" s="85" t="e">
        <f>VLOOKUP(AP701,'[2]CONTENEUR PLEIN'!$F:$L,3,FALSE)</f>
        <v>#N/A</v>
      </c>
      <c r="AL701" s="86" t="e">
        <f>VLOOKUP(AP701,'[2]CONTENEUR PLEIN'!$F:$L,5,FALSE)</f>
        <v>#N/A</v>
      </c>
      <c r="AM701" s="15" t="e">
        <f>VLOOKUP(AP701,'[2]CONTENEUR PLEIN'!$F:$L,7,FALSE)</f>
        <v>#N/A</v>
      </c>
      <c r="AN701" s="581" t="s">
        <v>63</v>
      </c>
      <c r="AO701" s="75"/>
      <c r="AP701" s="75"/>
      <c r="AQ701" s="75"/>
      <c r="AR701" s="75" t="e">
        <f>VLOOKUP(AP701,'[2]CONTENEUR PLEIN'!$F:$L,2,FALSE)</f>
        <v>#N/A</v>
      </c>
      <c r="AS701" s="75"/>
      <c r="AT701" s="84"/>
    </row>
    <row r="702" spans="2:46" s="72" customFormat="1" hidden="1" x14ac:dyDescent="0.25">
      <c r="B702" s="584" t="s">
        <v>45</v>
      </c>
      <c r="C702" s="74">
        <v>46091</v>
      </c>
      <c r="D702" s="75"/>
      <c r="E702" s="582" t="s">
        <v>1035</v>
      </c>
      <c r="F702" s="75">
        <v>2602160934</v>
      </c>
      <c r="G702" s="581" t="s">
        <v>74</v>
      </c>
      <c r="H702" s="581" t="s">
        <v>1004</v>
      </c>
      <c r="I702" s="581" t="s">
        <v>49</v>
      </c>
      <c r="J702" s="581" t="s">
        <v>46</v>
      </c>
      <c r="K702" s="581" t="s">
        <v>60</v>
      </c>
      <c r="L702" s="581" t="s">
        <v>47</v>
      </c>
      <c r="M702" s="380" t="e">
        <f t="shared" si="127"/>
        <v>#N/A</v>
      </c>
      <c r="N702" s="543" t="s">
        <v>49</v>
      </c>
      <c r="O702" s="78">
        <v>31930007</v>
      </c>
      <c r="P702" s="42" t="str">
        <f>VLOOKUP(O702,[1]Feuil2!$A:$M,5,FALSE)</f>
        <v>COUTEAU DROP GREY WOOD</v>
      </c>
      <c r="Q702" s="75">
        <v>10320</v>
      </c>
      <c r="R702" s="79">
        <v>0.26</v>
      </c>
      <c r="S702" s="80">
        <f t="shared" si="128"/>
        <v>2683.2000000000003</v>
      </c>
      <c r="T702" s="81">
        <f t="shared" si="129"/>
        <v>199425.85799999998</v>
      </c>
      <c r="U702" s="139"/>
      <c r="V702" s="82">
        <f t="shared" si="130"/>
        <v>199425.85799999998</v>
      </c>
      <c r="W702" s="9">
        <f>VLOOKUP(O702,[1]Feuil2!$A:$M,6,FALSE)</f>
        <v>240</v>
      </c>
      <c r="X702" s="10">
        <f>VLOOKUP(O702,[1]Feuil2!$A:$M,13,FALSE)</f>
        <v>3.1308749999999996E-2</v>
      </c>
      <c r="Y702" s="11">
        <f t="shared" si="131"/>
        <v>1.3462762499999998</v>
      </c>
      <c r="Z702" s="83">
        <f t="shared" si="132"/>
        <v>111.822822625</v>
      </c>
      <c r="AA702" s="66" t="s">
        <v>61</v>
      </c>
      <c r="AB702" s="66" t="s">
        <v>61</v>
      </c>
      <c r="AC702" s="75"/>
      <c r="AD702" s="28" t="s">
        <v>61</v>
      </c>
      <c r="AE702" s="14"/>
      <c r="AF702" s="13"/>
      <c r="AG702" s="13"/>
      <c r="AH702" s="84"/>
      <c r="AI702" s="134">
        <v>46219</v>
      </c>
      <c r="AJ702" s="144" t="e">
        <f t="shared" ca="1" si="124"/>
        <v>#NUM!</v>
      </c>
      <c r="AK702" s="85" t="e">
        <f>VLOOKUP(AP702,'[2]CONTENEUR PLEIN'!$F:$L,3,FALSE)</f>
        <v>#N/A</v>
      </c>
      <c r="AL702" s="86" t="e">
        <f>VLOOKUP(AP702,'[2]CONTENEUR PLEIN'!$F:$L,5,FALSE)</f>
        <v>#N/A</v>
      </c>
      <c r="AM702" s="15" t="e">
        <f>VLOOKUP(AP702,'[2]CONTENEUR PLEIN'!$F:$L,7,FALSE)</f>
        <v>#N/A</v>
      </c>
      <c r="AN702" s="581" t="s">
        <v>63</v>
      </c>
      <c r="AO702" s="75"/>
      <c r="AP702" s="75"/>
      <c r="AQ702" s="75"/>
      <c r="AR702" s="75" t="e">
        <f>VLOOKUP(AP702,'[2]CONTENEUR PLEIN'!$F:$L,2,FALSE)</f>
        <v>#N/A</v>
      </c>
      <c r="AS702" s="75"/>
      <c r="AT702" s="84"/>
    </row>
    <row r="703" spans="2:46" s="72" customFormat="1" hidden="1" x14ac:dyDescent="0.25">
      <c r="B703" s="584" t="s">
        <v>45</v>
      </c>
      <c r="C703" s="74">
        <v>46091</v>
      </c>
      <c r="D703" s="75"/>
      <c r="E703" s="582" t="s">
        <v>1035</v>
      </c>
      <c r="F703" s="75">
        <v>2602160934</v>
      </c>
      <c r="G703" s="581" t="s">
        <v>74</v>
      </c>
      <c r="H703" s="581" t="s">
        <v>1004</v>
      </c>
      <c r="I703" s="581" t="s">
        <v>49</v>
      </c>
      <c r="J703" s="581" t="s">
        <v>46</v>
      </c>
      <c r="K703" s="581" t="s">
        <v>60</v>
      </c>
      <c r="L703" s="581" t="s">
        <v>47</v>
      </c>
      <c r="M703" s="380" t="e">
        <f t="shared" si="127"/>
        <v>#N/A</v>
      </c>
      <c r="N703" s="543" t="s">
        <v>49</v>
      </c>
      <c r="O703" s="78">
        <v>31930008</v>
      </c>
      <c r="P703" s="42" t="str">
        <f>VLOOKUP(O703,[1]Feuil2!$A:$M,5,FALSE)</f>
        <v>FOURCHETTE DROP GREY WOOD</v>
      </c>
      <c r="Q703" s="75">
        <v>9600</v>
      </c>
      <c r="R703" s="79">
        <v>0.21</v>
      </c>
      <c r="S703" s="80">
        <f t="shared" si="128"/>
        <v>2016</v>
      </c>
      <c r="T703" s="81">
        <f t="shared" si="129"/>
        <v>199425.85799999998</v>
      </c>
      <c r="U703" s="139"/>
      <c r="V703" s="82">
        <f t="shared" si="130"/>
        <v>199425.85799999998</v>
      </c>
      <c r="W703" s="9">
        <f>VLOOKUP(O703,[1]Feuil2!$A:$M,6,FALSE)</f>
        <v>240</v>
      </c>
      <c r="X703" s="10">
        <f>VLOOKUP(O703,[1]Feuil2!$A:$M,13,FALSE)</f>
        <v>3.0800000000000001E-2</v>
      </c>
      <c r="Y703" s="11">
        <f t="shared" si="131"/>
        <v>1.232</v>
      </c>
      <c r="Z703" s="83">
        <f t="shared" si="132"/>
        <v>111.822822625</v>
      </c>
      <c r="AA703" s="66" t="s">
        <v>61</v>
      </c>
      <c r="AB703" s="66" t="s">
        <v>61</v>
      </c>
      <c r="AC703" s="75"/>
      <c r="AD703" s="28" t="s">
        <v>61</v>
      </c>
      <c r="AE703" s="14"/>
      <c r="AF703" s="13"/>
      <c r="AG703" s="13"/>
      <c r="AH703" s="84"/>
      <c r="AI703" s="134">
        <v>46219</v>
      </c>
      <c r="AJ703" s="144" t="e">
        <f t="shared" ca="1" si="124"/>
        <v>#NUM!</v>
      </c>
      <c r="AK703" s="85" t="e">
        <f>VLOOKUP(AP703,'[2]CONTENEUR PLEIN'!$F:$L,3,FALSE)</f>
        <v>#N/A</v>
      </c>
      <c r="AL703" s="86" t="e">
        <f>VLOOKUP(AP703,'[2]CONTENEUR PLEIN'!$F:$L,5,FALSE)</f>
        <v>#N/A</v>
      </c>
      <c r="AM703" s="15" t="e">
        <f>VLOOKUP(AP703,'[2]CONTENEUR PLEIN'!$F:$L,7,FALSE)</f>
        <v>#N/A</v>
      </c>
      <c r="AN703" s="581" t="s">
        <v>63</v>
      </c>
      <c r="AO703" s="75"/>
      <c r="AP703" s="75"/>
      <c r="AQ703" s="75"/>
      <c r="AR703" s="75" t="e">
        <f>VLOOKUP(AP703,'[2]CONTENEUR PLEIN'!$F:$L,2,FALSE)</f>
        <v>#N/A</v>
      </c>
      <c r="AS703" s="75"/>
      <c r="AT703" s="84"/>
    </row>
    <row r="704" spans="2:46" s="72" customFormat="1" ht="15" hidden="1" customHeight="1" x14ac:dyDescent="0.25">
      <c r="B704" s="584" t="s">
        <v>45</v>
      </c>
      <c r="C704" s="74">
        <v>46091</v>
      </c>
      <c r="D704" s="75"/>
      <c r="E704" s="582" t="s">
        <v>1035</v>
      </c>
      <c r="F704" s="75">
        <v>2602160934</v>
      </c>
      <c r="G704" s="581" t="s">
        <v>74</v>
      </c>
      <c r="H704" s="581" t="s">
        <v>1004</v>
      </c>
      <c r="I704" s="581" t="s">
        <v>49</v>
      </c>
      <c r="J704" s="581" t="s">
        <v>46</v>
      </c>
      <c r="K704" s="581" t="s">
        <v>60</v>
      </c>
      <c r="L704" s="581" t="s">
        <v>47</v>
      </c>
      <c r="M704" s="380" t="e">
        <f t="shared" si="127"/>
        <v>#N/A</v>
      </c>
      <c r="N704" s="543" t="s">
        <v>49</v>
      </c>
      <c r="O704" s="78">
        <v>31930010</v>
      </c>
      <c r="P704" s="42" t="str">
        <f>VLOOKUP(O704,[1]Feuil2!$A:$M,5,FALSE)</f>
        <v>CAFE DROP GREY WOOD</v>
      </c>
      <c r="Q704" s="75">
        <v>10560</v>
      </c>
      <c r="R704" s="79">
        <v>0.182</v>
      </c>
      <c r="S704" s="80">
        <f t="shared" si="128"/>
        <v>1921.9199999999998</v>
      </c>
      <c r="T704" s="81">
        <f t="shared" si="129"/>
        <v>199425.85799999998</v>
      </c>
      <c r="U704" s="139"/>
      <c r="V704" s="82">
        <f t="shared" si="130"/>
        <v>199425.85799999998</v>
      </c>
      <c r="W704" s="9">
        <f>VLOOKUP(O704,[1]Feuil2!$A:$M,6,FALSE)</f>
        <v>240</v>
      </c>
      <c r="X704" s="10">
        <f>VLOOKUP(O704,[1]Feuil2!$A:$M,13,FALSE)</f>
        <v>2.1060000000000002E-2</v>
      </c>
      <c r="Y704" s="11">
        <f t="shared" si="131"/>
        <v>0.92664000000000013</v>
      </c>
      <c r="Z704" s="83">
        <f t="shared" si="132"/>
        <v>111.822822625</v>
      </c>
      <c r="AA704" s="66" t="s">
        <v>61</v>
      </c>
      <c r="AB704" s="66" t="s">
        <v>61</v>
      </c>
      <c r="AC704" s="75"/>
      <c r="AD704" s="28" t="s">
        <v>61</v>
      </c>
      <c r="AE704" s="14"/>
      <c r="AF704" s="13"/>
      <c r="AG704" s="13"/>
      <c r="AH704" s="84"/>
      <c r="AI704" s="134">
        <v>46219</v>
      </c>
      <c r="AJ704" s="144" t="e">
        <f t="shared" ca="1" si="124"/>
        <v>#NUM!</v>
      </c>
      <c r="AK704" s="85" t="e">
        <f>VLOOKUP(AP704,'[2]CONTENEUR PLEIN'!$F:$L,3,FALSE)</f>
        <v>#N/A</v>
      </c>
      <c r="AL704" s="86" t="e">
        <f>VLOOKUP(AP704,'[2]CONTENEUR PLEIN'!$F:$L,5,FALSE)</f>
        <v>#N/A</v>
      </c>
      <c r="AM704" s="15" t="e">
        <f>VLOOKUP(AP704,'[2]CONTENEUR PLEIN'!$F:$L,7,FALSE)</f>
        <v>#N/A</v>
      </c>
      <c r="AN704" s="581" t="s">
        <v>63</v>
      </c>
      <c r="AO704" s="75"/>
      <c r="AP704" s="75"/>
      <c r="AQ704" s="75"/>
      <c r="AR704" s="75" t="e">
        <f>VLOOKUP(AP704,'[2]CONTENEUR PLEIN'!$F:$L,2,FALSE)</f>
        <v>#N/A</v>
      </c>
      <c r="AS704" s="75"/>
      <c r="AT704" s="84"/>
    </row>
    <row r="705" spans="2:46" s="72" customFormat="1" hidden="1" x14ac:dyDescent="0.25">
      <c r="B705" s="584" t="s">
        <v>45</v>
      </c>
      <c r="C705" s="74">
        <v>46091</v>
      </c>
      <c r="D705" s="75"/>
      <c r="E705" s="582" t="s">
        <v>1035</v>
      </c>
      <c r="F705" s="75">
        <v>2602160934</v>
      </c>
      <c r="G705" s="581" t="s">
        <v>74</v>
      </c>
      <c r="H705" s="581" t="s">
        <v>1004</v>
      </c>
      <c r="I705" s="581" t="s">
        <v>49</v>
      </c>
      <c r="J705" s="581" t="s">
        <v>46</v>
      </c>
      <c r="K705" s="581" t="s">
        <v>60</v>
      </c>
      <c r="L705" s="581" t="s">
        <v>47</v>
      </c>
      <c r="M705" s="380" t="e">
        <f t="shared" si="127"/>
        <v>#N/A</v>
      </c>
      <c r="N705" s="590" t="s">
        <v>62</v>
      </c>
      <c r="O705" s="78">
        <v>32070001</v>
      </c>
      <c r="P705" s="42" t="str">
        <f>VLOOKUP(O705,[1]Feuil2!$A:$M,5,FALSE)</f>
        <v>COUTEAU OPEN DECOR CARREAU DE CIMENT CARREFOUR HOME</v>
      </c>
      <c r="Q705" s="75">
        <v>6000</v>
      </c>
      <c r="R705" s="79">
        <v>0.23899999999999999</v>
      </c>
      <c r="S705" s="80">
        <f t="shared" si="128"/>
        <v>1434</v>
      </c>
      <c r="T705" s="81">
        <f t="shared" si="129"/>
        <v>199425.85799999998</v>
      </c>
      <c r="U705" s="139"/>
      <c r="V705" s="82">
        <f t="shared" si="130"/>
        <v>199425.85799999998</v>
      </c>
      <c r="W705" s="9">
        <f>VLOOKUP(O705,[1]Feuil2!$A:$M,6,FALSE)</f>
        <v>240</v>
      </c>
      <c r="X705" s="10">
        <f>VLOOKUP(O705,[1]Feuil2!$A:$M,13,FALSE)</f>
        <v>2.9924999999999997E-2</v>
      </c>
      <c r="Y705" s="11">
        <f t="shared" si="131"/>
        <v>0.74812499999999993</v>
      </c>
      <c r="Z705" s="83">
        <f t="shared" si="132"/>
        <v>111.822822625</v>
      </c>
      <c r="AA705" s="66" t="s">
        <v>61</v>
      </c>
      <c r="AB705" s="66" t="s">
        <v>61</v>
      </c>
      <c r="AC705" s="75"/>
      <c r="AD705" s="28" t="s">
        <v>61</v>
      </c>
      <c r="AE705" s="14"/>
      <c r="AF705" s="13"/>
      <c r="AG705" s="13"/>
      <c r="AH705" s="84"/>
      <c r="AI705" s="134">
        <v>46219</v>
      </c>
      <c r="AJ705" s="144" t="e">
        <f t="shared" ca="1" si="124"/>
        <v>#NUM!</v>
      </c>
      <c r="AK705" s="85" t="e">
        <f>VLOOKUP(AP705,'[2]CONTENEUR PLEIN'!$F:$L,3,FALSE)</f>
        <v>#N/A</v>
      </c>
      <c r="AL705" s="86" t="e">
        <f>VLOOKUP(AP705,'[2]CONTENEUR PLEIN'!$F:$L,5,FALSE)</f>
        <v>#N/A</v>
      </c>
      <c r="AM705" s="15" t="e">
        <f>VLOOKUP(AP705,'[2]CONTENEUR PLEIN'!$F:$L,7,FALSE)</f>
        <v>#N/A</v>
      </c>
      <c r="AN705" s="581" t="s">
        <v>63</v>
      </c>
      <c r="AO705" s="75"/>
      <c r="AP705" s="75"/>
      <c r="AQ705" s="75"/>
      <c r="AR705" s="75" t="e">
        <f>VLOOKUP(AP705,'[2]CONTENEUR PLEIN'!$F:$L,2,FALSE)</f>
        <v>#N/A</v>
      </c>
      <c r="AS705" s="75"/>
      <c r="AT705" s="84"/>
    </row>
    <row r="706" spans="2:46" s="72" customFormat="1" hidden="1" x14ac:dyDescent="0.25">
      <c r="B706" s="584" t="s">
        <v>45</v>
      </c>
      <c r="C706" s="74">
        <v>46091</v>
      </c>
      <c r="D706" s="75"/>
      <c r="E706" s="582" t="s">
        <v>1035</v>
      </c>
      <c r="F706" s="75">
        <v>2602160934</v>
      </c>
      <c r="G706" s="581" t="s">
        <v>74</v>
      </c>
      <c r="H706" s="581" t="s">
        <v>1004</v>
      </c>
      <c r="I706" s="581" t="s">
        <v>49</v>
      </c>
      <c r="J706" s="581" t="s">
        <v>46</v>
      </c>
      <c r="K706" s="581" t="s">
        <v>60</v>
      </c>
      <c r="L706" s="581" t="s">
        <v>47</v>
      </c>
      <c r="M706" s="380" t="e">
        <f t="shared" si="127"/>
        <v>#N/A</v>
      </c>
      <c r="N706" s="590" t="s">
        <v>62</v>
      </c>
      <c r="O706" s="78">
        <v>32070003</v>
      </c>
      <c r="P706" s="42" t="str">
        <f>VLOOKUP(O706,[1]Feuil2!$A:$M,5,FALSE)</f>
        <v>CUILLERE OPEN DECOR CARREAU DE CIMENT CARREFOUR HOME</v>
      </c>
      <c r="Q706" s="75">
        <v>5520</v>
      </c>
      <c r="R706" s="79">
        <v>0.249</v>
      </c>
      <c r="S706" s="80">
        <f t="shared" si="128"/>
        <v>1374.48</v>
      </c>
      <c r="T706" s="81">
        <f t="shared" si="129"/>
        <v>199425.85799999998</v>
      </c>
      <c r="U706" s="139"/>
      <c r="V706" s="82">
        <f t="shared" si="130"/>
        <v>199425.85799999998</v>
      </c>
      <c r="W706" s="9">
        <f>VLOOKUP(O706,[1]Feuil2!$A:$M,6,FALSE)</f>
        <v>240</v>
      </c>
      <c r="X706" s="10">
        <f>VLOOKUP(O706,[1]Feuil2!$A:$M,13,FALSE)</f>
        <v>7.332E-3</v>
      </c>
      <c r="Y706" s="11">
        <f t="shared" si="131"/>
        <v>0.16863600000000001</v>
      </c>
      <c r="Z706" s="83">
        <f t="shared" si="132"/>
        <v>111.822822625</v>
      </c>
      <c r="AA706" s="66" t="s">
        <v>61</v>
      </c>
      <c r="AB706" s="66" t="s">
        <v>61</v>
      </c>
      <c r="AC706" s="75"/>
      <c r="AD706" s="28" t="s">
        <v>61</v>
      </c>
      <c r="AE706" s="14"/>
      <c r="AF706" s="13"/>
      <c r="AG706" s="13"/>
      <c r="AH706" s="84"/>
      <c r="AI706" s="134">
        <v>46219</v>
      </c>
      <c r="AJ706" s="144" t="e">
        <f t="shared" ca="1" si="124"/>
        <v>#NUM!</v>
      </c>
      <c r="AK706" s="85" t="e">
        <f>VLOOKUP(AP706,'[2]CONTENEUR PLEIN'!$F:$L,3,FALSE)</f>
        <v>#N/A</v>
      </c>
      <c r="AL706" s="86" t="e">
        <f>VLOOKUP(AP706,'[2]CONTENEUR PLEIN'!$F:$L,5,FALSE)</f>
        <v>#N/A</v>
      </c>
      <c r="AM706" s="15" t="e">
        <f>VLOOKUP(AP706,'[2]CONTENEUR PLEIN'!$F:$L,7,FALSE)</f>
        <v>#N/A</v>
      </c>
      <c r="AN706" s="581" t="s">
        <v>63</v>
      </c>
      <c r="AO706" s="75"/>
      <c r="AP706" s="75"/>
      <c r="AQ706" s="75"/>
      <c r="AR706" s="75" t="e">
        <f>VLOOKUP(AP706,'[2]CONTENEUR PLEIN'!$F:$L,2,FALSE)</f>
        <v>#N/A</v>
      </c>
      <c r="AS706" s="75"/>
      <c r="AT706" s="84"/>
    </row>
    <row r="707" spans="2:46" s="72" customFormat="1" hidden="1" x14ac:dyDescent="0.25">
      <c r="B707" s="584" t="s">
        <v>45</v>
      </c>
      <c r="C707" s="74">
        <v>46091</v>
      </c>
      <c r="D707" s="75"/>
      <c r="E707" s="582" t="s">
        <v>1035</v>
      </c>
      <c r="F707" s="75">
        <v>2602160934</v>
      </c>
      <c r="G707" s="581" t="s">
        <v>74</v>
      </c>
      <c r="H707" s="581" t="s">
        <v>1004</v>
      </c>
      <c r="I707" s="581" t="s">
        <v>49</v>
      </c>
      <c r="J707" s="581" t="s">
        <v>46</v>
      </c>
      <c r="K707" s="581" t="s">
        <v>60</v>
      </c>
      <c r="L707" s="581" t="s">
        <v>47</v>
      </c>
      <c r="M707" s="380" t="e">
        <f t="shared" si="127"/>
        <v>#N/A</v>
      </c>
      <c r="N707" s="590" t="s">
        <v>62</v>
      </c>
      <c r="O707" s="78">
        <v>32070004</v>
      </c>
      <c r="P707" s="42" t="str">
        <f>VLOOKUP(O707,[1]Feuil2!$A:$M,5,FALSE)</f>
        <v>CAFE OPEN DECOR CARREAU DE CIMENT CARREFOUR HOME</v>
      </c>
      <c r="Q707" s="75">
        <v>13440</v>
      </c>
      <c r="R707" s="79">
        <v>0.20799999999999999</v>
      </c>
      <c r="S707" s="80">
        <f t="shared" si="128"/>
        <v>2795.52</v>
      </c>
      <c r="T707" s="81">
        <f t="shared" si="129"/>
        <v>199425.85799999998</v>
      </c>
      <c r="U707" s="139"/>
      <c r="V707" s="82">
        <f t="shared" si="130"/>
        <v>199425.85799999998</v>
      </c>
      <c r="W707" s="9">
        <f>VLOOKUP(O707,[1]Feuil2!$A:$M,6,FALSE)</f>
        <v>240</v>
      </c>
      <c r="X707" s="10">
        <f>VLOOKUP(O707,[1]Feuil2!$A:$M,13,FALSE)</f>
        <v>2.075625E-2</v>
      </c>
      <c r="Y707" s="11">
        <f t="shared" si="131"/>
        <v>1.16235</v>
      </c>
      <c r="Z707" s="83">
        <f t="shared" si="132"/>
        <v>111.822822625</v>
      </c>
      <c r="AA707" s="66" t="s">
        <v>61</v>
      </c>
      <c r="AB707" s="66" t="s">
        <v>61</v>
      </c>
      <c r="AC707" s="75"/>
      <c r="AD707" s="28" t="s">
        <v>61</v>
      </c>
      <c r="AE707" s="14"/>
      <c r="AF707" s="13"/>
      <c r="AG707" s="13"/>
      <c r="AH707" s="84"/>
      <c r="AI707" s="134">
        <v>46219</v>
      </c>
      <c r="AJ707" s="144" t="e">
        <f t="shared" ca="1" si="124"/>
        <v>#NUM!</v>
      </c>
      <c r="AK707" s="85" t="e">
        <f>VLOOKUP(AP707,'[2]CONTENEUR PLEIN'!$F:$L,3,FALSE)</f>
        <v>#N/A</v>
      </c>
      <c r="AL707" s="86" t="e">
        <f>VLOOKUP(AP707,'[2]CONTENEUR PLEIN'!$F:$L,5,FALSE)</f>
        <v>#N/A</v>
      </c>
      <c r="AM707" s="15" t="e">
        <f>VLOOKUP(AP707,'[2]CONTENEUR PLEIN'!$F:$L,7,FALSE)</f>
        <v>#N/A</v>
      </c>
      <c r="AN707" s="581" t="s">
        <v>63</v>
      </c>
      <c r="AO707" s="75"/>
      <c r="AP707" s="75"/>
      <c r="AQ707" s="75"/>
      <c r="AR707" s="75" t="e">
        <f>VLOOKUP(AP707,'[2]CONTENEUR PLEIN'!$F:$L,2,FALSE)</f>
        <v>#N/A</v>
      </c>
      <c r="AS707" s="75"/>
      <c r="AT707" s="84"/>
    </row>
    <row r="708" spans="2:46" s="72" customFormat="1" ht="15" hidden="1" customHeight="1" x14ac:dyDescent="0.25">
      <c r="B708" s="584" t="s">
        <v>45</v>
      </c>
      <c r="C708" s="74">
        <v>46091</v>
      </c>
      <c r="D708" s="75"/>
      <c r="E708" s="582" t="s">
        <v>1035</v>
      </c>
      <c r="F708" s="75">
        <v>2602160934</v>
      </c>
      <c r="G708" s="581" t="s">
        <v>74</v>
      </c>
      <c r="H708" s="581" t="s">
        <v>1004</v>
      </c>
      <c r="I708" s="581" t="s">
        <v>49</v>
      </c>
      <c r="J708" s="581" t="s">
        <v>46</v>
      </c>
      <c r="K708" s="581" t="s">
        <v>60</v>
      </c>
      <c r="L708" s="581" t="s">
        <v>47</v>
      </c>
      <c r="M708" s="380" t="e">
        <f t="shared" si="127"/>
        <v>#N/A</v>
      </c>
      <c r="N708" s="590" t="s">
        <v>62</v>
      </c>
      <c r="O708" s="78">
        <v>32070005</v>
      </c>
      <c r="P708" s="42" t="str">
        <f>VLOOKUP(O708,[1]Feuil2!$A:$M,5,FALSE)</f>
        <v>COUTEAU OPEN DECOR FUROSHIKI CARREFOUR HOME</v>
      </c>
      <c r="Q708" s="75">
        <v>6720</v>
      </c>
      <c r="R708" s="79">
        <v>0.23899999999999999</v>
      </c>
      <c r="S708" s="80">
        <f t="shared" si="128"/>
        <v>1606.08</v>
      </c>
      <c r="T708" s="81">
        <f t="shared" si="129"/>
        <v>199425.85799999998</v>
      </c>
      <c r="U708" s="139"/>
      <c r="V708" s="82">
        <f t="shared" si="130"/>
        <v>199425.85799999998</v>
      </c>
      <c r="W708" s="9">
        <f>VLOOKUP(O708,[1]Feuil2!$A:$M,6,FALSE)</f>
        <v>240</v>
      </c>
      <c r="X708" s="10">
        <f>VLOOKUP(O708,[1]Feuil2!$A:$M,13,FALSE)</f>
        <v>2.8012499999999999E-2</v>
      </c>
      <c r="Y708" s="11">
        <f t="shared" si="131"/>
        <v>0.78434999999999999</v>
      </c>
      <c r="Z708" s="83">
        <f t="shared" si="132"/>
        <v>111.822822625</v>
      </c>
      <c r="AA708" s="66" t="s">
        <v>61</v>
      </c>
      <c r="AB708" s="66" t="s">
        <v>61</v>
      </c>
      <c r="AC708" s="75"/>
      <c r="AD708" s="28" t="s">
        <v>61</v>
      </c>
      <c r="AE708" s="14"/>
      <c r="AF708" s="13"/>
      <c r="AG708" s="13"/>
      <c r="AH708" s="84"/>
      <c r="AI708" s="134">
        <v>46219</v>
      </c>
      <c r="AJ708" s="144" t="e">
        <f t="shared" ca="1" si="124"/>
        <v>#NUM!</v>
      </c>
      <c r="AK708" s="85" t="e">
        <f>VLOOKUP(AP708,'[2]CONTENEUR PLEIN'!$F:$L,3,FALSE)</f>
        <v>#N/A</v>
      </c>
      <c r="AL708" s="86" t="e">
        <f>VLOOKUP(AP708,'[2]CONTENEUR PLEIN'!$F:$L,5,FALSE)</f>
        <v>#N/A</v>
      </c>
      <c r="AM708" s="15" t="e">
        <f>VLOOKUP(AP708,'[2]CONTENEUR PLEIN'!$F:$L,7,FALSE)</f>
        <v>#N/A</v>
      </c>
      <c r="AN708" s="581" t="s">
        <v>63</v>
      </c>
      <c r="AO708" s="75"/>
      <c r="AP708" s="75"/>
      <c r="AQ708" s="75"/>
      <c r="AR708" s="75" t="e">
        <f>VLOOKUP(AP708,'[2]CONTENEUR PLEIN'!$F:$L,2,FALSE)</f>
        <v>#N/A</v>
      </c>
      <c r="AS708" s="75"/>
      <c r="AT708" s="84"/>
    </row>
    <row r="709" spans="2:46" s="72" customFormat="1" hidden="1" x14ac:dyDescent="0.25">
      <c r="B709" s="584" t="s">
        <v>45</v>
      </c>
      <c r="C709" s="74">
        <v>46091</v>
      </c>
      <c r="D709" s="75"/>
      <c r="E709" s="582" t="s">
        <v>1035</v>
      </c>
      <c r="F709" s="75">
        <v>2602160934</v>
      </c>
      <c r="G709" s="581" t="s">
        <v>74</v>
      </c>
      <c r="H709" s="581" t="s">
        <v>1004</v>
      </c>
      <c r="I709" s="581" t="s">
        <v>49</v>
      </c>
      <c r="J709" s="581" t="s">
        <v>46</v>
      </c>
      <c r="K709" s="581" t="s">
        <v>60</v>
      </c>
      <c r="L709" s="581" t="s">
        <v>47</v>
      </c>
      <c r="M709" s="380" t="e">
        <f t="shared" ref="M709:M740" si="133">DATEDIF(C709,AM709,"M")</f>
        <v>#N/A</v>
      </c>
      <c r="N709" s="590" t="s">
        <v>62</v>
      </c>
      <c r="O709" s="78">
        <v>32070008</v>
      </c>
      <c r="P709" s="42" t="str">
        <f>VLOOKUP(O709,[1]Feuil2!$A:$M,5,FALSE)</f>
        <v>CAFE OPEN DECOR FUROSHIKI CARREFOUR HOME</v>
      </c>
      <c r="Q709" s="75">
        <v>13680</v>
      </c>
      <c r="R709" s="79">
        <v>0.20799999999999999</v>
      </c>
      <c r="S709" s="80">
        <f t="shared" ref="S709:S740" si="134">Q709*R709</f>
        <v>2845.44</v>
      </c>
      <c r="T709" s="81">
        <f t="shared" ref="T709:T740" si="135">SUMIF($E$5:$E$9257,E709,$S$5:$S$9257)</f>
        <v>199425.85799999998</v>
      </c>
      <c r="U709" s="139"/>
      <c r="V709" s="82">
        <f t="shared" ref="V709:V740" si="136">U709+T709</f>
        <v>199425.85799999998</v>
      </c>
      <c r="W709" s="9">
        <f>VLOOKUP(O709,[1]Feuil2!$A:$M,6,FALSE)</f>
        <v>240</v>
      </c>
      <c r="X709" s="10">
        <f>VLOOKUP(O709,[1]Feuil2!$A:$M,13,FALSE)</f>
        <v>4.6800000000000001E-3</v>
      </c>
      <c r="Y709" s="11">
        <f t="shared" ref="Y709:Y740" si="137">(Q709/W709)*X709</f>
        <v>0.26676</v>
      </c>
      <c r="Z709" s="83">
        <f t="shared" ref="Z709:Z740" si="138">SUMIF($E:$E,E709,$Y:$Y)</f>
        <v>111.822822625</v>
      </c>
      <c r="AA709" s="66" t="s">
        <v>61</v>
      </c>
      <c r="AB709" s="66" t="s">
        <v>61</v>
      </c>
      <c r="AC709" s="75"/>
      <c r="AD709" s="28" t="s">
        <v>61</v>
      </c>
      <c r="AE709" s="14"/>
      <c r="AF709" s="13"/>
      <c r="AG709" s="13"/>
      <c r="AH709" s="84"/>
      <c r="AI709" s="134">
        <v>46219</v>
      </c>
      <c r="AJ709" s="144" t="e">
        <f t="shared" ca="1" si="124"/>
        <v>#NUM!</v>
      </c>
      <c r="AK709" s="85" t="e">
        <f>VLOOKUP(AP709,'[2]CONTENEUR PLEIN'!$F:$L,3,FALSE)</f>
        <v>#N/A</v>
      </c>
      <c r="AL709" s="86" t="e">
        <f>VLOOKUP(AP709,'[2]CONTENEUR PLEIN'!$F:$L,5,FALSE)</f>
        <v>#N/A</v>
      </c>
      <c r="AM709" s="15" t="e">
        <f>VLOOKUP(AP709,'[2]CONTENEUR PLEIN'!$F:$L,7,FALSE)</f>
        <v>#N/A</v>
      </c>
      <c r="AN709" s="581" t="s">
        <v>63</v>
      </c>
      <c r="AO709" s="75"/>
      <c r="AP709" s="75"/>
      <c r="AQ709" s="75"/>
      <c r="AR709" s="75" t="e">
        <f>VLOOKUP(AP709,'[2]CONTENEUR PLEIN'!$F:$L,2,FALSE)</f>
        <v>#N/A</v>
      </c>
      <c r="AS709" s="75"/>
      <c r="AT709" s="84"/>
    </row>
    <row r="710" spans="2:46" s="72" customFormat="1" hidden="1" x14ac:dyDescent="0.25">
      <c r="B710" s="584" t="s">
        <v>45</v>
      </c>
      <c r="C710" s="74">
        <v>46091</v>
      </c>
      <c r="D710" s="75"/>
      <c r="E710" s="582" t="s">
        <v>1035</v>
      </c>
      <c r="F710" s="75">
        <v>2602160934</v>
      </c>
      <c r="G710" s="581" t="s">
        <v>74</v>
      </c>
      <c r="H710" s="581" t="s">
        <v>1004</v>
      </c>
      <c r="I710" s="581" t="s">
        <v>49</v>
      </c>
      <c r="J710" s="581" t="s">
        <v>46</v>
      </c>
      <c r="K710" s="581" t="s">
        <v>60</v>
      </c>
      <c r="L710" s="581" t="s">
        <v>47</v>
      </c>
      <c r="M710" s="380" t="e">
        <f t="shared" si="133"/>
        <v>#N/A</v>
      </c>
      <c r="N710" s="590" t="s">
        <v>62</v>
      </c>
      <c r="O710" s="78">
        <v>32070017</v>
      </c>
      <c r="P710" s="42" t="str">
        <f>VLOOKUP(O710,[1]Feuil2!$A:$M,5,FALSE)</f>
        <v>COUTEAU OPEN DECOR POIS ROUGE 3517C CARREFOUR HOME</v>
      </c>
      <c r="Q710" s="75">
        <v>3360</v>
      </c>
      <c r="R710" s="79">
        <v>0.23899999999999999</v>
      </c>
      <c r="S710" s="80">
        <f t="shared" si="134"/>
        <v>803.04</v>
      </c>
      <c r="T710" s="81">
        <f t="shared" si="135"/>
        <v>199425.85799999998</v>
      </c>
      <c r="U710" s="139"/>
      <c r="V710" s="82">
        <f t="shared" si="136"/>
        <v>199425.85799999998</v>
      </c>
      <c r="W710" s="9">
        <f>VLOOKUP(O710,[1]Feuil2!$A:$M,6,FALSE)</f>
        <v>240</v>
      </c>
      <c r="X710" s="10">
        <f>VLOOKUP(O710,[1]Feuil2!$A:$M,13,FALSE)</f>
        <v>2.87E-2</v>
      </c>
      <c r="Y710" s="11">
        <f t="shared" si="137"/>
        <v>0.40179999999999999</v>
      </c>
      <c r="Z710" s="83">
        <f t="shared" si="138"/>
        <v>111.822822625</v>
      </c>
      <c r="AA710" s="66" t="s">
        <v>61</v>
      </c>
      <c r="AB710" s="66" t="s">
        <v>61</v>
      </c>
      <c r="AC710" s="75"/>
      <c r="AD710" s="28" t="s">
        <v>61</v>
      </c>
      <c r="AE710" s="14"/>
      <c r="AF710" s="13"/>
      <c r="AG710" s="13"/>
      <c r="AH710" s="84"/>
      <c r="AI710" s="134">
        <v>46219</v>
      </c>
      <c r="AJ710" s="144" t="e">
        <f t="shared" ca="1" si="124"/>
        <v>#NUM!</v>
      </c>
      <c r="AK710" s="85" t="e">
        <f>VLOOKUP(AP710,'[2]CONTENEUR PLEIN'!$F:$L,3,FALSE)</f>
        <v>#N/A</v>
      </c>
      <c r="AL710" s="86" t="e">
        <f>VLOOKUP(AP710,'[2]CONTENEUR PLEIN'!$F:$L,5,FALSE)</f>
        <v>#N/A</v>
      </c>
      <c r="AM710" s="15" t="e">
        <f>VLOOKUP(AP710,'[2]CONTENEUR PLEIN'!$F:$L,7,FALSE)</f>
        <v>#N/A</v>
      </c>
      <c r="AN710" s="581" t="s">
        <v>63</v>
      </c>
      <c r="AO710" s="75"/>
      <c r="AP710" s="75"/>
      <c r="AQ710" s="75"/>
      <c r="AR710" s="75" t="e">
        <f>VLOOKUP(AP710,'[2]CONTENEUR PLEIN'!$F:$L,2,FALSE)</f>
        <v>#N/A</v>
      </c>
      <c r="AS710" s="75"/>
      <c r="AT710" s="84"/>
    </row>
    <row r="711" spans="2:46" s="72" customFormat="1" hidden="1" x14ac:dyDescent="0.25">
      <c r="B711" s="584" t="s">
        <v>45</v>
      </c>
      <c r="C711" s="74">
        <v>46091</v>
      </c>
      <c r="D711" s="75"/>
      <c r="E711" s="582" t="s">
        <v>1035</v>
      </c>
      <c r="F711" s="75">
        <v>2602160934</v>
      </c>
      <c r="G711" s="581" t="s">
        <v>74</v>
      </c>
      <c r="H711" s="581" t="s">
        <v>1004</v>
      </c>
      <c r="I711" s="581" t="s">
        <v>49</v>
      </c>
      <c r="J711" s="581" t="s">
        <v>46</v>
      </c>
      <c r="K711" s="581" t="s">
        <v>60</v>
      </c>
      <c r="L711" s="581" t="s">
        <v>47</v>
      </c>
      <c r="M711" s="380" t="e">
        <f t="shared" si="133"/>
        <v>#N/A</v>
      </c>
      <c r="N711" s="590" t="s">
        <v>62</v>
      </c>
      <c r="O711" s="78">
        <v>32070020</v>
      </c>
      <c r="P711" s="42" t="str">
        <f>VLOOKUP(O711,[1]Feuil2!$A:$M,5,FALSE)</f>
        <v>CAFE OPEN DECOR POIS ROUGE 3517C CARREFOUR HOME</v>
      </c>
      <c r="Q711" s="75">
        <v>10320</v>
      </c>
      <c r="R711" s="79">
        <v>0.20799999999999999</v>
      </c>
      <c r="S711" s="80">
        <f t="shared" si="134"/>
        <v>2146.56</v>
      </c>
      <c r="T711" s="81">
        <f t="shared" si="135"/>
        <v>199425.85799999998</v>
      </c>
      <c r="U711" s="139"/>
      <c r="V711" s="82">
        <f t="shared" si="136"/>
        <v>199425.85799999998</v>
      </c>
      <c r="W711" s="9">
        <f>VLOOKUP(O711,[1]Feuil2!$A:$M,6,FALSE)</f>
        <v>240</v>
      </c>
      <c r="X711" s="10">
        <f>VLOOKUP(O711,[1]Feuil2!$A:$M,13,FALSE)</f>
        <v>2.0479500000000001E-2</v>
      </c>
      <c r="Y711" s="11">
        <f t="shared" si="137"/>
        <v>0.88061850000000008</v>
      </c>
      <c r="Z711" s="83">
        <f t="shared" si="138"/>
        <v>111.822822625</v>
      </c>
      <c r="AA711" s="66" t="s">
        <v>61</v>
      </c>
      <c r="AB711" s="66" t="s">
        <v>61</v>
      </c>
      <c r="AC711" s="75"/>
      <c r="AD711" s="28" t="s">
        <v>61</v>
      </c>
      <c r="AE711" s="14"/>
      <c r="AF711" s="13"/>
      <c r="AG711" s="13"/>
      <c r="AH711" s="84"/>
      <c r="AI711" s="134">
        <v>46219</v>
      </c>
      <c r="AJ711" s="144" t="e">
        <f t="shared" ca="1" si="124"/>
        <v>#NUM!</v>
      </c>
      <c r="AK711" s="85" t="e">
        <f>VLOOKUP(AP711,'[2]CONTENEUR PLEIN'!$F:$L,3,FALSE)</f>
        <v>#N/A</v>
      </c>
      <c r="AL711" s="86" t="e">
        <f>VLOOKUP(AP711,'[2]CONTENEUR PLEIN'!$F:$L,5,FALSE)</f>
        <v>#N/A</v>
      </c>
      <c r="AM711" s="15" t="e">
        <f>VLOOKUP(AP711,'[2]CONTENEUR PLEIN'!$F:$L,7,FALSE)</f>
        <v>#N/A</v>
      </c>
      <c r="AN711" s="581" t="s">
        <v>63</v>
      </c>
      <c r="AO711" s="75"/>
      <c r="AP711" s="75"/>
      <c r="AQ711" s="75"/>
      <c r="AR711" s="75" t="e">
        <f>VLOOKUP(AP711,'[2]CONTENEUR PLEIN'!$F:$L,2,FALSE)</f>
        <v>#N/A</v>
      </c>
      <c r="AS711" s="75"/>
      <c r="AT711" s="84"/>
    </row>
    <row r="712" spans="2:46" s="72" customFormat="1" ht="15" hidden="1" customHeight="1" x14ac:dyDescent="0.25">
      <c r="B712" s="584" t="s">
        <v>45</v>
      </c>
      <c r="C712" s="74">
        <v>46091</v>
      </c>
      <c r="D712" s="75"/>
      <c r="E712" s="582" t="s">
        <v>1035</v>
      </c>
      <c r="F712" s="75">
        <v>2602160934</v>
      </c>
      <c r="G712" s="581" t="s">
        <v>74</v>
      </c>
      <c r="H712" s="581" t="s">
        <v>1004</v>
      </c>
      <c r="I712" s="581" t="s">
        <v>49</v>
      </c>
      <c r="J712" s="581" t="s">
        <v>46</v>
      </c>
      <c r="K712" s="581" t="s">
        <v>60</v>
      </c>
      <c r="L712" s="581" t="s">
        <v>47</v>
      </c>
      <c r="M712" s="380" t="e">
        <f t="shared" si="133"/>
        <v>#N/A</v>
      </c>
      <c r="N712" s="590" t="s">
        <v>62</v>
      </c>
      <c r="O712" s="78">
        <v>32070023</v>
      </c>
      <c r="P712" s="42" t="str">
        <f>VLOOKUP(O712,[1]Feuil2!$A:$M,5,FALSE)</f>
        <v>CUILLERE OPEN DECOR POIS NOIR 6C CARREFOUR HOME</v>
      </c>
      <c r="Q712" s="75">
        <v>2880</v>
      </c>
      <c r="R712" s="79">
        <v>0.249</v>
      </c>
      <c r="S712" s="80">
        <f t="shared" si="134"/>
        <v>717.12</v>
      </c>
      <c r="T712" s="81">
        <f t="shared" si="135"/>
        <v>199425.85799999998</v>
      </c>
      <c r="U712" s="139"/>
      <c r="V712" s="82">
        <f t="shared" si="136"/>
        <v>199425.85799999998</v>
      </c>
      <c r="W712" s="9">
        <f>VLOOKUP(O712,[1]Feuil2!$A:$M,6,FALSE)</f>
        <v>240</v>
      </c>
      <c r="X712" s="10">
        <f>VLOOKUP(O712,[1]Feuil2!$A:$M,13,FALSE)</f>
        <v>2.9791999999999999E-2</v>
      </c>
      <c r="Y712" s="11">
        <f t="shared" si="137"/>
        <v>0.35750399999999999</v>
      </c>
      <c r="Z712" s="83">
        <f t="shared" si="138"/>
        <v>111.822822625</v>
      </c>
      <c r="AA712" s="66" t="s">
        <v>61</v>
      </c>
      <c r="AB712" s="66" t="s">
        <v>61</v>
      </c>
      <c r="AC712" s="75"/>
      <c r="AD712" s="28" t="s">
        <v>61</v>
      </c>
      <c r="AE712" s="14"/>
      <c r="AF712" s="13"/>
      <c r="AG712" s="13"/>
      <c r="AH712" s="84"/>
      <c r="AI712" s="134">
        <v>46219</v>
      </c>
      <c r="AJ712" s="144" t="e">
        <f t="shared" ca="1" si="124"/>
        <v>#NUM!</v>
      </c>
      <c r="AK712" s="85" t="e">
        <f>VLOOKUP(AP712,'[2]CONTENEUR PLEIN'!$F:$L,3,FALSE)</f>
        <v>#N/A</v>
      </c>
      <c r="AL712" s="86" t="e">
        <f>VLOOKUP(AP712,'[2]CONTENEUR PLEIN'!$F:$L,5,FALSE)</f>
        <v>#N/A</v>
      </c>
      <c r="AM712" s="15" t="e">
        <f>VLOOKUP(AP712,'[2]CONTENEUR PLEIN'!$F:$L,7,FALSE)</f>
        <v>#N/A</v>
      </c>
      <c r="AN712" s="581" t="s">
        <v>63</v>
      </c>
      <c r="AO712" s="75"/>
      <c r="AP712" s="75"/>
      <c r="AQ712" s="75"/>
      <c r="AR712" s="75" t="e">
        <f>VLOOKUP(AP712,'[2]CONTENEUR PLEIN'!$F:$L,2,FALSE)</f>
        <v>#N/A</v>
      </c>
      <c r="AS712" s="75"/>
      <c r="AT712" s="84"/>
    </row>
    <row r="713" spans="2:46" s="72" customFormat="1" hidden="1" x14ac:dyDescent="0.25">
      <c r="B713" s="584" t="s">
        <v>45</v>
      </c>
      <c r="C713" s="74">
        <v>46091</v>
      </c>
      <c r="D713" s="75"/>
      <c r="E713" s="582" t="s">
        <v>1035</v>
      </c>
      <c r="F713" s="75">
        <v>2602160934</v>
      </c>
      <c r="G713" s="581" t="s">
        <v>74</v>
      </c>
      <c r="H713" s="581" t="s">
        <v>1004</v>
      </c>
      <c r="I713" s="581" t="s">
        <v>49</v>
      </c>
      <c r="J713" s="581" t="s">
        <v>46</v>
      </c>
      <c r="K713" s="581" t="s">
        <v>60</v>
      </c>
      <c r="L713" s="581" t="s">
        <v>47</v>
      </c>
      <c r="M713" s="380" t="e">
        <f t="shared" si="133"/>
        <v>#N/A</v>
      </c>
      <c r="N713" s="590" t="s">
        <v>62</v>
      </c>
      <c r="O713" s="78">
        <v>32070024</v>
      </c>
      <c r="P713" s="42" t="str">
        <f>VLOOKUP(O713,[1]Feuil2!$A:$M,5,FALSE)</f>
        <v>CAFE OPEN DECOR POIS NOIR 6C CARREFOUR HOME</v>
      </c>
      <c r="Q713" s="75">
        <v>7440</v>
      </c>
      <c r="R713" s="79">
        <v>0.20799999999999999</v>
      </c>
      <c r="S713" s="80">
        <f t="shared" si="134"/>
        <v>1547.52</v>
      </c>
      <c r="T713" s="81">
        <f t="shared" si="135"/>
        <v>199425.85799999998</v>
      </c>
      <c r="U713" s="139"/>
      <c r="V713" s="82">
        <f t="shared" si="136"/>
        <v>199425.85799999998</v>
      </c>
      <c r="W713" s="9">
        <f>VLOOKUP(O713,[1]Feuil2!$A:$M,6,FALSE)</f>
        <v>240</v>
      </c>
      <c r="X713" s="10">
        <f>VLOOKUP(O713,[1]Feuil2!$A:$M,13,FALSE)</f>
        <v>4.6800000000000001E-3</v>
      </c>
      <c r="Y713" s="11">
        <f t="shared" si="137"/>
        <v>0.14508000000000001</v>
      </c>
      <c r="Z713" s="83">
        <f t="shared" si="138"/>
        <v>111.822822625</v>
      </c>
      <c r="AA713" s="66" t="s">
        <v>61</v>
      </c>
      <c r="AB713" s="66" t="s">
        <v>61</v>
      </c>
      <c r="AC713" s="75"/>
      <c r="AD713" s="28" t="s">
        <v>61</v>
      </c>
      <c r="AE713" s="14"/>
      <c r="AF713" s="13"/>
      <c r="AG713" s="13"/>
      <c r="AH713" s="84"/>
      <c r="AI713" s="134">
        <v>46219</v>
      </c>
      <c r="AJ713" s="144" t="e">
        <f t="shared" ca="1" si="124"/>
        <v>#NUM!</v>
      </c>
      <c r="AK713" s="85" t="e">
        <f>VLOOKUP(AP713,'[2]CONTENEUR PLEIN'!$F:$L,3,FALSE)</f>
        <v>#N/A</v>
      </c>
      <c r="AL713" s="86" t="e">
        <f>VLOOKUP(AP713,'[2]CONTENEUR PLEIN'!$F:$L,5,FALSE)</f>
        <v>#N/A</v>
      </c>
      <c r="AM713" s="15" t="e">
        <f>VLOOKUP(AP713,'[2]CONTENEUR PLEIN'!$F:$L,7,FALSE)</f>
        <v>#N/A</v>
      </c>
      <c r="AN713" s="581" t="s">
        <v>63</v>
      </c>
      <c r="AO713" s="75"/>
      <c r="AP713" s="75"/>
      <c r="AQ713" s="75"/>
      <c r="AR713" s="75" t="e">
        <f>VLOOKUP(AP713,'[2]CONTENEUR PLEIN'!$F:$L,2,FALSE)</f>
        <v>#N/A</v>
      </c>
      <c r="AS713" s="75"/>
      <c r="AT713" s="84"/>
    </row>
    <row r="714" spans="2:46" s="72" customFormat="1" hidden="1" x14ac:dyDescent="0.25">
      <c r="B714" s="584" t="s">
        <v>45</v>
      </c>
      <c r="C714" s="74">
        <v>46091</v>
      </c>
      <c r="D714" s="75"/>
      <c r="E714" s="582" t="s">
        <v>1035</v>
      </c>
      <c r="F714" s="75">
        <v>2602160934</v>
      </c>
      <c r="G714" s="581" t="s">
        <v>74</v>
      </c>
      <c r="H714" s="581" t="s">
        <v>1004</v>
      </c>
      <c r="I714" s="581" t="s">
        <v>49</v>
      </c>
      <c r="J714" s="581" t="s">
        <v>46</v>
      </c>
      <c r="K714" s="581" t="s">
        <v>60</v>
      </c>
      <c r="L714" s="581" t="s">
        <v>47</v>
      </c>
      <c r="M714" s="380" t="e">
        <f t="shared" si="133"/>
        <v>#N/A</v>
      </c>
      <c r="N714" s="590" t="s">
        <v>62</v>
      </c>
      <c r="O714" s="78">
        <v>32070050</v>
      </c>
      <c r="P714" s="42" t="str">
        <f>VLOOKUP(O714,[1]Feuil2!$A:$M,5,FALSE)</f>
        <v>M24 OPEN DECOR POIS NOIR POT PET TB COLLECTION</v>
      </c>
      <c r="Q714" s="75">
        <v>1206</v>
      </c>
      <c r="R714" s="79">
        <v>5.88</v>
      </c>
      <c r="S714" s="80">
        <f t="shared" si="134"/>
        <v>7091.28</v>
      </c>
      <c r="T714" s="81">
        <f t="shared" si="135"/>
        <v>199425.85799999998</v>
      </c>
      <c r="U714" s="139"/>
      <c r="V714" s="82">
        <f t="shared" si="136"/>
        <v>199425.85799999998</v>
      </c>
      <c r="W714" s="9">
        <f>VLOOKUP(O714,[1]Feuil2!$A:$M,6,FALSE)</f>
        <v>6</v>
      </c>
      <c r="X714" s="10">
        <f>VLOOKUP(O714,[1]Feuil2!$A:$M,13,FALSE)</f>
        <v>1.8528125000000003E-2</v>
      </c>
      <c r="Y714" s="11">
        <f t="shared" si="137"/>
        <v>3.7241531250000004</v>
      </c>
      <c r="Z714" s="83">
        <f t="shared" si="138"/>
        <v>111.822822625</v>
      </c>
      <c r="AA714" s="66" t="s">
        <v>61</v>
      </c>
      <c r="AB714" s="66" t="s">
        <v>61</v>
      </c>
      <c r="AC714" s="75"/>
      <c r="AD714" s="28" t="s">
        <v>61</v>
      </c>
      <c r="AE714" s="14"/>
      <c r="AF714" s="13"/>
      <c r="AG714" s="13"/>
      <c r="AH714" s="84"/>
      <c r="AI714" s="134">
        <v>46219</v>
      </c>
      <c r="AJ714" s="144" t="e">
        <f t="shared" ca="1" si="124"/>
        <v>#NUM!</v>
      </c>
      <c r="AK714" s="85" t="e">
        <f>VLOOKUP(AP714,'[2]CONTENEUR PLEIN'!$F:$L,3,FALSE)</f>
        <v>#N/A</v>
      </c>
      <c r="AL714" s="86" t="e">
        <f>VLOOKUP(AP714,'[2]CONTENEUR PLEIN'!$F:$L,5,FALSE)</f>
        <v>#N/A</v>
      </c>
      <c r="AM714" s="15" t="e">
        <f>VLOOKUP(AP714,'[2]CONTENEUR PLEIN'!$F:$L,7,FALSE)</f>
        <v>#N/A</v>
      </c>
      <c r="AN714" s="581" t="s">
        <v>63</v>
      </c>
      <c r="AO714" s="75"/>
      <c r="AP714" s="75"/>
      <c r="AQ714" s="75"/>
      <c r="AR714" s="75" t="e">
        <f>VLOOKUP(AP714,'[2]CONTENEUR PLEIN'!$F:$L,2,FALSE)</f>
        <v>#N/A</v>
      </c>
      <c r="AS714" s="75"/>
      <c r="AT714" s="84"/>
    </row>
    <row r="715" spans="2:46" s="72" customFormat="1" hidden="1" x14ac:dyDescent="0.25">
      <c r="B715" s="584" t="s">
        <v>45</v>
      </c>
      <c r="C715" s="74">
        <v>46091</v>
      </c>
      <c r="D715" s="75"/>
      <c r="E715" s="582" t="s">
        <v>1035</v>
      </c>
      <c r="F715" s="75">
        <v>2602160934</v>
      </c>
      <c r="G715" s="581" t="s">
        <v>74</v>
      </c>
      <c r="H715" s="581" t="s">
        <v>1004</v>
      </c>
      <c r="I715" s="581" t="s">
        <v>49</v>
      </c>
      <c r="J715" s="581" t="s">
        <v>46</v>
      </c>
      <c r="K715" s="581" t="s">
        <v>60</v>
      </c>
      <c r="L715" s="581" t="s">
        <v>47</v>
      </c>
      <c r="M715" s="380" t="e">
        <f t="shared" si="133"/>
        <v>#N/A</v>
      </c>
      <c r="N715" s="590" t="s">
        <v>62</v>
      </c>
      <c r="O715" s="78">
        <v>32210005</v>
      </c>
      <c r="P715" s="42" t="str">
        <f>VLOOKUP(O715,[1]Feuil2!$A:$M,5,FALSE)</f>
        <v>COUTEAU OPEN UNI COLOR GRIS BLEUTE 432C CARREFOUR HOME</v>
      </c>
      <c r="Q715" s="75">
        <v>6720</v>
      </c>
      <c r="R715" s="79">
        <v>0.19600000000000001</v>
      </c>
      <c r="S715" s="80">
        <f t="shared" si="134"/>
        <v>1317.1200000000001</v>
      </c>
      <c r="T715" s="81">
        <f t="shared" si="135"/>
        <v>199425.85799999998</v>
      </c>
      <c r="U715" s="139"/>
      <c r="V715" s="82">
        <f t="shared" si="136"/>
        <v>199425.85799999998</v>
      </c>
      <c r="W715" s="9">
        <f>VLOOKUP(O715,[1]Feuil2!$A:$M,6,FALSE)</f>
        <v>240</v>
      </c>
      <c r="X715" s="10">
        <f>VLOOKUP(O715,[1]Feuil2!$A:$M,13,FALSE)</f>
        <v>2.6125000000000002E-2</v>
      </c>
      <c r="Y715" s="11">
        <f t="shared" si="137"/>
        <v>0.73150000000000004</v>
      </c>
      <c r="Z715" s="83">
        <f t="shared" si="138"/>
        <v>111.822822625</v>
      </c>
      <c r="AA715" s="66" t="s">
        <v>61</v>
      </c>
      <c r="AB715" s="66" t="s">
        <v>61</v>
      </c>
      <c r="AC715" s="75"/>
      <c r="AD715" s="28" t="s">
        <v>61</v>
      </c>
      <c r="AE715" s="14"/>
      <c r="AF715" s="13"/>
      <c r="AG715" s="13"/>
      <c r="AH715" s="84"/>
      <c r="AI715" s="134">
        <v>46219</v>
      </c>
      <c r="AJ715" s="144" t="e">
        <f t="shared" ca="1" si="124"/>
        <v>#NUM!</v>
      </c>
      <c r="AK715" s="85" t="e">
        <f>VLOOKUP(AP715,'[2]CONTENEUR PLEIN'!$F:$L,3,FALSE)</f>
        <v>#N/A</v>
      </c>
      <c r="AL715" s="86" t="e">
        <f>VLOOKUP(AP715,'[2]CONTENEUR PLEIN'!$F:$L,5,FALSE)</f>
        <v>#N/A</v>
      </c>
      <c r="AM715" s="15" t="e">
        <f>VLOOKUP(AP715,'[2]CONTENEUR PLEIN'!$F:$L,7,FALSE)</f>
        <v>#N/A</v>
      </c>
      <c r="AN715" s="581" t="s">
        <v>63</v>
      </c>
      <c r="AO715" s="75"/>
      <c r="AP715" s="75"/>
      <c r="AQ715" s="75"/>
      <c r="AR715" s="75" t="e">
        <f>VLOOKUP(AP715,'[2]CONTENEUR PLEIN'!$F:$L,2,FALSE)</f>
        <v>#N/A</v>
      </c>
      <c r="AS715" s="75"/>
      <c r="AT715" s="84"/>
    </row>
    <row r="716" spans="2:46" s="72" customFormat="1" ht="15" hidden="1" customHeight="1" x14ac:dyDescent="0.25">
      <c r="B716" s="584" t="s">
        <v>45</v>
      </c>
      <c r="C716" s="74">
        <v>46091</v>
      </c>
      <c r="D716" s="75"/>
      <c r="E716" s="582" t="s">
        <v>1035</v>
      </c>
      <c r="F716" s="75">
        <v>2602160934</v>
      </c>
      <c r="G716" s="581" t="s">
        <v>74</v>
      </c>
      <c r="H716" s="581" t="s">
        <v>1004</v>
      </c>
      <c r="I716" s="581" t="s">
        <v>49</v>
      </c>
      <c r="J716" s="581" t="s">
        <v>46</v>
      </c>
      <c r="K716" s="581" t="s">
        <v>60</v>
      </c>
      <c r="L716" s="581" t="s">
        <v>47</v>
      </c>
      <c r="M716" s="380" t="e">
        <f t="shared" si="133"/>
        <v>#N/A</v>
      </c>
      <c r="N716" s="590" t="s">
        <v>62</v>
      </c>
      <c r="O716" s="78">
        <v>32210015</v>
      </c>
      <c r="P716" s="42" t="str">
        <f>VLOOKUP(O716,[1]Feuil2!$A:$M,5,FALSE)</f>
        <v>CUILLERE OPEN UNI COLOR BEIGE 7529C CARREFOUR HOME</v>
      </c>
      <c r="Q716" s="75">
        <v>5760</v>
      </c>
      <c r="R716" s="79">
        <v>0.20599999999999999</v>
      </c>
      <c r="S716" s="80">
        <f t="shared" si="134"/>
        <v>1186.56</v>
      </c>
      <c r="T716" s="81">
        <f t="shared" si="135"/>
        <v>199425.85799999998</v>
      </c>
      <c r="U716" s="139"/>
      <c r="V716" s="82">
        <f t="shared" si="136"/>
        <v>199425.85799999998</v>
      </c>
      <c r="W716" s="9">
        <f>VLOOKUP(O716,[1]Feuil2!$A:$M,6,FALSE)</f>
        <v>240</v>
      </c>
      <c r="X716" s="10">
        <f>VLOOKUP(O716,[1]Feuil2!$A:$M,13,FALSE)</f>
        <v>3.1008000000000004E-2</v>
      </c>
      <c r="Y716" s="11">
        <f t="shared" si="137"/>
        <v>0.74419200000000008</v>
      </c>
      <c r="Z716" s="83">
        <f t="shared" si="138"/>
        <v>111.822822625</v>
      </c>
      <c r="AA716" s="66" t="s">
        <v>61</v>
      </c>
      <c r="AB716" s="66" t="s">
        <v>61</v>
      </c>
      <c r="AC716" s="75"/>
      <c r="AD716" s="28" t="s">
        <v>61</v>
      </c>
      <c r="AE716" s="14"/>
      <c r="AF716" s="13"/>
      <c r="AG716" s="13"/>
      <c r="AH716" s="84"/>
      <c r="AI716" s="134">
        <v>46219</v>
      </c>
      <c r="AJ716" s="144" t="e">
        <f t="shared" ca="1" si="124"/>
        <v>#NUM!</v>
      </c>
      <c r="AK716" s="85" t="e">
        <f>VLOOKUP(AP716,'[2]CONTENEUR PLEIN'!$F:$L,3,FALSE)</f>
        <v>#N/A</v>
      </c>
      <c r="AL716" s="86" t="e">
        <f>VLOOKUP(AP716,'[2]CONTENEUR PLEIN'!$F:$L,5,FALSE)</f>
        <v>#N/A</v>
      </c>
      <c r="AM716" s="15" t="e">
        <f>VLOOKUP(AP716,'[2]CONTENEUR PLEIN'!$F:$L,7,FALSE)</f>
        <v>#N/A</v>
      </c>
      <c r="AN716" s="581" t="s">
        <v>63</v>
      </c>
      <c r="AO716" s="75"/>
      <c r="AP716" s="75"/>
      <c r="AQ716" s="75"/>
      <c r="AR716" s="75" t="e">
        <f>VLOOKUP(AP716,'[2]CONTENEUR PLEIN'!$F:$L,2,FALSE)</f>
        <v>#N/A</v>
      </c>
      <c r="AS716" s="75"/>
      <c r="AT716" s="84"/>
    </row>
    <row r="717" spans="2:46" s="72" customFormat="1" hidden="1" x14ac:dyDescent="0.25">
      <c r="B717" s="584" t="s">
        <v>45</v>
      </c>
      <c r="C717" s="74">
        <v>46091</v>
      </c>
      <c r="D717" s="75"/>
      <c r="E717" s="582" t="s">
        <v>1035</v>
      </c>
      <c r="F717" s="75">
        <v>2602160934</v>
      </c>
      <c r="G717" s="581" t="s">
        <v>74</v>
      </c>
      <c r="H717" s="581" t="s">
        <v>1004</v>
      </c>
      <c r="I717" s="581" t="s">
        <v>49</v>
      </c>
      <c r="J717" s="581" t="s">
        <v>46</v>
      </c>
      <c r="K717" s="581" t="s">
        <v>60</v>
      </c>
      <c r="L717" s="581" t="s">
        <v>47</v>
      </c>
      <c r="M717" s="380" t="e">
        <f t="shared" si="133"/>
        <v>#N/A</v>
      </c>
      <c r="N717" s="543" t="s">
        <v>49</v>
      </c>
      <c r="O717" s="78">
        <v>40020036</v>
      </c>
      <c r="P717" s="42" t="str">
        <f>VLOOKUP(O717,[1]Feuil2!$A:$M,5,FALSE)</f>
        <v>TOMATE PAMPLEMOUSSE ACIDULE ROUGE + GENCOD</v>
      </c>
      <c r="Q717" s="75">
        <v>2304</v>
      </c>
      <c r="R717" s="79">
        <v>0.38</v>
      </c>
      <c r="S717" s="80">
        <f t="shared" si="134"/>
        <v>875.52</v>
      </c>
      <c r="T717" s="81">
        <f t="shared" si="135"/>
        <v>199425.85799999998</v>
      </c>
      <c r="U717" s="139"/>
      <c r="V717" s="82">
        <f t="shared" si="136"/>
        <v>199425.85799999998</v>
      </c>
      <c r="W717" s="9">
        <f>VLOOKUP(O717,[1]Feuil2!$A:$M,6,FALSE)</f>
        <v>144</v>
      </c>
      <c r="X717" s="10">
        <f>VLOOKUP(O717,[1]Feuil2!$A:$M,13,FALSE)</f>
        <v>1.8603000000000001E-2</v>
      </c>
      <c r="Y717" s="11">
        <f t="shared" si="137"/>
        <v>0.29764800000000002</v>
      </c>
      <c r="Z717" s="83">
        <f t="shared" si="138"/>
        <v>111.822822625</v>
      </c>
      <c r="AA717" s="66" t="s">
        <v>61</v>
      </c>
      <c r="AB717" s="66" t="s">
        <v>61</v>
      </c>
      <c r="AC717" s="75"/>
      <c r="AD717" s="28" t="s">
        <v>61</v>
      </c>
      <c r="AE717" s="14"/>
      <c r="AF717" s="13"/>
      <c r="AG717" s="13"/>
      <c r="AH717" s="84"/>
      <c r="AI717" s="134">
        <v>46219</v>
      </c>
      <c r="AJ717" s="144" t="e">
        <f t="shared" ca="1" si="124"/>
        <v>#NUM!</v>
      </c>
      <c r="AK717" s="85" t="e">
        <f>VLOOKUP(AP717,'[2]CONTENEUR PLEIN'!$F:$L,3,FALSE)</f>
        <v>#N/A</v>
      </c>
      <c r="AL717" s="86" t="e">
        <f>VLOOKUP(AP717,'[2]CONTENEUR PLEIN'!$F:$L,5,FALSE)</f>
        <v>#N/A</v>
      </c>
      <c r="AM717" s="15" t="e">
        <f>VLOOKUP(AP717,'[2]CONTENEUR PLEIN'!$F:$L,7,FALSE)</f>
        <v>#N/A</v>
      </c>
      <c r="AN717" s="581" t="s">
        <v>63</v>
      </c>
      <c r="AO717" s="75"/>
      <c r="AP717" s="75"/>
      <c r="AQ717" s="75"/>
      <c r="AR717" s="75" t="e">
        <f>VLOOKUP(AP717,'[2]CONTENEUR PLEIN'!$F:$L,2,FALSE)</f>
        <v>#N/A</v>
      </c>
      <c r="AS717" s="75"/>
      <c r="AT717" s="84"/>
    </row>
    <row r="718" spans="2:46" s="72" customFormat="1" hidden="1" x14ac:dyDescent="0.25">
      <c r="B718" s="584" t="s">
        <v>45</v>
      </c>
      <c r="C718" s="74">
        <v>46091</v>
      </c>
      <c r="D718" s="75"/>
      <c r="E718" s="582" t="s">
        <v>1035</v>
      </c>
      <c r="F718" s="75">
        <v>2602160934</v>
      </c>
      <c r="G718" s="581" t="s">
        <v>74</v>
      </c>
      <c r="H718" s="581" t="s">
        <v>1004</v>
      </c>
      <c r="I718" s="581" t="s">
        <v>49</v>
      </c>
      <c r="J718" s="581" t="s">
        <v>46</v>
      </c>
      <c r="K718" s="581" t="s">
        <v>60</v>
      </c>
      <c r="L718" s="581" t="s">
        <v>47</v>
      </c>
      <c r="M718" s="380" t="e">
        <f t="shared" si="133"/>
        <v>#N/A</v>
      </c>
      <c r="N718" s="543" t="s">
        <v>49</v>
      </c>
      <c r="O718" s="78">
        <v>402640</v>
      </c>
      <c r="P718" s="42" t="str">
        <f>VLOOKUP(O718,[1]Feuil2!$A:$M,5,FALSE)</f>
        <v>LOT 6 CAFES CLEO 18% 10/10</v>
      </c>
      <c r="Q718" s="75">
        <v>54800</v>
      </c>
      <c r="R718" s="79">
        <v>0.28199999999999997</v>
      </c>
      <c r="S718" s="80">
        <f t="shared" si="134"/>
        <v>15453.599999999999</v>
      </c>
      <c r="T718" s="81">
        <f t="shared" si="135"/>
        <v>199425.85799999998</v>
      </c>
      <c r="U718" s="139"/>
      <c r="V718" s="82">
        <f t="shared" si="136"/>
        <v>199425.85799999998</v>
      </c>
      <c r="W718" s="9">
        <f>VLOOKUP(O718,[1]Feuil2!$A:$M,6,FALSE)</f>
        <v>200</v>
      </c>
      <c r="X718" s="10">
        <f>VLOOKUP(O718,[1]Feuil2!$A:$M,13,FALSE)</f>
        <v>8.0750000000000006E-3</v>
      </c>
      <c r="Y718" s="11">
        <f t="shared" si="137"/>
        <v>2.2125500000000002</v>
      </c>
      <c r="Z718" s="83">
        <f t="shared" si="138"/>
        <v>111.822822625</v>
      </c>
      <c r="AA718" s="66" t="s">
        <v>61</v>
      </c>
      <c r="AB718" s="66" t="s">
        <v>61</v>
      </c>
      <c r="AC718" s="75"/>
      <c r="AD718" s="28" t="s">
        <v>61</v>
      </c>
      <c r="AE718" s="14"/>
      <c r="AF718" s="13"/>
      <c r="AG718" s="13"/>
      <c r="AH718" s="84"/>
      <c r="AI718" s="134">
        <v>46219</v>
      </c>
      <c r="AJ718" s="144" t="e">
        <f t="shared" ca="1" si="124"/>
        <v>#NUM!</v>
      </c>
      <c r="AK718" s="85" t="e">
        <f>VLOOKUP(AP718,'[2]CONTENEUR PLEIN'!$F:$L,3,FALSE)</f>
        <v>#N/A</v>
      </c>
      <c r="AL718" s="86" t="e">
        <f>VLOOKUP(AP718,'[2]CONTENEUR PLEIN'!$F:$L,5,FALSE)</f>
        <v>#N/A</v>
      </c>
      <c r="AM718" s="15" t="e">
        <f>VLOOKUP(AP718,'[2]CONTENEUR PLEIN'!$F:$L,7,FALSE)</f>
        <v>#N/A</v>
      </c>
      <c r="AN718" s="581" t="s">
        <v>63</v>
      </c>
      <c r="AO718" s="75"/>
      <c r="AP718" s="75"/>
      <c r="AQ718" s="75"/>
      <c r="AR718" s="75" t="e">
        <f>VLOOKUP(AP718,'[2]CONTENEUR PLEIN'!$F:$L,2,FALSE)</f>
        <v>#N/A</v>
      </c>
      <c r="AS718" s="75"/>
      <c r="AT718" s="84"/>
    </row>
    <row r="719" spans="2:46" s="72" customFormat="1" hidden="1" x14ac:dyDescent="0.25">
      <c r="B719" s="584" t="s">
        <v>45</v>
      </c>
      <c r="C719" s="74">
        <v>46091</v>
      </c>
      <c r="D719" s="75"/>
      <c r="E719" s="582" t="s">
        <v>1035</v>
      </c>
      <c r="F719" s="75">
        <v>2602160934</v>
      </c>
      <c r="G719" s="581" t="s">
        <v>74</v>
      </c>
      <c r="H719" s="581" t="s">
        <v>1004</v>
      </c>
      <c r="I719" s="581" t="s">
        <v>49</v>
      </c>
      <c r="J719" s="581" t="s">
        <v>46</v>
      </c>
      <c r="K719" s="581" t="s">
        <v>60</v>
      </c>
      <c r="L719" s="581" t="s">
        <v>47</v>
      </c>
      <c r="M719" s="380" t="e">
        <f t="shared" si="133"/>
        <v>#N/A</v>
      </c>
      <c r="N719" s="543" t="s">
        <v>49</v>
      </c>
      <c r="O719" s="78">
        <v>402650</v>
      </c>
      <c r="P719" s="42" t="str">
        <f>VLOOKUP(O719,[1]Feuil2!$A:$M,5,FALSE)</f>
        <v>LOT 6 CUILL MOKA CLEO 18% 10/10</v>
      </c>
      <c r="Q719" s="75">
        <v>48200</v>
      </c>
      <c r="R719" s="79">
        <v>0.20399999999999999</v>
      </c>
      <c r="S719" s="80">
        <f t="shared" si="134"/>
        <v>9832.7999999999993</v>
      </c>
      <c r="T719" s="81">
        <f t="shared" si="135"/>
        <v>199425.85799999998</v>
      </c>
      <c r="U719" s="139"/>
      <c r="V719" s="82">
        <f t="shared" si="136"/>
        <v>199425.85799999998</v>
      </c>
      <c r="W719" s="9">
        <f>VLOOKUP(O719,[1]Feuil2!$A:$M,6,FALSE)</f>
        <v>200</v>
      </c>
      <c r="X719" s="10">
        <f>VLOOKUP(O719,[1]Feuil2!$A:$M,13,FALSE)</f>
        <v>6.0210000000000012E-3</v>
      </c>
      <c r="Y719" s="11">
        <f t="shared" si="137"/>
        <v>1.4510610000000004</v>
      </c>
      <c r="Z719" s="83">
        <f t="shared" si="138"/>
        <v>111.822822625</v>
      </c>
      <c r="AA719" s="66" t="s">
        <v>61</v>
      </c>
      <c r="AB719" s="66" t="s">
        <v>61</v>
      </c>
      <c r="AC719" s="75"/>
      <c r="AD719" s="28" t="s">
        <v>61</v>
      </c>
      <c r="AE719" s="14"/>
      <c r="AF719" s="13"/>
      <c r="AG719" s="13"/>
      <c r="AH719" s="84"/>
      <c r="AI719" s="134">
        <v>46219</v>
      </c>
      <c r="AJ719" s="144" t="e">
        <f t="shared" ca="1" si="124"/>
        <v>#NUM!</v>
      </c>
      <c r="AK719" s="85" t="e">
        <f>VLOOKUP(AP719,'[2]CONTENEUR PLEIN'!$F:$L,3,FALSE)</f>
        <v>#N/A</v>
      </c>
      <c r="AL719" s="86" t="e">
        <f>VLOOKUP(AP719,'[2]CONTENEUR PLEIN'!$F:$L,5,FALSE)</f>
        <v>#N/A</v>
      </c>
      <c r="AM719" s="15" t="e">
        <f>VLOOKUP(AP719,'[2]CONTENEUR PLEIN'!$F:$L,7,FALSE)</f>
        <v>#N/A</v>
      </c>
      <c r="AN719" s="581" t="s">
        <v>63</v>
      </c>
      <c r="AO719" s="75"/>
      <c r="AP719" s="75"/>
      <c r="AQ719" s="75"/>
      <c r="AR719" s="75" t="e">
        <f>VLOOKUP(AP719,'[2]CONTENEUR PLEIN'!$F:$L,2,FALSE)</f>
        <v>#N/A</v>
      </c>
      <c r="AS719" s="75"/>
      <c r="AT719" s="84"/>
    </row>
    <row r="720" spans="2:46" s="72" customFormat="1" ht="15" hidden="1" customHeight="1" x14ac:dyDescent="0.25">
      <c r="B720" s="584" t="s">
        <v>45</v>
      </c>
      <c r="C720" s="74">
        <v>46091</v>
      </c>
      <c r="D720" s="75"/>
      <c r="E720" s="582" t="s">
        <v>1035</v>
      </c>
      <c r="F720" s="75">
        <v>2602160934</v>
      </c>
      <c r="G720" s="581" t="s">
        <v>74</v>
      </c>
      <c r="H720" s="581" t="s">
        <v>1004</v>
      </c>
      <c r="I720" s="581" t="s">
        <v>49</v>
      </c>
      <c r="J720" s="581" t="s">
        <v>46</v>
      </c>
      <c r="K720" s="581" t="s">
        <v>60</v>
      </c>
      <c r="L720" s="581" t="s">
        <v>47</v>
      </c>
      <c r="M720" s="380" t="e">
        <f t="shared" si="133"/>
        <v>#N/A</v>
      </c>
      <c r="N720" s="543" t="s">
        <v>49</v>
      </c>
      <c r="O720" s="78">
        <v>430536</v>
      </c>
      <c r="P720" s="42" t="str">
        <f>VLOOKUP(O720,[1]Feuil2!$A:$M,5,FALSE)</f>
        <v>FETTE AMANDE ANIS+GENCOD</v>
      </c>
      <c r="Q720" s="75">
        <v>6480</v>
      </c>
      <c r="R720" s="79">
        <v>0.20499999999999999</v>
      </c>
      <c r="S720" s="80">
        <f t="shared" si="134"/>
        <v>1328.3999999999999</v>
      </c>
      <c r="T720" s="81">
        <f t="shared" si="135"/>
        <v>199425.85799999998</v>
      </c>
      <c r="U720" s="139"/>
      <c r="V720" s="82">
        <f t="shared" si="136"/>
        <v>199425.85799999998</v>
      </c>
      <c r="W720" s="9">
        <f>VLOOKUP(O720,[1]Feuil2!$A:$M,6,FALSE)</f>
        <v>240</v>
      </c>
      <c r="X720" s="10">
        <f>VLOOKUP(O720,[1]Feuil2!$A:$M,13,FALSE)</f>
        <v>2.5200000000000004E-2</v>
      </c>
      <c r="Y720" s="11">
        <f t="shared" si="137"/>
        <v>0.68040000000000012</v>
      </c>
      <c r="Z720" s="83">
        <f t="shared" si="138"/>
        <v>111.822822625</v>
      </c>
      <c r="AA720" s="66" t="s">
        <v>61</v>
      </c>
      <c r="AB720" s="66" t="s">
        <v>61</v>
      </c>
      <c r="AC720" s="75"/>
      <c r="AD720" s="28" t="s">
        <v>61</v>
      </c>
      <c r="AE720" s="14"/>
      <c r="AF720" s="13"/>
      <c r="AG720" s="13"/>
      <c r="AH720" s="84"/>
      <c r="AI720" s="134">
        <v>46219</v>
      </c>
      <c r="AJ720" s="144" t="e">
        <f t="shared" ca="1" si="124"/>
        <v>#NUM!</v>
      </c>
      <c r="AK720" s="85" t="e">
        <f>VLOOKUP(AP720,'[2]CONTENEUR PLEIN'!$F:$L,3,FALSE)</f>
        <v>#N/A</v>
      </c>
      <c r="AL720" s="86" t="e">
        <f>VLOOKUP(AP720,'[2]CONTENEUR PLEIN'!$F:$L,5,FALSE)</f>
        <v>#N/A</v>
      </c>
      <c r="AM720" s="15" t="e">
        <f>VLOOKUP(AP720,'[2]CONTENEUR PLEIN'!$F:$L,7,FALSE)</f>
        <v>#N/A</v>
      </c>
      <c r="AN720" s="581" t="s">
        <v>63</v>
      </c>
      <c r="AO720" s="75"/>
      <c r="AP720" s="75"/>
      <c r="AQ720" s="75"/>
      <c r="AR720" s="75" t="e">
        <f>VLOOKUP(AP720,'[2]CONTENEUR PLEIN'!$F:$L,2,FALSE)</f>
        <v>#N/A</v>
      </c>
      <c r="AS720" s="75"/>
      <c r="AT720" s="84"/>
    </row>
    <row r="721" spans="2:46" s="72" customFormat="1" hidden="1" x14ac:dyDescent="0.25">
      <c r="B721" s="584" t="s">
        <v>45</v>
      </c>
      <c r="C721" s="74">
        <v>46091</v>
      </c>
      <c r="D721" s="75"/>
      <c r="E721" s="582" t="s">
        <v>1035</v>
      </c>
      <c r="F721" s="75">
        <v>2602160934</v>
      </c>
      <c r="G721" s="581" t="s">
        <v>74</v>
      </c>
      <c r="H721" s="581" t="s">
        <v>1004</v>
      </c>
      <c r="I721" s="581" t="s">
        <v>49</v>
      </c>
      <c r="J721" s="581" t="s">
        <v>46</v>
      </c>
      <c r="K721" s="581" t="s">
        <v>60</v>
      </c>
      <c r="L721" s="581" t="s">
        <v>47</v>
      </c>
      <c r="M721" s="380" t="e">
        <f t="shared" si="133"/>
        <v>#N/A</v>
      </c>
      <c r="N721" s="543" t="s">
        <v>49</v>
      </c>
      <c r="O721" s="78">
        <v>430545</v>
      </c>
      <c r="P721" s="42" t="str">
        <f>VLOOKUP(O721,[1]Feuil2!$A:$M,5,FALSE)</f>
        <v>CUIL. AMANDE BLEU+GENCOD</v>
      </c>
      <c r="Q721" s="75">
        <v>4320</v>
      </c>
      <c r="R721" s="79">
        <v>0.19800000000000001</v>
      </c>
      <c r="S721" s="80">
        <f t="shared" si="134"/>
        <v>855.36</v>
      </c>
      <c r="T721" s="81">
        <f t="shared" si="135"/>
        <v>199425.85799999998</v>
      </c>
      <c r="U721" s="139"/>
      <c r="V721" s="82">
        <f t="shared" si="136"/>
        <v>199425.85799999998</v>
      </c>
      <c r="W721" s="9">
        <f>VLOOKUP(O721,[1]Feuil2!$A:$M,6,FALSE)</f>
        <v>240</v>
      </c>
      <c r="X721" s="10">
        <f>VLOOKUP(O721,[1]Feuil2!$A:$M,13,FALSE)</f>
        <v>2.4928749999999996E-2</v>
      </c>
      <c r="Y721" s="11">
        <f t="shared" si="137"/>
        <v>0.44871749999999994</v>
      </c>
      <c r="Z721" s="83">
        <f t="shared" si="138"/>
        <v>111.822822625</v>
      </c>
      <c r="AA721" s="66" t="s">
        <v>61</v>
      </c>
      <c r="AB721" s="66" t="s">
        <v>61</v>
      </c>
      <c r="AC721" s="75"/>
      <c r="AD721" s="28" t="s">
        <v>61</v>
      </c>
      <c r="AE721" s="14"/>
      <c r="AF721" s="13"/>
      <c r="AG721" s="13"/>
      <c r="AH721" s="84"/>
      <c r="AI721" s="134">
        <v>46219</v>
      </c>
      <c r="AJ721" s="144" t="e">
        <f t="shared" ca="1" si="124"/>
        <v>#NUM!</v>
      </c>
      <c r="AK721" s="85" t="e">
        <f>VLOOKUP(AP721,'[2]CONTENEUR PLEIN'!$F:$L,3,FALSE)</f>
        <v>#N/A</v>
      </c>
      <c r="AL721" s="86" t="e">
        <f>VLOOKUP(AP721,'[2]CONTENEUR PLEIN'!$F:$L,5,FALSE)</f>
        <v>#N/A</v>
      </c>
      <c r="AM721" s="15" t="e">
        <f>VLOOKUP(AP721,'[2]CONTENEUR PLEIN'!$F:$L,7,FALSE)</f>
        <v>#N/A</v>
      </c>
      <c r="AN721" s="581" t="s">
        <v>63</v>
      </c>
      <c r="AO721" s="75"/>
      <c r="AP721" s="75"/>
      <c r="AQ721" s="75"/>
      <c r="AR721" s="75" t="e">
        <f>VLOOKUP(AP721,'[2]CONTENEUR PLEIN'!$F:$L,2,FALSE)</f>
        <v>#N/A</v>
      </c>
      <c r="AS721" s="75"/>
      <c r="AT721" s="84"/>
    </row>
    <row r="722" spans="2:46" s="72" customFormat="1" hidden="1" x14ac:dyDescent="0.25">
      <c r="B722" s="584" t="s">
        <v>45</v>
      </c>
      <c r="C722" s="74">
        <v>46091</v>
      </c>
      <c r="D722" s="75"/>
      <c r="E722" s="582" t="s">
        <v>1035</v>
      </c>
      <c r="F722" s="75">
        <v>2602160934</v>
      </c>
      <c r="G722" s="581" t="s">
        <v>74</v>
      </c>
      <c r="H722" s="581" t="s">
        <v>1004</v>
      </c>
      <c r="I722" s="581" t="s">
        <v>49</v>
      </c>
      <c r="J722" s="581" t="s">
        <v>46</v>
      </c>
      <c r="K722" s="581" t="s">
        <v>60</v>
      </c>
      <c r="L722" s="581" t="s">
        <v>47</v>
      </c>
      <c r="M722" s="380" t="e">
        <f t="shared" si="133"/>
        <v>#N/A</v>
      </c>
      <c r="N722" s="590" t="s">
        <v>62</v>
      </c>
      <c r="O722" s="78">
        <v>438580</v>
      </c>
      <c r="P722" s="42" t="str">
        <f>VLOOKUP(O722,[1]Feuil2!$A:$M,5,FALSE)</f>
        <v>M24 LAG MULTICOLORS COF+BAND MI</v>
      </c>
      <c r="Q722" s="75">
        <v>4356</v>
      </c>
      <c r="R722" s="79">
        <v>6.4</v>
      </c>
      <c r="S722" s="80">
        <f t="shared" si="134"/>
        <v>27878.400000000001</v>
      </c>
      <c r="T722" s="81">
        <f t="shared" si="135"/>
        <v>199425.85799999998</v>
      </c>
      <c r="U722" s="139"/>
      <c r="V722" s="82">
        <f t="shared" si="136"/>
        <v>199425.85799999998</v>
      </c>
      <c r="W722" s="9">
        <f>VLOOKUP(O722,[1]Feuil2!$A:$M,6,FALSE)</f>
        <v>6</v>
      </c>
      <c r="X722" s="10">
        <f>VLOOKUP(O722,[1]Feuil2!$A:$M,13,FALSE)</f>
        <v>2.8173499999999997E-2</v>
      </c>
      <c r="Y722" s="11">
        <f t="shared" si="137"/>
        <v>20.453961</v>
      </c>
      <c r="Z722" s="83">
        <f t="shared" si="138"/>
        <v>111.822822625</v>
      </c>
      <c r="AA722" s="66" t="s">
        <v>61</v>
      </c>
      <c r="AB722" s="66" t="s">
        <v>61</v>
      </c>
      <c r="AC722" s="75"/>
      <c r="AD722" s="28" t="s">
        <v>61</v>
      </c>
      <c r="AE722" s="14"/>
      <c r="AF722" s="13"/>
      <c r="AG722" s="13"/>
      <c r="AH722" s="84"/>
      <c r="AI722" s="134">
        <v>46219</v>
      </c>
      <c r="AJ722" s="144" t="e">
        <f t="shared" ca="1" si="124"/>
        <v>#NUM!</v>
      </c>
      <c r="AK722" s="85" t="e">
        <f>VLOOKUP(AP722,'[2]CONTENEUR PLEIN'!$F:$L,3,FALSE)</f>
        <v>#N/A</v>
      </c>
      <c r="AL722" s="86" t="e">
        <f>VLOOKUP(AP722,'[2]CONTENEUR PLEIN'!$F:$L,5,FALSE)</f>
        <v>#N/A</v>
      </c>
      <c r="AM722" s="15" t="e">
        <f>VLOOKUP(AP722,'[2]CONTENEUR PLEIN'!$F:$L,7,FALSE)</f>
        <v>#N/A</v>
      </c>
      <c r="AN722" s="581" t="s">
        <v>63</v>
      </c>
      <c r="AO722" s="75"/>
      <c r="AP722" s="75"/>
      <c r="AQ722" s="75"/>
      <c r="AR722" s="75" t="e">
        <f>VLOOKUP(AP722,'[2]CONTENEUR PLEIN'!$F:$L,2,FALSE)</f>
        <v>#N/A</v>
      </c>
      <c r="AS722" s="75"/>
      <c r="AT722" s="84"/>
    </row>
    <row r="723" spans="2:46" s="72" customFormat="1" hidden="1" x14ac:dyDescent="0.25">
      <c r="B723" s="584" t="s">
        <v>45</v>
      </c>
      <c r="C723" s="74">
        <v>46091</v>
      </c>
      <c r="D723" s="75"/>
      <c r="E723" s="582" t="s">
        <v>1035</v>
      </c>
      <c r="F723" s="75">
        <v>2602160934</v>
      </c>
      <c r="G723" s="581" t="s">
        <v>74</v>
      </c>
      <c r="H723" s="581" t="s">
        <v>1004</v>
      </c>
      <c r="I723" s="581" t="s">
        <v>49</v>
      </c>
      <c r="J723" s="581" t="s">
        <v>46</v>
      </c>
      <c r="K723" s="581" t="s">
        <v>60</v>
      </c>
      <c r="L723" s="581" t="s">
        <v>47</v>
      </c>
      <c r="M723" s="380" t="e">
        <f t="shared" si="133"/>
        <v>#N/A</v>
      </c>
      <c r="N723" s="543" t="s">
        <v>49</v>
      </c>
      <c r="O723" s="78">
        <v>444860</v>
      </c>
      <c r="P723" s="42" t="str">
        <f>VLOOKUP(O723,[1]Feuil2!$A:$M,5,FALSE)</f>
        <v>CUILLERE INEDIT UNION JACK</v>
      </c>
      <c r="Q723" s="75">
        <v>2640</v>
      </c>
      <c r="R723" s="79">
        <v>0.34</v>
      </c>
      <c r="S723" s="80">
        <f t="shared" si="134"/>
        <v>897.6</v>
      </c>
      <c r="T723" s="81">
        <f t="shared" si="135"/>
        <v>199425.85799999998</v>
      </c>
      <c r="U723" s="139"/>
      <c r="V723" s="82">
        <f t="shared" si="136"/>
        <v>199425.85799999998</v>
      </c>
      <c r="W723" s="9">
        <f>VLOOKUP(O723,[1]Feuil2!$A:$M,6,FALSE)</f>
        <v>240</v>
      </c>
      <c r="X723" s="10">
        <f>VLOOKUP(O723,[1]Feuil2!$A:$M,13,FALSE)</f>
        <v>2.9218750000000002E-2</v>
      </c>
      <c r="Y723" s="11">
        <f t="shared" si="137"/>
        <v>0.32140625</v>
      </c>
      <c r="Z723" s="83">
        <f t="shared" si="138"/>
        <v>111.822822625</v>
      </c>
      <c r="AA723" s="66" t="s">
        <v>61</v>
      </c>
      <c r="AB723" s="66" t="s">
        <v>61</v>
      </c>
      <c r="AC723" s="75"/>
      <c r="AD723" s="28" t="s">
        <v>61</v>
      </c>
      <c r="AE723" s="14"/>
      <c r="AF723" s="13"/>
      <c r="AG723" s="13"/>
      <c r="AH723" s="84"/>
      <c r="AI723" s="134">
        <v>46219</v>
      </c>
      <c r="AJ723" s="144" t="e">
        <f t="shared" ca="1" si="124"/>
        <v>#NUM!</v>
      </c>
      <c r="AK723" s="85" t="e">
        <f>VLOOKUP(AP723,'[2]CONTENEUR PLEIN'!$F:$L,3,FALSE)</f>
        <v>#N/A</v>
      </c>
      <c r="AL723" s="86" t="e">
        <f>VLOOKUP(AP723,'[2]CONTENEUR PLEIN'!$F:$L,5,FALSE)</f>
        <v>#N/A</v>
      </c>
      <c r="AM723" s="15" t="e">
        <f>VLOOKUP(AP723,'[2]CONTENEUR PLEIN'!$F:$L,7,FALSE)</f>
        <v>#N/A</v>
      </c>
      <c r="AN723" s="581" t="s">
        <v>63</v>
      </c>
      <c r="AO723" s="75"/>
      <c r="AP723" s="75"/>
      <c r="AQ723" s="75"/>
      <c r="AR723" s="75" t="e">
        <f>VLOOKUP(AP723,'[2]CONTENEUR PLEIN'!$F:$L,2,FALSE)</f>
        <v>#N/A</v>
      </c>
      <c r="AS723" s="75"/>
      <c r="AT723" s="84"/>
    </row>
    <row r="724" spans="2:46" s="72" customFormat="1" ht="15" hidden="1" customHeight="1" x14ac:dyDescent="0.25">
      <c r="B724" s="584" t="s">
        <v>45</v>
      </c>
      <c r="C724" s="74">
        <v>46091</v>
      </c>
      <c r="D724" s="75"/>
      <c r="E724" s="582" t="s">
        <v>1035</v>
      </c>
      <c r="F724" s="75">
        <v>2602160934</v>
      </c>
      <c r="G724" s="581" t="s">
        <v>74</v>
      </c>
      <c r="H724" s="581" t="s">
        <v>1004</v>
      </c>
      <c r="I724" s="581" t="s">
        <v>49</v>
      </c>
      <c r="J724" s="581" t="s">
        <v>46</v>
      </c>
      <c r="K724" s="581" t="s">
        <v>60</v>
      </c>
      <c r="L724" s="581" t="s">
        <v>47</v>
      </c>
      <c r="M724" s="380" t="e">
        <f t="shared" si="133"/>
        <v>#N/A</v>
      </c>
      <c r="N724" s="543" t="s">
        <v>49</v>
      </c>
      <c r="O724" s="78">
        <v>445386</v>
      </c>
      <c r="P724" s="42" t="str">
        <f>VLOOKUP(O724,[1]Feuil2!$A:$M,5,FALSE)</f>
        <v>OFFICE ACIDULE BEE COUL PANACH EN BTE DE 12</v>
      </c>
      <c r="Q724" s="75">
        <v>18720</v>
      </c>
      <c r="R724" s="79">
        <v>0.28499999999999998</v>
      </c>
      <c r="S724" s="80">
        <f t="shared" si="134"/>
        <v>5335.2</v>
      </c>
      <c r="T724" s="81">
        <f t="shared" si="135"/>
        <v>199425.85799999998</v>
      </c>
      <c r="U724" s="139"/>
      <c r="V724" s="82">
        <f t="shared" si="136"/>
        <v>199425.85799999998</v>
      </c>
      <c r="W724" s="9">
        <f>VLOOKUP(O724,[1]Feuil2!$A:$M,6,FALSE)</f>
        <v>144</v>
      </c>
      <c r="X724" s="10">
        <f>VLOOKUP(O724,[1]Feuil2!$A:$M,13,FALSE)</f>
        <v>1.0925000000000001E-2</v>
      </c>
      <c r="Y724" s="11">
        <f t="shared" si="137"/>
        <v>1.42025</v>
      </c>
      <c r="Z724" s="83">
        <f t="shared" si="138"/>
        <v>111.822822625</v>
      </c>
      <c r="AA724" s="66" t="s">
        <v>61</v>
      </c>
      <c r="AB724" s="66" t="s">
        <v>61</v>
      </c>
      <c r="AC724" s="75"/>
      <c r="AD724" s="28" t="s">
        <v>61</v>
      </c>
      <c r="AE724" s="14"/>
      <c r="AF724" s="13"/>
      <c r="AG724" s="13"/>
      <c r="AH724" s="84"/>
      <c r="AI724" s="134">
        <v>46219</v>
      </c>
      <c r="AJ724" s="144" t="e">
        <f t="shared" ca="1" si="124"/>
        <v>#NUM!</v>
      </c>
      <c r="AK724" s="85" t="e">
        <f>VLOOKUP(AP724,'[2]CONTENEUR PLEIN'!$F:$L,3,FALSE)</f>
        <v>#N/A</v>
      </c>
      <c r="AL724" s="86" t="e">
        <f>VLOOKUP(AP724,'[2]CONTENEUR PLEIN'!$F:$L,5,FALSE)</f>
        <v>#N/A</v>
      </c>
      <c r="AM724" s="15" t="e">
        <f>VLOOKUP(AP724,'[2]CONTENEUR PLEIN'!$F:$L,7,FALSE)</f>
        <v>#N/A</v>
      </c>
      <c r="AN724" s="581" t="s">
        <v>63</v>
      </c>
      <c r="AO724" s="75"/>
      <c r="AP724" s="75"/>
      <c r="AQ724" s="75"/>
      <c r="AR724" s="75" t="e">
        <f>VLOOKUP(AP724,'[2]CONTENEUR PLEIN'!$F:$L,2,FALSE)</f>
        <v>#N/A</v>
      </c>
      <c r="AS724" s="75"/>
      <c r="AT724" s="84"/>
    </row>
    <row r="725" spans="2:46" s="72" customFormat="1" hidden="1" x14ac:dyDescent="0.25">
      <c r="B725" s="584"/>
      <c r="C725" s="74"/>
      <c r="D725" s="75"/>
      <c r="E725" s="582"/>
      <c r="F725" s="75"/>
      <c r="G725" s="581"/>
      <c r="H725" s="581"/>
      <c r="I725" s="581"/>
      <c r="J725" s="581"/>
      <c r="K725" s="581"/>
      <c r="L725" s="581"/>
      <c r="M725" s="380" t="e">
        <f t="shared" si="133"/>
        <v>#N/A</v>
      </c>
      <c r="N725" s="84"/>
      <c r="O725" s="78"/>
      <c r="P725" s="42" t="e">
        <f>VLOOKUP(O725,[1]Feuil2!$A:$M,5,FALSE)</f>
        <v>#N/A</v>
      </c>
      <c r="Q725" s="75"/>
      <c r="R725" s="79"/>
      <c r="S725" s="80">
        <f t="shared" si="134"/>
        <v>0</v>
      </c>
      <c r="T725" s="81">
        <f t="shared" si="135"/>
        <v>0</v>
      </c>
      <c r="U725" s="139"/>
      <c r="V725" s="82">
        <f t="shared" si="136"/>
        <v>0</v>
      </c>
      <c r="W725" s="9" t="e">
        <f>VLOOKUP(O725,[1]Feuil2!$A:$M,6,FALSE)</f>
        <v>#N/A</v>
      </c>
      <c r="X725" s="10" t="e">
        <f>VLOOKUP(O725,[1]Feuil2!$A:$M,13,FALSE)</f>
        <v>#N/A</v>
      </c>
      <c r="Y725" s="11" t="e">
        <f t="shared" si="137"/>
        <v>#N/A</v>
      </c>
      <c r="Z725" s="83">
        <f t="shared" si="138"/>
        <v>0</v>
      </c>
      <c r="AA725" s="12"/>
      <c r="AB725" s="13"/>
      <c r="AC725" s="75"/>
      <c r="AD725" s="13"/>
      <c r="AE725" s="14"/>
      <c r="AF725" s="13"/>
      <c r="AG725" s="13"/>
      <c r="AH725" s="84"/>
      <c r="AI725" s="134"/>
      <c r="AJ725" s="144">
        <f t="shared" ca="1" si="124"/>
        <v>46098</v>
      </c>
      <c r="AK725" s="85" t="e">
        <f>VLOOKUP(AP725,'[2]CONTENEUR PLEIN'!$F:$L,3,FALSE)</f>
        <v>#N/A</v>
      </c>
      <c r="AL725" s="86" t="e">
        <f>VLOOKUP(AP725,'[2]CONTENEUR PLEIN'!$F:$L,5,FALSE)</f>
        <v>#N/A</v>
      </c>
      <c r="AM725" s="15" t="e">
        <f>VLOOKUP(AP725,'[2]CONTENEUR PLEIN'!$F:$L,7,FALSE)</f>
        <v>#N/A</v>
      </c>
      <c r="AN725" s="75"/>
      <c r="AO725" s="75"/>
      <c r="AP725" s="75"/>
      <c r="AQ725" s="75"/>
      <c r="AR725" s="75" t="e">
        <f>VLOOKUP(AP725,'[2]CONTENEUR PLEIN'!$F:$L,2,FALSE)</f>
        <v>#N/A</v>
      </c>
      <c r="AS725" s="75"/>
      <c r="AT725" s="84"/>
    </row>
    <row r="726" spans="2:46" s="72" customFormat="1" hidden="1" x14ac:dyDescent="0.25">
      <c r="B726" s="584"/>
      <c r="C726" s="74"/>
      <c r="D726" s="75"/>
      <c r="E726" s="582"/>
      <c r="F726" s="75"/>
      <c r="G726" s="581"/>
      <c r="H726" s="581"/>
      <c r="I726" s="581"/>
      <c r="J726" s="581"/>
      <c r="K726" s="581"/>
      <c r="L726" s="581"/>
      <c r="M726" s="380" t="e">
        <f t="shared" si="133"/>
        <v>#N/A</v>
      </c>
      <c r="N726" s="84"/>
      <c r="O726" s="78"/>
      <c r="P726" s="42" t="e">
        <f>VLOOKUP(O726,[1]Feuil2!$A:$M,5,FALSE)</f>
        <v>#N/A</v>
      </c>
      <c r="Q726" s="75"/>
      <c r="R726" s="79"/>
      <c r="S726" s="80">
        <f t="shared" si="134"/>
        <v>0</v>
      </c>
      <c r="T726" s="81">
        <f t="shared" si="135"/>
        <v>0</v>
      </c>
      <c r="U726" s="139"/>
      <c r="V726" s="82">
        <f t="shared" si="136"/>
        <v>0</v>
      </c>
      <c r="W726" s="9" t="e">
        <f>VLOOKUP(O726,[1]Feuil2!$A:$M,6,FALSE)</f>
        <v>#N/A</v>
      </c>
      <c r="X726" s="10" t="e">
        <f>VLOOKUP(O726,[1]Feuil2!$A:$M,13,FALSE)</f>
        <v>#N/A</v>
      </c>
      <c r="Y726" s="11" t="e">
        <f t="shared" si="137"/>
        <v>#N/A</v>
      </c>
      <c r="Z726" s="83">
        <f t="shared" si="138"/>
        <v>0</v>
      </c>
      <c r="AA726" s="12"/>
      <c r="AB726" s="13"/>
      <c r="AC726" s="75"/>
      <c r="AD726" s="13"/>
      <c r="AE726" s="14"/>
      <c r="AF726" s="13"/>
      <c r="AG726" s="13"/>
      <c r="AH726" s="84"/>
      <c r="AI726" s="134"/>
      <c r="AJ726" s="144">
        <f t="shared" ca="1" si="124"/>
        <v>46098</v>
      </c>
      <c r="AK726" s="85" t="e">
        <f>VLOOKUP(AP726,'[2]CONTENEUR PLEIN'!$F:$L,3,FALSE)</f>
        <v>#N/A</v>
      </c>
      <c r="AL726" s="86" t="e">
        <f>VLOOKUP(AP726,'[2]CONTENEUR PLEIN'!$F:$L,5,FALSE)</f>
        <v>#N/A</v>
      </c>
      <c r="AM726" s="15" t="e">
        <f>VLOOKUP(AP726,'[2]CONTENEUR PLEIN'!$F:$L,7,FALSE)</f>
        <v>#N/A</v>
      </c>
      <c r="AN726" s="75"/>
      <c r="AO726" s="75"/>
      <c r="AP726" s="75"/>
      <c r="AQ726" s="75"/>
      <c r="AR726" s="75" t="e">
        <f>VLOOKUP(AP726,'[2]CONTENEUR PLEIN'!$F:$L,2,FALSE)</f>
        <v>#N/A</v>
      </c>
      <c r="AS726" s="75"/>
      <c r="AT726" s="84"/>
    </row>
    <row r="727" spans="2:46" s="72" customFormat="1" hidden="1" x14ac:dyDescent="0.25">
      <c r="B727" s="73"/>
      <c r="C727" s="75"/>
      <c r="D727" s="75"/>
      <c r="E727" s="76"/>
      <c r="F727" s="75"/>
      <c r="G727" s="75"/>
      <c r="H727" s="75"/>
      <c r="I727" s="75"/>
      <c r="J727" s="75"/>
      <c r="K727" s="75"/>
      <c r="L727" s="75"/>
      <c r="M727" s="380" t="e">
        <f t="shared" si="133"/>
        <v>#N/A</v>
      </c>
      <c r="N727" s="84"/>
      <c r="O727" s="78"/>
      <c r="P727" s="42" t="e">
        <f>VLOOKUP(O727,[1]Feuil2!$A:$M,5,FALSE)</f>
        <v>#N/A</v>
      </c>
      <c r="Q727" s="75"/>
      <c r="R727" s="79"/>
      <c r="S727" s="80">
        <f t="shared" si="134"/>
        <v>0</v>
      </c>
      <c r="T727" s="81">
        <f t="shared" si="135"/>
        <v>0</v>
      </c>
      <c r="U727" s="139"/>
      <c r="V727" s="82">
        <f t="shared" si="136"/>
        <v>0</v>
      </c>
      <c r="W727" s="9" t="e">
        <f>VLOOKUP(O727,[1]Feuil2!$A:$M,6,FALSE)</f>
        <v>#N/A</v>
      </c>
      <c r="X727" s="10" t="e">
        <f>VLOOKUP(O727,[1]Feuil2!$A:$M,13,FALSE)</f>
        <v>#N/A</v>
      </c>
      <c r="Y727" s="11" t="e">
        <f t="shared" si="137"/>
        <v>#N/A</v>
      </c>
      <c r="Z727" s="83">
        <f t="shared" si="138"/>
        <v>0</v>
      </c>
      <c r="AA727" s="12"/>
      <c r="AB727" s="13"/>
      <c r="AC727" s="75"/>
      <c r="AD727" s="13"/>
      <c r="AE727" s="14"/>
      <c r="AF727" s="13"/>
      <c r="AG727" s="13"/>
      <c r="AH727" s="84"/>
      <c r="AI727" s="134"/>
      <c r="AJ727" s="144">
        <f t="shared" ca="1" si="124"/>
        <v>46098</v>
      </c>
      <c r="AK727" s="85" t="e">
        <f>VLOOKUP(AP727,'[2]CONTENEUR PLEIN'!$F:$L,3,FALSE)</f>
        <v>#N/A</v>
      </c>
      <c r="AL727" s="86" t="e">
        <f>VLOOKUP(AP727,'[2]CONTENEUR PLEIN'!$F:$L,5,FALSE)</f>
        <v>#N/A</v>
      </c>
      <c r="AM727" s="15" t="e">
        <f>VLOOKUP(AP727,'[2]CONTENEUR PLEIN'!$F:$L,7,FALSE)</f>
        <v>#N/A</v>
      </c>
      <c r="AN727" s="75"/>
      <c r="AO727" s="75"/>
      <c r="AP727" s="75"/>
      <c r="AQ727" s="75"/>
      <c r="AR727" s="75" t="e">
        <f>VLOOKUP(AP727,'[2]CONTENEUR PLEIN'!$F:$L,2,FALSE)</f>
        <v>#N/A</v>
      </c>
      <c r="AS727" s="75"/>
      <c r="AT727" s="84"/>
    </row>
    <row r="728" spans="2:46" s="72" customFormat="1" ht="15" hidden="1" customHeight="1" x14ac:dyDescent="0.25">
      <c r="B728" s="73"/>
      <c r="C728" s="75"/>
      <c r="D728" s="234"/>
      <c r="E728" s="76"/>
      <c r="F728" s="75"/>
      <c r="G728" s="234"/>
      <c r="H728" s="75"/>
      <c r="I728" s="75"/>
      <c r="J728" s="75"/>
      <c r="K728" s="75"/>
      <c r="L728" s="75"/>
      <c r="M728" s="380" t="e">
        <f t="shared" si="133"/>
        <v>#N/A</v>
      </c>
      <c r="N728" s="84"/>
      <c r="O728" s="78"/>
      <c r="P728" s="42" t="e">
        <f>VLOOKUP(O728,[1]Feuil2!$A:$M,5,FALSE)</f>
        <v>#N/A</v>
      </c>
      <c r="Q728" s="75"/>
      <c r="R728" s="79"/>
      <c r="S728" s="80">
        <f t="shared" si="134"/>
        <v>0</v>
      </c>
      <c r="T728" s="81">
        <f t="shared" si="135"/>
        <v>0</v>
      </c>
      <c r="U728" s="139"/>
      <c r="V728" s="82">
        <f t="shared" si="136"/>
        <v>0</v>
      </c>
      <c r="W728" s="9" t="e">
        <f>VLOOKUP(O728,[1]Feuil2!$A:$M,6,FALSE)</f>
        <v>#N/A</v>
      </c>
      <c r="X728" s="10" t="e">
        <f>VLOOKUP(O728,[1]Feuil2!$A:$M,13,FALSE)</f>
        <v>#N/A</v>
      </c>
      <c r="Y728" s="11" t="e">
        <f t="shared" si="137"/>
        <v>#N/A</v>
      </c>
      <c r="Z728" s="83">
        <f t="shared" si="138"/>
        <v>0</v>
      </c>
      <c r="AA728" s="12"/>
      <c r="AB728" s="13"/>
      <c r="AC728" s="75"/>
      <c r="AD728" s="13"/>
      <c r="AE728" s="14"/>
      <c r="AF728" s="13"/>
      <c r="AG728" s="13"/>
      <c r="AH728" s="84"/>
      <c r="AI728" s="134"/>
      <c r="AJ728" s="144">
        <f t="shared" ca="1" si="124"/>
        <v>46098</v>
      </c>
      <c r="AK728" s="85" t="e">
        <f>VLOOKUP(AP728,'[2]CONTENEUR PLEIN'!$F:$L,3,FALSE)</f>
        <v>#N/A</v>
      </c>
      <c r="AL728" s="86" t="e">
        <f>VLOOKUP(AP728,'[2]CONTENEUR PLEIN'!$F:$L,5,FALSE)</f>
        <v>#N/A</v>
      </c>
      <c r="AM728" s="15" t="e">
        <f>VLOOKUP(AP728,'[2]CONTENEUR PLEIN'!$F:$L,7,FALSE)</f>
        <v>#N/A</v>
      </c>
      <c r="AN728" s="75"/>
      <c r="AO728" s="75"/>
      <c r="AP728" s="75"/>
      <c r="AQ728" s="75"/>
      <c r="AR728" s="75" t="e">
        <f>VLOOKUP(AP728,'[2]CONTENEUR PLEIN'!$F:$L,2,FALSE)</f>
        <v>#N/A</v>
      </c>
      <c r="AS728" s="75"/>
      <c r="AT728" s="84"/>
    </row>
    <row r="729" spans="2:46" s="72" customFormat="1" hidden="1" x14ac:dyDescent="0.25">
      <c r="B729" s="73"/>
      <c r="C729" s="75"/>
      <c r="D729" s="75"/>
      <c r="E729" s="76"/>
      <c r="F729" s="75"/>
      <c r="G729" s="75"/>
      <c r="H729" s="75"/>
      <c r="I729" s="75"/>
      <c r="J729" s="75"/>
      <c r="K729" s="75"/>
      <c r="L729" s="75"/>
      <c r="M729" s="380" t="e">
        <f t="shared" si="133"/>
        <v>#N/A</v>
      </c>
      <c r="N729" s="84"/>
      <c r="O729" s="78"/>
      <c r="P729" s="42" t="e">
        <f>VLOOKUP(O729,[1]Feuil2!$A:$M,5,FALSE)</f>
        <v>#N/A</v>
      </c>
      <c r="Q729" s="75"/>
      <c r="R729" s="79"/>
      <c r="S729" s="80">
        <f t="shared" si="134"/>
        <v>0</v>
      </c>
      <c r="T729" s="81">
        <f t="shared" si="135"/>
        <v>0</v>
      </c>
      <c r="U729" s="139"/>
      <c r="V729" s="82">
        <f t="shared" si="136"/>
        <v>0</v>
      </c>
      <c r="W729" s="9" t="e">
        <f>VLOOKUP(O729,[1]Feuil2!$A:$M,6,FALSE)</f>
        <v>#N/A</v>
      </c>
      <c r="X729" s="10" t="e">
        <f>VLOOKUP(O729,[1]Feuil2!$A:$M,13,FALSE)</f>
        <v>#N/A</v>
      </c>
      <c r="Y729" s="11" t="e">
        <f t="shared" si="137"/>
        <v>#N/A</v>
      </c>
      <c r="Z729" s="83">
        <f t="shared" si="138"/>
        <v>0</v>
      </c>
      <c r="AA729" s="12"/>
      <c r="AB729" s="13"/>
      <c r="AC729" s="75"/>
      <c r="AD729" s="13"/>
      <c r="AE729" s="14"/>
      <c r="AF729" s="13"/>
      <c r="AG729" s="13"/>
      <c r="AH729" s="84"/>
      <c r="AI729" s="134"/>
      <c r="AJ729" s="144">
        <f t="shared" ca="1" si="124"/>
        <v>46098</v>
      </c>
      <c r="AK729" s="85" t="e">
        <f>VLOOKUP(AP729,'[2]CONTENEUR PLEIN'!$F:$L,3,FALSE)</f>
        <v>#N/A</v>
      </c>
      <c r="AL729" s="86" t="e">
        <f>VLOOKUP(AP729,'[2]CONTENEUR PLEIN'!$F:$L,5,FALSE)</f>
        <v>#N/A</v>
      </c>
      <c r="AM729" s="15" t="e">
        <f>VLOOKUP(AP729,'[2]CONTENEUR PLEIN'!$F:$L,7,FALSE)</f>
        <v>#N/A</v>
      </c>
      <c r="AN729" s="75"/>
      <c r="AO729" s="75"/>
      <c r="AP729" s="75"/>
      <c r="AQ729" s="75"/>
      <c r="AR729" s="75" t="e">
        <f>VLOOKUP(AP729,'[2]CONTENEUR PLEIN'!$F:$L,2,FALSE)</f>
        <v>#N/A</v>
      </c>
      <c r="AS729" s="75"/>
      <c r="AT729" s="84"/>
    </row>
    <row r="730" spans="2:46" s="72" customFormat="1" hidden="1" x14ac:dyDescent="0.25">
      <c r="B730" s="73"/>
      <c r="C730" s="75"/>
      <c r="D730" s="75"/>
      <c r="E730" s="76"/>
      <c r="F730" s="75"/>
      <c r="G730" s="75"/>
      <c r="H730" s="75"/>
      <c r="I730" s="75"/>
      <c r="J730" s="75"/>
      <c r="K730" s="75"/>
      <c r="L730" s="75"/>
      <c r="M730" s="380" t="e">
        <f t="shared" si="133"/>
        <v>#N/A</v>
      </c>
      <c r="N730" s="84"/>
      <c r="O730" s="78"/>
      <c r="P730" s="42" t="e">
        <f>VLOOKUP(O730,[1]Feuil2!$A:$M,5,FALSE)</f>
        <v>#N/A</v>
      </c>
      <c r="Q730" s="75"/>
      <c r="R730" s="79"/>
      <c r="S730" s="80">
        <f t="shared" si="134"/>
        <v>0</v>
      </c>
      <c r="T730" s="81">
        <f t="shared" si="135"/>
        <v>0</v>
      </c>
      <c r="U730" s="139"/>
      <c r="V730" s="82">
        <f t="shared" si="136"/>
        <v>0</v>
      </c>
      <c r="W730" s="9" t="e">
        <f>VLOOKUP(O730,[1]Feuil2!$A:$M,6,FALSE)</f>
        <v>#N/A</v>
      </c>
      <c r="X730" s="10" t="e">
        <f>VLOOKUP(O730,[1]Feuil2!$A:$M,13,FALSE)</f>
        <v>#N/A</v>
      </c>
      <c r="Y730" s="11" t="e">
        <f t="shared" si="137"/>
        <v>#N/A</v>
      </c>
      <c r="Z730" s="83">
        <f t="shared" si="138"/>
        <v>0</v>
      </c>
      <c r="AA730" s="12"/>
      <c r="AB730" s="13"/>
      <c r="AC730" s="75"/>
      <c r="AD730" s="13"/>
      <c r="AE730" s="14"/>
      <c r="AF730" s="13"/>
      <c r="AG730" s="13"/>
      <c r="AH730" s="84"/>
      <c r="AI730" s="134"/>
      <c r="AJ730" s="144">
        <f t="shared" ca="1" si="124"/>
        <v>46098</v>
      </c>
      <c r="AK730" s="85" t="e">
        <f>VLOOKUP(AP730,'[2]CONTENEUR PLEIN'!$F:$L,3,FALSE)</f>
        <v>#N/A</v>
      </c>
      <c r="AL730" s="86" t="e">
        <f>VLOOKUP(AP730,'[2]CONTENEUR PLEIN'!$F:$L,5,FALSE)</f>
        <v>#N/A</v>
      </c>
      <c r="AM730" s="15" t="e">
        <f>VLOOKUP(AP730,'[2]CONTENEUR PLEIN'!$F:$L,7,FALSE)</f>
        <v>#N/A</v>
      </c>
      <c r="AN730" s="75"/>
      <c r="AO730" s="75"/>
      <c r="AP730" s="75"/>
      <c r="AQ730" s="75"/>
      <c r="AR730" s="75" t="e">
        <f>VLOOKUP(AP730,'[2]CONTENEUR PLEIN'!$F:$L,2,FALSE)</f>
        <v>#N/A</v>
      </c>
      <c r="AS730" s="75"/>
      <c r="AT730" s="84"/>
    </row>
    <row r="731" spans="2:46" s="72" customFormat="1" hidden="1" x14ac:dyDescent="0.25">
      <c r="B731" s="73"/>
      <c r="C731" s="75"/>
      <c r="D731" s="75"/>
      <c r="E731" s="76"/>
      <c r="F731" s="75"/>
      <c r="G731" s="75"/>
      <c r="H731" s="75"/>
      <c r="I731" s="75"/>
      <c r="J731" s="75"/>
      <c r="K731" s="75"/>
      <c r="L731" s="75"/>
      <c r="M731" s="380" t="e">
        <f t="shared" si="133"/>
        <v>#N/A</v>
      </c>
      <c r="N731" s="84"/>
      <c r="O731" s="78"/>
      <c r="P731" s="42" t="e">
        <f>VLOOKUP(O731,[1]Feuil2!$A:$M,5,FALSE)</f>
        <v>#N/A</v>
      </c>
      <c r="Q731" s="75"/>
      <c r="R731" s="79"/>
      <c r="S731" s="80">
        <f t="shared" si="134"/>
        <v>0</v>
      </c>
      <c r="T731" s="81">
        <f t="shared" si="135"/>
        <v>0</v>
      </c>
      <c r="U731" s="139"/>
      <c r="V731" s="82">
        <f t="shared" si="136"/>
        <v>0</v>
      </c>
      <c r="W731" s="9" t="e">
        <f>VLOOKUP(O731,[1]Feuil2!$A:$M,6,FALSE)</f>
        <v>#N/A</v>
      </c>
      <c r="X731" s="10" t="e">
        <f>VLOOKUP(O731,[1]Feuil2!$A:$M,13,FALSE)</f>
        <v>#N/A</v>
      </c>
      <c r="Y731" s="11" t="e">
        <f t="shared" si="137"/>
        <v>#N/A</v>
      </c>
      <c r="Z731" s="83">
        <f t="shared" si="138"/>
        <v>0</v>
      </c>
      <c r="AA731" s="12"/>
      <c r="AB731" s="13"/>
      <c r="AC731" s="75"/>
      <c r="AD731" s="13"/>
      <c r="AE731" s="14"/>
      <c r="AF731" s="13"/>
      <c r="AG731" s="13"/>
      <c r="AH731" s="84"/>
      <c r="AI731" s="134"/>
      <c r="AJ731" s="144">
        <f t="shared" ca="1" si="124"/>
        <v>46098</v>
      </c>
      <c r="AK731" s="85" t="e">
        <f>VLOOKUP(AP731,'[2]CONTENEUR PLEIN'!$F:$L,3,FALSE)</f>
        <v>#N/A</v>
      </c>
      <c r="AL731" s="86" t="e">
        <f>VLOOKUP(AP731,'[2]CONTENEUR PLEIN'!$F:$L,5,FALSE)</f>
        <v>#N/A</v>
      </c>
      <c r="AM731" s="15" t="e">
        <f>VLOOKUP(AP731,'[2]CONTENEUR PLEIN'!$F:$L,7,FALSE)</f>
        <v>#N/A</v>
      </c>
      <c r="AN731" s="75"/>
      <c r="AO731" s="75"/>
      <c r="AP731" s="75"/>
      <c r="AQ731" s="75"/>
      <c r="AR731" s="75" t="e">
        <f>VLOOKUP(AP731,'[2]CONTENEUR PLEIN'!$F:$L,2,FALSE)</f>
        <v>#N/A</v>
      </c>
      <c r="AS731" s="75"/>
      <c r="AT731" s="84"/>
    </row>
    <row r="732" spans="2:46" s="72" customFormat="1" ht="15" hidden="1" customHeight="1" x14ac:dyDescent="0.25">
      <c r="B732" s="73"/>
      <c r="C732" s="75"/>
      <c r="D732" s="234"/>
      <c r="E732" s="76"/>
      <c r="F732" s="75"/>
      <c r="G732" s="234"/>
      <c r="H732" s="75"/>
      <c r="I732" s="75"/>
      <c r="J732" s="75"/>
      <c r="K732" s="75"/>
      <c r="L732" s="75"/>
      <c r="M732" s="380" t="e">
        <f t="shared" si="133"/>
        <v>#N/A</v>
      </c>
      <c r="N732" s="84"/>
      <c r="O732" s="78"/>
      <c r="P732" s="42" t="e">
        <f>VLOOKUP(O732,[1]Feuil2!$A:$M,5,FALSE)</f>
        <v>#N/A</v>
      </c>
      <c r="Q732" s="75"/>
      <c r="R732" s="79"/>
      <c r="S732" s="80">
        <f t="shared" si="134"/>
        <v>0</v>
      </c>
      <c r="T732" s="81">
        <f t="shared" si="135"/>
        <v>0</v>
      </c>
      <c r="U732" s="139"/>
      <c r="V732" s="82">
        <f t="shared" si="136"/>
        <v>0</v>
      </c>
      <c r="W732" s="9" t="e">
        <f>VLOOKUP(O732,[1]Feuil2!$A:$M,6,FALSE)</f>
        <v>#N/A</v>
      </c>
      <c r="X732" s="10" t="e">
        <f>VLOOKUP(O732,[1]Feuil2!$A:$M,13,FALSE)</f>
        <v>#N/A</v>
      </c>
      <c r="Y732" s="11" t="e">
        <f t="shared" si="137"/>
        <v>#N/A</v>
      </c>
      <c r="Z732" s="83">
        <f t="shared" si="138"/>
        <v>0</v>
      </c>
      <c r="AA732" s="12"/>
      <c r="AB732" s="13"/>
      <c r="AC732" s="75"/>
      <c r="AD732" s="13"/>
      <c r="AE732" s="14"/>
      <c r="AF732" s="13"/>
      <c r="AG732" s="13"/>
      <c r="AH732" s="84"/>
      <c r="AI732" s="134"/>
      <c r="AJ732" s="144">
        <f t="shared" ca="1" si="124"/>
        <v>46098</v>
      </c>
      <c r="AK732" s="85" t="e">
        <f>VLOOKUP(AP732,'[2]CONTENEUR PLEIN'!$F:$L,3,FALSE)</f>
        <v>#N/A</v>
      </c>
      <c r="AL732" s="86" t="e">
        <f>VLOOKUP(AP732,'[2]CONTENEUR PLEIN'!$F:$L,5,FALSE)</f>
        <v>#N/A</v>
      </c>
      <c r="AM732" s="15" t="e">
        <f>VLOOKUP(AP732,'[2]CONTENEUR PLEIN'!$F:$L,7,FALSE)</f>
        <v>#N/A</v>
      </c>
      <c r="AN732" s="75"/>
      <c r="AO732" s="75"/>
      <c r="AP732" s="75"/>
      <c r="AQ732" s="75"/>
      <c r="AR732" s="75" t="e">
        <f>VLOOKUP(AP732,'[2]CONTENEUR PLEIN'!$F:$L,2,FALSE)</f>
        <v>#N/A</v>
      </c>
      <c r="AS732" s="75"/>
      <c r="AT732" s="84"/>
    </row>
    <row r="733" spans="2:46" s="72" customFormat="1" hidden="1" x14ac:dyDescent="0.25">
      <c r="B733" s="73"/>
      <c r="C733" s="75"/>
      <c r="D733" s="75"/>
      <c r="E733" s="76"/>
      <c r="F733" s="75"/>
      <c r="G733" s="75"/>
      <c r="H733" s="75"/>
      <c r="I733" s="75"/>
      <c r="J733" s="75"/>
      <c r="K733" s="75"/>
      <c r="L733" s="75"/>
      <c r="M733" s="380" t="e">
        <f t="shared" si="133"/>
        <v>#N/A</v>
      </c>
      <c r="N733" s="84"/>
      <c r="O733" s="78"/>
      <c r="P733" s="42" t="e">
        <f>VLOOKUP(O733,[1]Feuil2!$A:$M,5,FALSE)</f>
        <v>#N/A</v>
      </c>
      <c r="Q733" s="75"/>
      <c r="R733" s="79"/>
      <c r="S733" s="80">
        <f t="shared" si="134"/>
        <v>0</v>
      </c>
      <c r="T733" s="81">
        <f t="shared" si="135"/>
        <v>0</v>
      </c>
      <c r="U733" s="139"/>
      <c r="V733" s="82">
        <f t="shared" si="136"/>
        <v>0</v>
      </c>
      <c r="W733" s="9" t="e">
        <f>VLOOKUP(O733,[1]Feuil2!$A:$M,6,FALSE)</f>
        <v>#N/A</v>
      </c>
      <c r="X733" s="10" t="e">
        <f>VLOOKUP(O733,[1]Feuil2!$A:$M,13,FALSE)</f>
        <v>#N/A</v>
      </c>
      <c r="Y733" s="11" t="e">
        <f t="shared" si="137"/>
        <v>#N/A</v>
      </c>
      <c r="Z733" s="83">
        <f t="shared" si="138"/>
        <v>0</v>
      </c>
      <c r="AA733" s="12"/>
      <c r="AB733" s="13"/>
      <c r="AC733" s="75"/>
      <c r="AD733" s="13"/>
      <c r="AE733" s="14"/>
      <c r="AF733" s="13"/>
      <c r="AG733" s="13"/>
      <c r="AH733" s="84"/>
      <c r="AI733" s="134"/>
      <c r="AJ733" s="144">
        <f t="shared" ca="1" si="124"/>
        <v>46098</v>
      </c>
      <c r="AK733" s="85" t="e">
        <f>VLOOKUP(AP733,'[2]CONTENEUR PLEIN'!$F:$L,3,FALSE)</f>
        <v>#N/A</v>
      </c>
      <c r="AL733" s="86" t="e">
        <f>VLOOKUP(AP733,'[2]CONTENEUR PLEIN'!$F:$L,5,FALSE)</f>
        <v>#N/A</v>
      </c>
      <c r="AM733" s="15" t="e">
        <f>VLOOKUP(AP733,'[2]CONTENEUR PLEIN'!$F:$L,7,FALSE)</f>
        <v>#N/A</v>
      </c>
      <c r="AN733" s="75"/>
      <c r="AO733" s="75"/>
      <c r="AP733" s="75"/>
      <c r="AQ733" s="75"/>
      <c r="AR733" s="75" t="e">
        <f>VLOOKUP(AP733,'[2]CONTENEUR PLEIN'!$F:$L,2,FALSE)</f>
        <v>#N/A</v>
      </c>
      <c r="AS733" s="75"/>
      <c r="AT733" s="84"/>
    </row>
    <row r="734" spans="2:46" s="72" customFormat="1" hidden="1" x14ac:dyDescent="0.25">
      <c r="B734" s="73"/>
      <c r="C734" s="75"/>
      <c r="D734" s="75"/>
      <c r="E734" s="76"/>
      <c r="F734" s="75"/>
      <c r="G734" s="75"/>
      <c r="H734" s="75"/>
      <c r="I734" s="75"/>
      <c r="J734" s="75"/>
      <c r="K734" s="75"/>
      <c r="L734" s="75"/>
      <c r="M734" s="380" t="e">
        <f t="shared" si="133"/>
        <v>#N/A</v>
      </c>
      <c r="N734" s="84"/>
      <c r="O734" s="78"/>
      <c r="P734" s="42" t="e">
        <f>VLOOKUP(O734,[1]Feuil2!$A:$M,5,FALSE)</f>
        <v>#N/A</v>
      </c>
      <c r="Q734" s="75"/>
      <c r="R734" s="79"/>
      <c r="S734" s="80">
        <f t="shared" si="134"/>
        <v>0</v>
      </c>
      <c r="T734" s="81">
        <f t="shared" si="135"/>
        <v>0</v>
      </c>
      <c r="U734" s="139"/>
      <c r="V734" s="82">
        <f t="shared" si="136"/>
        <v>0</v>
      </c>
      <c r="W734" s="9" t="e">
        <f>VLOOKUP(O734,[1]Feuil2!$A:$M,6,FALSE)</f>
        <v>#N/A</v>
      </c>
      <c r="X734" s="10" t="e">
        <f>VLOOKUP(O734,[1]Feuil2!$A:$M,13,FALSE)</f>
        <v>#N/A</v>
      </c>
      <c r="Y734" s="11" t="e">
        <f t="shared" si="137"/>
        <v>#N/A</v>
      </c>
      <c r="Z734" s="83">
        <f t="shared" si="138"/>
        <v>0</v>
      </c>
      <c r="AA734" s="12"/>
      <c r="AB734" s="13"/>
      <c r="AC734" s="75"/>
      <c r="AD734" s="13"/>
      <c r="AE734" s="14"/>
      <c r="AF734" s="13"/>
      <c r="AG734" s="13"/>
      <c r="AH734" s="84"/>
      <c r="AI734" s="134"/>
      <c r="AJ734" s="144">
        <f t="shared" ca="1" si="124"/>
        <v>46098</v>
      </c>
      <c r="AK734" s="85" t="e">
        <f>VLOOKUP(AP734,'[2]CONTENEUR PLEIN'!$F:$L,3,FALSE)</f>
        <v>#N/A</v>
      </c>
      <c r="AL734" s="86" t="e">
        <f>VLOOKUP(AP734,'[2]CONTENEUR PLEIN'!$F:$L,5,FALSE)</f>
        <v>#N/A</v>
      </c>
      <c r="AM734" s="15" t="e">
        <f>VLOOKUP(AP734,'[2]CONTENEUR PLEIN'!$F:$L,7,FALSE)</f>
        <v>#N/A</v>
      </c>
      <c r="AN734" s="75"/>
      <c r="AO734" s="75"/>
      <c r="AP734" s="75"/>
      <c r="AQ734" s="75"/>
      <c r="AR734" s="75" t="e">
        <f>VLOOKUP(AP734,'[2]CONTENEUR PLEIN'!$F:$L,2,FALSE)</f>
        <v>#N/A</v>
      </c>
      <c r="AS734" s="75"/>
      <c r="AT734" s="84"/>
    </row>
    <row r="735" spans="2:46" s="72" customFormat="1" hidden="1" x14ac:dyDescent="0.25">
      <c r="B735" s="73"/>
      <c r="C735" s="75"/>
      <c r="D735" s="75"/>
      <c r="E735" s="76"/>
      <c r="F735" s="75"/>
      <c r="G735" s="75"/>
      <c r="H735" s="75"/>
      <c r="I735" s="75"/>
      <c r="J735" s="75"/>
      <c r="K735" s="75"/>
      <c r="L735" s="75"/>
      <c r="M735" s="380" t="e">
        <f t="shared" si="133"/>
        <v>#N/A</v>
      </c>
      <c r="N735" s="84"/>
      <c r="O735" s="78"/>
      <c r="P735" s="42" t="e">
        <f>VLOOKUP(O735,[1]Feuil2!$A:$M,5,FALSE)</f>
        <v>#N/A</v>
      </c>
      <c r="Q735" s="75"/>
      <c r="R735" s="79"/>
      <c r="S735" s="80">
        <f t="shared" si="134"/>
        <v>0</v>
      </c>
      <c r="T735" s="81">
        <f t="shared" si="135"/>
        <v>0</v>
      </c>
      <c r="U735" s="139"/>
      <c r="V735" s="82">
        <f t="shared" si="136"/>
        <v>0</v>
      </c>
      <c r="W735" s="9" t="e">
        <f>VLOOKUP(O735,[1]Feuil2!$A:$M,6,FALSE)</f>
        <v>#N/A</v>
      </c>
      <c r="X735" s="10" t="e">
        <f>VLOOKUP(O735,[1]Feuil2!$A:$M,13,FALSE)</f>
        <v>#N/A</v>
      </c>
      <c r="Y735" s="11" t="e">
        <f t="shared" si="137"/>
        <v>#N/A</v>
      </c>
      <c r="Z735" s="83">
        <f t="shared" si="138"/>
        <v>0</v>
      </c>
      <c r="AA735" s="12"/>
      <c r="AB735" s="13"/>
      <c r="AC735" s="75"/>
      <c r="AD735" s="13"/>
      <c r="AE735" s="14"/>
      <c r="AF735" s="13"/>
      <c r="AG735" s="13"/>
      <c r="AH735" s="84"/>
      <c r="AI735" s="134"/>
      <c r="AJ735" s="144">
        <f t="shared" ca="1" si="124"/>
        <v>46098</v>
      </c>
      <c r="AK735" s="85" t="e">
        <f>VLOOKUP(AP735,'[2]CONTENEUR PLEIN'!$F:$L,3,FALSE)</f>
        <v>#N/A</v>
      </c>
      <c r="AL735" s="86" t="e">
        <f>VLOOKUP(AP735,'[2]CONTENEUR PLEIN'!$F:$L,5,FALSE)</f>
        <v>#N/A</v>
      </c>
      <c r="AM735" s="15" t="e">
        <f>VLOOKUP(AP735,'[2]CONTENEUR PLEIN'!$F:$L,7,FALSE)</f>
        <v>#N/A</v>
      </c>
      <c r="AN735" s="75"/>
      <c r="AO735" s="75"/>
      <c r="AP735" s="75"/>
      <c r="AQ735" s="75"/>
      <c r="AR735" s="75" t="e">
        <f>VLOOKUP(AP735,'[2]CONTENEUR PLEIN'!$F:$L,2,FALSE)</f>
        <v>#N/A</v>
      </c>
      <c r="AS735" s="75"/>
      <c r="AT735" s="84"/>
    </row>
    <row r="736" spans="2:46" s="72" customFormat="1" ht="15" hidden="1" customHeight="1" x14ac:dyDescent="0.25">
      <c r="B736" s="73"/>
      <c r="C736" s="75"/>
      <c r="D736" s="234"/>
      <c r="E736" s="76"/>
      <c r="F736" s="75"/>
      <c r="G736" s="234"/>
      <c r="H736" s="75"/>
      <c r="I736" s="75"/>
      <c r="J736" s="75"/>
      <c r="K736" s="75"/>
      <c r="L736" s="75"/>
      <c r="M736" s="380" t="e">
        <f t="shared" si="133"/>
        <v>#N/A</v>
      </c>
      <c r="N736" s="84"/>
      <c r="O736" s="78"/>
      <c r="P736" s="42" t="e">
        <f>VLOOKUP(O736,[1]Feuil2!$A:$M,5,FALSE)</f>
        <v>#N/A</v>
      </c>
      <c r="Q736" s="75"/>
      <c r="R736" s="79"/>
      <c r="S736" s="80">
        <f t="shared" si="134"/>
        <v>0</v>
      </c>
      <c r="T736" s="81">
        <f t="shared" si="135"/>
        <v>0</v>
      </c>
      <c r="U736" s="139"/>
      <c r="V736" s="82">
        <f t="shared" si="136"/>
        <v>0</v>
      </c>
      <c r="W736" s="9" t="e">
        <f>VLOOKUP(O736,[1]Feuil2!$A:$M,6,FALSE)</f>
        <v>#N/A</v>
      </c>
      <c r="X736" s="10" t="e">
        <f>VLOOKUP(O736,[1]Feuil2!$A:$M,13,FALSE)</f>
        <v>#N/A</v>
      </c>
      <c r="Y736" s="11" t="e">
        <f t="shared" si="137"/>
        <v>#N/A</v>
      </c>
      <c r="Z736" s="83">
        <f t="shared" si="138"/>
        <v>0</v>
      </c>
      <c r="AA736" s="12"/>
      <c r="AB736" s="13"/>
      <c r="AC736" s="75"/>
      <c r="AD736" s="13"/>
      <c r="AE736" s="14"/>
      <c r="AF736" s="13"/>
      <c r="AG736" s="13"/>
      <c r="AH736" s="84"/>
      <c r="AI736" s="134"/>
      <c r="AJ736" s="144">
        <f t="shared" ca="1" si="124"/>
        <v>46098</v>
      </c>
      <c r="AK736" s="85" t="e">
        <f>VLOOKUP(AP736,'[2]CONTENEUR PLEIN'!$F:$L,3,FALSE)</f>
        <v>#N/A</v>
      </c>
      <c r="AL736" s="86" t="e">
        <f>VLOOKUP(AP736,'[2]CONTENEUR PLEIN'!$F:$L,5,FALSE)</f>
        <v>#N/A</v>
      </c>
      <c r="AM736" s="15" t="e">
        <f>VLOOKUP(AP736,'[2]CONTENEUR PLEIN'!$F:$L,7,FALSE)</f>
        <v>#N/A</v>
      </c>
      <c r="AN736" s="75"/>
      <c r="AO736" s="75"/>
      <c r="AP736" s="75"/>
      <c r="AQ736" s="75"/>
      <c r="AR736" s="75" t="e">
        <f>VLOOKUP(AP736,'[2]CONTENEUR PLEIN'!$F:$L,2,FALSE)</f>
        <v>#N/A</v>
      </c>
      <c r="AS736" s="75"/>
      <c r="AT736" s="84"/>
    </row>
    <row r="737" spans="2:46" s="72" customFormat="1" hidden="1" x14ac:dyDescent="0.25">
      <c r="B737" s="73"/>
      <c r="C737" s="75"/>
      <c r="D737" s="75"/>
      <c r="E737" s="76"/>
      <c r="F737" s="75"/>
      <c r="G737" s="75"/>
      <c r="H737" s="75"/>
      <c r="I737" s="75"/>
      <c r="J737" s="75"/>
      <c r="K737" s="75"/>
      <c r="L737" s="75"/>
      <c r="M737" s="380" t="e">
        <f t="shared" si="133"/>
        <v>#N/A</v>
      </c>
      <c r="N737" s="84"/>
      <c r="O737" s="78"/>
      <c r="P737" s="42" t="e">
        <f>VLOOKUP(O737,[1]Feuil2!$A:$M,5,FALSE)</f>
        <v>#N/A</v>
      </c>
      <c r="Q737" s="75"/>
      <c r="R737" s="79"/>
      <c r="S737" s="80">
        <f t="shared" si="134"/>
        <v>0</v>
      </c>
      <c r="T737" s="81">
        <f t="shared" si="135"/>
        <v>0</v>
      </c>
      <c r="U737" s="139"/>
      <c r="V737" s="82">
        <f t="shared" si="136"/>
        <v>0</v>
      </c>
      <c r="W737" s="9" t="e">
        <f>VLOOKUP(O737,[1]Feuil2!$A:$M,6,FALSE)</f>
        <v>#N/A</v>
      </c>
      <c r="X737" s="10" t="e">
        <f>VLOOKUP(O737,[1]Feuil2!$A:$M,13,FALSE)</f>
        <v>#N/A</v>
      </c>
      <c r="Y737" s="11" t="e">
        <f t="shared" si="137"/>
        <v>#N/A</v>
      </c>
      <c r="Z737" s="83">
        <f t="shared" si="138"/>
        <v>0</v>
      </c>
      <c r="AA737" s="12"/>
      <c r="AB737" s="13"/>
      <c r="AC737" s="75"/>
      <c r="AD737" s="13"/>
      <c r="AE737" s="14"/>
      <c r="AF737" s="13"/>
      <c r="AG737" s="13"/>
      <c r="AH737" s="84"/>
      <c r="AI737" s="134"/>
      <c r="AJ737" s="144">
        <f t="shared" ca="1" si="124"/>
        <v>46098</v>
      </c>
      <c r="AK737" s="85" t="e">
        <f>VLOOKUP(AP737,'[2]CONTENEUR PLEIN'!$F:$L,3,FALSE)</f>
        <v>#N/A</v>
      </c>
      <c r="AL737" s="86" t="e">
        <f>VLOOKUP(AP737,'[2]CONTENEUR PLEIN'!$F:$L,5,FALSE)</f>
        <v>#N/A</v>
      </c>
      <c r="AM737" s="15" t="e">
        <f>VLOOKUP(AP737,'[2]CONTENEUR PLEIN'!$F:$L,7,FALSE)</f>
        <v>#N/A</v>
      </c>
      <c r="AN737" s="75"/>
      <c r="AO737" s="75"/>
      <c r="AP737" s="75"/>
      <c r="AQ737" s="75"/>
      <c r="AR737" s="75" t="e">
        <f>VLOOKUP(AP737,'[2]CONTENEUR PLEIN'!$F:$L,2,FALSE)</f>
        <v>#N/A</v>
      </c>
      <c r="AS737" s="75"/>
      <c r="AT737" s="84"/>
    </row>
    <row r="738" spans="2:46" s="72" customFormat="1" hidden="1" x14ac:dyDescent="0.25">
      <c r="B738" s="73"/>
      <c r="C738" s="75"/>
      <c r="D738" s="75"/>
      <c r="E738" s="76"/>
      <c r="F738" s="75"/>
      <c r="G738" s="75"/>
      <c r="H738" s="75"/>
      <c r="I738" s="75"/>
      <c r="J738" s="75"/>
      <c r="K738" s="75"/>
      <c r="L738" s="75"/>
      <c r="M738" s="380" t="e">
        <f t="shared" si="133"/>
        <v>#N/A</v>
      </c>
      <c r="N738" s="84"/>
      <c r="O738" s="78"/>
      <c r="P738" s="42" t="e">
        <f>VLOOKUP(O738,[1]Feuil2!$A:$M,5,FALSE)</f>
        <v>#N/A</v>
      </c>
      <c r="Q738" s="75"/>
      <c r="R738" s="79"/>
      <c r="S738" s="80">
        <f t="shared" si="134"/>
        <v>0</v>
      </c>
      <c r="T738" s="81">
        <f t="shared" si="135"/>
        <v>0</v>
      </c>
      <c r="U738" s="139"/>
      <c r="V738" s="82">
        <f t="shared" si="136"/>
        <v>0</v>
      </c>
      <c r="W738" s="9" t="e">
        <f>VLOOKUP(O738,[1]Feuil2!$A:$M,6,FALSE)</f>
        <v>#N/A</v>
      </c>
      <c r="X738" s="10" t="e">
        <f>VLOOKUP(O738,[1]Feuil2!$A:$M,13,FALSE)</f>
        <v>#N/A</v>
      </c>
      <c r="Y738" s="11" t="e">
        <f t="shared" si="137"/>
        <v>#N/A</v>
      </c>
      <c r="Z738" s="83">
        <f t="shared" si="138"/>
        <v>0</v>
      </c>
      <c r="AA738" s="12"/>
      <c r="AB738" s="13"/>
      <c r="AC738" s="75"/>
      <c r="AD738" s="13"/>
      <c r="AE738" s="14"/>
      <c r="AF738" s="13"/>
      <c r="AG738" s="13"/>
      <c r="AH738" s="84"/>
      <c r="AI738" s="134"/>
      <c r="AJ738" s="144">
        <f t="shared" ca="1" si="124"/>
        <v>46098</v>
      </c>
      <c r="AK738" s="85" t="e">
        <f>VLOOKUP(AP738,'[2]CONTENEUR PLEIN'!$F:$L,3,FALSE)</f>
        <v>#N/A</v>
      </c>
      <c r="AL738" s="86" t="e">
        <f>VLOOKUP(AP738,'[2]CONTENEUR PLEIN'!$F:$L,5,FALSE)</f>
        <v>#N/A</v>
      </c>
      <c r="AM738" s="15" t="e">
        <f>VLOOKUP(AP738,'[2]CONTENEUR PLEIN'!$F:$L,7,FALSE)</f>
        <v>#N/A</v>
      </c>
      <c r="AN738" s="75"/>
      <c r="AO738" s="75"/>
      <c r="AP738" s="75"/>
      <c r="AQ738" s="75"/>
      <c r="AR738" s="75" t="e">
        <f>VLOOKUP(AP738,'[2]CONTENEUR PLEIN'!$F:$L,2,FALSE)</f>
        <v>#N/A</v>
      </c>
      <c r="AS738" s="75"/>
      <c r="AT738" s="84"/>
    </row>
    <row r="739" spans="2:46" s="72" customFormat="1" hidden="1" x14ac:dyDescent="0.25">
      <c r="B739" s="73"/>
      <c r="C739" s="75"/>
      <c r="D739" s="75"/>
      <c r="E739" s="76"/>
      <c r="F739" s="75"/>
      <c r="G739" s="75"/>
      <c r="H739" s="75"/>
      <c r="I739" s="75"/>
      <c r="J739" s="75"/>
      <c r="K739" s="75"/>
      <c r="L739" s="75"/>
      <c r="M739" s="380" t="e">
        <f t="shared" si="133"/>
        <v>#N/A</v>
      </c>
      <c r="N739" s="84"/>
      <c r="O739" s="78"/>
      <c r="P739" s="42" t="e">
        <f>VLOOKUP(O739,[1]Feuil2!$A:$M,5,FALSE)</f>
        <v>#N/A</v>
      </c>
      <c r="Q739" s="75"/>
      <c r="R739" s="79"/>
      <c r="S739" s="80">
        <f t="shared" si="134"/>
        <v>0</v>
      </c>
      <c r="T739" s="81">
        <f t="shared" si="135"/>
        <v>0</v>
      </c>
      <c r="U739" s="139"/>
      <c r="V739" s="82">
        <f t="shared" si="136"/>
        <v>0</v>
      </c>
      <c r="W739" s="9" t="e">
        <f>VLOOKUP(O739,[1]Feuil2!$A:$M,6,FALSE)</f>
        <v>#N/A</v>
      </c>
      <c r="X739" s="10" t="e">
        <f>VLOOKUP(O739,[1]Feuil2!$A:$M,13,FALSE)</f>
        <v>#N/A</v>
      </c>
      <c r="Y739" s="11" t="e">
        <f t="shared" si="137"/>
        <v>#N/A</v>
      </c>
      <c r="Z739" s="83">
        <f t="shared" si="138"/>
        <v>0</v>
      </c>
      <c r="AA739" s="12"/>
      <c r="AB739" s="13"/>
      <c r="AC739" s="75"/>
      <c r="AD739" s="13"/>
      <c r="AE739" s="14"/>
      <c r="AF739" s="13"/>
      <c r="AG739" s="13"/>
      <c r="AH739" s="84"/>
      <c r="AI739" s="134"/>
      <c r="AJ739" s="144">
        <f t="shared" ca="1" si="124"/>
        <v>46098</v>
      </c>
      <c r="AK739" s="85" t="e">
        <f>VLOOKUP(AP739,'[2]CONTENEUR PLEIN'!$F:$L,3,FALSE)</f>
        <v>#N/A</v>
      </c>
      <c r="AL739" s="86" t="e">
        <f>VLOOKUP(AP739,'[2]CONTENEUR PLEIN'!$F:$L,5,FALSE)</f>
        <v>#N/A</v>
      </c>
      <c r="AM739" s="15" t="e">
        <f>VLOOKUP(AP739,'[2]CONTENEUR PLEIN'!$F:$L,7,FALSE)</f>
        <v>#N/A</v>
      </c>
      <c r="AN739" s="75"/>
      <c r="AO739" s="75"/>
      <c r="AP739" s="75"/>
      <c r="AQ739" s="75"/>
      <c r="AR739" s="75" t="e">
        <f>VLOOKUP(AP739,'[2]CONTENEUR PLEIN'!$F:$L,2,FALSE)</f>
        <v>#N/A</v>
      </c>
      <c r="AS739" s="75"/>
      <c r="AT739" s="84"/>
    </row>
    <row r="740" spans="2:46" s="72" customFormat="1" ht="15" hidden="1" customHeight="1" x14ac:dyDescent="0.25">
      <c r="B740" s="73"/>
      <c r="C740" s="75"/>
      <c r="D740" s="234"/>
      <c r="E740" s="76"/>
      <c r="F740" s="75"/>
      <c r="G740" s="234"/>
      <c r="H740" s="75"/>
      <c r="I740" s="75"/>
      <c r="J740" s="75"/>
      <c r="K740" s="75"/>
      <c r="L740" s="75"/>
      <c r="M740" s="380" t="e">
        <f t="shared" si="133"/>
        <v>#N/A</v>
      </c>
      <c r="N740" s="84"/>
      <c r="O740" s="78"/>
      <c r="P740" s="42" t="e">
        <f>VLOOKUP(O740,[1]Feuil2!$A:$M,5,FALSE)</f>
        <v>#N/A</v>
      </c>
      <c r="Q740" s="75"/>
      <c r="R740" s="79"/>
      <c r="S740" s="80">
        <f t="shared" si="134"/>
        <v>0</v>
      </c>
      <c r="T740" s="81">
        <f t="shared" si="135"/>
        <v>0</v>
      </c>
      <c r="U740" s="139"/>
      <c r="V740" s="82">
        <f t="shared" si="136"/>
        <v>0</v>
      </c>
      <c r="W740" s="9" t="e">
        <f>VLOOKUP(O740,[1]Feuil2!$A:$M,6,FALSE)</f>
        <v>#N/A</v>
      </c>
      <c r="X740" s="10" t="e">
        <f>VLOOKUP(O740,[1]Feuil2!$A:$M,13,FALSE)</f>
        <v>#N/A</v>
      </c>
      <c r="Y740" s="11" t="e">
        <f t="shared" si="137"/>
        <v>#N/A</v>
      </c>
      <c r="Z740" s="83">
        <f t="shared" si="138"/>
        <v>0</v>
      </c>
      <c r="AA740" s="12"/>
      <c r="AB740" s="13"/>
      <c r="AC740" s="75"/>
      <c r="AD740" s="13"/>
      <c r="AE740" s="14"/>
      <c r="AF740" s="13"/>
      <c r="AG740" s="13"/>
      <c r="AH740" s="84"/>
      <c r="AI740" s="134"/>
      <c r="AJ740" s="144">
        <f t="shared" ca="1" si="124"/>
        <v>46098</v>
      </c>
      <c r="AK740" s="85" t="e">
        <f>VLOOKUP(AP740,'[2]CONTENEUR PLEIN'!$F:$L,3,FALSE)</f>
        <v>#N/A</v>
      </c>
      <c r="AL740" s="86" t="e">
        <f>VLOOKUP(AP740,'[2]CONTENEUR PLEIN'!$F:$L,5,FALSE)</f>
        <v>#N/A</v>
      </c>
      <c r="AM740" s="15" t="e">
        <f>VLOOKUP(AP740,'[2]CONTENEUR PLEIN'!$F:$L,7,FALSE)</f>
        <v>#N/A</v>
      </c>
      <c r="AN740" s="75"/>
      <c r="AO740" s="75"/>
      <c r="AP740" s="75"/>
      <c r="AQ740" s="75"/>
      <c r="AR740" s="75" t="e">
        <f>VLOOKUP(AP740,'[2]CONTENEUR PLEIN'!$F:$L,2,FALSE)</f>
        <v>#N/A</v>
      </c>
      <c r="AS740" s="75"/>
      <c r="AT740" s="84"/>
    </row>
    <row r="741" spans="2:46" s="72" customFormat="1" hidden="1" x14ac:dyDescent="0.25">
      <c r="B741" s="73"/>
      <c r="C741" s="75"/>
      <c r="D741" s="75"/>
      <c r="E741" s="76"/>
      <c r="F741" s="75"/>
      <c r="G741" s="75"/>
      <c r="H741" s="75"/>
      <c r="I741" s="75"/>
      <c r="J741" s="75"/>
      <c r="K741" s="75"/>
      <c r="L741" s="75"/>
      <c r="M741" s="380" t="e">
        <f t="shared" ref="M741:M748" si="139">DATEDIF(C741,AM741,"M")</f>
        <v>#N/A</v>
      </c>
      <c r="N741" s="84"/>
      <c r="O741" s="78"/>
      <c r="P741" s="42" t="e">
        <f>VLOOKUP(O741,[1]Feuil2!$A:$M,5,FALSE)</f>
        <v>#N/A</v>
      </c>
      <c r="Q741" s="75"/>
      <c r="R741" s="79"/>
      <c r="S741" s="80">
        <f t="shared" ref="S741:S748" si="140">Q741*R741</f>
        <v>0</v>
      </c>
      <c r="T741" s="81">
        <f t="shared" ref="T741:T748" si="141">SUMIF($E$5:$E$9257,E741,$S$5:$S$9257)</f>
        <v>0</v>
      </c>
      <c r="U741" s="139"/>
      <c r="V741" s="82">
        <f t="shared" ref="V741:V748" si="142">U741+T741</f>
        <v>0</v>
      </c>
      <c r="W741" s="9" t="e">
        <f>VLOOKUP(O741,[1]Feuil2!$A:$M,6,FALSE)</f>
        <v>#N/A</v>
      </c>
      <c r="X741" s="10" t="e">
        <f>VLOOKUP(O741,[1]Feuil2!$A:$M,13,FALSE)</f>
        <v>#N/A</v>
      </c>
      <c r="Y741" s="11" t="e">
        <f t="shared" ref="Y741:Y748" si="143">(Q741/W741)*X741</f>
        <v>#N/A</v>
      </c>
      <c r="Z741" s="83">
        <f t="shared" ref="Z741:Z748" si="144">SUMIF($E:$E,E741,$Y:$Y)</f>
        <v>0</v>
      </c>
      <c r="AA741" s="12"/>
      <c r="AB741" s="13"/>
      <c r="AC741" s="75"/>
      <c r="AD741" s="13"/>
      <c r="AE741" s="14"/>
      <c r="AF741" s="13"/>
      <c r="AG741" s="13"/>
      <c r="AH741" s="84"/>
      <c r="AI741" s="134"/>
      <c r="AJ741" s="144">
        <f t="shared" ca="1" si="124"/>
        <v>46098</v>
      </c>
      <c r="AK741" s="85" t="e">
        <f>VLOOKUP(AP741,'[2]CONTENEUR PLEIN'!$F:$L,3,FALSE)</f>
        <v>#N/A</v>
      </c>
      <c r="AL741" s="86" t="e">
        <f>VLOOKUP(AP741,'[2]CONTENEUR PLEIN'!$F:$L,5,FALSE)</f>
        <v>#N/A</v>
      </c>
      <c r="AM741" s="15" t="e">
        <f>VLOOKUP(AP741,'[2]CONTENEUR PLEIN'!$F:$L,7,FALSE)</f>
        <v>#N/A</v>
      </c>
      <c r="AN741" s="75"/>
      <c r="AO741" s="75"/>
      <c r="AP741" s="75"/>
      <c r="AQ741" s="75"/>
      <c r="AR741" s="75" t="e">
        <f>VLOOKUP(AP741,'[2]CONTENEUR PLEIN'!$F:$L,2,FALSE)</f>
        <v>#N/A</v>
      </c>
      <c r="AS741" s="75"/>
      <c r="AT741" s="84"/>
    </row>
    <row r="742" spans="2:46" s="72" customFormat="1" hidden="1" x14ac:dyDescent="0.25">
      <c r="B742" s="73"/>
      <c r="C742" s="75"/>
      <c r="D742" s="75"/>
      <c r="E742" s="76"/>
      <c r="F742" s="75"/>
      <c r="G742" s="75"/>
      <c r="H742" s="75"/>
      <c r="I742" s="75"/>
      <c r="J742" s="75"/>
      <c r="K742" s="75"/>
      <c r="L742" s="75"/>
      <c r="M742" s="380" t="e">
        <f t="shared" si="139"/>
        <v>#N/A</v>
      </c>
      <c r="N742" s="84"/>
      <c r="O742" s="78"/>
      <c r="P742" s="42" t="e">
        <f>VLOOKUP(O742,[1]Feuil2!$A:$M,5,FALSE)</f>
        <v>#N/A</v>
      </c>
      <c r="Q742" s="75"/>
      <c r="R742" s="79"/>
      <c r="S742" s="80">
        <f t="shared" si="140"/>
        <v>0</v>
      </c>
      <c r="T742" s="81">
        <f t="shared" si="141"/>
        <v>0</v>
      </c>
      <c r="U742" s="139"/>
      <c r="V742" s="82">
        <f t="shared" si="142"/>
        <v>0</v>
      </c>
      <c r="W742" s="9" t="e">
        <f>VLOOKUP(O742,[1]Feuil2!$A:$M,6,FALSE)</f>
        <v>#N/A</v>
      </c>
      <c r="X742" s="10" t="e">
        <f>VLOOKUP(O742,[1]Feuil2!$A:$M,13,FALSE)</f>
        <v>#N/A</v>
      </c>
      <c r="Y742" s="11" t="e">
        <f t="shared" si="143"/>
        <v>#N/A</v>
      </c>
      <c r="Z742" s="83">
        <f t="shared" si="144"/>
        <v>0</v>
      </c>
      <c r="AA742" s="12"/>
      <c r="AB742" s="13"/>
      <c r="AC742" s="75"/>
      <c r="AD742" s="13"/>
      <c r="AE742" s="14"/>
      <c r="AF742" s="13"/>
      <c r="AG742" s="13"/>
      <c r="AH742" s="84"/>
      <c r="AI742" s="134"/>
      <c r="AJ742" s="144">
        <f t="shared" ca="1" si="124"/>
        <v>46098</v>
      </c>
      <c r="AK742" s="85" t="e">
        <f>VLOOKUP(AP742,'[2]CONTENEUR PLEIN'!$F:$L,3,FALSE)</f>
        <v>#N/A</v>
      </c>
      <c r="AL742" s="86" t="e">
        <f>VLOOKUP(AP742,'[2]CONTENEUR PLEIN'!$F:$L,5,FALSE)</f>
        <v>#N/A</v>
      </c>
      <c r="AM742" s="15" t="e">
        <f>VLOOKUP(AP742,'[2]CONTENEUR PLEIN'!$F:$L,7,FALSE)</f>
        <v>#N/A</v>
      </c>
      <c r="AN742" s="75"/>
      <c r="AO742" s="75"/>
      <c r="AP742" s="75"/>
      <c r="AQ742" s="75"/>
      <c r="AR742" s="75" t="e">
        <f>VLOOKUP(AP742,'[2]CONTENEUR PLEIN'!$F:$L,2,FALSE)</f>
        <v>#N/A</v>
      </c>
      <c r="AS742" s="75"/>
      <c r="AT742" s="84"/>
    </row>
    <row r="743" spans="2:46" s="72" customFormat="1" hidden="1" x14ac:dyDescent="0.25">
      <c r="B743" s="73"/>
      <c r="C743" s="75"/>
      <c r="D743" s="75"/>
      <c r="E743" s="76"/>
      <c r="F743" s="75"/>
      <c r="G743" s="75"/>
      <c r="H743" s="75"/>
      <c r="I743" s="75"/>
      <c r="J743" s="75"/>
      <c r="K743" s="75"/>
      <c r="L743" s="75"/>
      <c r="M743" s="380" t="e">
        <f t="shared" si="139"/>
        <v>#N/A</v>
      </c>
      <c r="N743" s="84"/>
      <c r="O743" s="78"/>
      <c r="P743" s="42" t="e">
        <f>VLOOKUP(O743,[1]Feuil2!$A:$M,5,FALSE)</f>
        <v>#N/A</v>
      </c>
      <c r="Q743" s="75"/>
      <c r="R743" s="79"/>
      <c r="S743" s="80">
        <f t="shared" si="140"/>
        <v>0</v>
      </c>
      <c r="T743" s="81">
        <f t="shared" si="141"/>
        <v>0</v>
      </c>
      <c r="U743" s="139"/>
      <c r="V743" s="82">
        <f t="shared" si="142"/>
        <v>0</v>
      </c>
      <c r="W743" s="9" t="e">
        <f>VLOOKUP(O743,[1]Feuil2!$A:$M,6,FALSE)</f>
        <v>#N/A</v>
      </c>
      <c r="X743" s="10" t="e">
        <f>VLOOKUP(O743,[1]Feuil2!$A:$M,13,FALSE)</f>
        <v>#N/A</v>
      </c>
      <c r="Y743" s="11" t="e">
        <f t="shared" si="143"/>
        <v>#N/A</v>
      </c>
      <c r="Z743" s="83">
        <f t="shared" si="144"/>
        <v>0</v>
      </c>
      <c r="AA743" s="12"/>
      <c r="AB743" s="13"/>
      <c r="AC743" s="75"/>
      <c r="AD743" s="13"/>
      <c r="AE743" s="14"/>
      <c r="AF743" s="13"/>
      <c r="AG743" s="13"/>
      <c r="AH743" s="84"/>
      <c r="AI743" s="134"/>
      <c r="AJ743" s="144">
        <f t="shared" ca="1" si="124"/>
        <v>46098</v>
      </c>
      <c r="AK743" s="85" t="e">
        <f>VLOOKUP(AP743,'[2]CONTENEUR PLEIN'!$F:$L,3,FALSE)</f>
        <v>#N/A</v>
      </c>
      <c r="AL743" s="86" t="e">
        <f>VLOOKUP(AP743,'[2]CONTENEUR PLEIN'!$F:$L,5,FALSE)</f>
        <v>#N/A</v>
      </c>
      <c r="AM743" s="15" t="e">
        <f>VLOOKUP(AP743,'[2]CONTENEUR PLEIN'!$F:$L,7,FALSE)</f>
        <v>#N/A</v>
      </c>
      <c r="AN743" s="75"/>
      <c r="AO743" s="75"/>
      <c r="AP743" s="75"/>
      <c r="AQ743" s="75"/>
      <c r="AR743" s="75" t="e">
        <f>VLOOKUP(AP743,'[2]CONTENEUR PLEIN'!$F:$L,2,FALSE)</f>
        <v>#N/A</v>
      </c>
      <c r="AS743" s="75"/>
      <c r="AT743" s="84"/>
    </row>
    <row r="744" spans="2:46" s="72" customFormat="1" ht="15" hidden="1" customHeight="1" x14ac:dyDescent="0.25">
      <c r="B744" s="73"/>
      <c r="C744" s="75"/>
      <c r="D744" s="234"/>
      <c r="E744" s="76"/>
      <c r="F744" s="75"/>
      <c r="G744" s="234"/>
      <c r="H744" s="75"/>
      <c r="I744" s="75"/>
      <c r="J744" s="75"/>
      <c r="K744" s="75"/>
      <c r="L744" s="75"/>
      <c r="M744" s="380" t="e">
        <f t="shared" si="139"/>
        <v>#N/A</v>
      </c>
      <c r="N744" s="84"/>
      <c r="O744" s="78"/>
      <c r="P744" s="42" t="e">
        <f>VLOOKUP(O744,[1]Feuil2!$A:$M,5,FALSE)</f>
        <v>#N/A</v>
      </c>
      <c r="Q744" s="75"/>
      <c r="R744" s="79"/>
      <c r="S744" s="80">
        <f t="shared" si="140"/>
        <v>0</v>
      </c>
      <c r="T744" s="81">
        <f t="shared" si="141"/>
        <v>0</v>
      </c>
      <c r="U744" s="139"/>
      <c r="V744" s="82">
        <f t="shared" si="142"/>
        <v>0</v>
      </c>
      <c r="W744" s="9" t="e">
        <f>VLOOKUP(O744,[1]Feuil2!$A:$M,6,FALSE)</f>
        <v>#N/A</v>
      </c>
      <c r="X744" s="10" t="e">
        <f>VLOOKUP(O744,[1]Feuil2!$A:$M,13,FALSE)</f>
        <v>#N/A</v>
      </c>
      <c r="Y744" s="11" t="e">
        <f t="shared" si="143"/>
        <v>#N/A</v>
      </c>
      <c r="Z744" s="83">
        <f t="shared" si="144"/>
        <v>0</v>
      </c>
      <c r="AA744" s="12"/>
      <c r="AB744" s="13"/>
      <c r="AC744" s="75"/>
      <c r="AD744" s="13"/>
      <c r="AE744" s="14"/>
      <c r="AF744" s="13"/>
      <c r="AG744" s="13"/>
      <c r="AH744" s="84"/>
      <c r="AI744" s="134"/>
      <c r="AJ744" s="144">
        <f t="shared" ca="1" si="124"/>
        <v>46098</v>
      </c>
      <c r="AK744" s="85" t="e">
        <f>VLOOKUP(AP744,'[2]CONTENEUR PLEIN'!$F:$L,3,FALSE)</f>
        <v>#N/A</v>
      </c>
      <c r="AL744" s="86" t="e">
        <f>VLOOKUP(AP744,'[2]CONTENEUR PLEIN'!$F:$L,5,FALSE)</f>
        <v>#N/A</v>
      </c>
      <c r="AM744" s="15" t="e">
        <f>VLOOKUP(AP744,'[2]CONTENEUR PLEIN'!$F:$L,7,FALSE)</f>
        <v>#N/A</v>
      </c>
      <c r="AN744" s="75"/>
      <c r="AO744" s="75"/>
      <c r="AP744" s="75"/>
      <c r="AQ744" s="75"/>
      <c r="AR744" s="75" t="e">
        <f>VLOOKUP(AP744,'[2]CONTENEUR PLEIN'!$F:$L,2,FALSE)</f>
        <v>#N/A</v>
      </c>
      <c r="AS744" s="75"/>
      <c r="AT744" s="84"/>
    </row>
    <row r="745" spans="2:46" s="72" customFormat="1" hidden="1" x14ac:dyDescent="0.25">
      <c r="B745" s="73"/>
      <c r="C745" s="75"/>
      <c r="D745" s="75"/>
      <c r="E745" s="76"/>
      <c r="F745" s="75"/>
      <c r="G745" s="75"/>
      <c r="H745" s="75"/>
      <c r="I745" s="75"/>
      <c r="J745" s="75"/>
      <c r="K745" s="75"/>
      <c r="L745" s="75"/>
      <c r="M745" s="380" t="e">
        <f t="shared" si="139"/>
        <v>#N/A</v>
      </c>
      <c r="N745" s="84"/>
      <c r="O745" s="78"/>
      <c r="P745" s="42" t="e">
        <f>VLOOKUP(O745,[1]Feuil2!$A:$M,5,FALSE)</f>
        <v>#N/A</v>
      </c>
      <c r="Q745" s="75"/>
      <c r="R745" s="79"/>
      <c r="S745" s="80">
        <f t="shared" si="140"/>
        <v>0</v>
      </c>
      <c r="T745" s="81">
        <f t="shared" si="141"/>
        <v>0</v>
      </c>
      <c r="U745" s="139"/>
      <c r="V745" s="82">
        <f t="shared" si="142"/>
        <v>0</v>
      </c>
      <c r="W745" s="9" t="e">
        <f>VLOOKUP(O745,[1]Feuil2!$A:$M,6,FALSE)</f>
        <v>#N/A</v>
      </c>
      <c r="X745" s="10" t="e">
        <f>VLOOKUP(O745,[1]Feuil2!$A:$M,13,FALSE)</f>
        <v>#N/A</v>
      </c>
      <c r="Y745" s="11" t="e">
        <f t="shared" si="143"/>
        <v>#N/A</v>
      </c>
      <c r="Z745" s="83">
        <f t="shared" si="144"/>
        <v>0</v>
      </c>
      <c r="AA745" s="12"/>
      <c r="AB745" s="13"/>
      <c r="AC745" s="75"/>
      <c r="AD745" s="13"/>
      <c r="AE745" s="14"/>
      <c r="AF745" s="13"/>
      <c r="AG745" s="13"/>
      <c r="AH745" s="84"/>
      <c r="AI745" s="134"/>
      <c r="AJ745" s="144">
        <f t="shared" ca="1" si="124"/>
        <v>46098</v>
      </c>
      <c r="AK745" s="85" t="e">
        <f>VLOOKUP(AP745,'[2]CONTENEUR PLEIN'!$F:$L,3,FALSE)</f>
        <v>#N/A</v>
      </c>
      <c r="AL745" s="86" t="e">
        <f>VLOOKUP(AP745,'[2]CONTENEUR PLEIN'!$F:$L,5,FALSE)</f>
        <v>#N/A</v>
      </c>
      <c r="AM745" s="15" t="e">
        <f>VLOOKUP(AP745,'[2]CONTENEUR PLEIN'!$F:$L,7,FALSE)</f>
        <v>#N/A</v>
      </c>
      <c r="AN745" s="75"/>
      <c r="AO745" s="75"/>
      <c r="AP745" s="75"/>
      <c r="AQ745" s="75"/>
      <c r="AR745" s="75" t="e">
        <f>VLOOKUP(AP745,'[2]CONTENEUR PLEIN'!$F:$L,2,FALSE)</f>
        <v>#N/A</v>
      </c>
      <c r="AS745" s="75"/>
      <c r="AT745" s="84"/>
    </row>
    <row r="746" spans="2:46" s="72" customFormat="1" hidden="1" x14ac:dyDescent="0.25">
      <c r="B746" s="73"/>
      <c r="C746" s="75"/>
      <c r="D746" s="75"/>
      <c r="E746" s="76"/>
      <c r="F746" s="75"/>
      <c r="G746" s="75"/>
      <c r="H746" s="75"/>
      <c r="I746" s="75"/>
      <c r="J746" s="75"/>
      <c r="K746" s="75"/>
      <c r="L746" s="75"/>
      <c r="M746" s="380" t="e">
        <f t="shared" si="139"/>
        <v>#N/A</v>
      </c>
      <c r="N746" s="84"/>
      <c r="O746" s="78"/>
      <c r="P746" s="42" t="e">
        <f>VLOOKUP(O746,[1]Feuil2!$A:$M,5,FALSE)</f>
        <v>#N/A</v>
      </c>
      <c r="Q746" s="75"/>
      <c r="R746" s="79"/>
      <c r="S746" s="80">
        <f t="shared" si="140"/>
        <v>0</v>
      </c>
      <c r="T746" s="81">
        <f t="shared" si="141"/>
        <v>0</v>
      </c>
      <c r="U746" s="139"/>
      <c r="V746" s="82">
        <f t="shared" si="142"/>
        <v>0</v>
      </c>
      <c r="W746" s="9" t="e">
        <f>VLOOKUP(O746,[1]Feuil2!$A:$M,6,FALSE)</f>
        <v>#N/A</v>
      </c>
      <c r="X746" s="10" t="e">
        <f>VLOOKUP(O746,[1]Feuil2!$A:$M,13,FALSE)</f>
        <v>#N/A</v>
      </c>
      <c r="Y746" s="11" t="e">
        <f t="shared" si="143"/>
        <v>#N/A</v>
      </c>
      <c r="Z746" s="83">
        <f t="shared" si="144"/>
        <v>0</v>
      </c>
      <c r="AA746" s="12"/>
      <c r="AB746" s="13"/>
      <c r="AC746" s="75"/>
      <c r="AD746" s="13"/>
      <c r="AE746" s="14"/>
      <c r="AF746" s="13"/>
      <c r="AG746" s="13"/>
      <c r="AH746" s="84"/>
      <c r="AI746" s="134"/>
      <c r="AJ746" s="144">
        <f t="shared" ca="1" si="124"/>
        <v>46098</v>
      </c>
      <c r="AK746" s="85" t="e">
        <f>VLOOKUP(AP746,'[2]CONTENEUR PLEIN'!$F:$L,3,FALSE)</f>
        <v>#N/A</v>
      </c>
      <c r="AL746" s="86" t="e">
        <f>VLOOKUP(AP746,'[2]CONTENEUR PLEIN'!$F:$L,5,FALSE)</f>
        <v>#N/A</v>
      </c>
      <c r="AM746" s="15" t="e">
        <f>VLOOKUP(AP746,'[2]CONTENEUR PLEIN'!$F:$L,7,FALSE)</f>
        <v>#N/A</v>
      </c>
      <c r="AN746" s="75"/>
      <c r="AO746" s="75"/>
      <c r="AP746" s="75"/>
      <c r="AQ746" s="75"/>
      <c r="AR746" s="75" t="e">
        <f>VLOOKUP(AP746,'[2]CONTENEUR PLEIN'!$F:$L,2,FALSE)</f>
        <v>#N/A</v>
      </c>
      <c r="AS746" s="75"/>
      <c r="AT746" s="84"/>
    </row>
    <row r="747" spans="2:46" s="72" customFormat="1" hidden="1" x14ac:dyDescent="0.25">
      <c r="B747" s="73"/>
      <c r="C747" s="75"/>
      <c r="D747" s="75"/>
      <c r="E747" s="76"/>
      <c r="F747" s="75"/>
      <c r="G747" s="75"/>
      <c r="H747" s="75"/>
      <c r="I747" s="75"/>
      <c r="J747" s="75"/>
      <c r="K747" s="75"/>
      <c r="L747" s="75"/>
      <c r="M747" s="380" t="e">
        <f t="shared" si="139"/>
        <v>#N/A</v>
      </c>
      <c r="N747" s="84"/>
      <c r="O747" s="78"/>
      <c r="P747" s="42" t="e">
        <f>VLOOKUP(O747,[1]Feuil2!$A:$M,5,FALSE)</f>
        <v>#N/A</v>
      </c>
      <c r="Q747" s="75"/>
      <c r="R747" s="79"/>
      <c r="S747" s="80">
        <f t="shared" si="140"/>
        <v>0</v>
      </c>
      <c r="T747" s="81">
        <f t="shared" si="141"/>
        <v>0</v>
      </c>
      <c r="U747" s="139"/>
      <c r="V747" s="82">
        <f t="shared" si="142"/>
        <v>0</v>
      </c>
      <c r="W747" s="9" t="e">
        <f>VLOOKUP(O747,[1]Feuil2!$A:$M,6,FALSE)</f>
        <v>#N/A</v>
      </c>
      <c r="X747" s="10" t="e">
        <f>VLOOKUP(O747,[1]Feuil2!$A:$M,13,FALSE)</f>
        <v>#N/A</v>
      </c>
      <c r="Y747" s="11" t="e">
        <f t="shared" si="143"/>
        <v>#N/A</v>
      </c>
      <c r="Z747" s="83">
        <f t="shared" si="144"/>
        <v>0</v>
      </c>
      <c r="AA747" s="12"/>
      <c r="AB747" s="13"/>
      <c r="AC747" s="75"/>
      <c r="AD747" s="13"/>
      <c r="AE747" s="14"/>
      <c r="AF747" s="13"/>
      <c r="AG747" s="13"/>
      <c r="AH747" s="84"/>
      <c r="AI747" s="134"/>
      <c r="AJ747" s="144">
        <f t="shared" ca="1" si="124"/>
        <v>46098</v>
      </c>
      <c r="AK747" s="85" t="e">
        <f>VLOOKUP(AP747,'[2]CONTENEUR PLEIN'!$F:$L,3,FALSE)</f>
        <v>#N/A</v>
      </c>
      <c r="AL747" s="86" t="e">
        <f>VLOOKUP(AP747,'[2]CONTENEUR PLEIN'!$F:$L,5,FALSE)</f>
        <v>#N/A</v>
      </c>
      <c r="AM747" s="15" t="e">
        <f>VLOOKUP(AP747,'[2]CONTENEUR PLEIN'!$F:$L,7,FALSE)</f>
        <v>#N/A</v>
      </c>
      <c r="AN747" s="75"/>
      <c r="AO747" s="75"/>
      <c r="AP747" s="75"/>
      <c r="AQ747" s="75"/>
      <c r="AR747" s="75" t="e">
        <f>VLOOKUP(AP747,'[2]CONTENEUR PLEIN'!$F:$L,2,FALSE)</f>
        <v>#N/A</v>
      </c>
      <c r="AS747" s="75"/>
      <c r="AT747" s="84"/>
    </row>
    <row r="748" spans="2:46" s="72" customFormat="1" ht="15" hidden="1" customHeight="1" x14ac:dyDescent="0.25">
      <c r="B748" s="73"/>
      <c r="C748" s="75"/>
      <c r="D748" s="234"/>
      <c r="E748" s="76"/>
      <c r="F748" s="75"/>
      <c r="G748" s="234"/>
      <c r="H748" s="75"/>
      <c r="I748" s="75"/>
      <c r="J748" s="75"/>
      <c r="K748" s="75"/>
      <c r="L748" s="75"/>
      <c r="M748" s="380" t="e">
        <f t="shared" si="139"/>
        <v>#N/A</v>
      </c>
      <c r="N748" s="84"/>
      <c r="O748" s="78"/>
      <c r="P748" s="42" t="e">
        <f>VLOOKUP(O748,[1]Feuil2!$A:$M,5,FALSE)</f>
        <v>#N/A</v>
      </c>
      <c r="Q748" s="75"/>
      <c r="R748" s="79"/>
      <c r="S748" s="80">
        <f t="shared" si="140"/>
        <v>0</v>
      </c>
      <c r="T748" s="81">
        <f t="shared" si="141"/>
        <v>0</v>
      </c>
      <c r="U748" s="139"/>
      <c r="V748" s="82">
        <f t="shared" si="142"/>
        <v>0</v>
      </c>
      <c r="W748" s="9" t="e">
        <f>VLOOKUP(O748,[1]Feuil2!$A:$M,6,FALSE)</f>
        <v>#N/A</v>
      </c>
      <c r="X748" s="10" t="e">
        <f>VLOOKUP(O748,[1]Feuil2!$A:$M,13,FALSE)</f>
        <v>#N/A</v>
      </c>
      <c r="Y748" s="11" t="e">
        <f t="shared" si="143"/>
        <v>#N/A</v>
      </c>
      <c r="Z748" s="83">
        <f t="shared" si="144"/>
        <v>0</v>
      </c>
      <c r="AA748" s="12"/>
      <c r="AB748" s="13"/>
      <c r="AC748" s="75"/>
      <c r="AD748" s="13"/>
      <c r="AE748" s="14"/>
      <c r="AF748" s="13"/>
      <c r="AG748" s="13"/>
      <c r="AH748" s="84"/>
      <c r="AI748" s="134"/>
      <c r="AJ748" s="144">
        <f t="shared" ca="1" si="124"/>
        <v>46098</v>
      </c>
      <c r="AK748" s="85" t="e">
        <f>VLOOKUP(AP748,'[2]CONTENEUR PLEIN'!$F:$L,3,FALSE)</f>
        <v>#N/A</v>
      </c>
      <c r="AL748" s="86" t="e">
        <f>VLOOKUP(AP748,'[2]CONTENEUR PLEIN'!$F:$L,5,FALSE)</f>
        <v>#N/A</v>
      </c>
      <c r="AM748" s="15" t="e">
        <f>VLOOKUP(AP748,'[2]CONTENEUR PLEIN'!$F:$L,7,FALSE)</f>
        <v>#N/A</v>
      </c>
      <c r="AN748" s="75"/>
      <c r="AO748" s="75"/>
      <c r="AP748" s="75"/>
      <c r="AQ748" s="75"/>
      <c r="AR748" s="75" t="e">
        <f>VLOOKUP(AP748,'[2]CONTENEUR PLEIN'!$F:$L,2,FALSE)</f>
        <v>#N/A</v>
      </c>
      <c r="AS748" s="75"/>
      <c r="AT748" s="84"/>
    </row>
    <row r="750" spans="2:46" x14ac:dyDescent="0.25">
      <c r="R750" s="445"/>
      <c r="AA750" s="181" t="s">
        <v>379</v>
      </c>
    </row>
    <row r="751" spans="2:46" x14ac:dyDescent="0.25">
      <c r="P751" s="321"/>
      <c r="Q751" s="265"/>
    </row>
    <row r="755" spans="8:8" x14ac:dyDescent="0.25">
      <c r="H755" s="321"/>
    </row>
  </sheetData>
  <protectedRanges>
    <protectedRange sqref="N122 AD332 N124:N125 AD93 N80:N91 AD119 N127:N134 N229 N249 N240:N241 N106:N120 N213:N215 N202:N204 N167 N172:N173 N95:N98 N177 N136:N142 N175 AD164:AD166 N51 N221:N226 N184:N186" name="Tableau import_14_1" securityDescriptor="O:WDG:WDD:(A;;CC;;;S-1-5-21-2126451634-1572217618-321593493-10852)"/>
    <protectedRange sqref="AN36:AQ36 AN34 AS36" name="Tableau import_13_1" securityDescriptor="O:WDG:WDD:(A;;CC;;;S-1-5-21-2126451634-1572217618-321593493-10852)"/>
    <protectedRange sqref="AB254 AB109:AB119 K59 K112:K113 K120:K121 AB294 K240 AD149:AD150 AB279:AB284 K53:K57 AB242:AB243 AB210:AB212 K33 AB214:AB218 AB259 AB185:AB189 AD114 AB103:AB107 AC86 AC88 AB127:AB134 AB233 AD216:AD217 AB261:AB265 AB267:AB268 K62:K63 K36:K37 K106 AB98:AB99 K49 AB101 AB195:AB197 AB95 AB193 AB149:AB183" name="Tableau import_11_1" securityDescriptor="O:WDG:WDD:(A;;CC;;;S-1-5-21-2126451634-1572217618-321593493-10852)"/>
    <protectedRange sqref="AD75:AI75 O79 A71:L71 AB35 AP54:AQ57 AS58:AS60 AN79:AP79 AD81:AD82 N163:N166 AN54:AN55 N99:N105 L79 AN40:AN41 AD33:AD36 A76:I76 AI76 AD77:AI77 AN57 AN61 N135 N174 AP61:AQ63 AP115 AP113:AQ113 AA71:AB71 AN66 AA77:AB77 AD86 AA36 AQ66 AN72 AN75:AQ75 AN58:AQ60 V75:V78 AN64:AQ65 AN74 AN71:AQ71 AE71:AI71 AS71:AT71 AS75:AT75 AI74 A79 AN44 AA75:AB75 N143:N159 AD73:AI73 A77:J78 AN77:AP77 AS77:AT77 AA79:AF79 AA73:AB73 AN73:AQ73 A72:J75 L72:L74 AN76 AS79:AT79 Q79:V79 Q75:T78 Q71:V74 AN78 N168:N171 AS73:AT73 AI72 Y71:Y79 N71:O78 AI78:AI79" name="Tableau import_10_1" securityDescriptor="O:WDG:WDD:(A;;CC;;;S-1-5-21-2126451634-1572217618-321593493-10852)"/>
    <protectedRange sqref="AE60:AF60 AF66:AF68 AE66:AE69 AF59 AI59:AI61 A59:J70 L62:L63 AN62:AN63 AE65:AF65 AO78:AQ78 AA70 AA72:AH72 AA74:AH74 AD61:AF61 AA76:AH76 AA78:AH78 K78 AT59:AT70 AG58:AH58 AG40:AH56 AA272:AA276 B56:J57 AS72:AT72 AS74:AT74 AS76:AT76 AS78:AT78 L67:L70 AA69:AB69 V59:V61 AA68 AC70:AI70 AA88 Y59:Y70 AA67:AB67 AA62:AI64 AA65:AD66 AG65:AI69 O65 AO76:AQ76 AN67:AQ70 AA96:AA97 AA126 AA191 AS86 AS98 AA194 AA198 AA206 AS209 AA208 B79:J79 AA128:AA129 AA175 K76 K74 Q59:T61 Q62:V70 AO72:AQ72 AO74:AQ74 AA59:AB61 K72 N59:O64 N66:O70 AG79:AH79" name="Tableau import_9_1" securityDescriptor="O:WDG:WDD:(A;;CC;;;S-1-5-21-2126451634-1572217618-321593493-10852)"/>
    <protectedRange sqref="AD59:AD60 A58:J58 AE59 A44:J55 AD44:AF45 AI58 AA52 AE37:AE39 AE42 N52:O58 AD67:AD69 AD37:AD40 AN38:AP38 AN42:AN43 AE58:AF58 Q53:T58 Q47:V48 Q49:T50 Q45:T46 AT54:AT58 Q44 S44:T44 AN45:AQ48 AN50:AQ50 AS38 AS50:AT50 Q51:Q52 S52:T52 S51:V51 AN51:AN52 A56:A57 AI44:AI56 AT49 AN56 O51 AD57:AI57 AS45:AT48 AA53:AB55 AA57 AD71 V44:V46 L46:L51 V49:V50 V52:V58 AD47:AF55 AG59:AH61 AN53:AQ53 AS53:AT53 Y44:Y58 AA44:AB45 AA46:AF46 AA58:AB58 AA56:AF56 AA47:AB50 AD42:AD43 N44:O50" name="Tableau import_8_1" securityDescriptor="O:WDG:WDD:(A;;CC;;;S-1-5-21-2126451634-1572217618-321593493-10852)"/>
    <protectedRange sqref="AE43:AF43 AF42 AC33:AC36 AT36:AT39 AF39:AI39 V36 A36:J39 A41:J43 A40:I40 AE40:AF41 AE36:AF36 L55 L57:L61 L64:L66 AF37:AF38 AI36:AI38 L37:L44 AI42:AI43 Y36:Y43 AA39:AB43 AD41 AB190 Q36:T36 Q37:V39 Q40:Q43 S40:V43 AB192 AB52 AB102 N36:O43" name="Tableau import_7_1" securityDescriptor="O:WDG:WDD:(A;;CC;;;S-1-5-21-2126451634-1572217618-321593493-10852)"/>
    <protectedRange sqref="A34:I35 AE35:AF35 AN35:AQ35 AF32:AI32 L30:L36 A30:J33 V33:V35 Y30:Y35 AN30:AQ33 AC293 Q33:T33 Q30:V32 Q35:T35 Q34 S34:T34 AE33:AI34 AI35 AI40:AI41 AA30:AI30 AB32:AB34 AC31:AI31 AB85 AC297 AS35:AT35 N30:O35 AS30:AT33" name="Tableau import_6_1" securityDescriptor="O:WDG:WDD:(A;;CC;;;S-1-5-21-2126451634-1572217618-321593493-10852)"/>
    <protectedRange sqref="A29:L29 AC29:AI29 Y28:Y29 AE95 AS28:AT29 AE28:AI28 AQ81 AE83 Q28:V29 A28:J28 AE32 AN28:AQ29 L28 N28:O29" name="Tableau import_5_1" securityDescriptor="O:WDG:WDD:(A;;CC;;;S-1-5-21-2126451634-1572217618-321593493-10852)"/>
    <protectedRange sqref="L45" name="Tableau import_3_1" securityDescriptor="O:WDG:WDD:(A;;CC;;;S-1-5-21-2126451634-1572217618-321593493-10852)"/>
    <protectedRange sqref="AC204 AM5 AC71 AC52:AC55 AC77 AM9 AM11:AM14 AB57:AC57 AB234:AB241 AC67:AC69 AB274 AG35:AH38 AC37:AC45 AB68 AC49:AC50 AB227:AB232 AC59:AC61 AC75 AM192:AM256 AM258:AM402 AM104:AM190 AM16:AM102 AM745:AM747 AM741:AM743 AM737:AM739 AM733:AM735 AM729:AM731 AM725:AM727 AM721:AM723 AM717:AM719 AM713:AM715 AM709:AM711 AM705:AM707 AM701:AM703 AM697:AM699 AM693:AM695 AM689:AM691 AM685:AM687 AM681:AM683 AM406:AM679" name="Tableau import_1_1" securityDescriptor="O:WDG:WDD:(A;;CC;;;S-1-5-21-2126451634-1572217618-321593493-10852)"/>
    <protectedRange sqref="AJ1 B3:AO4 AP1:AT4 A1:A4 K107:K108 AC279:AL284 K114:K117 AC210:AH211 K241 AC73 R34 W297:AB297 AD297:AE297 Y189:AA190 R40:R44 R51:R52 AA89:AA90 O80:AJ80 J40 J76 AA192:AA193 AO253:AQ253 K58 A227:J241 AB276:AI276 AC274:AI274 AN82:AQ112 AB100 AE332:AL332 A252:J252 AF83:AI83 AC95:AD95 AF95:AI95 AC216:AC217 P82:X134 Y82:Z123 O82:O91 AB31 AN49:AQ49 O81:AC81 AA87:AI87 AA86:AB86 AD88:AI88 AE81:AI82 A625 AB275:AJ275 AA255:AI255 AC212:AI215 AC47:AC48 AE216:AJ216 A600:L600 A575 K64:K70 AC115:AI117 U75:U78 AO34:AQ34 O185:O186 AO40:AQ44 AO54:AO57 AO51:AQ52 U33:U36 U44:U46 U49:U50 U52:U61 AS54:AS57 AA204:AB204 AK103:AM103 AS39 AS37 AN39:AP39 W295:AE296 AD204:AI204 AA205:AI205 AA95 AA253 AK191:AM191 K73 O149:AA159 AJ255:AL256 K79 N219:N220 AA83:AD83 AC114 AF288 AE114:AI114 AA256:AF258 A101:J108 AF289:AG291 P252:P253 Z252:Z253 Y252 L2 J2 O162:AA164 O165:Z177 AA165:AA174 O212:O215 AC164:AC166 AB272:AI273 AJ257:AM257 AA29:AB29 AC149:AC150 W298:AE299 AE149:AF150 AE93:AI93 W252:X253 W28:X79 N123 N126 Q252:V252 N162 N176 N212 AI256:AI263 AO61:AO63 AN115:AO115 AQ115 AN114:AQ114 Z28:Z79 AE86:AI86 AB89:AI89 AC151:AF163 P189:X215 AS254:AT261 AR184:AR215 AB126:AI126 O240:O241 V253 S253:T253 F253:G253 J253 N253 D253 O229 O249 AO66:AP66 AN254:AQ261 AC218:AI218 AE164:AF166 AC118:AC119 AE119:AG119 P185:AA187 O202:O204 AC84:AI85 A119:J121 AR243:AR261 AD118:AI118 AN243:AQ252 AA51:AC51 AA210:AA212 AA214:AA215 AS243:AT252 AS34:AT34 AS49 AS40:AT44 AC90:AI91 AC96:AI113 AA207:AH207 AE259:AF260 AS51:AT52 AN81:AP81 Y125:Z134 AB93:AC93 AA127 AC190:AI201 AB206:AH206 AS80:AT85 AA94:AI94 AA109:AA119 N79 AA122:AI123 L240:L241 N65 AS87:AT97 AQ79 K75:L75 K77:L77 L76 L78 AR159:AT183 N121 P245:Z251 B748 K38:K48 AA108:AB108 AA120:AG121 AH119:AI121 K50:K52 AA91:AB91 AA213:AB213 AA202:AI203 A112:J117 G748:J748 L748 S748:T748 V748 AC261:AF265 AJ134:AL134 AC227:AL228 AN146:AT158 AJ86:AL101 AG264:AI265 AK102:AL102 A80:L100 AF253 AK192:AL193 AJ191:AJ193 AN5:AT5 AI206:AI211 AE217:AI217 AJ217:AL218 AA125:AI125 K60:K61 AC32:AD32 A118:K118 K30:K32 AA37:AB38 AB36 AJ194:AL201 A242:L244 AA82:AC82 AA31:AA35 AN37:AQ37 AB70 AB88 P227:AA241 AS61:AS70 O184:AF184 AA245:AI249 AS253 AF294:AI299 K119 AB90 AA130:AA134 O95:O134 AA98:AA107 AB96:AB97 Y191:Z215 AB191 AA195:AA197 AT86 AT98 L52:L54 L56 AT209 L101:L108 AB84 AA84:AA85 AB92:AI92 A109:L111 L112:L121 AA176:AA177 AJ267:AL272 AC58:AD58 AB194 AA199:AA201 AB198:AB201 Y124:AI124 AA209:AH209 AA28:AD28 AA92:AA93 AE250:AI252 AB208:AH208 AC252:AD253 AQ38:AQ39 AQ77 AA250:AB252 AC254:AL254 AC259:AD259 AA268 W294:AA294 AC294:AE294 AJ273:AJ274 AK273:AL275 AN80:AQ80 AJ81:AJ85 AK80:AL85 AN113:AO113 AJ102:AJ133 AK104:AL133 AC167:AF183 AK143:AL183 AJ202:AJ215 AK202:AL216 AJ245 AK229:AL245 AJ246:AL253 AJ258:AL265 AD293:AF293 AK288:AL293 AJ302:AJ313 AK302:AL316 AK9:AL9 AK11:AL14 AK10:AM10 AK6:AT7 AK15:AM15 AK8:AM8 AK16:AL17 AM403:AT405 AN116:AQ145 AJ276:AL277 AJ294:AL301 O135:AL142 A5:AL5 K227:L239 N260:AD260 N267:AA267 N188:AA188 N278:AL278 N254:AA254 N279:AA284 N255:Z258 N332:AC332 N250:O252 N178:AA183 N259:AA259 N160:AA161 N244:AJ244 N92:O94 N748:O748 N187:O187 N300:AI313 N242:AA243 N245:O248 N230:O239 N261:AA265 N293:AB293 N288:AE292 N189:O201 N205:O211 N216:AA218 N285:AL287 N314:AJ316 N268:Z276 N277:AI277 N6:AJ17 N227:O228 N294:V299 K101:K105 A254:J257 L245:L257 A245:K251 AJ184:AL190 AN159:AQ215 B601:L649 P1:AG2 B1:I2 N1:N2 J1:L1 AS184:AT208 N317:AL331 M24:M429 A23:AI23 N18:AL21 A24:L27 AH288:AJ291 N535:AI535 B531:AI531 AJ531:AL535 M532:AI534 AS99:AT145 AN216:AR220 AS210:AT220 AN262:AT402 AN221:AT242 A650:L650 K28 P28:P79 AC267:AI268 AA269:AI271 O219:AL226 AF292 AG292:AJ293 AC127:AI134 AC229:AJ243 N24:AI27 N22:AI22 AJ22:AL79 K252:K257 AC185:AF189 AH148:AJ183 AH184:AI189 O148:AF148 AG148:AG189 O143:AJ147 N333:AL429 AN8:AT27 A675:C675 AN745:AT747 B745:L747 N745:AL747 B744 G744:J744 L744 S744:T744 V744 N744:O744 AN741:AT743 B741:L743 N741:AL743 B740 G740:J740 L740 S740:T740 V740 N740:O740 AN737:AT739 B737:L739 N737:AL739 B736 G736:J736 L736 S736:T736 V736 N736:O736 AN733:AT735 B733:L735 N733:AL735 B732 G732:J732 L732 S732:T732 V732 N732:O732 AN729:AT731 B729:L731 N729:AL731 B728 G728:J728 L728 S728:T728 V728 N728:O728 AN725:AT727 N725:AL727 S724:T724 V724 O724 AO721:AT723 S720:T720 V720 O720 AO717:AT719 S716:T716 V716 O716 AO713:AT715 O713:Z715 S712:T712 V712 O712 AO709:AT711 O709:Z711 S708:T708 V708 O708 AO705:AT707 O705:Z707 S704:T704 V704 O704 AO701:AT703 S700:T700 V700 O700 AO697:AT699 S696:T696 V696 O696 AO693:AT695 O693:Z695 S692:T692 V692 O692 AO689:AT691 O689:Z691 S688:T688 V688 O688 AO685:AT687 O685:Z687 S684:T684 V684 O684 B680 G680:J680 L680 S680:T680 V680 M535:M678 B677:L678 M680:M748 B679:M679 AO678:AT679 AN678:AN680 B651:L673 B676:C676 B674:C674 D674:L676 AN406:AT677 AA680:AD680 AI680 N680:O680 N681:AL681 AN681:AT681 B681:L727 O682:Z683 O697:Z697 O701:Z703 N717:Z717 O718:Z719 O721:Z723 N682:N697 N698:Z699 N700:N716 N718:N724 AE713:AH715 AE709:AH711 AE705:AH707 AE693:AH695 AE689:AH691 AE685:AH687 AE682:AH683 AE701:AH703 AE717:AH719 AE721:AH723 AE697:AH699 AA682:AD724 AJ713:AL715 AJ709:AL711 AJ705:AL707 AJ693:AL695 AJ689:AL691 AJ685:AL687 AJ682:AL683 AJ701:AL703 AJ717:AL719 AJ721:AL723 AJ697:AL699 AI682:AI724 AO682:AT683 AN682:AN724 N266:AL266 A6:M22 AR28:AR145 J34:K35 N536:AL679 A122:L226 A258:L300 B301:L429 B532:L599 B430:AL530" name="Tableau import_4" securityDescriptor="O:WDG:WDD:(A;;CC;;;S-1-5-21-2126451634-1572217618-321593493-10852)"/>
  </protectedRanges>
  <autoFilter ref="A4:AU748" xr:uid="{80AC8039-E18E-49F9-BB73-7281C6B163A4}">
    <filterColumn colId="14">
      <filters>
        <filter val="10320051"/>
      </filters>
    </filterColumn>
  </autoFilter>
  <mergeCells count="13">
    <mergeCell ref="E2:F2"/>
    <mergeCell ref="C1:D1"/>
    <mergeCell ref="C2:D2"/>
    <mergeCell ref="AI3:AT3"/>
    <mergeCell ref="B1:B2"/>
    <mergeCell ref="B3:N3"/>
    <mergeCell ref="O3:R3"/>
    <mergeCell ref="S3:V3"/>
    <mergeCell ref="W3:Z3"/>
    <mergeCell ref="AA3:AH3"/>
    <mergeCell ref="E1:F1"/>
    <mergeCell ref="L2:M2"/>
    <mergeCell ref="L1:M1"/>
  </mergeCells>
  <phoneticPr fontId="88" type="noConversion"/>
  <conditionalFormatting sqref="AN220:AP220 AN221:AN226 AT222">
    <cfRule type="cellIs" priority="19" operator="greaterThan">
      <formula>0</formula>
    </cfRule>
    <cfRule type="cellIs" dxfId="0" priority="20" operator="lessThan">
      <formula>$AJ$1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E175-962A-400A-B760-6278F7D02FB9}">
  <dimension ref="A1:O24"/>
  <sheetViews>
    <sheetView workbookViewId="0">
      <selection activeCell="H18" sqref="H18"/>
    </sheetView>
  </sheetViews>
  <sheetFormatPr baseColWidth="10" defaultColWidth="11.42578125" defaultRowHeight="12" x14ac:dyDescent="0.2"/>
  <cols>
    <col min="1" max="3" width="24.28515625" style="121" customWidth="1"/>
    <col min="4" max="16" width="25.7109375" style="121" customWidth="1"/>
    <col min="17" max="16384" width="11.42578125" style="121"/>
  </cols>
  <sheetData>
    <row r="1" spans="1:15" ht="53.25" customHeight="1" x14ac:dyDescent="0.2">
      <c r="D1" s="649" t="s">
        <v>153</v>
      </c>
      <c r="E1" s="649"/>
      <c r="F1" s="649"/>
      <c r="G1" s="649"/>
      <c r="H1" s="649"/>
      <c r="I1" s="649"/>
      <c r="J1" s="650"/>
      <c r="K1" s="650"/>
      <c r="L1" s="650"/>
      <c r="M1" s="650" t="s">
        <v>152</v>
      </c>
      <c r="N1" s="650"/>
      <c r="O1" s="650"/>
    </row>
    <row r="2" spans="1:15" ht="77.25" customHeight="1" x14ac:dyDescent="0.2">
      <c r="D2" s="120" t="s">
        <v>170</v>
      </c>
      <c r="E2" s="120" t="s">
        <v>169</v>
      </c>
      <c r="F2" s="120" t="s">
        <v>168</v>
      </c>
      <c r="G2" s="120" t="s">
        <v>158</v>
      </c>
      <c r="H2" s="120" t="s">
        <v>159</v>
      </c>
      <c r="I2" s="120" t="s">
        <v>154</v>
      </c>
    </row>
    <row r="3" spans="1:15" ht="60.75" customHeight="1" x14ac:dyDescent="0.2">
      <c r="A3" s="651" t="s">
        <v>160</v>
      </c>
      <c r="B3" s="120" t="s">
        <v>163</v>
      </c>
      <c r="C3" s="119">
        <v>79200</v>
      </c>
      <c r="D3" s="120">
        <v>14256</v>
      </c>
      <c r="E3" s="120">
        <v>14256</v>
      </c>
      <c r="F3" s="120">
        <v>19008</v>
      </c>
      <c r="G3" s="120">
        <v>15840</v>
      </c>
      <c r="H3" s="120">
        <v>15840</v>
      </c>
      <c r="I3" s="120" t="s">
        <v>46</v>
      </c>
    </row>
    <row r="4" spans="1:15" ht="60.75" customHeight="1" x14ac:dyDescent="0.2">
      <c r="A4" s="653"/>
      <c r="B4" s="120" t="s">
        <v>164</v>
      </c>
      <c r="C4" s="119">
        <v>89400</v>
      </c>
      <c r="D4" s="120"/>
      <c r="E4" s="120"/>
      <c r="F4" s="120"/>
      <c r="G4" s="120"/>
      <c r="H4" s="120"/>
      <c r="I4" s="120"/>
    </row>
    <row r="5" spans="1:15" ht="60.75" customHeight="1" x14ac:dyDescent="0.2">
      <c r="A5" s="652"/>
      <c r="B5" s="120" t="s">
        <v>171</v>
      </c>
      <c r="C5" s="119">
        <v>62194</v>
      </c>
      <c r="D5" s="120" t="s">
        <v>46</v>
      </c>
      <c r="E5" s="120" t="s">
        <v>46</v>
      </c>
      <c r="F5" s="120" t="s">
        <v>46</v>
      </c>
      <c r="G5" s="120">
        <v>31097</v>
      </c>
      <c r="H5" s="120">
        <v>31097</v>
      </c>
      <c r="I5" s="120" t="s">
        <v>46</v>
      </c>
    </row>
    <row r="6" spans="1:15" ht="67.5" customHeight="1" x14ac:dyDescent="0.2">
      <c r="A6" s="651" t="s">
        <v>165</v>
      </c>
      <c r="B6" s="123" t="s">
        <v>163</v>
      </c>
      <c r="C6" s="120">
        <f>SUM(D6:I6)</f>
        <v>78528</v>
      </c>
      <c r="D6" s="120">
        <v>14256</v>
      </c>
      <c r="E6" s="120">
        <v>14256</v>
      </c>
      <c r="F6" s="120">
        <v>18336</v>
      </c>
      <c r="G6" s="120">
        <v>15840</v>
      </c>
      <c r="H6" s="120">
        <v>15840</v>
      </c>
      <c r="I6" s="120" t="s">
        <v>46</v>
      </c>
    </row>
    <row r="7" spans="1:15" ht="67.5" customHeight="1" x14ac:dyDescent="0.2">
      <c r="A7" s="653"/>
      <c r="B7" s="124" t="s">
        <v>164</v>
      </c>
      <c r="C7" s="122">
        <f>SUM(D7:I7)</f>
        <v>0</v>
      </c>
      <c r="D7" s="122"/>
      <c r="E7" s="122"/>
      <c r="F7" s="122"/>
      <c r="G7" s="122"/>
      <c r="H7" s="122"/>
      <c r="I7" s="122"/>
    </row>
    <row r="8" spans="1:15" ht="67.5" customHeight="1" x14ac:dyDescent="0.2">
      <c r="A8" s="654"/>
      <c r="B8" s="120" t="s">
        <v>171</v>
      </c>
      <c r="C8" s="120">
        <f>SUM(D8:I8)</f>
        <v>0</v>
      </c>
      <c r="D8" s="120"/>
      <c r="E8" s="120"/>
      <c r="F8" s="120"/>
      <c r="G8" s="120"/>
      <c r="H8" s="120"/>
      <c r="I8" s="120"/>
    </row>
    <row r="9" spans="1:15" ht="67.5" customHeight="1" x14ac:dyDescent="0.2"/>
    <row r="11" spans="1:15" ht="53.25" customHeight="1" x14ac:dyDescent="0.2">
      <c r="D11" s="649" t="s">
        <v>151</v>
      </c>
      <c r="E11" s="649"/>
      <c r="F11" s="649"/>
      <c r="G11" s="649"/>
      <c r="H11" s="649"/>
      <c r="I11" s="649"/>
      <c r="J11" s="650"/>
      <c r="K11" s="650"/>
      <c r="L11" s="650"/>
      <c r="M11" s="650"/>
      <c r="N11" s="650"/>
      <c r="O11" s="650"/>
    </row>
    <row r="12" spans="1:15" ht="77.25" customHeight="1" x14ac:dyDescent="0.2">
      <c r="D12" s="120" t="s">
        <v>155</v>
      </c>
      <c r="E12" s="120" t="s">
        <v>156</v>
      </c>
      <c r="F12" s="120" t="s">
        <v>157</v>
      </c>
      <c r="G12" s="120" t="s">
        <v>158</v>
      </c>
      <c r="H12" s="120" t="s">
        <v>159</v>
      </c>
      <c r="I12" s="120" t="s">
        <v>154</v>
      </c>
    </row>
    <row r="13" spans="1:15" ht="60.75" customHeight="1" x14ac:dyDescent="0.2">
      <c r="A13" s="120" t="s">
        <v>160</v>
      </c>
      <c r="B13" s="120"/>
      <c r="C13" s="120"/>
      <c r="D13" s="120"/>
      <c r="E13" s="120"/>
      <c r="F13" s="120"/>
      <c r="G13" s="120"/>
      <c r="H13" s="120"/>
      <c r="I13" s="120"/>
    </row>
    <row r="14" spans="1:15" ht="64.5" customHeight="1" x14ac:dyDescent="0.2">
      <c r="A14" s="120" t="s">
        <v>161</v>
      </c>
      <c r="B14" s="120"/>
      <c r="C14" s="120"/>
      <c r="D14" s="120"/>
      <c r="E14" s="120"/>
      <c r="F14" s="120"/>
      <c r="G14" s="120"/>
      <c r="H14" s="120"/>
      <c r="I14" s="120"/>
    </row>
    <row r="15" spans="1:15" ht="64.5" customHeight="1" x14ac:dyDescent="0.2">
      <c r="A15" s="120" t="s">
        <v>162</v>
      </c>
      <c r="B15" s="120"/>
      <c r="C15" s="120"/>
      <c r="D15" s="120"/>
      <c r="E15" s="120"/>
      <c r="F15" s="120"/>
      <c r="G15" s="120"/>
      <c r="H15" s="120"/>
      <c r="I15" s="120"/>
    </row>
    <row r="17" spans="1:15" ht="53.25" customHeight="1" x14ac:dyDescent="0.2">
      <c r="D17" s="649" t="s">
        <v>152</v>
      </c>
      <c r="E17" s="649"/>
      <c r="F17" s="649"/>
      <c r="G17" s="649"/>
      <c r="H17" s="649"/>
      <c r="I17" s="649"/>
      <c r="J17" s="650"/>
      <c r="K17" s="650"/>
      <c r="L17" s="650"/>
      <c r="M17" s="650"/>
      <c r="N17" s="650"/>
      <c r="O17" s="650"/>
    </row>
    <row r="18" spans="1:15" ht="77.25" customHeight="1" x14ac:dyDescent="0.2">
      <c r="D18" s="120" t="s">
        <v>155</v>
      </c>
      <c r="E18" s="120" t="s">
        <v>156</v>
      </c>
      <c r="F18" s="120" t="s">
        <v>157</v>
      </c>
      <c r="G18" s="120" t="s">
        <v>158</v>
      </c>
      <c r="H18" s="120" t="s">
        <v>159</v>
      </c>
      <c r="I18" s="120" t="s">
        <v>154</v>
      </c>
    </row>
    <row r="19" spans="1:15" ht="60.75" customHeight="1" x14ac:dyDescent="0.2">
      <c r="A19" s="651" t="s">
        <v>160</v>
      </c>
      <c r="B19" s="120" t="s">
        <v>166</v>
      </c>
      <c r="C19" s="120">
        <v>7700</v>
      </c>
      <c r="D19" s="120" t="s">
        <v>46</v>
      </c>
      <c r="E19" s="120" t="s">
        <v>46</v>
      </c>
      <c r="F19" s="120" t="s">
        <v>46</v>
      </c>
      <c r="G19" s="120" t="s">
        <v>46</v>
      </c>
      <c r="H19" s="120">
        <v>7700</v>
      </c>
      <c r="I19" s="120" t="s">
        <v>46</v>
      </c>
    </row>
    <row r="20" spans="1:15" ht="60.75" customHeight="1" x14ac:dyDescent="0.2">
      <c r="A20" s="652"/>
      <c r="B20" s="120" t="s">
        <v>167</v>
      </c>
      <c r="C20" s="120">
        <v>17030</v>
      </c>
      <c r="D20" s="120" t="s">
        <v>46</v>
      </c>
      <c r="E20" s="120" t="s">
        <v>46</v>
      </c>
      <c r="F20" s="120" t="s">
        <v>46</v>
      </c>
      <c r="G20" s="120" t="s">
        <v>46</v>
      </c>
      <c r="H20" s="120">
        <v>17030</v>
      </c>
      <c r="I20" s="120" t="s">
        <v>46</v>
      </c>
    </row>
    <row r="21" spans="1:15" ht="64.5" customHeight="1" x14ac:dyDescent="0.2">
      <c r="A21" s="651" t="s">
        <v>161</v>
      </c>
      <c r="B21" s="120" t="s">
        <v>166</v>
      </c>
      <c r="C21" s="120">
        <v>15400</v>
      </c>
      <c r="D21" s="120" t="s">
        <v>46</v>
      </c>
      <c r="E21" s="120" t="s">
        <v>46</v>
      </c>
      <c r="F21" s="120" t="s">
        <v>46</v>
      </c>
      <c r="G21" s="120" t="s">
        <v>46</v>
      </c>
      <c r="H21" s="120">
        <v>15400</v>
      </c>
      <c r="I21" s="120" t="s">
        <v>46</v>
      </c>
    </row>
    <row r="22" spans="1:15" ht="64.5" customHeight="1" x14ac:dyDescent="0.2">
      <c r="A22" s="652"/>
      <c r="B22" s="120" t="s">
        <v>167</v>
      </c>
      <c r="C22" s="120">
        <v>34060</v>
      </c>
      <c r="D22" s="120" t="s">
        <v>46</v>
      </c>
      <c r="E22" s="120" t="s">
        <v>46</v>
      </c>
      <c r="F22" s="120" t="s">
        <v>46</v>
      </c>
      <c r="G22" s="120" t="s">
        <v>46</v>
      </c>
      <c r="H22" s="120">
        <v>34060</v>
      </c>
      <c r="I22" s="120" t="s">
        <v>46</v>
      </c>
    </row>
    <row r="23" spans="1:15" ht="64.5" customHeight="1" x14ac:dyDescent="0.2">
      <c r="A23" s="651" t="s">
        <v>162</v>
      </c>
      <c r="B23" s="120" t="s">
        <v>166</v>
      </c>
      <c r="C23" s="120"/>
      <c r="D23" s="120" t="s">
        <v>46</v>
      </c>
      <c r="E23" s="120" t="s">
        <v>46</v>
      </c>
      <c r="F23" s="120" t="s">
        <v>46</v>
      </c>
      <c r="G23" s="120" t="s">
        <v>46</v>
      </c>
      <c r="H23" s="120"/>
      <c r="I23" s="120" t="s">
        <v>46</v>
      </c>
    </row>
    <row r="24" spans="1:15" ht="67.5" customHeight="1" x14ac:dyDescent="0.2">
      <c r="A24" s="652"/>
      <c r="B24" s="120" t="s">
        <v>167</v>
      </c>
      <c r="C24" s="120"/>
      <c r="D24" s="120" t="s">
        <v>46</v>
      </c>
      <c r="E24" s="120" t="s">
        <v>46</v>
      </c>
      <c r="F24" s="120" t="s">
        <v>46</v>
      </c>
      <c r="G24" s="120" t="s">
        <v>46</v>
      </c>
      <c r="H24" s="120"/>
      <c r="I24" s="120" t="s">
        <v>46</v>
      </c>
    </row>
  </sheetData>
  <mergeCells count="14">
    <mergeCell ref="A19:A20"/>
    <mergeCell ref="A21:A22"/>
    <mergeCell ref="A23:A24"/>
    <mergeCell ref="A3:A5"/>
    <mergeCell ref="A6:A8"/>
    <mergeCell ref="D17:I17"/>
    <mergeCell ref="J17:L17"/>
    <mergeCell ref="M17:O17"/>
    <mergeCell ref="J1:L1"/>
    <mergeCell ref="M1:O1"/>
    <mergeCell ref="D1:I1"/>
    <mergeCell ref="D11:I11"/>
    <mergeCell ref="J11:L11"/>
    <mergeCell ref="M11:O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A30A-8741-421C-9D9A-4F6B394CD88F}">
  <dimension ref="A1:G16"/>
  <sheetViews>
    <sheetView topLeftCell="C1" workbookViewId="0">
      <selection activeCell="D36" sqref="D36"/>
    </sheetView>
  </sheetViews>
  <sheetFormatPr baseColWidth="10" defaultColWidth="11.42578125" defaultRowHeight="12.75" x14ac:dyDescent="0.2"/>
  <cols>
    <col min="1" max="1" width="11.42578125" style="245"/>
    <col min="2" max="2" width="28.140625" style="245" customWidth="1"/>
    <col min="3" max="3" width="70.42578125" style="245" customWidth="1"/>
    <col min="4" max="4" width="30.7109375" style="245" customWidth="1"/>
    <col min="5" max="5" width="39.42578125" style="245" customWidth="1"/>
    <col min="6" max="6" width="22.42578125" style="245" customWidth="1"/>
    <col min="7" max="7" width="11.42578125" style="245"/>
    <col min="8" max="8" width="56.140625" style="245" bestFit="1" customWidth="1"/>
    <col min="9" max="16384" width="11.42578125" style="245"/>
  </cols>
  <sheetData>
    <row r="1" spans="1:7" x14ac:dyDescent="0.2">
      <c r="A1" s="242"/>
      <c r="B1" s="243" t="s">
        <v>25</v>
      </c>
      <c r="C1" s="243" t="s">
        <v>26</v>
      </c>
      <c r="D1" s="243" t="s">
        <v>492</v>
      </c>
      <c r="E1" s="244" t="s">
        <v>493</v>
      </c>
      <c r="F1" s="242"/>
    </row>
    <row r="2" spans="1:7" x14ac:dyDescent="0.2">
      <c r="A2" s="246" t="s">
        <v>74</v>
      </c>
      <c r="B2" s="247">
        <v>32210009</v>
      </c>
      <c r="C2" s="253" t="s">
        <v>503</v>
      </c>
      <c r="D2" s="252">
        <v>0</v>
      </c>
      <c r="E2" s="252" t="s">
        <v>500</v>
      </c>
      <c r="F2" s="252" t="s">
        <v>504</v>
      </c>
    </row>
    <row r="3" spans="1:7" x14ac:dyDescent="0.2">
      <c r="A3" s="246" t="s">
        <v>74</v>
      </c>
      <c r="B3" s="247">
        <v>32210012</v>
      </c>
      <c r="C3" s="253" t="s">
        <v>507</v>
      </c>
      <c r="D3" s="252">
        <v>0</v>
      </c>
      <c r="E3" s="252" t="s">
        <v>500</v>
      </c>
      <c r="F3" s="252" t="s">
        <v>506</v>
      </c>
    </row>
    <row r="4" spans="1:7" x14ac:dyDescent="0.2">
      <c r="A4" s="246" t="s">
        <v>74</v>
      </c>
      <c r="B4" s="247">
        <v>32210011</v>
      </c>
      <c r="C4" s="253" t="s">
        <v>508</v>
      </c>
      <c r="D4" s="252">
        <v>0</v>
      </c>
      <c r="E4" s="252" t="s">
        <v>500</v>
      </c>
      <c r="F4" s="252" t="s">
        <v>505</v>
      </c>
    </row>
    <row r="6" spans="1:7" x14ac:dyDescent="0.2">
      <c r="A6" s="246" t="s">
        <v>64</v>
      </c>
      <c r="B6" s="247">
        <v>22150001</v>
      </c>
      <c r="C6" s="248" t="s">
        <v>436</v>
      </c>
      <c r="D6" s="247">
        <v>1227</v>
      </c>
      <c r="E6" s="244" t="s">
        <v>498</v>
      </c>
      <c r="F6" s="249" t="s">
        <v>494</v>
      </c>
    </row>
    <row r="7" spans="1:7" x14ac:dyDescent="0.2">
      <c r="A7" s="246" t="s">
        <v>64</v>
      </c>
      <c r="B7" s="247">
        <v>22150003</v>
      </c>
      <c r="C7" s="248" t="s">
        <v>438</v>
      </c>
      <c r="D7" s="247">
        <v>6120</v>
      </c>
      <c r="E7" s="244" t="s">
        <v>498</v>
      </c>
      <c r="F7" s="249" t="s">
        <v>495</v>
      </c>
    </row>
    <row r="8" spans="1:7" x14ac:dyDescent="0.2">
      <c r="A8" s="246" t="s">
        <v>64</v>
      </c>
      <c r="B8" s="247">
        <v>22150002</v>
      </c>
      <c r="C8" s="248" t="s">
        <v>499</v>
      </c>
      <c r="D8" s="247">
        <v>0</v>
      </c>
      <c r="E8" s="250" t="s">
        <v>500</v>
      </c>
      <c r="F8" s="249" t="s">
        <v>501</v>
      </c>
    </row>
    <row r="9" spans="1:7" x14ac:dyDescent="0.2">
      <c r="A9" s="246" t="s">
        <v>64</v>
      </c>
      <c r="B9" s="247">
        <v>22150004</v>
      </c>
      <c r="C9" s="248" t="s">
        <v>437</v>
      </c>
      <c r="D9" s="247" t="e">
        <f>2040+#REF!</f>
        <v>#REF!</v>
      </c>
      <c r="E9" s="244" t="s">
        <v>498</v>
      </c>
      <c r="F9" s="249" t="s">
        <v>496</v>
      </c>
    </row>
    <row r="10" spans="1:7" x14ac:dyDescent="0.2">
      <c r="A10" s="246" t="s">
        <v>64</v>
      </c>
      <c r="B10" s="247">
        <v>22150005</v>
      </c>
      <c r="C10" s="248" t="s">
        <v>439</v>
      </c>
      <c r="D10" s="247">
        <v>7920</v>
      </c>
      <c r="E10" s="244" t="s">
        <v>498</v>
      </c>
      <c r="F10" s="249" t="s">
        <v>497</v>
      </c>
    </row>
    <row r="11" spans="1:7" x14ac:dyDescent="0.2">
      <c r="A11" s="246" t="s">
        <v>74</v>
      </c>
      <c r="B11" s="247">
        <v>32030002</v>
      </c>
      <c r="C11" s="251" t="s">
        <v>502</v>
      </c>
      <c r="D11" s="247">
        <v>0</v>
      </c>
      <c r="E11" s="250" t="s">
        <v>500</v>
      </c>
      <c r="F11" s="252">
        <v>3616957761580</v>
      </c>
    </row>
    <row r="15" spans="1:7" ht="15" x14ac:dyDescent="0.2">
      <c r="C15" s="256" t="s">
        <v>509</v>
      </c>
      <c r="D15" s="254" t="s">
        <v>64</v>
      </c>
      <c r="E15" s="254">
        <v>21960001</v>
      </c>
      <c r="F15" s="255" t="s">
        <v>490</v>
      </c>
      <c r="G15" s="254">
        <v>9231</v>
      </c>
    </row>
    <row r="16" spans="1:7" ht="15" x14ac:dyDescent="0.2">
      <c r="C16" s="256" t="s">
        <v>510</v>
      </c>
      <c r="D16" s="254" t="s">
        <v>74</v>
      </c>
      <c r="E16" s="254">
        <v>32210010</v>
      </c>
      <c r="F16" s="255" t="s">
        <v>491</v>
      </c>
      <c r="G16" s="254">
        <v>3600</v>
      </c>
    </row>
  </sheetData>
  <protectedRanges>
    <protectedRange sqref="B3:B4 A11:B11 D11 B1:D1 A6:D10 A2:A4 D15:G16" name="Tableau import_4" securityDescriptor="O:WDG:WDD:(A;;CC;;;S-1-5-21-2126451634-1572217618-321593493-10852)"/>
    <protectedRange sqref="C15" name="Tableau import_4_1" securityDescriptor="O:WDG:WDD:(A;;CC;;;S-1-5-21-2126451634-1572217618-321593493-10852)"/>
    <protectedRange sqref="C16" name="Tableau import_4_2" securityDescriptor="O:WDG:WDD:(A;;CC;;;S-1-5-21-2126451634-1572217618-321593493-10852)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IMPORT 2025</vt:lpstr>
      <vt:lpstr>POINT MIF</vt:lpstr>
      <vt:lpstr>STOP REF CARREFOUR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JAMET</dc:creator>
  <cp:lastModifiedBy>Andrea JAMET</cp:lastModifiedBy>
  <dcterms:created xsi:type="dcterms:W3CDTF">2024-11-26T07:35:11Z</dcterms:created>
  <dcterms:modified xsi:type="dcterms:W3CDTF">2026-03-17T16:16:01Z</dcterms:modified>
</cp:coreProperties>
</file>